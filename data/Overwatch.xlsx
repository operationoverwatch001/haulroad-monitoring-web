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putra.tasyakur\Downloads\"/>
    </mc:Choice>
  </mc:AlternateContent>
  <xr:revisionPtr revIDLastSave="0" documentId="13_ncr:1_{CCFB3E75-8286-4162-89E4-6C8811C9031D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Data_Monitoring" sheetId="1" r:id="rId1"/>
    <sheet name="CrossSection_3Pts" sheetId="2" r:id="rId2"/>
    <sheet name="Daftar_Pilihan" sheetId="3" state="hidden" r:id="rId3"/>
    <sheet name="Chart_Data" sheetId="4" state="hidden" r:id="rId4"/>
    <sheet name="Dashboard_Visual" sheetId="5" r:id="rId5"/>
  </sheets>
  <definedNames>
    <definedName name="Dyn_Elev" localSheetId="3">OFFSET(Chart_Data!$C$2, 0, 0, Chart_Data!$P$2, 1)</definedName>
    <definedName name="Dyn_Grade" localSheetId="3">OFFSET(Chart_Data!$D$2, 0, 0, Chart_Data!$P$2, 1)</definedName>
    <definedName name="Dyn_Over" localSheetId="3">OFFSET(Chart_Data!$L$2, 0, 0, Chart_Data!$P$2, 1)</definedName>
    <definedName name="Dyn_STA" localSheetId="3">OFFSET(Chart_Data!$A$2, 0, 0, Chart_Data!$P$2, 1)</definedName>
    <definedName name="Dyn_STA_Dropdown">OFFSET(Chart_Data!$A$2, 0, 0, Chart_Data!$P$1, 1)</definedName>
    <definedName name="Dyn_Warn" localSheetId="3">OFFSET(Chart_Data!$K$2, 0, 0, Chart_Data!$P$2, 1)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48" i="5" l="1"/>
  <c r="U248" i="5"/>
  <c r="V247" i="5"/>
  <c r="U247" i="5"/>
  <c r="V246" i="5"/>
  <c r="U246" i="5"/>
  <c r="V245" i="5"/>
  <c r="U245" i="5"/>
  <c r="V244" i="5"/>
  <c r="U244" i="5"/>
  <c r="V243" i="5"/>
  <c r="U243" i="5"/>
  <c r="V242" i="5"/>
  <c r="U242" i="5"/>
  <c r="V241" i="5"/>
  <c r="U241" i="5"/>
  <c r="V240" i="5"/>
  <c r="U240" i="5"/>
  <c r="V239" i="5"/>
  <c r="U239" i="5"/>
  <c r="V238" i="5"/>
  <c r="U238" i="5"/>
  <c r="V237" i="5"/>
  <c r="U237" i="5"/>
  <c r="V236" i="5"/>
  <c r="U236" i="5"/>
  <c r="V235" i="5"/>
  <c r="U235" i="5"/>
  <c r="V234" i="5"/>
  <c r="U234" i="5"/>
  <c r="V233" i="5"/>
  <c r="U233" i="5"/>
  <c r="V232" i="5"/>
  <c r="U232" i="5"/>
  <c r="V231" i="5"/>
  <c r="U231" i="5"/>
  <c r="V230" i="5"/>
  <c r="U230" i="5"/>
  <c r="V229" i="5"/>
  <c r="U229" i="5"/>
  <c r="V228" i="5"/>
  <c r="U228" i="5"/>
  <c r="V227" i="5"/>
  <c r="U227" i="5"/>
  <c r="V226" i="5"/>
  <c r="U226" i="5"/>
  <c r="V225" i="5"/>
  <c r="U225" i="5"/>
  <c r="V224" i="5"/>
  <c r="U224" i="5"/>
  <c r="V223" i="5"/>
  <c r="U223" i="5"/>
  <c r="V222" i="5"/>
  <c r="U222" i="5"/>
  <c r="V221" i="5"/>
  <c r="U221" i="5"/>
  <c r="V220" i="5"/>
  <c r="U220" i="5"/>
  <c r="V219" i="5"/>
  <c r="U219" i="5"/>
  <c r="V218" i="5"/>
  <c r="U218" i="5"/>
  <c r="V217" i="5"/>
  <c r="U217" i="5"/>
  <c r="V216" i="5"/>
  <c r="U216" i="5"/>
  <c r="V215" i="5"/>
  <c r="U215" i="5"/>
  <c r="V214" i="5"/>
  <c r="U214" i="5"/>
  <c r="V213" i="5"/>
  <c r="U213" i="5"/>
  <c r="V212" i="5"/>
  <c r="U212" i="5"/>
  <c r="V211" i="5"/>
  <c r="U211" i="5"/>
  <c r="V210" i="5"/>
  <c r="U210" i="5"/>
  <c r="V209" i="5"/>
  <c r="U209" i="5"/>
  <c r="V208" i="5"/>
  <c r="U208" i="5"/>
  <c r="V207" i="5"/>
  <c r="U207" i="5"/>
  <c r="V206" i="5"/>
  <c r="U206" i="5"/>
  <c r="V205" i="5"/>
  <c r="U205" i="5"/>
  <c r="V204" i="5"/>
  <c r="U204" i="5"/>
  <c r="V203" i="5"/>
  <c r="U203" i="5"/>
  <c r="V202" i="5"/>
  <c r="U202" i="5"/>
  <c r="V201" i="5"/>
  <c r="U201" i="5"/>
  <c r="V200" i="5"/>
  <c r="U200" i="5"/>
  <c r="V199" i="5"/>
  <c r="U199" i="5"/>
  <c r="V198" i="5"/>
  <c r="U198" i="5"/>
  <c r="V197" i="5"/>
  <c r="U197" i="5"/>
  <c r="V196" i="5"/>
  <c r="U196" i="5"/>
  <c r="V195" i="5"/>
  <c r="U195" i="5"/>
  <c r="V194" i="5"/>
  <c r="U194" i="5"/>
  <c r="V193" i="5"/>
  <c r="U193" i="5"/>
  <c r="V192" i="5"/>
  <c r="U192" i="5"/>
  <c r="V191" i="5"/>
  <c r="U191" i="5"/>
  <c r="V190" i="5"/>
  <c r="U190" i="5"/>
  <c r="V189" i="5"/>
  <c r="U189" i="5"/>
  <c r="V188" i="5"/>
  <c r="U188" i="5"/>
  <c r="V187" i="5"/>
  <c r="U187" i="5"/>
  <c r="V186" i="5"/>
  <c r="U186" i="5"/>
  <c r="V185" i="5"/>
  <c r="U185" i="5"/>
  <c r="V184" i="5"/>
  <c r="U184" i="5"/>
  <c r="V183" i="5"/>
  <c r="U183" i="5"/>
  <c r="V182" i="5"/>
  <c r="U182" i="5"/>
  <c r="V181" i="5"/>
  <c r="U181" i="5"/>
  <c r="V180" i="5"/>
  <c r="U180" i="5"/>
  <c r="V179" i="5"/>
  <c r="U179" i="5"/>
  <c r="V178" i="5"/>
  <c r="U178" i="5"/>
  <c r="V177" i="5"/>
  <c r="U177" i="5"/>
  <c r="V176" i="5"/>
  <c r="U176" i="5"/>
  <c r="V175" i="5"/>
  <c r="U175" i="5"/>
  <c r="V174" i="5"/>
  <c r="U174" i="5"/>
  <c r="V173" i="5"/>
  <c r="U173" i="5"/>
  <c r="V172" i="5"/>
  <c r="U172" i="5"/>
  <c r="V171" i="5"/>
  <c r="U171" i="5"/>
  <c r="V170" i="5"/>
  <c r="U170" i="5"/>
  <c r="V169" i="5"/>
  <c r="U169" i="5"/>
  <c r="V168" i="5"/>
  <c r="U168" i="5"/>
  <c r="V167" i="5"/>
  <c r="U167" i="5"/>
  <c r="V166" i="5"/>
  <c r="U166" i="5"/>
  <c r="V165" i="5"/>
  <c r="U165" i="5"/>
  <c r="V164" i="5"/>
  <c r="U164" i="5"/>
  <c r="V163" i="5"/>
  <c r="U163" i="5"/>
  <c r="V162" i="5"/>
  <c r="U162" i="5"/>
  <c r="V161" i="5"/>
  <c r="U161" i="5"/>
  <c r="V160" i="5"/>
  <c r="U160" i="5"/>
  <c r="V159" i="5"/>
  <c r="U159" i="5"/>
  <c r="V158" i="5"/>
  <c r="U158" i="5"/>
  <c r="V157" i="5"/>
  <c r="U157" i="5"/>
  <c r="V156" i="5"/>
  <c r="U156" i="5"/>
  <c r="V155" i="5"/>
  <c r="U155" i="5"/>
  <c r="V154" i="5"/>
  <c r="U154" i="5"/>
  <c r="V153" i="5"/>
  <c r="U153" i="5"/>
  <c r="V152" i="5"/>
  <c r="U152" i="5"/>
  <c r="V151" i="5"/>
  <c r="U151" i="5"/>
  <c r="V150" i="5"/>
  <c r="U150" i="5"/>
  <c r="V149" i="5"/>
  <c r="U149" i="5"/>
  <c r="V148" i="5"/>
  <c r="U148" i="5"/>
  <c r="V147" i="5"/>
  <c r="U147" i="5"/>
  <c r="V146" i="5"/>
  <c r="U146" i="5"/>
  <c r="V145" i="5"/>
  <c r="U145" i="5"/>
  <c r="V144" i="5"/>
  <c r="U144" i="5"/>
  <c r="V143" i="5"/>
  <c r="U143" i="5"/>
  <c r="V142" i="5"/>
  <c r="U142" i="5"/>
  <c r="V141" i="5"/>
  <c r="U141" i="5"/>
  <c r="V140" i="5"/>
  <c r="U140" i="5"/>
  <c r="V139" i="5"/>
  <c r="U139" i="5"/>
  <c r="V138" i="5"/>
  <c r="U138" i="5"/>
  <c r="V137" i="5"/>
  <c r="U137" i="5"/>
  <c r="V136" i="5"/>
  <c r="U136" i="5"/>
  <c r="V135" i="5"/>
  <c r="U135" i="5"/>
  <c r="V134" i="5"/>
  <c r="U134" i="5"/>
  <c r="V133" i="5"/>
  <c r="U133" i="5"/>
  <c r="V132" i="5"/>
  <c r="U132" i="5"/>
  <c r="V131" i="5"/>
  <c r="U131" i="5"/>
  <c r="V130" i="5"/>
  <c r="U130" i="5"/>
  <c r="V129" i="5"/>
  <c r="U129" i="5"/>
  <c r="V128" i="5"/>
  <c r="U128" i="5"/>
  <c r="V127" i="5"/>
  <c r="U127" i="5"/>
  <c r="V126" i="5"/>
  <c r="U126" i="5"/>
  <c r="V125" i="5"/>
  <c r="U125" i="5"/>
  <c r="V124" i="5"/>
  <c r="U124" i="5"/>
  <c r="V123" i="5"/>
  <c r="U123" i="5"/>
  <c r="V122" i="5"/>
  <c r="U122" i="5"/>
  <c r="V121" i="5"/>
  <c r="U121" i="5"/>
  <c r="V120" i="5"/>
  <c r="U120" i="5"/>
  <c r="V119" i="5"/>
  <c r="U119" i="5"/>
  <c r="V118" i="5"/>
  <c r="U118" i="5"/>
  <c r="V117" i="5"/>
  <c r="U117" i="5"/>
  <c r="V116" i="5"/>
  <c r="U116" i="5"/>
  <c r="V115" i="5"/>
  <c r="U115" i="5"/>
  <c r="V114" i="5"/>
  <c r="U114" i="5"/>
  <c r="V113" i="5"/>
  <c r="U113" i="5"/>
  <c r="V112" i="5"/>
  <c r="U112" i="5"/>
  <c r="V111" i="5"/>
  <c r="U111" i="5"/>
  <c r="V110" i="5"/>
  <c r="U110" i="5"/>
  <c r="V109" i="5"/>
  <c r="U109" i="5"/>
  <c r="V108" i="5"/>
  <c r="U108" i="5"/>
  <c r="V107" i="5"/>
  <c r="U107" i="5"/>
  <c r="V106" i="5"/>
  <c r="U106" i="5"/>
  <c r="V105" i="5"/>
  <c r="U105" i="5"/>
  <c r="V104" i="5"/>
  <c r="U104" i="5"/>
  <c r="V103" i="5"/>
  <c r="U103" i="5"/>
  <c r="V102" i="5"/>
  <c r="U102" i="5"/>
  <c r="V101" i="5"/>
  <c r="U101" i="5"/>
  <c r="V100" i="5"/>
  <c r="U100" i="5"/>
  <c r="V99" i="5"/>
  <c r="U99" i="5"/>
  <c r="V98" i="5"/>
  <c r="U98" i="5"/>
  <c r="V97" i="5"/>
  <c r="U97" i="5"/>
  <c r="V96" i="5"/>
  <c r="U96" i="5"/>
  <c r="V95" i="5"/>
  <c r="U95" i="5"/>
  <c r="V94" i="5"/>
  <c r="U94" i="5"/>
  <c r="V93" i="5"/>
  <c r="U93" i="5"/>
  <c r="V92" i="5"/>
  <c r="U92" i="5"/>
  <c r="V91" i="5"/>
  <c r="U91" i="5"/>
  <c r="V90" i="5"/>
  <c r="U90" i="5"/>
  <c r="V89" i="5"/>
  <c r="U89" i="5"/>
  <c r="V88" i="5"/>
  <c r="U88" i="5"/>
  <c r="V87" i="5"/>
  <c r="U87" i="5"/>
  <c r="V86" i="5"/>
  <c r="U86" i="5"/>
  <c r="V85" i="5"/>
  <c r="U85" i="5"/>
  <c r="V84" i="5"/>
  <c r="U84" i="5"/>
  <c r="V83" i="5"/>
  <c r="U83" i="5"/>
  <c r="V82" i="5"/>
  <c r="U82" i="5"/>
  <c r="V81" i="5"/>
  <c r="U81" i="5"/>
  <c r="V80" i="5"/>
  <c r="U80" i="5"/>
  <c r="V79" i="5"/>
  <c r="U79" i="5"/>
  <c r="V78" i="5"/>
  <c r="U78" i="5"/>
  <c r="V77" i="5"/>
  <c r="U77" i="5"/>
  <c r="V76" i="5"/>
  <c r="U76" i="5"/>
  <c r="V75" i="5"/>
  <c r="U75" i="5"/>
  <c r="V74" i="5"/>
  <c r="U74" i="5"/>
  <c r="V73" i="5"/>
  <c r="U73" i="5"/>
  <c r="V72" i="5"/>
  <c r="U72" i="5"/>
  <c r="V71" i="5"/>
  <c r="U71" i="5"/>
  <c r="V70" i="5"/>
  <c r="U70" i="5"/>
  <c r="V69" i="5"/>
  <c r="U69" i="5"/>
  <c r="V68" i="5"/>
  <c r="U68" i="5"/>
  <c r="V67" i="5"/>
  <c r="U67" i="5"/>
  <c r="V66" i="5"/>
  <c r="U66" i="5"/>
  <c r="V65" i="5"/>
  <c r="U65" i="5"/>
  <c r="V64" i="5"/>
  <c r="U64" i="5"/>
  <c r="V63" i="5"/>
  <c r="U63" i="5"/>
  <c r="V62" i="5"/>
  <c r="U62" i="5"/>
  <c r="V61" i="5"/>
  <c r="U61" i="5"/>
  <c r="V60" i="5"/>
  <c r="U60" i="5"/>
  <c r="V59" i="5"/>
  <c r="U59" i="5"/>
  <c r="V58" i="5"/>
  <c r="U58" i="5"/>
  <c r="V57" i="5"/>
  <c r="U57" i="5"/>
  <c r="V56" i="5"/>
  <c r="U56" i="5"/>
  <c r="V55" i="5"/>
  <c r="U55" i="5"/>
  <c r="V54" i="5"/>
  <c r="U54" i="5"/>
  <c r="V53" i="5"/>
  <c r="U53" i="5"/>
  <c r="V52" i="5"/>
  <c r="U52" i="5"/>
  <c r="V51" i="5"/>
  <c r="U51" i="5"/>
  <c r="V50" i="5"/>
  <c r="U50" i="5"/>
  <c r="V49" i="5"/>
  <c r="U49" i="5"/>
  <c r="V48" i="5"/>
  <c r="U48" i="5"/>
  <c r="V47" i="5"/>
  <c r="U47" i="5"/>
  <c r="V46" i="5"/>
  <c r="U46" i="5"/>
  <c r="V45" i="5"/>
  <c r="U45" i="5"/>
  <c r="V44" i="5"/>
  <c r="U44" i="5"/>
  <c r="V43" i="5"/>
  <c r="U43" i="5"/>
  <c r="V42" i="5"/>
  <c r="U42" i="5"/>
  <c r="V41" i="5"/>
  <c r="U41" i="5"/>
  <c r="V40" i="5"/>
  <c r="U40" i="5"/>
  <c r="V39" i="5"/>
  <c r="U39" i="5"/>
  <c r="V38" i="5"/>
  <c r="U38" i="5"/>
  <c r="V37" i="5"/>
  <c r="U37" i="5"/>
  <c r="V36" i="5"/>
  <c r="U36" i="5"/>
  <c r="V35" i="5"/>
  <c r="U35" i="5"/>
  <c r="V34" i="5"/>
  <c r="U34" i="5"/>
  <c r="V33" i="5"/>
  <c r="U33" i="5"/>
  <c r="V32" i="5"/>
  <c r="U32" i="5"/>
  <c r="V31" i="5"/>
  <c r="U31" i="5"/>
  <c r="V30" i="5"/>
  <c r="U30" i="5"/>
  <c r="V29" i="5"/>
  <c r="U29" i="5"/>
  <c r="V28" i="5"/>
  <c r="U28" i="5"/>
  <c r="V27" i="5"/>
  <c r="U27" i="5"/>
  <c r="V26" i="5"/>
  <c r="U26" i="5"/>
  <c r="V25" i="5"/>
  <c r="U25" i="5"/>
  <c r="V24" i="5"/>
  <c r="U24" i="5"/>
  <c r="V23" i="5"/>
  <c r="U23" i="5"/>
  <c r="V22" i="5"/>
  <c r="U22" i="5"/>
  <c r="V21" i="5"/>
  <c r="U21" i="5"/>
  <c r="B21" i="5"/>
  <c r="V20" i="5"/>
  <c r="U20" i="5"/>
  <c r="B20" i="5"/>
  <c r="V19" i="5"/>
  <c r="U19" i="5"/>
  <c r="D19" i="5"/>
  <c r="B19" i="5"/>
  <c r="V18" i="5"/>
  <c r="U18" i="5"/>
  <c r="D18" i="5"/>
  <c r="B18" i="5"/>
  <c r="V17" i="5"/>
  <c r="U17" i="5"/>
  <c r="D17" i="5"/>
  <c r="B17" i="5"/>
  <c r="V16" i="5"/>
  <c r="U16" i="5"/>
  <c r="D16" i="5"/>
  <c r="V15" i="5"/>
  <c r="U15" i="5"/>
  <c r="V14" i="5"/>
  <c r="U14" i="5"/>
  <c r="V13" i="5"/>
  <c r="U13" i="5"/>
  <c r="V12" i="5"/>
  <c r="U12" i="5"/>
  <c r="V11" i="5"/>
  <c r="U11" i="5"/>
  <c r="V10" i="5"/>
  <c r="U10" i="5"/>
  <c r="V9" i="5"/>
  <c r="U9" i="5"/>
  <c r="V8" i="5"/>
  <c r="U8" i="5"/>
  <c r="V7" i="5"/>
  <c r="U7" i="5"/>
  <c r="V6" i="5"/>
  <c r="U6" i="5"/>
  <c r="V5" i="5"/>
  <c r="U5" i="5"/>
  <c r="V4" i="5"/>
  <c r="U4" i="5"/>
  <c r="V3" i="5"/>
  <c r="U3" i="5"/>
  <c r="H1" i="5"/>
  <c r="M247" i="4"/>
  <c r="H247" i="4"/>
  <c r="J247" i="4" s="1"/>
  <c r="G247" i="4"/>
  <c r="F247" i="4"/>
  <c r="E247" i="4"/>
  <c r="D247" i="4"/>
  <c r="C247" i="4"/>
  <c r="B247" i="4"/>
  <c r="A247" i="4"/>
  <c r="M246" i="4"/>
  <c r="H246" i="4"/>
  <c r="J246" i="4" s="1"/>
  <c r="G246" i="4"/>
  <c r="F246" i="4"/>
  <c r="E246" i="4"/>
  <c r="D246" i="4"/>
  <c r="C246" i="4"/>
  <c r="B246" i="4"/>
  <c r="A246" i="4"/>
  <c r="M245" i="4"/>
  <c r="H245" i="4"/>
  <c r="J245" i="4" s="1"/>
  <c r="G245" i="4"/>
  <c r="F245" i="4"/>
  <c r="E245" i="4"/>
  <c r="D245" i="4"/>
  <c r="C245" i="4"/>
  <c r="B245" i="4"/>
  <c r="A245" i="4"/>
  <c r="M244" i="4"/>
  <c r="H244" i="4"/>
  <c r="J244" i="4" s="1"/>
  <c r="G244" i="4"/>
  <c r="F244" i="4"/>
  <c r="E244" i="4"/>
  <c r="D244" i="4"/>
  <c r="C244" i="4"/>
  <c r="B244" i="4"/>
  <c r="A244" i="4"/>
  <c r="M243" i="4"/>
  <c r="H243" i="4"/>
  <c r="J243" i="4" s="1"/>
  <c r="G243" i="4"/>
  <c r="F243" i="4"/>
  <c r="E243" i="4"/>
  <c r="D243" i="4"/>
  <c r="C243" i="4"/>
  <c r="B243" i="4"/>
  <c r="A243" i="4"/>
  <c r="M242" i="4"/>
  <c r="H242" i="4"/>
  <c r="J242" i="4" s="1"/>
  <c r="G242" i="4"/>
  <c r="F242" i="4"/>
  <c r="E242" i="4"/>
  <c r="D242" i="4"/>
  <c r="C242" i="4"/>
  <c r="B242" i="4"/>
  <c r="A242" i="4"/>
  <c r="M241" i="4"/>
  <c r="H241" i="4"/>
  <c r="J241" i="4" s="1"/>
  <c r="G241" i="4"/>
  <c r="F241" i="4"/>
  <c r="E241" i="4"/>
  <c r="D241" i="4"/>
  <c r="C241" i="4"/>
  <c r="B241" i="4"/>
  <c r="A241" i="4"/>
  <c r="M240" i="4"/>
  <c r="H240" i="4"/>
  <c r="J240" i="4" s="1"/>
  <c r="G240" i="4"/>
  <c r="F240" i="4"/>
  <c r="E240" i="4"/>
  <c r="D240" i="4"/>
  <c r="C240" i="4"/>
  <c r="B240" i="4"/>
  <c r="A240" i="4"/>
  <c r="M239" i="4"/>
  <c r="H239" i="4"/>
  <c r="J239" i="4" s="1"/>
  <c r="G239" i="4"/>
  <c r="F239" i="4"/>
  <c r="E239" i="4"/>
  <c r="D239" i="4"/>
  <c r="C239" i="4"/>
  <c r="B239" i="4"/>
  <c r="A239" i="4"/>
  <c r="M238" i="4"/>
  <c r="H238" i="4"/>
  <c r="J238" i="4" s="1"/>
  <c r="G238" i="4"/>
  <c r="F238" i="4"/>
  <c r="E238" i="4"/>
  <c r="D238" i="4"/>
  <c r="C238" i="4"/>
  <c r="B238" i="4"/>
  <c r="A238" i="4"/>
  <c r="M237" i="4"/>
  <c r="H237" i="4"/>
  <c r="J237" i="4" s="1"/>
  <c r="G237" i="4"/>
  <c r="F237" i="4"/>
  <c r="E237" i="4"/>
  <c r="D237" i="4"/>
  <c r="C237" i="4"/>
  <c r="B237" i="4"/>
  <c r="A237" i="4"/>
  <c r="M236" i="4"/>
  <c r="H236" i="4"/>
  <c r="J236" i="4" s="1"/>
  <c r="G236" i="4"/>
  <c r="F236" i="4"/>
  <c r="E236" i="4"/>
  <c r="D236" i="4"/>
  <c r="C236" i="4"/>
  <c r="B236" i="4"/>
  <c r="A236" i="4"/>
  <c r="M235" i="4"/>
  <c r="H235" i="4"/>
  <c r="J235" i="4" s="1"/>
  <c r="G235" i="4"/>
  <c r="F235" i="4"/>
  <c r="E235" i="4"/>
  <c r="D235" i="4"/>
  <c r="C235" i="4"/>
  <c r="B235" i="4"/>
  <c r="A235" i="4"/>
  <c r="M234" i="4"/>
  <c r="H234" i="4"/>
  <c r="J234" i="4" s="1"/>
  <c r="G234" i="4"/>
  <c r="F234" i="4"/>
  <c r="E234" i="4"/>
  <c r="D234" i="4"/>
  <c r="C234" i="4"/>
  <c r="B234" i="4"/>
  <c r="A234" i="4"/>
  <c r="M233" i="4"/>
  <c r="H233" i="4"/>
  <c r="J233" i="4" s="1"/>
  <c r="G233" i="4"/>
  <c r="F233" i="4"/>
  <c r="E233" i="4"/>
  <c r="D233" i="4"/>
  <c r="C233" i="4"/>
  <c r="B233" i="4"/>
  <c r="A233" i="4"/>
  <c r="M232" i="4"/>
  <c r="H232" i="4"/>
  <c r="J232" i="4" s="1"/>
  <c r="G232" i="4"/>
  <c r="F232" i="4"/>
  <c r="E232" i="4"/>
  <c r="D232" i="4"/>
  <c r="C232" i="4"/>
  <c r="B232" i="4"/>
  <c r="A232" i="4"/>
  <c r="M231" i="4"/>
  <c r="H231" i="4"/>
  <c r="J231" i="4" s="1"/>
  <c r="G231" i="4"/>
  <c r="F231" i="4"/>
  <c r="E231" i="4"/>
  <c r="D231" i="4"/>
  <c r="C231" i="4"/>
  <c r="B231" i="4"/>
  <c r="A231" i="4"/>
  <c r="M230" i="4"/>
  <c r="H230" i="4"/>
  <c r="J230" i="4" s="1"/>
  <c r="G230" i="4"/>
  <c r="F230" i="4"/>
  <c r="E230" i="4"/>
  <c r="D230" i="4"/>
  <c r="C230" i="4"/>
  <c r="B230" i="4"/>
  <c r="A230" i="4"/>
  <c r="M229" i="4"/>
  <c r="H229" i="4"/>
  <c r="J229" i="4" s="1"/>
  <c r="G229" i="4"/>
  <c r="F229" i="4"/>
  <c r="E229" i="4"/>
  <c r="D229" i="4"/>
  <c r="C229" i="4"/>
  <c r="B229" i="4"/>
  <c r="A229" i="4"/>
  <c r="M228" i="4"/>
  <c r="H228" i="4"/>
  <c r="J228" i="4" s="1"/>
  <c r="G228" i="4"/>
  <c r="F228" i="4"/>
  <c r="E228" i="4"/>
  <c r="D228" i="4"/>
  <c r="C228" i="4"/>
  <c r="B228" i="4"/>
  <c r="A228" i="4"/>
  <c r="M227" i="4"/>
  <c r="H227" i="4"/>
  <c r="J227" i="4" s="1"/>
  <c r="G227" i="4"/>
  <c r="F227" i="4"/>
  <c r="E227" i="4"/>
  <c r="D227" i="4"/>
  <c r="C227" i="4"/>
  <c r="B227" i="4"/>
  <c r="A227" i="4"/>
  <c r="M226" i="4"/>
  <c r="H226" i="4"/>
  <c r="J226" i="4" s="1"/>
  <c r="G226" i="4"/>
  <c r="F226" i="4"/>
  <c r="E226" i="4"/>
  <c r="D226" i="4"/>
  <c r="C226" i="4"/>
  <c r="B226" i="4"/>
  <c r="A226" i="4"/>
  <c r="M225" i="4"/>
  <c r="H225" i="4"/>
  <c r="J225" i="4" s="1"/>
  <c r="G225" i="4"/>
  <c r="F225" i="4"/>
  <c r="E225" i="4"/>
  <c r="D225" i="4"/>
  <c r="C225" i="4"/>
  <c r="B225" i="4"/>
  <c r="A225" i="4"/>
  <c r="M224" i="4"/>
  <c r="H224" i="4"/>
  <c r="J224" i="4" s="1"/>
  <c r="G224" i="4"/>
  <c r="F224" i="4"/>
  <c r="E224" i="4"/>
  <c r="D224" i="4"/>
  <c r="C224" i="4"/>
  <c r="B224" i="4"/>
  <c r="A224" i="4"/>
  <c r="M223" i="4"/>
  <c r="H223" i="4"/>
  <c r="J223" i="4" s="1"/>
  <c r="G223" i="4"/>
  <c r="F223" i="4"/>
  <c r="E223" i="4"/>
  <c r="D223" i="4"/>
  <c r="C223" i="4"/>
  <c r="B223" i="4"/>
  <c r="A223" i="4"/>
  <c r="M222" i="4"/>
  <c r="H222" i="4"/>
  <c r="J222" i="4" s="1"/>
  <c r="G222" i="4"/>
  <c r="F222" i="4"/>
  <c r="E222" i="4"/>
  <c r="D222" i="4"/>
  <c r="C222" i="4"/>
  <c r="B222" i="4"/>
  <c r="A222" i="4"/>
  <c r="M221" i="4"/>
  <c r="H221" i="4"/>
  <c r="J221" i="4" s="1"/>
  <c r="G221" i="4"/>
  <c r="F221" i="4"/>
  <c r="E221" i="4"/>
  <c r="D221" i="4"/>
  <c r="C221" i="4"/>
  <c r="B221" i="4"/>
  <c r="A221" i="4"/>
  <c r="M220" i="4"/>
  <c r="H220" i="4"/>
  <c r="J220" i="4" s="1"/>
  <c r="G220" i="4"/>
  <c r="F220" i="4"/>
  <c r="E220" i="4"/>
  <c r="D220" i="4"/>
  <c r="C220" i="4"/>
  <c r="B220" i="4"/>
  <c r="A220" i="4"/>
  <c r="M219" i="4"/>
  <c r="H219" i="4"/>
  <c r="J219" i="4" s="1"/>
  <c r="G219" i="4"/>
  <c r="F219" i="4"/>
  <c r="E219" i="4"/>
  <c r="D219" i="4"/>
  <c r="C219" i="4"/>
  <c r="B219" i="4"/>
  <c r="A219" i="4"/>
  <c r="M218" i="4"/>
  <c r="H218" i="4"/>
  <c r="J218" i="4" s="1"/>
  <c r="G218" i="4"/>
  <c r="F218" i="4"/>
  <c r="E218" i="4"/>
  <c r="D218" i="4"/>
  <c r="C218" i="4"/>
  <c r="B218" i="4"/>
  <c r="A218" i="4"/>
  <c r="M217" i="4"/>
  <c r="H217" i="4"/>
  <c r="J217" i="4" s="1"/>
  <c r="G217" i="4"/>
  <c r="F217" i="4"/>
  <c r="E217" i="4"/>
  <c r="D217" i="4"/>
  <c r="C217" i="4"/>
  <c r="B217" i="4"/>
  <c r="A217" i="4"/>
  <c r="M216" i="4"/>
  <c r="H216" i="4"/>
  <c r="J216" i="4" s="1"/>
  <c r="G216" i="4"/>
  <c r="F216" i="4"/>
  <c r="E216" i="4"/>
  <c r="D216" i="4"/>
  <c r="C216" i="4"/>
  <c r="B216" i="4"/>
  <c r="A216" i="4"/>
  <c r="M215" i="4"/>
  <c r="H215" i="4"/>
  <c r="J215" i="4" s="1"/>
  <c r="G215" i="4"/>
  <c r="F215" i="4"/>
  <c r="E215" i="4"/>
  <c r="D215" i="4"/>
  <c r="C215" i="4"/>
  <c r="B215" i="4"/>
  <c r="A215" i="4"/>
  <c r="M214" i="4"/>
  <c r="H214" i="4"/>
  <c r="J214" i="4" s="1"/>
  <c r="G214" i="4"/>
  <c r="F214" i="4"/>
  <c r="E214" i="4"/>
  <c r="D214" i="4"/>
  <c r="C214" i="4"/>
  <c r="B214" i="4"/>
  <c r="A214" i="4"/>
  <c r="M213" i="4"/>
  <c r="H213" i="4"/>
  <c r="J213" i="4" s="1"/>
  <c r="G213" i="4"/>
  <c r="F213" i="4"/>
  <c r="E213" i="4"/>
  <c r="D213" i="4"/>
  <c r="C213" i="4"/>
  <c r="B213" i="4"/>
  <c r="A213" i="4"/>
  <c r="M212" i="4"/>
  <c r="H212" i="4"/>
  <c r="J212" i="4" s="1"/>
  <c r="G212" i="4"/>
  <c r="F212" i="4"/>
  <c r="E212" i="4"/>
  <c r="D212" i="4"/>
  <c r="C212" i="4"/>
  <c r="B212" i="4"/>
  <c r="A212" i="4"/>
  <c r="M211" i="4"/>
  <c r="H211" i="4"/>
  <c r="J211" i="4" s="1"/>
  <c r="G211" i="4"/>
  <c r="F211" i="4"/>
  <c r="E211" i="4"/>
  <c r="D211" i="4"/>
  <c r="C211" i="4"/>
  <c r="B211" i="4"/>
  <c r="A211" i="4"/>
  <c r="M210" i="4"/>
  <c r="H210" i="4"/>
  <c r="J210" i="4" s="1"/>
  <c r="G210" i="4"/>
  <c r="F210" i="4"/>
  <c r="E210" i="4"/>
  <c r="D210" i="4"/>
  <c r="C210" i="4"/>
  <c r="B210" i="4"/>
  <c r="A210" i="4"/>
  <c r="M209" i="4"/>
  <c r="H209" i="4"/>
  <c r="J209" i="4" s="1"/>
  <c r="G209" i="4"/>
  <c r="F209" i="4"/>
  <c r="E209" i="4"/>
  <c r="D209" i="4"/>
  <c r="C209" i="4"/>
  <c r="B209" i="4"/>
  <c r="A209" i="4"/>
  <c r="M208" i="4"/>
  <c r="J208" i="4"/>
  <c r="H208" i="4"/>
  <c r="G208" i="4"/>
  <c r="F208" i="4"/>
  <c r="E208" i="4"/>
  <c r="D208" i="4"/>
  <c r="C208" i="4"/>
  <c r="B208" i="4"/>
  <c r="A208" i="4"/>
  <c r="M207" i="4"/>
  <c r="H207" i="4"/>
  <c r="J207" i="4" s="1"/>
  <c r="G207" i="4"/>
  <c r="F207" i="4"/>
  <c r="E207" i="4"/>
  <c r="D207" i="4"/>
  <c r="C207" i="4"/>
  <c r="B207" i="4"/>
  <c r="A207" i="4"/>
  <c r="M206" i="4"/>
  <c r="H206" i="4"/>
  <c r="J206" i="4" s="1"/>
  <c r="G206" i="4"/>
  <c r="F206" i="4"/>
  <c r="E206" i="4"/>
  <c r="D206" i="4"/>
  <c r="C206" i="4"/>
  <c r="B206" i="4"/>
  <c r="A206" i="4"/>
  <c r="M205" i="4"/>
  <c r="H205" i="4"/>
  <c r="J205" i="4" s="1"/>
  <c r="G205" i="4"/>
  <c r="F205" i="4"/>
  <c r="E205" i="4"/>
  <c r="D205" i="4"/>
  <c r="C205" i="4"/>
  <c r="B205" i="4"/>
  <c r="A205" i="4"/>
  <c r="M204" i="4"/>
  <c r="H204" i="4"/>
  <c r="J204" i="4" s="1"/>
  <c r="G204" i="4"/>
  <c r="F204" i="4"/>
  <c r="E204" i="4"/>
  <c r="D204" i="4"/>
  <c r="C204" i="4"/>
  <c r="B204" i="4"/>
  <c r="A204" i="4"/>
  <c r="M203" i="4"/>
  <c r="H203" i="4"/>
  <c r="J203" i="4" s="1"/>
  <c r="G203" i="4"/>
  <c r="F203" i="4"/>
  <c r="E203" i="4"/>
  <c r="D203" i="4"/>
  <c r="C203" i="4"/>
  <c r="B203" i="4"/>
  <c r="A203" i="4"/>
  <c r="M202" i="4"/>
  <c r="H202" i="4"/>
  <c r="J202" i="4" s="1"/>
  <c r="G202" i="4"/>
  <c r="F202" i="4"/>
  <c r="E202" i="4"/>
  <c r="D202" i="4"/>
  <c r="C202" i="4"/>
  <c r="B202" i="4"/>
  <c r="A202" i="4"/>
  <c r="M201" i="4"/>
  <c r="H201" i="4"/>
  <c r="J201" i="4" s="1"/>
  <c r="G201" i="4"/>
  <c r="F201" i="4"/>
  <c r="E201" i="4"/>
  <c r="D201" i="4"/>
  <c r="C201" i="4"/>
  <c r="B201" i="4"/>
  <c r="A201" i="4"/>
  <c r="M200" i="4"/>
  <c r="H200" i="4"/>
  <c r="J200" i="4" s="1"/>
  <c r="G200" i="4"/>
  <c r="F200" i="4"/>
  <c r="E200" i="4"/>
  <c r="D200" i="4"/>
  <c r="C200" i="4"/>
  <c r="B200" i="4"/>
  <c r="A200" i="4"/>
  <c r="M199" i="4"/>
  <c r="J199" i="4"/>
  <c r="H199" i="4"/>
  <c r="G199" i="4"/>
  <c r="F199" i="4"/>
  <c r="E199" i="4"/>
  <c r="D199" i="4"/>
  <c r="C199" i="4"/>
  <c r="B199" i="4"/>
  <c r="A199" i="4"/>
  <c r="M198" i="4"/>
  <c r="H198" i="4"/>
  <c r="J198" i="4" s="1"/>
  <c r="G198" i="4"/>
  <c r="F198" i="4"/>
  <c r="E198" i="4"/>
  <c r="D198" i="4"/>
  <c r="C198" i="4"/>
  <c r="B198" i="4"/>
  <c r="A198" i="4"/>
  <c r="M197" i="4"/>
  <c r="H197" i="4"/>
  <c r="J197" i="4" s="1"/>
  <c r="G197" i="4"/>
  <c r="F197" i="4"/>
  <c r="E197" i="4"/>
  <c r="D197" i="4"/>
  <c r="C197" i="4"/>
  <c r="B197" i="4"/>
  <c r="A197" i="4"/>
  <c r="M196" i="4"/>
  <c r="H196" i="4"/>
  <c r="J196" i="4" s="1"/>
  <c r="G196" i="4"/>
  <c r="F196" i="4"/>
  <c r="E196" i="4"/>
  <c r="D196" i="4"/>
  <c r="C196" i="4"/>
  <c r="B196" i="4"/>
  <c r="A196" i="4"/>
  <c r="M195" i="4"/>
  <c r="H195" i="4"/>
  <c r="J195" i="4" s="1"/>
  <c r="G195" i="4"/>
  <c r="F195" i="4"/>
  <c r="E195" i="4"/>
  <c r="D195" i="4"/>
  <c r="C195" i="4"/>
  <c r="B195" i="4"/>
  <c r="A195" i="4"/>
  <c r="M194" i="4"/>
  <c r="H194" i="4"/>
  <c r="J194" i="4" s="1"/>
  <c r="G194" i="4"/>
  <c r="F194" i="4"/>
  <c r="E194" i="4"/>
  <c r="D194" i="4"/>
  <c r="C194" i="4"/>
  <c r="B194" i="4"/>
  <c r="A194" i="4"/>
  <c r="M193" i="4"/>
  <c r="H193" i="4"/>
  <c r="J193" i="4" s="1"/>
  <c r="G193" i="4"/>
  <c r="F193" i="4"/>
  <c r="E193" i="4"/>
  <c r="D193" i="4"/>
  <c r="C193" i="4"/>
  <c r="B193" i="4"/>
  <c r="A193" i="4"/>
  <c r="M192" i="4"/>
  <c r="H192" i="4"/>
  <c r="J192" i="4" s="1"/>
  <c r="G192" i="4"/>
  <c r="F192" i="4"/>
  <c r="E192" i="4"/>
  <c r="D192" i="4"/>
  <c r="C192" i="4"/>
  <c r="B192" i="4"/>
  <c r="A192" i="4"/>
  <c r="M191" i="4"/>
  <c r="H191" i="4"/>
  <c r="J191" i="4" s="1"/>
  <c r="G191" i="4"/>
  <c r="F191" i="4"/>
  <c r="E191" i="4"/>
  <c r="D191" i="4"/>
  <c r="C191" i="4"/>
  <c r="B191" i="4"/>
  <c r="A191" i="4"/>
  <c r="M190" i="4"/>
  <c r="H190" i="4"/>
  <c r="J190" i="4" s="1"/>
  <c r="G190" i="4"/>
  <c r="F190" i="4"/>
  <c r="E190" i="4"/>
  <c r="D190" i="4"/>
  <c r="C190" i="4"/>
  <c r="B190" i="4"/>
  <c r="A190" i="4"/>
  <c r="M189" i="4"/>
  <c r="H189" i="4"/>
  <c r="J189" i="4" s="1"/>
  <c r="G189" i="4"/>
  <c r="F189" i="4"/>
  <c r="E189" i="4"/>
  <c r="D189" i="4"/>
  <c r="C189" i="4"/>
  <c r="B189" i="4"/>
  <c r="A189" i="4"/>
  <c r="M188" i="4"/>
  <c r="H188" i="4"/>
  <c r="J188" i="4" s="1"/>
  <c r="G188" i="4"/>
  <c r="F188" i="4"/>
  <c r="E188" i="4"/>
  <c r="D188" i="4"/>
  <c r="C188" i="4"/>
  <c r="B188" i="4"/>
  <c r="A188" i="4"/>
  <c r="M187" i="4"/>
  <c r="H187" i="4"/>
  <c r="J187" i="4" s="1"/>
  <c r="G187" i="4"/>
  <c r="F187" i="4"/>
  <c r="E187" i="4"/>
  <c r="D187" i="4"/>
  <c r="C187" i="4"/>
  <c r="B187" i="4"/>
  <c r="A187" i="4"/>
  <c r="M186" i="4"/>
  <c r="H186" i="4"/>
  <c r="J186" i="4" s="1"/>
  <c r="G186" i="4"/>
  <c r="F186" i="4"/>
  <c r="E186" i="4"/>
  <c r="D186" i="4"/>
  <c r="C186" i="4"/>
  <c r="B186" i="4"/>
  <c r="A186" i="4"/>
  <c r="M185" i="4"/>
  <c r="H185" i="4"/>
  <c r="J185" i="4" s="1"/>
  <c r="G185" i="4"/>
  <c r="F185" i="4"/>
  <c r="E185" i="4"/>
  <c r="D185" i="4"/>
  <c r="C185" i="4"/>
  <c r="B185" i="4"/>
  <c r="A185" i="4"/>
  <c r="M184" i="4"/>
  <c r="H184" i="4"/>
  <c r="J184" i="4" s="1"/>
  <c r="G184" i="4"/>
  <c r="F184" i="4"/>
  <c r="E184" i="4"/>
  <c r="D184" i="4"/>
  <c r="C184" i="4"/>
  <c r="B184" i="4"/>
  <c r="A184" i="4"/>
  <c r="M183" i="4"/>
  <c r="H183" i="4"/>
  <c r="J183" i="4" s="1"/>
  <c r="G183" i="4"/>
  <c r="F183" i="4"/>
  <c r="E183" i="4"/>
  <c r="D183" i="4"/>
  <c r="C183" i="4"/>
  <c r="B183" i="4"/>
  <c r="A183" i="4"/>
  <c r="M182" i="4"/>
  <c r="H182" i="4"/>
  <c r="J182" i="4" s="1"/>
  <c r="G182" i="4"/>
  <c r="F182" i="4"/>
  <c r="E182" i="4"/>
  <c r="D182" i="4"/>
  <c r="C182" i="4"/>
  <c r="B182" i="4"/>
  <c r="A182" i="4"/>
  <c r="M181" i="4"/>
  <c r="H181" i="4"/>
  <c r="J181" i="4" s="1"/>
  <c r="G181" i="4"/>
  <c r="F181" i="4"/>
  <c r="E181" i="4"/>
  <c r="D181" i="4"/>
  <c r="C181" i="4"/>
  <c r="B181" i="4"/>
  <c r="A181" i="4"/>
  <c r="M180" i="4"/>
  <c r="H180" i="4"/>
  <c r="J180" i="4" s="1"/>
  <c r="G180" i="4"/>
  <c r="F180" i="4"/>
  <c r="E180" i="4"/>
  <c r="D180" i="4"/>
  <c r="C180" i="4"/>
  <c r="B180" i="4"/>
  <c r="A180" i="4"/>
  <c r="M179" i="4"/>
  <c r="H179" i="4"/>
  <c r="J179" i="4" s="1"/>
  <c r="G179" i="4"/>
  <c r="F179" i="4"/>
  <c r="E179" i="4"/>
  <c r="D179" i="4"/>
  <c r="C179" i="4"/>
  <c r="B179" i="4"/>
  <c r="A179" i="4"/>
  <c r="M178" i="4"/>
  <c r="H178" i="4"/>
  <c r="J178" i="4" s="1"/>
  <c r="G178" i="4"/>
  <c r="F178" i="4"/>
  <c r="E178" i="4"/>
  <c r="D178" i="4"/>
  <c r="C178" i="4"/>
  <c r="B178" i="4"/>
  <c r="A178" i="4"/>
  <c r="M177" i="4"/>
  <c r="H177" i="4"/>
  <c r="J177" i="4" s="1"/>
  <c r="G177" i="4"/>
  <c r="F177" i="4"/>
  <c r="E177" i="4"/>
  <c r="D177" i="4"/>
  <c r="C177" i="4"/>
  <c r="B177" i="4"/>
  <c r="A177" i="4"/>
  <c r="M176" i="4"/>
  <c r="H176" i="4"/>
  <c r="J176" i="4" s="1"/>
  <c r="G176" i="4"/>
  <c r="F176" i="4"/>
  <c r="E176" i="4"/>
  <c r="D176" i="4"/>
  <c r="C176" i="4"/>
  <c r="B176" i="4"/>
  <c r="A176" i="4"/>
  <c r="M175" i="4"/>
  <c r="H175" i="4"/>
  <c r="J175" i="4" s="1"/>
  <c r="G175" i="4"/>
  <c r="F175" i="4"/>
  <c r="E175" i="4"/>
  <c r="D175" i="4"/>
  <c r="C175" i="4"/>
  <c r="B175" i="4"/>
  <c r="A175" i="4"/>
  <c r="M174" i="4"/>
  <c r="H174" i="4"/>
  <c r="J174" i="4" s="1"/>
  <c r="G174" i="4"/>
  <c r="F174" i="4"/>
  <c r="E174" i="4"/>
  <c r="D174" i="4"/>
  <c r="C174" i="4"/>
  <c r="B174" i="4"/>
  <c r="A174" i="4"/>
  <c r="M173" i="4"/>
  <c r="H173" i="4"/>
  <c r="J173" i="4" s="1"/>
  <c r="G173" i="4"/>
  <c r="F173" i="4"/>
  <c r="E173" i="4"/>
  <c r="D173" i="4"/>
  <c r="C173" i="4"/>
  <c r="B173" i="4"/>
  <c r="A173" i="4"/>
  <c r="M172" i="4"/>
  <c r="H172" i="4"/>
  <c r="J172" i="4" s="1"/>
  <c r="G172" i="4"/>
  <c r="F172" i="4"/>
  <c r="E172" i="4"/>
  <c r="D172" i="4"/>
  <c r="C172" i="4"/>
  <c r="B172" i="4"/>
  <c r="A172" i="4"/>
  <c r="M171" i="4"/>
  <c r="H171" i="4"/>
  <c r="J171" i="4" s="1"/>
  <c r="G171" i="4"/>
  <c r="F171" i="4"/>
  <c r="E171" i="4"/>
  <c r="D171" i="4"/>
  <c r="C171" i="4"/>
  <c r="B171" i="4"/>
  <c r="A171" i="4"/>
  <c r="M170" i="4"/>
  <c r="H170" i="4"/>
  <c r="J170" i="4" s="1"/>
  <c r="G170" i="4"/>
  <c r="F170" i="4"/>
  <c r="E170" i="4"/>
  <c r="D170" i="4"/>
  <c r="C170" i="4"/>
  <c r="B170" i="4"/>
  <c r="A170" i="4"/>
  <c r="M169" i="4"/>
  <c r="H169" i="4"/>
  <c r="J169" i="4" s="1"/>
  <c r="G169" i="4"/>
  <c r="F169" i="4"/>
  <c r="E169" i="4"/>
  <c r="D169" i="4"/>
  <c r="C169" i="4"/>
  <c r="B169" i="4"/>
  <c r="A169" i="4"/>
  <c r="M168" i="4"/>
  <c r="H168" i="4"/>
  <c r="J168" i="4" s="1"/>
  <c r="G168" i="4"/>
  <c r="F168" i="4"/>
  <c r="E168" i="4"/>
  <c r="D168" i="4"/>
  <c r="C168" i="4"/>
  <c r="B168" i="4"/>
  <c r="A168" i="4"/>
  <c r="M167" i="4"/>
  <c r="H167" i="4"/>
  <c r="J167" i="4" s="1"/>
  <c r="G167" i="4"/>
  <c r="F167" i="4"/>
  <c r="E167" i="4"/>
  <c r="D167" i="4"/>
  <c r="C167" i="4"/>
  <c r="B167" i="4"/>
  <c r="A167" i="4"/>
  <c r="M166" i="4"/>
  <c r="H166" i="4"/>
  <c r="J166" i="4" s="1"/>
  <c r="G166" i="4"/>
  <c r="F166" i="4"/>
  <c r="E166" i="4"/>
  <c r="D166" i="4"/>
  <c r="C166" i="4"/>
  <c r="B166" i="4"/>
  <c r="A166" i="4"/>
  <c r="M165" i="4"/>
  <c r="H165" i="4"/>
  <c r="J165" i="4" s="1"/>
  <c r="G165" i="4"/>
  <c r="F165" i="4"/>
  <c r="E165" i="4"/>
  <c r="D165" i="4"/>
  <c r="C165" i="4"/>
  <c r="B165" i="4"/>
  <c r="A165" i="4"/>
  <c r="M164" i="4"/>
  <c r="H164" i="4"/>
  <c r="J164" i="4" s="1"/>
  <c r="G164" i="4"/>
  <c r="F164" i="4"/>
  <c r="E164" i="4"/>
  <c r="D164" i="4"/>
  <c r="C164" i="4"/>
  <c r="B164" i="4"/>
  <c r="A164" i="4"/>
  <c r="M163" i="4"/>
  <c r="H163" i="4"/>
  <c r="J163" i="4" s="1"/>
  <c r="G163" i="4"/>
  <c r="F163" i="4"/>
  <c r="E163" i="4"/>
  <c r="D163" i="4"/>
  <c r="C163" i="4"/>
  <c r="B163" i="4"/>
  <c r="A163" i="4"/>
  <c r="M162" i="4"/>
  <c r="H162" i="4"/>
  <c r="J162" i="4" s="1"/>
  <c r="G162" i="4"/>
  <c r="F162" i="4"/>
  <c r="E162" i="4"/>
  <c r="D162" i="4"/>
  <c r="C162" i="4"/>
  <c r="B162" i="4"/>
  <c r="A162" i="4"/>
  <c r="M161" i="4"/>
  <c r="H161" i="4"/>
  <c r="J161" i="4" s="1"/>
  <c r="G161" i="4"/>
  <c r="F161" i="4"/>
  <c r="E161" i="4"/>
  <c r="D161" i="4"/>
  <c r="C161" i="4"/>
  <c r="B161" i="4"/>
  <c r="A161" i="4"/>
  <c r="M160" i="4"/>
  <c r="J160" i="4"/>
  <c r="H160" i="4"/>
  <c r="G160" i="4"/>
  <c r="F160" i="4"/>
  <c r="E160" i="4"/>
  <c r="D160" i="4"/>
  <c r="C160" i="4"/>
  <c r="B160" i="4"/>
  <c r="A160" i="4"/>
  <c r="M159" i="4"/>
  <c r="H159" i="4"/>
  <c r="J159" i="4" s="1"/>
  <c r="G159" i="4"/>
  <c r="F159" i="4"/>
  <c r="E159" i="4"/>
  <c r="D159" i="4"/>
  <c r="C159" i="4"/>
  <c r="B159" i="4"/>
  <c r="A159" i="4"/>
  <c r="M158" i="4"/>
  <c r="H158" i="4"/>
  <c r="J158" i="4" s="1"/>
  <c r="G158" i="4"/>
  <c r="F158" i="4"/>
  <c r="E158" i="4"/>
  <c r="D158" i="4"/>
  <c r="C158" i="4"/>
  <c r="B158" i="4"/>
  <c r="A158" i="4"/>
  <c r="M157" i="4"/>
  <c r="H157" i="4"/>
  <c r="J157" i="4" s="1"/>
  <c r="G157" i="4"/>
  <c r="F157" i="4"/>
  <c r="E157" i="4"/>
  <c r="D157" i="4"/>
  <c r="C157" i="4"/>
  <c r="B157" i="4"/>
  <c r="A157" i="4"/>
  <c r="M156" i="4"/>
  <c r="H156" i="4"/>
  <c r="J156" i="4" s="1"/>
  <c r="G156" i="4"/>
  <c r="F156" i="4"/>
  <c r="E156" i="4"/>
  <c r="D156" i="4"/>
  <c r="C156" i="4"/>
  <c r="B156" i="4"/>
  <c r="A156" i="4"/>
  <c r="M155" i="4"/>
  <c r="H155" i="4"/>
  <c r="J155" i="4" s="1"/>
  <c r="G155" i="4"/>
  <c r="F155" i="4"/>
  <c r="E155" i="4"/>
  <c r="D155" i="4"/>
  <c r="C155" i="4"/>
  <c r="B155" i="4"/>
  <c r="A155" i="4"/>
  <c r="M154" i="4"/>
  <c r="H154" i="4"/>
  <c r="J154" i="4" s="1"/>
  <c r="G154" i="4"/>
  <c r="F154" i="4"/>
  <c r="E154" i="4"/>
  <c r="D154" i="4"/>
  <c r="C154" i="4"/>
  <c r="B154" i="4"/>
  <c r="A154" i="4"/>
  <c r="M153" i="4"/>
  <c r="H153" i="4"/>
  <c r="J153" i="4" s="1"/>
  <c r="G153" i="4"/>
  <c r="F153" i="4"/>
  <c r="E153" i="4"/>
  <c r="D153" i="4"/>
  <c r="C153" i="4"/>
  <c r="B153" i="4"/>
  <c r="A153" i="4"/>
  <c r="M152" i="4"/>
  <c r="H152" i="4"/>
  <c r="J152" i="4" s="1"/>
  <c r="G152" i="4"/>
  <c r="F152" i="4"/>
  <c r="E152" i="4"/>
  <c r="D152" i="4"/>
  <c r="C152" i="4"/>
  <c r="B152" i="4"/>
  <c r="A152" i="4"/>
  <c r="M151" i="4"/>
  <c r="H151" i="4"/>
  <c r="J151" i="4" s="1"/>
  <c r="G151" i="4"/>
  <c r="F151" i="4"/>
  <c r="E151" i="4"/>
  <c r="D151" i="4"/>
  <c r="C151" i="4"/>
  <c r="B151" i="4"/>
  <c r="A151" i="4"/>
  <c r="M150" i="4"/>
  <c r="H150" i="4"/>
  <c r="J150" i="4" s="1"/>
  <c r="G150" i="4"/>
  <c r="F150" i="4"/>
  <c r="E150" i="4"/>
  <c r="D150" i="4"/>
  <c r="C150" i="4"/>
  <c r="B150" i="4"/>
  <c r="A150" i="4"/>
  <c r="M149" i="4"/>
  <c r="H149" i="4"/>
  <c r="J149" i="4" s="1"/>
  <c r="G149" i="4"/>
  <c r="F149" i="4"/>
  <c r="E149" i="4"/>
  <c r="D149" i="4"/>
  <c r="C149" i="4"/>
  <c r="B149" i="4"/>
  <c r="A149" i="4"/>
  <c r="M148" i="4"/>
  <c r="H148" i="4"/>
  <c r="J148" i="4" s="1"/>
  <c r="G148" i="4"/>
  <c r="F148" i="4"/>
  <c r="E148" i="4"/>
  <c r="D148" i="4"/>
  <c r="C148" i="4"/>
  <c r="B148" i="4"/>
  <c r="A148" i="4"/>
  <c r="M147" i="4"/>
  <c r="H147" i="4"/>
  <c r="J147" i="4" s="1"/>
  <c r="G147" i="4"/>
  <c r="F147" i="4"/>
  <c r="E147" i="4"/>
  <c r="D147" i="4"/>
  <c r="C147" i="4"/>
  <c r="B147" i="4"/>
  <c r="A147" i="4"/>
  <c r="M146" i="4"/>
  <c r="H146" i="4"/>
  <c r="J146" i="4" s="1"/>
  <c r="G146" i="4"/>
  <c r="F146" i="4"/>
  <c r="E146" i="4"/>
  <c r="D146" i="4"/>
  <c r="C146" i="4"/>
  <c r="B146" i="4"/>
  <c r="A146" i="4"/>
  <c r="M145" i="4"/>
  <c r="H145" i="4"/>
  <c r="J145" i="4" s="1"/>
  <c r="G145" i="4"/>
  <c r="F145" i="4"/>
  <c r="E145" i="4"/>
  <c r="D145" i="4"/>
  <c r="C145" i="4"/>
  <c r="B145" i="4"/>
  <c r="A145" i="4"/>
  <c r="M144" i="4"/>
  <c r="J144" i="4"/>
  <c r="H144" i="4"/>
  <c r="G144" i="4"/>
  <c r="F144" i="4"/>
  <c r="E144" i="4"/>
  <c r="D144" i="4"/>
  <c r="C144" i="4"/>
  <c r="B144" i="4"/>
  <c r="A144" i="4"/>
  <c r="M143" i="4"/>
  <c r="H143" i="4"/>
  <c r="J143" i="4" s="1"/>
  <c r="G143" i="4"/>
  <c r="F143" i="4"/>
  <c r="E143" i="4"/>
  <c r="D143" i="4"/>
  <c r="C143" i="4"/>
  <c r="B143" i="4"/>
  <c r="A143" i="4"/>
  <c r="M142" i="4"/>
  <c r="H142" i="4"/>
  <c r="J142" i="4" s="1"/>
  <c r="G142" i="4"/>
  <c r="F142" i="4"/>
  <c r="E142" i="4"/>
  <c r="D142" i="4"/>
  <c r="C142" i="4"/>
  <c r="B142" i="4"/>
  <c r="A142" i="4"/>
  <c r="M141" i="4"/>
  <c r="H141" i="4"/>
  <c r="J141" i="4" s="1"/>
  <c r="G141" i="4"/>
  <c r="F141" i="4"/>
  <c r="E141" i="4"/>
  <c r="D141" i="4"/>
  <c r="C141" i="4"/>
  <c r="B141" i="4"/>
  <c r="A141" i="4"/>
  <c r="M140" i="4"/>
  <c r="H140" i="4"/>
  <c r="J140" i="4" s="1"/>
  <c r="G140" i="4"/>
  <c r="F140" i="4"/>
  <c r="E140" i="4"/>
  <c r="D140" i="4"/>
  <c r="C140" i="4"/>
  <c r="B140" i="4"/>
  <c r="A140" i="4"/>
  <c r="M139" i="4"/>
  <c r="H139" i="4"/>
  <c r="J139" i="4" s="1"/>
  <c r="G139" i="4"/>
  <c r="F139" i="4"/>
  <c r="E139" i="4"/>
  <c r="D139" i="4"/>
  <c r="C139" i="4"/>
  <c r="B139" i="4"/>
  <c r="A139" i="4"/>
  <c r="M138" i="4"/>
  <c r="H138" i="4"/>
  <c r="J138" i="4" s="1"/>
  <c r="G138" i="4"/>
  <c r="F138" i="4"/>
  <c r="E138" i="4"/>
  <c r="D138" i="4"/>
  <c r="C138" i="4"/>
  <c r="B138" i="4"/>
  <c r="A138" i="4"/>
  <c r="M137" i="4"/>
  <c r="H137" i="4"/>
  <c r="J137" i="4" s="1"/>
  <c r="G137" i="4"/>
  <c r="F137" i="4"/>
  <c r="E137" i="4"/>
  <c r="D137" i="4"/>
  <c r="C137" i="4"/>
  <c r="B137" i="4"/>
  <c r="A137" i="4"/>
  <c r="M136" i="4"/>
  <c r="H136" i="4"/>
  <c r="J136" i="4" s="1"/>
  <c r="G136" i="4"/>
  <c r="F136" i="4"/>
  <c r="E136" i="4"/>
  <c r="D136" i="4"/>
  <c r="C136" i="4"/>
  <c r="B136" i="4"/>
  <c r="A136" i="4"/>
  <c r="M135" i="4"/>
  <c r="H135" i="4"/>
  <c r="J135" i="4" s="1"/>
  <c r="G135" i="4"/>
  <c r="F135" i="4"/>
  <c r="E135" i="4"/>
  <c r="D135" i="4"/>
  <c r="C135" i="4"/>
  <c r="B135" i="4"/>
  <c r="A135" i="4"/>
  <c r="M134" i="4"/>
  <c r="H134" i="4"/>
  <c r="J134" i="4" s="1"/>
  <c r="G134" i="4"/>
  <c r="F134" i="4"/>
  <c r="E134" i="4"/>
  <c r="D134" i="4"/>
  <c r="C134" i="4"/>
  <c r="B134" i="4"/>
  <c r="A134" i="4"/>
  <c r="M133" i="4"/>
  <c r="H133" i="4"/>
  <c r="J133" i="4" s="1"/>
  <c r="G133" i="4"/>
  <c r="F133" i="4"/>
  <c r="E133" i="4"/>
  <c r="D133" i="4"/>
  <c r="C133" i="4"/>
  <c r="B133" i="4"/>
  <c r="A133" i="4"/>
  <c r="M132" i="4"/>
  <c r="H132" i="4"/>
  <c r="J132" i="4" s="1"/>
  <c r="G132" i="4"/>
  <c r="F132" i="4"/>
  <c r="E132" i="4"/>
  <c r="D132" i="4"/>
  <c r="C132" i="4"/>
  <c r="B132" i="4"/>
  <c r="A132" i="4"/>
  <c r="M131" i="4"/>
  <c r="H131" i="4"/>
  <c r="J131" i="4" s="1"/>
  <c r="G131" i="4"/>
  <c r="F131" i="4"/>
  <c r="E131" i="4"/>
  <c r="D131" i="4"/>
  <c r="C131" i="4"/>
  <c r="B131" i="4"/>
  <c r="A131" i="4"/>
  <c r="M130" i="4"/>
  <c r="H130" i="4"/>
  <c r="J130" i="4" s="1"/>
  <c r="G130" i="4"/>
  <c r="F130" i="4"/>
  <c r="E130" i="4"/>
  <c r="D130" i="4"/>
  <c r="C130" i="4"/>
  <c r="B130" i="4"/>
  <c r="A130" i="4"/>
  <c r="M129" i="4"/>
  <c r="H129" i="4"/>
  <c r="J129" i="4" s="1"/>
  <c r="G129" i="4"/>
  <c r="F129" i="4"/>
  <c r="E129" i="4"/>
  <c r="D129" i="4"/>
  <c r="C129" i="4"/>
  <c r="B129" i="4"/>
  <c r="A129" i="4"/>
  <c r="M128" i="4"/>
  <c r="H128" i="4"/>
  <c r="J128" i="4" s="1"/>
  <c r="G128" i="4"/>
  <c r="F128" i="4"/>
  <c r="E128" i="4"/>
  <c r="D128" i="4"/>
  <c r="C128" i="4"/>
  <c r="B128" i="4"/>
  <c r="A128" i="4"/>
  <c r="M127" i="4"/>
  <c r="H127" i="4"/>
  <c r="J127" i="4" s="1"/>
  <c r="G127" i="4"/>
  <c r="F127" i="4"/>
  <c r="E127" i="4"/>
  <c r="D127" i="4"/>
  <c r="C127" i="4"/>
  <c r="B127" i="4"/>
  <c r="A127" i="4"/>
  <c r="M126" i="4"/>
  <c r="H126" i="4"/>
  <c r="J126" i="4" s="1"/>
  <c r="G126" i="4"/>
  <c r="F126" i="4"/>
  <c r="E126" i="4"/>
  <c r="D126" i="4"/>
  <c r="C126" i="4"/>
  <c r="B126" i="4"/>
  <c r="A126" i="4"/>
  <c r="M125" i="4"/>
  <c r="H125" i="4"/>
  <c r="J125" i="4" s="1"/>
  <c r="G125" i="4"/>
  <c r="F125" i="4"/>
  <c r="E125" i="4"/>
  <c r="D125" i="4"/>
  <c r="C125" i="4"/>
  <c r="B125" i="4"/>
  <c r="A125" i="4"/>
  <c r="M124" i="4"/>
  <c r="H124" i="4"/>
  <c r="J124" i="4" s="1"/>
  <c r="G124" i="4"/>
  <c r="F124" i="4"/>
  <c r="E124" i="4"/>
  <c r="D124" i="4"/>
  <c r="C124" i="4"/>
  <c r="B124" i="4"/>
  <c r="A124" i="4"/>
  <c r="M123" i="4"/>
  <c r="H123" i="4"/>
  <c r="J123" i="4" s="1"/>
  <c r="G123" i="4"/>
  <c r="F123" i="4"/>
  <c r="E123" i="4"/>
  <c r="D123" i="4"/>
  <c r="C123" i="4"/>
  <c r="B123" i="4"/>
  <c r="A123" i="4"/>
  <c r="M122" i="4"/>
  <c r="H122" i="4"/>
  <c r="J122" i="4" s="1"/>
  <c r="G122" i="4"/>
  <c r="F122" i="4"/>
  <c r="E122" i="4"/>
  <c r="D122" i="4"/>
  <c r="C122" i="4"/>
  <c r="B122" i="4"/>
  <c r="A122" i="4"/>
  <c r="M121" i="4"/>
  <c r="H121" i="4"/>
  <c r="J121" i="4" s="1"/>
  <c r="G121" i="4"/>
  <c r="F121" i="4"/>
  <c r="E121" i="4"/>
  <c r="D121" i="4"/>
  <c r="C121" i="4"/>
  <c r="B121" i="4"/>
  <c r="A121" i="4"/>
  <c r="M120" i="4"/>
  <c r="H120" i="4"/>
  <c r="J120" i="4" s="1"/>
  <c r="G120" i="4"/>
  <c r="F120" i="4"/>
  <c r="E120" i="4"/>
  <c r="D120" i="4"/>
  <c r="C120" i="4"/>
  <c r="B120" i="4"/>
  <c r="A120" i="4"/>
  <c r="M119" i="4"/>
  <c r="H119" i="4"/>
  <c r="J119" i="4" s="1"/>
  <c r="G119" i="4"/>
  <c r="F119" i="4"/>
  <c r="E119" i="4"/>
  <c r="D119" i="4"/>
  <c r="C119" i="4"/>
  <c r="B119" i="4"/>
  <c r="A119" i="4"/>
  <c r="M118" i="4"/>
  <c r="H118" i="4"/>
  <c r="J118" i="4" s="1"/>
  <c r="G118" i="4"/>
  <c r="F118" i="4"/>
  <c r="E118" i="4"/>
  <c r="D118" i="4"/>
  <c r="C118" i="4"/>
  <c r="B118" i="4"/>
  <c r="A118" i="4"/>
  <c r="M117" i="4"/>
  <c r="H117" i="4"/>
  <c r="J117" i="4" s="1"/>
  <c r="G117" i="4"/>
  <c r="F117" i="4"/>
  <c r="E117" i="4"/>
  <c r="D117" i="4"/>
  <c r="C117" i="4"/>
  <c r="B117" i="4"/>
  <c r="A117" i="4"/>
  <c r="M116" i="4"/>
  <c r="H116" i="4"/>
  <c r="J116" i="4" s="1"/>
  <c r="G116" i="4"/>
  <c r="F116" i="4"/>
  <c r="E116" i="4"/>
  <c r="D116" i="4"/>
  <c r="C116" i="4"/>
  <c r="B116" i="4"/>
  <c r="A116" i="4"/>
  <c r="M115" i="4"/>
  <c r="H115" i="4"/>
  <c r="J115" i="4" s="1"/>
  <c r="G115" i="4"/>
  <c r="F115" i="4"/>
  <c r="E115" i="4"/>
  <c r="D115" i="4"/>
  <c r="C115" i="4"/>
  <c r="B115" i="4"/>
  <c r="A115" i="4"/>
  <c r="M114" i="4"/>
  <c r="H114" i="4"/>
  <c r="J114" i="4" s="1"/>
  <c r="G114" i="4"/>
  <c r="F114" i="4"/>
  <c r="E114" i="4"/>
  <c r="D114" i="4"/>
  <c r="C114" i="4"/>
  <c r="B114" i="4"/>
  <c r="A114" i="4"/>
  <c r="M113" i="4"/>
  <c r="H113" i="4"/>
  <c r="J113" i="4" s="1"/>
  <c r="G113" i="4"/>
  <c r="F113" i="4"/>
  <c r="E113" i="4"/>
  <c r="D113" i="4"/>
  <c r="C113" i="4"/>
  <c r="B113" i="4"/>
  <c r="A113" i="4"/>
  <c r="M112" i="4"/>
  <c r="H112" i="4"/>
  <c r="J112" i="4" s="1"/>
  <c r="G112" i="4"/>
  <c r="F112" i="4"/>
  <c r="E112" i="4"/>
  <c r="D112" i="4"/>
  <c r="C112" i="4"/>
  <c r="B112" i="4"/>
  <c r="A112" i="4"/>
  <c r="M111" i="4"/>
  <c r="H111" i="4"/>
  <c r="J111" i="4" s="1"/>
  <c r="G111" i="4"/>
  <c r="F111" i="4"/>
  <c r="E111" i="4"/>
  <c r="D111" i="4"/>
  <c r="C111" i="4"/>
  <c r="B111" i="4"/>
  <c r="A111" i="4"/>
  <c r="M110" i="4"/>
  <c r="H110" i="4"/>
  <c r="J110" i="4" s="1"/>
  <c r="G110" i="4"/>
  <c r="F110" i="4"/>
  <c r="E110" i="4"/>
  <c r="D110" i="4"/>
  <c r="C110" i="4"/>
  <c r="B110" i="4"/>
  <c r="A110" i="4"/>
  <c r="M109" i="4"/>
  <c r="H109" i="4"/>
  <c r="J109" i="4" s="1"/>
  <c r="G109" i="4"/>
  <c r="F109" i="4"/>
  <c r="E109" i="4"/>
  <c r="D109" i="4"/>
  <c r="C109" i="4"/>
  <c r="B109" i="4"/>
  <c r="A109" i="4"/>
  <c r="M108" i="4"/>
  <c r="H108" i="4"/>
  <c r="J108" i="4" s="1"/>
  <c r="G108" i="4"/>
  <c r="F108" i="4"/>
  <c r="E108" i="4"/>
  <c r="D108" i="4"/>
  <c r="C108" i="4"/>
  <c r="B108" i="4"/>
  <c r="A108" i="4"/>
  <c r="M107" i="4"/>
  <c r="J107" i="4"/>
  <c r="H107" i="4"/>
  <c r="G107" i="4"/>
  <c r="F107" i="4"/>
  <c r="E107" i="4"/>
  <c r="D107" i="4"/>
  <c r="C107" i="4"/>
  <c r="B107" i="4"/>
  <c r="A107" i="4"/>
  <c r="M106" i="4"/>
  <c r="H106" i="4"/>
  <c r="J106" i="4" s="1"/>
  <c r="G106" i="4"/>
  <c r="F106" i="4"/>
  <c r="E106" i="4"/>
  <c r="D106" i="4"/>
  <c r="C106" i="4"/>
  <c r="B106" i="4"/>
  <c r="A106" i="4"/>
  <c r="M105" i="4"/>
  <c r="H105" i="4"/>
  <c r="G105" i="4"/>
  <c r="F105" i="4"/>
  <c r="E105" i="4"/>
  <c r="D105" i="4"/>
  <c r="C105" i="4"/>
  <c r="B105" i="4"/>
  <c r="A105" i="4"/>
  <c r="M104" i="4"/>
  <c r="H104" i="4"/>
  <c r="J104" i="4" s="1"/>
  <c r="G104" i="4"/>
  <c r="F104" i="4"/>
  <c r="E104" i="4"/>
  <c r="D104" i="4"/>
  <c r="C104" i="4"/>
  <c r="B104" i="4"/>
  <c r="A104" i="4"/>
  <c r="M103" i="4"/>
  <c r="H103" i="4"/>
  <c r="J103" i="4" s="1"/>
  <c r="G103" i="4"/>
  <c r="F103" i="4"/>
  <c r="E103" i="4"/>
  <c r="D103" i="4"/>
  <c r="C103" i="4"/>
  <c r="B103" i="4"/>
  <c r="A103" i="4"/>
  <c r="M102" i="4"/>
  <c r="H102" i="4"/>
  <c r="G102" i="4"/>
  <c r="F102" i="4"/>
  <c r="E102" i="4"/>
  <c r="D102" i="4"/>
  <c r="C102" i="4"/>
  <c r="B102" i="4"/>
  <c r="A102" i="4"/>
  <c r="M101" i="4"/>
  <c r="H101" i="4"/>
  <c r="J101" i="4" s="1"/>
  <c r="G101" i="4"/>
  <c r="F101" i="4"/>
  <c r="E101" i="4"/>
  <c r="D101" i="4"/>
  <c r="C101" i="4"/>
  <c r="B101" i="4"/>
  <c r="A101" i="4"/>
  <c r="M100" i="4"/>
  <c r="H100" i="4"/>
  <c r="G100" i="4"/>
  <c r="F100" i="4"/>
  <c r="E100" i="4"/>
  <c r="D100" i="4"/>
  <c r="C100" i="4"/>
  <c r="B100" i="4"/>
  <c r="A100" i="4"/>
  <c r="M99" i="4"/>
  <c r="H99" i="4"/>
  <c r="J99" i="4" s="1"/>
  <c r="G99" i="4"/>
  <c r="F99" i="4"/>
  <c r="E99" i="4"/>
  <c r="D99" i="4"/>
  <c r="C99" i="4"/>
  <c r="B99" i="4"/>
  <c r="A99" i="4"/>
  <c r="M98" i="4"/>
  <c r="H98" i="4"/>
  <c r="G98" i="4"/>
  <c r="F98" i="4"/>
  <c r="E98" i="4"/>
  <c r="D98" i="4"/>
  <c r="C98" i="4"/>
  <c r="B98" i="4"/>
  <c r="A98" i="4"/>
  <c r="M97" i="4"/>
  <c r="H97" i="4"/>
  <c r="G97" i="4"/>
  <c r="F97" i="4"/>
  <c r="E97" i="4"/>
  <c r="D97" i="4"/>
  <c r="C97" i="4"/>
  <c r="B97" i="4"/>
  <c r="A97" i="4"/>
  <c r="M96" i="4"/>
  <c r="H96" i="4"/>
  <c r="J96" i="4" s="1"/>
  <c r="G96" i="4"/>
  <c r="F96" i="4"/>
  <c r="E96" i="4"/>
  <c r="D96" i="4"/>
  <c r="C96" i="4"/>
  <c r="B96" i="4"/>
  <c r="A96" i="4"/>
  <c r="M95" i="4"/>
  <c r="H95" i="4"/>
  <c r="J95" i="4" s="1"/>
  <c r="G95" i="4"/>
  <c r="F95" i="4"/>
  <c r="E95" i="4"/>
  <c r="D95" i="4"/>
  <c r="C95" i="4"/>
  <c r="B95" i="4"/>
  <c r="A95" i="4"/>
  <c r="M94" i="4"/>
  <c r="H94" i="4"/>
  <c r="J94" i="4" s="1"/>
  <c r="G94" i="4"/>
  <c r="F94" i="4"/>
  <c r="E94" i="4"/>
  <c r="D94" i="4"/>
  <c r="C94" i="4"/>
  <c r="B94" i="4"/>
  <c r="A94" i="4"/>
  <c r="M93" i="4"/>
  <c r="H93" i="4"/>
  <c r="G93" i="4"/>
  <c r="F93" i="4"/>
  <c r="E93" i="4"/>
  <c r="D93" i="4"/>
  <c r="C93" i="4"/>
  <c r="B93" i="4"/>
  <c r="A93" i="4"/>
  <c r="M92" i="4"/>
  <c r="H92" i="4"/>
  <c r="G92" i="4"/>
  <c r="F92" i="4"/>
  <c r="E92" i="4"/>
  <c r="D92" i="4"/>
  <c r="C92" i="4"/>
  <c r="B92" i="4"/>
  <c r="A92" i="4"/>
  <c r="M91" i="4"/>
  <c r="H91" i="4"/>
  <c r="J91" i="4" s="1"/>
  <c r="G91" i="4"/>
  <c r="F91" i="4"/>
  <c r="E91" i="4"/>
  <c r="D91" i="4"/>
  <c r="C91" i="4"/>
  <c r="B91" i="4"/>
  <c r="A91" i="4"/>
  <c r="M90" i="4"/>
  <c r="H90" i="4"/>
  <c r="G90" i="4"/>
  <c r="F90" i="4"/>
  <c r="E90" i="4"/>
  <c r="D90" i="4"/>
  <c r="C90" i="4"/>
  <c r="B90" i="4"/>
  <c r="A90" i="4"/>
  <c r="M89" i="4"/>
  <c r="H89" i="4"/>
  <c r="G89" i="4"/>
  <c r="F89" i="4"/>
  <c r="E89" i="4"/>
  <c r="D89" i="4"/>
  <c r="C89" i="4"/>
  <c r="B89" i="4"/>
  <c r="A89" i="4"/>
  <c r="M88" i="4"/>
  <c r="H88" i="4"/>
  <c r="G88" i="4"/>
  <c r="F88" i="4"/>
  <c r="E88" i="4"/>
  <c r="D88" i="4"/>
  <c r="C88" i="4"/>
  <c r="B88" i="4"/>
  <c r="A88" i="4"/>
  <c r="M87" i="4"/>
  <c r="H87" i="4"/>
  <c r="G87" i="4"/>
  <c r="F87" i="4"/>
  <c r="E87" i="4"/>
  <c r="D87" i="4"/>
  <c r="C87" i="4"/>
  <c r="B87" i="4"/>
  <c r="A87" i="4"/>
  <c r="M86" i="4"/>
  <c r="H86" i="4"/>
  <c r="J86" i="4" s="1"/>
  <c r="G86" i="4"/>
  <c r="F86" i="4"/>
  <c r="E86" i="4"/>
  <c r="D86" i="4"/>
  <c r="C86" i="4"/>
  <c r="B86" i="4"/>
  <c r="A86" i="4"/>
  <c r="M85" i="4"/>
  <c r="H85" i="4"/>
  <c r="G85" i="4"/>
  <c r="F85" i="4"/>
  <c r="E85" i="4"/>
  <c r="D85" i="4"/>
  <c r="C85" i="4"/>
  <c r="B85" i="4"/>
  <c r="A85" i="4"/>
  <c r="M84" i="4"/>
  <c r="H84" i="4"/>
  <c r="J84" i="4" s="1"/>
  <c r="G84" i="4"/>
  <c r="F84" i="4"/>
  <c r="E84" i="4"/>
  <c r="D84" i="4"/>
  <c r="C84" i="4"/>
  <c r="B84" i="4"/>
  <c r="A84" i="4"/>
  <c r="M83" i="4"/>
  <c r="H83" i="4"/>
  <c r="J83" i="4" s="1"/>
  <c r="G83" i="4"/>
  <c r="F83" i="4"/>
  <c r="E83" i="4"/>
  <c r="D83" i="4"/>
  <c r="C83" i="4"/>
  <c r="B83" i="4"/>
  <c r="A83" i="4"/>
  <c r="M82" i="4"/>
  <c r="H82" i="4"/>
  <c r="J82" i="4" s="1"/>
  <c r="G82" i="4"/>
  <c r="F82" i="4"/>
  <c r="E82" i="4"/>
  <c r="D82" i="4"/>
  <c r="C82" i="4"/>
  <c r="B82" i="4"/>
  <c r="A82" i="4"/>
  <c r="M81" i="4"/>
  <c r="H81" i="4"/>
  <c r="G81" i="4"/>
  <c r="F81" i="4"/>
  <c r="E81" i="4"/>
  <c r="D81" i="4"/>
  <c r="C81" i="4"/>
  <c r="B81" i="4"/>
  <c r="A81" i="4"/>
  <c r="M80" i="4"/>
  <c r="H80" i="4"/>
  <c r="G80" i="4"/>
  <c r="F80" i="4"/>
  <c r="E80" i="4"/>
  <c r="D80" i="4"/>
  <c r="C80" i="4"/>
  <c r="B80" i="4"/>
  <c r="A80" i="4"/>
  <c r="M79" i="4"/>
  <c r="H79" i="4"/>
  <c r="J79" i="4" s="1"/>
  <c r="G79" i="4"/>
  <c r="F79" i="4"/>
  <c r="E79" i="4"/>
  <c r="D79" i="4"/>
  <c r="C79" i="4"/>
  <c r="B79" i="4"/>
  <c r="A79" i="4"/>
  <c r="M78" i="4"/>
  <c r="H78" i="4"/>
  <c r="G78" i="4"/>
  <c r="F78" i="4"/>
  <c r="E78" i="4"/>
  <c r="D78" i="4"/>
  <c r="C78" i="4"/>
  <c r="B78" i="4"/>
  <c r="A78" i="4"/>
  <c r="M77" i="4"/>
  <c r="H77" i="4"/>
  <c r="G77" i="4"/>
  <c r="F77" i="4"/>
  <c r="E77" i="4"/>
  <c r="D77" i="4"/>
  <c r="C77" i="4"/>
  <c r="B77" i="4"/>
  <c r="A77" i="4"/>
  <c r="M76" i="4"/>
  <c r="H76" i="4"/>
  <c r="G76" i="4"/>
  <c r="F76" i="4"/>
  <c r="E76" i="4"/>
  <c r="D76" i="4"/>
  <c r="C76" i="4"/>
  <c r="B76" i="4"/>
  <c r="A76" i="4"/>
  <c r="M75" i="4"/>
  <c r="H75" i="4"/>
  <c r="G75" i="4"/>
  <c r="F75" i="4"/>
  <c r="E75" i="4"/>
  <c r="D75" i="4"/>
  <c r="C75" i="4"/>
  <c r="B75" i="4"/>
  <c r="A75" i="4"/>
  <c r="M74" i="4"/>
  <c r="H74" i="4"/>
  <c r="J74" i="4" s="1"/>
  <c r="G74" i="4"/>
  <c r="F74" i="4"/>
  <c r="E74" i="4"/>
  <c r="D74" i="4"/>
  <c r="C74" i="4"/>
  <c r="B74" i="4"/>
  <c r="A74" i="4"/>
  <c r="M73" i="4"/>
  <c r="H73" i="4"/>
  <c r="G73" i="4"/>
  <c r="F73" i="4"/>
  <c r="E73" i="4"/>
  <c r="D73" i="4"/>
  <c r="C73" i="4"/>
  <c r="B73" i="4"/>
  <c r="A73" i="4"/>
  <c r="M72" i="4"/>
  <c r="J72" i="4"/>
  <c r="H72" i="4"/>
  <c r="G72" i="4"/>
  <c r="F72" i="4"/>
  <c r="E72" i="4"/>
  <c r="D72" i="4"/>
  <c r="C72" i="4"/>
  <c r="B72" i="4"/>
  <c r="A72" i="4"/>
  <c r="M71" i="4"/>
  <c r="H71" i="4"/>
  <c r="G71" i="4"/>
  <c r="F71" i="4"/>
  <c r="E71" i="4"/>
  <c r="D71" i="4"/>
  <c r="C71" i="4"/>
  <c r="B71" i="4"/>
  <c r="A71" i="4"/>
  <c r="M70" i="4"/>
  <c r="H70" i="4"/>
  <c r="J70" i="4" s="1"/>
  <c r="G70" i="4"/>
  <c r="F70" i="4"/>
  <c r="E70" i="4"/>
  <c r="D70" i="4"/>
  <c r="C70" i="4"/>
  <c r="B70" i="4"/>
  <c r="A70" i="4"/>
  <c r="M69" i="4"/>
  <c r="H69" i="4"/>
  <c r="G69" i="4"/>
  <c r="F69" i="4"/>
  <c r="E69" i="4"/>
  <c r="D69" i="4"/>
  <c r="C69" i="4"/>
  <c r="B69" i="4"/>
  <c r="A69" i="4"/>
  <c r="M68" i="4"/>
  <c r="H68" i="4"/>
  <c r="G68" i="4"/>
  <c r="F68" i="4"/>
  <c r="E68" i="4"/>
  <c r="D68" i="4"/>
  <c r="C68" i="4"/>
  <c r="B68" i="4"/>
  <c r="A68" i="4"/>
  <c r="M67" i="4"/>
  <c r="J67" i="4"/>
  <c r="H67" i="4"/>
  <c r="G67" i="4"/>
  <c r="F67" i="4"/>
  <c r="E67" i="4"/>
  <c r="D67" i="4"/>
  <c r="C67" i="4"/>
  <c r="B67" i="4"/>
  <c r="A67" i="4"/>
  <c r="M66" i="4"/>
  <c r="H66" i="4"/>
  <c r="G66" i="4"/>
  <c r="F66" i="4"/>
  <c r="E66" i="4"/>
  <c r="D66" i="4"/>
  <c r="C66" i="4"/>
  <c r="B66" i="4"/>
  <c r="A66" i="4"/>
  <c r="M65" i="4"/>
  <c r="H65" i="4"/>
  <c r="G65" i="4"/>
  <c r="F65" i="4"/>
  <c r="E65" i="4"/>
  <c r="D65" i="4"/>
  <c r="C65" i="4"/>
  <c r="B65" i="4"/>
  <c r="A65" i="4"/>
  <c r="M64" i="4"/>
  <c r="H64" i="4"/>
  <c r="G64" i="4"/>
  <c r="F64" i="4"/>
  <c r="E64" i="4"/>
  <c r="D64" i="4"/>
  <c r="C64" i="4"/>
  <c r="B64" i="4"/>
  <c r="A64" i="4"/>
  <c r="M63" i="4"/>
  <c r="H63" i="4"/>
  <c r="G63" i="4"/>
  <c r="F63" i="4"/>
  <c r="E63" i="4"/>
  <c r="D63" i="4"/>
  <c r="C63" i="4"/>
  <c r="B63" i="4"/>
  <c r="A63" i="4"/>
  <c r="M62" i="4"/>
  <c r="H62" i="4"/>
  <c r="J62" i="4" s="1"/>
  <c r="G62" i="4"/>
  <c r="F62" i="4"/>
  <c r="E62" i="4"/>
  <c r="D62" i="4"/>
  <c r="C62" i="4"/>
  <c r="B62" i="4"/>
  <c r="A62" i="4"/>
  <c r="M61" i="4"/>
  <c r="H61" i="4"/>
  <c r="G61" i="4"/>
  <c r="F61" i="4"/>
  <c r="E61" i="4"/>
  <c r="D61" i="4"/>
  <c r="C61" i="4"/>
  <c r="B61" i="4"/>
  <c r="A61" i="4"/>
  <c r="M60" i="4"/>
  <c r="H60" i="4"/>
  <c r="J60" i="4" s="1"/>
  <c r="G60" i="4"/>
  <c r="F60" i="4"/>
  <c r="E60" i="4"/>
  <c r="D60" i="4"/>
  <c r="C60" i="4"/>
  <c r="B60" i="4"/>
  <c r="A60" i="4"/>
  <c r="M59" i="4"/>
  <c r="H59" i="4"/>
  <c r="G59" i="4"/>
  <c r="F59" i="4"/>
  <c r="E59" i="4"/>
  <c r="D59" i="4"/>
  <c r="C59" i="4"/>
  <c r="B59" i="4"/>
  <c r="A59" i="4"/>
  <c r="M58" i="4"/>
  <c r="H58" i="4"/>
  <c r="J58" i="4" s="1"/>
  <c r="G58" i="4"/>
  <c r="F58" i="4"/>
  <c r="E58" i="4"/>
  <c r="D58" i="4"/>
  <c r="C58" i="4"/>
  <c r="B58" i="4"/>
  <c r="A58" i="4"/>
  <c r="M57" i="4"/>
  <c r="H57" i="4"/>
  <c r="G57" i="4"/>
  <c r="F57" i="4"/>
  <c r="E57" i="4"/>
  <c r="D57" i="4"/>
  <c r="C57" i="4"/>
  <c r="B57" i="4"/>
  <c r="A57" i="4"/>
  <c r="M56" i="4"/>
  <c r="H56" i="4"/>
  <c r="J56" i="4" s="1"/>
  <c r="G56" i="4"/>
  <c r="F56" i="4"/>
  <c r="E56" i="4"/>
  <c r="D56" i="4"/>
  <c r="C56" i="4"/>
  <c r="B56" i="4"/>
  <c r="A56" i="4"/>
  <c r="M55" i="4"/>
  <c r="H55" i="4"/>
  <c r="J55" i="4" s="1"/>
  <c r="G55" i="4"/>
  <c r="F55" i="4"/>
  <c r="E55" i="4"/>
  <c r="D55" i="4"/>
  <c r="C55" i="4"/>
  <c r="B55" i="4"/>
  <c r="A55" i="4"/>
  <c r="M54" i="4"/>
  <c r="H54" i="4"/>
  <c r="J54" i="4" s="1"/>
  <c r="G54" i="4"/>
  <c r="F54" i="4"/>
  <c r="E54" i="4"/>
  <c r="D54" i="4"/>
  <c r="C54" i="4"/>
  <c r="B54" i="4"/>
  <c r="A54" i="4"/>
  <c r="M53" i="4"/>
  <c r="H53" i="4"/>
  <c r="J53" i="4" s="1"/>
  <c r="G53" i="4"/>
  <c r="F53" i="4"/>
  <c r="E53" i="4"/>
  <c r="D53" i="4"/>
  <c r="C53" i="4"/>
  <c r="B53" i="4"/>
  <c r="A53" i="4"/>
  <c r="M52" i="4"/>
  <c r="H52" i="4"/>
  <c r="G52" i="4"/>
  <c r="F52" i="4"/>
  <c r="E52" i="4"/>
  <c r="D52" i="4"/>
  <c r="C52" i="4"/>
  <c r="B52" i="4"/>
  <c r="A52" i="4"/>
  <c r="M51" i="4"/>
  <c r="H51" i="4"/>
  <c r="G51" i="4"/>
  <c r="F51" i="4"/>
  <c r="E51" i="4"/>
  <c r="D51" i="4"/>
  <c r="C51" i="4"/>
  <c r="B51" i="4"/>
  <c r="A51" i="4"/>
  <c r="M50" i="4"/>
  <c r="H50" i="4"/>
  <c r="J50" i="4" s="1"/>
  <c r="G50" i="4"/>
  <c r="F50" i="4"/>
  <c r="E50" i="4"/>
  <c r="D50" i="4"/>
  <c r="C50" i="4"/>
  <c r="B50" i="4"/>
  <c r="A50" i="4"/>
  <c r="M49" i="4"/>
  <c r="H49" i="4"/>
  <c r="G49" i="4"/>
  <c r="F49" i="4"/>
  <c r="E49" i="4"/>
  <c r="D49" i="4"/>
  <c r="C49" i="4"/>
  <c r="B49" i="4"/>
  <c r="A49" i="4"/>
  <c r="M48" i="4"/>
  <c r="H48" i="4"/>
  <c r="G48" i="4"/>
  <c r="F48" i="4"/>
  <c r="E48" i="4"/>
  <c r="D48" i="4"/>
  <c r="C48" i="4"/>
  <c r="B48" i="4"/>
  <c r="A48" i="4"/>
  <c r="M47" i="4"/>
  <c r="H47" i="4"/>
  <c r="G47" i="4"/>
  <c r="F47" i="4"/>
  <c r="E47" i="4"/>
  <c r="D47" i="4"/>
  <c r="C47" i="4"/>
  <c r="B47" i="4"/>
  <c r="A47" i="4"/>
  <c r="M46" i="4"/>
  <c r="H46" i="4"/>
  <c r="J46" i="4" s="1"/>
  <c r="G46" i="4"/>
  <c r="F46" i="4"/>
  <c r="E46" i="4"/>
  <c r="D46" i="4"/>
  <c r="C46" i="4"/>
  <c r="B46" i="4"/>
  <c r="A46" i="4"/>
  <c r="M45" i="4"/>
  <c r="H45" i="4"/>
  <c r="J45" i="4" s="1"/>
  <c r="G45" i="4"/>
  <c r="F45" i="4"/>
  <c r="E45" i="4"/>
  <c r="D45" i="4"/>
  <c r="C45" i="4"/>
  <c r="B45" i="4"/>
  <c r="A45" i="4"/>
  <c r="M44" i="4"/>
  <c r="H44" i="4"/>
  <c r="G44" i="4"/>
  <c r="F44" i="4"/>
  <c r="E44" i="4"/>
  <c r="D44" i="4"/>
  <c r="C44" i="4"/>
  <c r="B44" i="4"/>
  <c r="A44" i="4"/>
  <c r="M43" i="4"/>
  <c r="H43" i="4"/>
  <c r="J43" i="4" s="1"/>
  <c r="G43" i="4"/>
  <c r="F43" i="4"/>
  <c r="E43" i="4"/>
  <c r="D43" i="4"/>
  <c r="C43" i="4"/>
  <c r="B43" i="4"/>
  <c r="A43" i="4"/>
  <c r="M42" i="4"/>
  <c r="H42" i="4"/>
  <c r="G42" i="4"/>
  <c r="F42" i="4"/>
  <c r="E42" i="4"/>
  <c r="D42" i="4"/>
  <c r="C42" i="4"/>
  <c r="B42" i="4"/>
  <c r="A42" i="4"/>
  <c r="M41" i="4"/>
  <c r="H41" i="4"/>
  <c r="G41" i="4"/>
  <c r="F41" i="4"/>
  <c r="E41" i="4"/>
  <c r="D41" i="4"/>
  <c r="C41" i="4"/>
  <c r="B41" i="4"/>
  <c r="A41" i="4"/>
  <c r="M40" i="4"/>
  <c r="H40" i="4"/>
  <c r="G40" i="4"/>
  <c r="F40" i="4"/>
  <c r="E40" i="4"/>
  <c r="D40" i="4"/>
  <c r="C40" i="4"/>
  <c r="B40" i="4"/>
  <c r="A40" i="4"/>
  <c r="M39" i="4"/>
  <c r="H39" i="4"/>
  <c r="G39" i="4"/>
  <c r="F39" i="4"/>
  <c r="E39" i="4"/>
  <c r="D39" i="4"/>
  <c r="C39" i="4"/>
  <c r="B39" i="4"/>
  <c r="A39" i="4"/>
  <c r="M38" i="4"/>
  <c r="H38" i="4"/>
  <c r="J38" i="4" s="1"/>
  <c r="G38" i="4"/>
  <c r="F38" i="4"/>
  <c r="E38" i="4"/>
  <c r="D38" i="4"/>
  <c r="C38" i="4"/>
  <c r="B38" i="4"/>
  <c r="A38" i="4"/>
  <c r="M37" i="4"/>
  <c r="H37" i="4"/>
  <c r="J37" i="4" s="1"/>
  <c r="G37" i="4"/>
  <c r="F37" i="4"/>
  <c r="E37" i="4"/>
  <c r="D37" i="4"/>
  <c r="C37" i="4"/>
  <c r="B37" i="4"/>
  <c r="A37" i="4"/>
  <c r="M36" i="4"/>
  <c r="H36" i="4"/>
  <c r="G36" i="4"/>
  <c r="F36" i="4"/>
  <c r="E36" i="4"/>
  <c r="D36" i="4"/>
  <c r="C36" i="4"/>
  <c r="B36" i="4"/>
  <c r="A36" i="4"/>
  <c r="M35" i="4"/>
  <c r="H35" i="4"/>
  <c r="G35" i="4"/>
  <c r="F35" i="4"/>
  <c r="E35" i="4"/>
  <c r="D35" i="4"/>
  <c r="C35" i="4"/>
  <c r="B35" i="4"/>
  <c r="A35" i="4"/>
  <c r="M34" i="4"/>
  <c r="H34" i="4"/>
  <c r="G34" i="4"/>
  <c r="F34" i="4"/>
  <c r="E34" i="4"/>
  <c r="D34" i="4"/>
  <c r="C34" i="4"/>
  <c r="B34" i="4"/>
  <c r="A34" i="4"/>
  <c r="M33" i="4"/>
  <c r="H33" i="4"/>
  <c r="G33" i="4"/>
  <c r="F33" i="4"/>
  <c r="E33" i="4"/>
  <c r="D33" i="4"/>
  <c r="C33" i="4"/>
  <c r="B33" i="4"/>
  <c r="A33" i="4"/>
  <c r="M32" i="4"/>
  <c r="H32" i="4"/>
  <c r="G32" i="4"/>
  <c r="F32" i="4"/>
  <c r="E32" i="4"/>
  <c r="D32" i="4"/>
  <c r="C32" i="4"/>
  <c r="J32" i="4" s="1"/>
  <c r="B32" i="4"/>
  <c r="A32" i="4"/>
  <c r="M31" i="4"/>
  <c r="H31" i="4"/>
  <c r="J31" i="4" s="1"/>
  <c r="G31" i="4"/>
  <c r="F31" i="4"/>
  <c r="E31" i="4"/>
  <c r="D31" i="4"/>
  <c r="C31" i="4"/>
  <c r="B31" i="4"/>
  <c r="A31" i="4"/>
  <c r="M30" i="4"/>
  <c r="H30" i="4"/>
  <c r="G30" i="4"/>
  <c r="F30" i="4"/>
  <c r="E30" i="4"/>
  <c r="D30" i="4"/>
  <c r="C30" i="4"/>
  <c r="B30" i="4"/>
  <c r="A30" i="4"/>
  <c r="M29" i="4"/>
  <c r="H29" i="4"/>
  <c r="G29" i="4"/>
  <c r="F29" i="4"/>
  <c r="E29" i="4"/>
  <c r="D29" i="4"/>
  <c r="C29" i="4"/>
  <c r="B29" i="4"/>
  <c r="A29" i="4"/>
  <c r="M28" i="4"/>
  <c r="H28" i="4"/>
  <c r="G28" i="4"/>
  <c r="F28" i="4"/>
  <c r="E28" i="4"/>
  <c r="D28" i="4"/>
  <c r="C28" i="4"/>
  <c r="B28" i="4"/>
  <c r="A28" i="4"/>
  <c r="M27" i="4"/>
  <c r="H27" i="4"/>
  <c r="G27" i="4"/>
  <c r="F27" i="4"/>
  <c r="E27" i="4"/>
  <c r="D27" i="4"/>
  <c r="C27" i="4"/>
  <c r="B27" i="4"/>
  <c r="A27" i="4"/>
  <c r="M26" i="4"/>
  <c r="H26" i="4"/>
  <c r="G26" i="4"/>
  <c r="F26" i="4"/>
  <c r="E26" i="4"/>
  <c r="D26" i="4"/>
  <c r="C26" i="4"/>
  <c r="B26" i="4"/>
  <c r="A26" i="4"/>
  <c r="M25" i="4"/>
  <c r="H25" i="4"/>
  <c r="G25" i="4"/>
  <c r="F25" i="4"/>
  <c r="E25" i="4"/>
  <c r="D25" i="4"/>
  <c r="C25" i="4"/>
  <c r="J25" i="4" s="1"/>
  <c r="B25" i="4"/>
  <c r="A25" i="4"/>
  <c r="M24" i="4"/>
  <c r="H24" i="4"/>
  <c r="G24" i="4"/>
  <c r="F24" i="4"/>
  <c r="E24" i="4"/>
  <c r="D24" i="4"/>
  <c r="C24" i="4"/>
  <c r="B24" i="4"/>
  <c r="A24" i="4"/>
  <c r="M23" i="4"/>
  <c r="H23" i="4"/>
  <c r="G23" i="4"/>
  <c r="F23" i="4"/>
  <c r="E23" i="4"/>
  <c r="D23" i="4"/>
  <c r="C23" i="4"/>
  <c r="B23" i="4"/>
  <c r="A23" i="4"/>
  <c r="M22" i="4"/>
  <c r="H22" i="4"/>
  <c r="G22" i="4"/>
  <c r="F22" i="4"/>
  <c r="E22" i="4"/>
  <c r="D22" i="4"/>
  <c r="C22" i="4"/>
  <c r="B22" i="4"/>
  <c r="A22" i="4"/>
  <c r="M21" i="4"/>
  <c r="H21" i="4"/>
  <c r="G21" i="4"/>
  <c r="F21" i="4"/>
  <c r="E21" i="4"/>
  <c r="D21" i="4"/>
  <c r="C21" i="4"/>
  <c r="B21" i="4"/>
  <c r="A21" i="4"/>
  <c r="M20" i="4"/>
  <c r="H20" i="4"/>
  <c r="G20" i="4"/>
  <c r="F20" i="4"/>
  <c r="E20" i="4"/>
  <c r="D20" i="4"/>
  <c r="C20" i="4"/>
  <c r="B20" i="4"/>
  <c r="A20" i="4"/>
  <c r="M19" i="4"/>
  <c r="H19" i="4"/>
  <c r="G19" i="4"/>
  <c r="F19" i="4"/>
  <c r="E19" i="4"/>
  <c r="D19" i="4"/>
  <c r="C19" i="4"/>
  <c r="B19" i="4"/>
  <c r="A19" i="4"/>
  <c r="M18" i="4"/>
  <c r="H18" i="4"/>
  <c r="G18" i="4"/>
  <c r="F18" i="4"/>
  <c r="E18" i="4"/>
  <c r="D18" i="4"/>
  <c r="C18" i="4"/>
  <c r="B18" i="4"/>
  <c r="A18" i="4"/>
  <c r="M17" i="4"/>
  <c r="H17" i="4"/>
  <c r="G17" i="4"/>
  <c r="F17" i="4"/>
  <c r="E17" i="4"/>
  <c r="D17" i="4"/>
  <c r="C17" i="4"/>
  <c r="B17" i="4"/>
  <c r="A17" i="4"/>
  <c r="M16" i="4"/>
  <c r="H16" i="4"/>
  <c r="G16" i="4"/>
  <c r="F16" i="4"/>
  <c r="E16" i="4"/>
  <c r="D16" i="4"/>
  <c r="C16" i="4"/>
  <c r="B16" i="4"/>
  <c r="A16" i="4"/>
  <c r="M15" i="4"/>
  <c r="H15" i="4"/>
  <c r="G15" i="4"/>
  <c r="F15" i="4"/>
  <c r="E15" i="4"/>
  <c r="D15" i="4"/>
  <c r="C15" i="4"/>
  <c r="B15" i="4"/>
  <c r="A15" i="4"/>
  <c r="M14" i="4"/>
  <c r="H14" i="4"/>
  <c r="G14" i="4"/>
  <c r="F14" i="4"/>
  <c r="E14" i="4"/>
  <c r="D14" i="4"/>
  <c r="C14" i="4"/>
  <c r="B14" i="4"/>
  <c r="A14" i="4"/>
  <c r="M13" i="4"/>
  <c r="H13" i="4"/>
  <c r="G13" i="4"/>
  <c r="F13" i="4"/>
  <c r="E13" i="4"/>
  <c r="D13" i="4"/>
  <c r="C13" i="4"/>
  <c r="B13" i="4"/>
  <c r="A13" i="4"/>
  <c r="M12" i="4"/>
  <c r="H12" i="4"/>
  <c r="G12" i="4"/>
  <c r="F12" i="4"/>
  <c r="E12" i="4"/>
  <c r="D12" i="4"/>
  <c r="C12" i="4"/>
  <c r="B12" i="4"/>
  <c r="A12" i="4"/>
  <c r="M11" i="4"/>
  <c r="H11" i="4"/>
  <c r="G11" i="4"/>
  <c r="F11" i="4"/>
  <c r="E11" i="4"/>
  <c r="D11" i="4"/>
  <c r="C11" i="4"/>
  <c r="B11" i="4"/>
  <c r="A11" i="4"/>
  <c r="M10" i="4"/>
  <c r="H10" i="4"/>
  <c r="G10" i="4"/>
  <c r="F10" i="4"/>
  <c r="E10" i="4"/>
  <c r="D10" i="4"/>
  <c r="C10" i="4"/>
  <c r="B10" i="4"/>
  <c r="A10" i="4"/>
  <c r="M9" i="4"/>
  <c r="H9" i="4"/>
  <c r="J9" i="4" s="1"/>
  <c r="G9" i="4"/>
  <c r="F9" i="4"/>
  <c r="E9" i="4"/>
  <c r="D9" i="4"/>
  <c r="C9" i="4"/>
  <c r="B9" i="4"/>
  <c r="A9" i="4"/>
  <c r="M8" i="4"/>
  <c r="H8" i="4"/>
  <c r="G8" i="4"/>
  <c r="F8" i="4"/>
  <c r="E8" i="4"/>
  <c r="D8" i="4"/>
  <c r="C8" i="4"/>
  <c r="B8" i="4"/>
  <c r="A8" i="4"/>
  <c r="M7" i="4"/>
  <c r="H7" i="4"/>
  <c r="G7" i="4"/>
  <c r="F7" i="4"/>
  <c r="E7" i="4"/>
  <c r="D7" i="4"/>
  <c r="C7" i="4"/>
  <c r="B7" i="4"/>
  <c r="A7" i="4"/>
  <c r="M6" i="4"/>
  <c r="H6" i="4"/>
  <c r="G6" i="4"/>
  <c r="F6" i="4"/>
  <c r="E6" i="4"/>
  <c r="D6" i="4"/>
  <c r="C6" i="4"/>
  <c r="B6" i="4"/>
  <c r="A6" i="4"/>
  <c r="M5" i="4"/>
  <c r="H5" i="4"/>
  <c r="G5" i="4"/>
  <c r="F5" i="4"/>
  <c r="E5" i="4"/>
  <c r="D5" i="4"/>
  <c r="C5" i="4"/>
  <c r="B5" i="4"/>
  <c r="A5" i="4"/>
  <c r="M4" i="4"/>
  <c r="H4" i="4"/>
  <c r="G4" i="4"/>
  <c r="F4" i="4"/>
  <c r="E4" i="4"/>
  <c r="D4" i="4"/>
  <c r="C4" i="4"/>
  <c r="B4" i="4"/>
  <c r="A4" i="4"/>
  <c r="M3" i="4"/>
  <c r="H3" i="4"/>
  <c r="G3" i="4"/>
  <c r="F3" i="4"/>
  <c r="E3" i="4"/>
  <c r="D3" i="4"/>
  <c r="C3" i="4"/>
  <c r="B3" i="4"/>
  <c r="A3" i="4"/>
  <c r="M2" i="4"/>
  <c r="H2" i="4"/>
  <c r="J2" i="4" s="1"/>
  <c r="G2" i="4"/>
  <c r="F2" i="4"/>
  <c r="E2" i="4"/>
  <c r="D2" i="4"/>
  <c r="C2" i="4"/>
  <c r="B2" i="4"/>
  <c r="A2" i="4"/>
  <c r="P1" i="4"/>
  <c r="J44" i="4" l="1"/>
  <c r="J51" i="4"/>
  <c r="J3" i="4"/>
  <c r="J105" i="4"/>
  <c r="J7" i="4"/>
  <c r="J41" i="4"/>
  <c r="J61" i="4"/>
  <c r="J39" i="4"/>
  <c r="J52" i="4"/>
  <c r="J21" i="4"/>
  <c r="J34" i="4"/>
  <c r="J10" i="4"/>
  <c r="J24" i="4"/>
  <c r="J65" i="4"/>
  <c r="J77" i="4"/>
  <c r="J89" i="4"/>
  <c r="J80" i="4"/>
  <c r="J92" i="4"/>
  <c r="J97" i="4"/>
  <c r="J49" i="4"/>
  <c r="J102" i="4"/>
  <c r="J5" i="4"/>
  <c r="J75" i="4"/>
  <c r="J42" i="4"/>
  <c r="J66" i="4"/>
  <c r="J78" i="4"/>
  <c r="J90" i="4"/>
  <c r="J85" i="4"/>
  <c r="J73" i="4"/>
  <c r="J4" i="4"/>
  <c r="J63" i="4"/>
  <c r="J18" i="4"/>
  <c r="J23" i="4"/>
  <c r="J40" i="4"/>
  <c r="J64" i="4"/>
  <c r="J76" i="4"/>
  <c r="J88" i="4"/>
  <c r="J68" i="4"/>
  <c r="J35" i="4"/>
  <c r="J59" i="4"/>
  <c r="J28" i="4"/>
  <c r="J93" i="4"/>
  <c r="J87" i="4"/>
  <c r="J71" i="4"/>
  <c r="J100" i="4"/>
  <c r="J11" i="4"/>
  <c r="J81" i="4"/>
  <c r="J16" i="4"/>
  <c r="J33" i="4"/>
  <c r="J48" i="4"/>
  <c r="J57" i="4"/>
  <c r="J69" i="4"/>
  <c r="J98" i="4"/>
  <c r="J20" i="4"/>
  <c r="J27" i="4"/>
  <c r="J22" i="4"/>
  <c r="J13" i="4"/>
  <c r="J29" i="4"/>
  <c r="P2" i="4"/>
  <c r="I188" i="4" s="1"/>
  <c r="N2" i="4"/>
  <c r="B7" i="5" s="1"/>
  <c r="J6" i="4"/>
  <c r="J47" i="4"/>
  <c r="J14" i="4"/>
  <c r="J26" i="4"/>
  <c r="J19" i="4"/>
  <c r="J12" i="4"/>
  <c r="J15" i="4"/>
  <c r="J36" i="4"/>
  <c r="J17" i="4"/>
  <c r="J8" i="4"/>
  <c r="K132" i="4"/>
  <c r="K247" i="4"/>
  <c r="L32" i="4"/>
  <c r="K231" i="4"/>
  <c r="L15" i="4"/>
  <c r="K138" i="4"/>
  <c r="K135" i="4"/>
  <c r="K226" i="4"/>
  <c r="L177" i="4"/>
  <c r="K221" i="4"/>
  <c r="L241" i="4"/>
  <c r="I50" i="4"/>
  <c r="K109" i="4"/>
  <c r="I131" i="4"/>
  <c r="I73" i="4"/>
  <c r="I202" i="4"/>
  <c r="K36" i="4"/>
  <c r="I230" i="4"/>
  <c r="K129" i="4"/>
  <c r="K90" i="4"/>
  <c r="K28" i="4"/>
  <c r="I129" i="4"/>
  <c r="I227" i="4"/>
  <c r="K211" i="4"/>
  <c r="I200" i="4"/>
  <c r="K56" i="4"/>
  <c r="K17" i="4"/>
  <c r="L55" i="4"/>
  <c r="B16" i="5"/>
  <c r="J30" i="4"/>
  <c r="L9" i="4"/>
  <c r="L41" i="4" l="1"/>
  <c r="L50" i="4"/>
  <c r="L215" i="4"/>
  <c r="L242" i="4"/>
  <c r="L144" i="4"/>
  <c r="I172" i="4"/>
  <c r="K134" i="4"/>
  <c r="I141" i="4"/>
  <c r="I5" i="4"/>
  <c r="I48" i="4"/>
  <c r="I224" i="4"/>
  <c r="I14" i="4"/>
  <c r="L146" i="4"/>
  <c r="I121" i="4"/>
  <c r="L65" i="4"/>
  <c r="L236" i="4"/>
  <c r="I233" i="4"/>
  <c r="K194" i="4"/>
  <c r="I196" i="4"/>
  <c r="I147" i="4"/>
  <c r="K23" i="4"/>
  <c r="K32" i="4"/>
  <c r="L77" i="4"/>
  <c r="K49" i="4"/>
  <c r="L62" i="4"/>
  <c r="K154" i="4"/>
  <c r="L66" i="4"/>
  <c r="I35" i="4"/>
  <c r="K78" i="4"/>
  <c r="L101" i="4"/>
  <c r="L2" i="4"/>
  <c r="I151" i="4"/>
  <c r="I13" i="4"/>
  <c r="K200" i="4"/>
  <c r="K151" i="4"/>
  <c r="K59" i="4"/>
  <c r="K58" i="4"/>
  <c r="L239" i="4"/>
  <c r="K112" i="4"/>
  <c r="I153" i="4"/>
  <c r="K131" i="4"/>
  <c r="I72" i="4"/>
  <c r="K72" i="4"/>
  <c r="K243" i="4"/>
  <c r="L199" i="4"/>
  <c r="K206" i="4"/>
  <c r="K157" i="4"/>
  <c r="K45" i="4"/>
  <c r="L37" i="4"/>
  <c r="I194" i="4"/>
  <c r="L54" i="4"/>
  <c r="L13" i="4"/>
  <c r="L159" i="4"/>
  <c r="I106" i="4"/>
  <c r="L97" i="4"/>
  <c r="I222" i="4"/>
  <c r="K127" i="4"/>
  <c r="L83" i="4"/>
  <c r="K64" i="4"/>
  <c r="K161" i="4"/>
  <c r="K222" i="4"/>
  <c r="L64" i="4"/>
  <c r="L63" i="4"/>
  <c r="L139" i="4"/>
  <c r="L136" i="4"/>
  <c r="K82" i="4"/>
  <c r="L143" i="4"/>
  <c r="I8" i="4"/>
  <c r="K238" i="4"/>
  <c r="L211" i="4"/>
  <c r="K57" i="4"/>
  <c r="L94" i="4"/>
  <c r="I61" i="4"/>
  <c r="I10" i="4"/>
  <c r="K198" i="4"/>
  <c r="I245" i="4"/>
  <c r="I68" i="4"/>
  <c r="I117" i="4"/>
  <c r="I47" i="4"/>
  <c r="K232" i="4"/>
  <c r="K13" i="4"/>
  <c r="I246" i="4"/>
  <c r="L162" i="4"/>
  <c r="L128" i="4"/>
  <c r="L132" i="4"/>
  <c r="I90" i="4"/>
  <c r="L237" i="4"/>
  <c r="K86" i="4"/>
  <c r="L12" i="4"/>
  <c r="L166" i="4"/>
  <c r="K35" i="4"/>
  <c r="I234" i="4"/>
  <c r="I163" i="4"/>
  <c r="I36" i="4"/>
  <c r="K80" i="4"/>
  <c r="L26" i="4"/>
  <c r="K156" i="4"/>
  <c r="L168" i="4"/>
  <c r="I143" i="4"/>
  <c r="L87" i="4"/>
  <c r="L165" i="4"/>
  <c r="K18" i="4"/>
  <c r="L243" i="4"/>
  <c r="I218" i="4"/>
  <c r="I169" i="4"/>
  <c r="I135" i="4"/>
  <c r="L81" i="4"/>
  <c r="K79" i="4"/>
  <c r="K71" i="4"/>
  <c r="K196" i="4"/>
  <c r="K242" i="4"/>
  <c r="K212" i="4"/>
  <c r="L137" i="4"/>
  <c r="K224" i="4"/>
  <c r="L57" i="4"/>
  <c r="L4" i="4"/>
  <c r="K7" i="4"/>
  <c r="L156" i="4"/>
  <c r="K163" i="4"/>
  <c r="K54" i="4"/>
  <c r="I11" i="4"/>
  <c r="L172" i="4"/>
  <c r="I161" i="4"/>
  <c r="K100" i="4"/>
  <c r="I244" i="4"/>
  <c r="K108" i="4"/>
  <c r="I19" i="4"/>
  <c r="I173" i="4"/>
  <c r="I69" i="4"/>
  <c r="K244" i="4"/>
  <c r="K173" i="4"/>
  <c r="I58" i="4"/>
  <c r="L85" i="4"/>
  <c r="I23" i="4"/>
  <c r="K178" i="4"/>
  <c r="I175" i="4"/>
  <c r="K153" i="4"/>
  <c r="I116" i="4"/>
  <c r="K67" i="4"/>
  <c r="I52" i="4"/>
  <c r="L126" i="4"/>
  <c r="K228" i="4"/>
  <c r="K179" i="4"/>
  <c r="K167" i="4"/>
  <c r="I88" i="4"/>
  <c r="K101" i="4"/>
  <c r="L76" i="4"/>
  <c r="L20" i="4"/>
  <c r="L247" i="4"/>
  <c r="L61" i="4"/>
  <c r="K60" i="4"/>
  <c r="K50" i="4"/>
  <c r="L105" i="4"/>
  <c r="L158" i="4"/>
  <c r="K158" i="4"/>
  <c r="K195" i="4"/>
  <c r="L194" i="4"/>
  <c r="K92" i="4"/>
  <c r="K201" i="4"/>
  <c r="K39" i="4"/>
  <c r="L202" i="4"/>
  <c r="I150" i="4"/>
  <c r="K74" i="4"/>
  <c r="K120" i="4"/>
  <c r="I42" i="4"/>
  <c r="I171" i="4"/>
  <c r="K22" i="4"/>
  <c r="L75" i="4"/>
  <c r="I62" i="4"/>
  <c r="L226" i="4"/>
  <c r="K171" i="4"/>
  <c r="L148" i="4"/>
  <c r="K98" i="4"/>
  <c r="L34" i="4"/>
  <c r="L131" i="4"/>
  <c r="I127" i="4"/>
  <c r="I31" i="4"/>
  <c r="I201" i="4"/>
  <c r="I51" i="4"/>
  <c r="K181" i="4"/>
  <c r="L16" i="4"/>
  <c r="I9" i="4"/>
  <c r="I179" i="4"/>
  <c r="K8" i="4"/>
  <c r="I80" i="4"/>
  <c r="L103" i="4"/>
  <c r="L198" i="4"/>
  <c r="I197" i="4"/>
  <c r="L238" i="4"/>
  <c r="I205" i="4"/>
  <c r="I114" i="4"/>
  <c r="K165" i="4"/>
  <c r="K42" i="4"/>
  <c r="L88" i="4"/>
  <c r="L129" i="4"/>
  <c r="K31" i="4"/>
  <c r="L48" i="4"/>
  <c r="K241" i="4"/>
  <c r="I182" i="4"/>
  <c r="L138" i="4"/>
  <c r="I118" i="4"/>
  <c r="L18" i="4"/>
  <c r="K25" i="4"/>
  <c r="K223" i="4"/>
  <c r="L179" i="4"/>
  <c r="I132" i="4"/>
  <c r="I159" i="4"/>
  <c r="L186" i="4"/>
  <c r="I34" i="4"/>
  <c r="L163" i="4"/>
  <c r="L114" i="4"/>
  <c r="K29" i="4"/>
  <c r="K123" i="4"/>
  <c r="I45" i="4"/>
  <c r="L99" i="4"/>
  <c r="I191" i="4"/>
  <c r="I20" i="4"/>
  <c r="I12" i="4"/>
  <c r="I192" i="4"/>
  <c r="L209" i="4"/>
  <c r="L56" i="4"/>
  <c r="L125" i="4"/>
  <c r="L78" i="4"/>
  <c r="L58" i="4"/>
  <c r="I145" i="4"/>
  <c r="L30" i="4"/>
  <c r="L228" i="4"/>
  <c r="L201" i="4"/>
  <c r="K142" i="4"/>
  <c r="L174" i="4"/>
  <c r="I193" i="4"/>
  <c r="I78" i="4"/>
  <c r="B11" i="5"/>
  <c r="I124" i="4"/>
  <c r="L140" i="4"/>
  <c r="I223" i="4"/>
  <c r="I92" i="4"/>
  <c r="L184" i="4"/>
  <c r="K145" i="4"/>
  <c r="K30" i="4"/>
  <c r="L95" i="4"/>
  <c r="I138" i="4"/>
  <c r="I110" i="4"/>
  <c r="L206" i="4"/>
  <c r="I217" i="4"/>
  <c r="L6" i="4"/>
  <c r="I126" i="4"/>
  <c r="I54" i="4"/>
  <c r="K2" i="4"/>
  <c r="K105" i="4"/>
  <c r="K63" i="4"/>
  <c r="I229" i="4"/>
  <c r="L161" i="4"/>
  <c r="L28" i="4"/>
  <c r="I55" i="4"/>
  <c r="I76" i="4"/>
  <c r="I156" i="4"/>
  <c r="I216" i="4"/>
  <c r="L110" i="4"/>
  <c r="I85" i="4"/>
  <c r="I239" i="4"/>
  <c r="L44" i="4"/>
  <c r="L68" i="4"/>
  <c r="K239" i="4"/>
  <c r="I168" i="4"/>
  <c r="K146" i="4"/>
  <c r="K52" i="4"/>
  <c r="I65" i="4"/>
  <c r="K65" i="4"/>
  <c r="I6" i="4"/>
  <c r="L197" i="4"/>
  <c r="K155" i="4"/>
  <c r="L133" i="4"/>
  <c r="L84" i="4"/>
  <c r="I37" i="4"/>
  <c r="I235" i="4"/>
  <c r="L130" i="4"/>
  <c r="I176" i="4"/>
  <c r="I181" i="4"/>
  <c r="K203" i="4"/>
  <c r="K88" i="4"/>
  <c r="I29" i="4"/>
  <c r="K139" i="4"/>
  <c r="L7" i="4"/>
  <c r="I184" i="4"/>
  <c r="K183" i="4"/>
  <c r="K126" i="4"/>
  <c r="K81" i="4"/>
  <c r="L67" i="4"/>
  <c r="K122" i="4"/>
  <c r="L107" i="4"/>
  <c r="I74" i="4"/>
  <c r="K51" i="4"/>
  <c r="I102" i="4"/>
  <c r="K99" i="4"/>
  <c r="I60" i="4"/>
  <c r="L210" i="4"/>
  <c r="L231" i="4"/>
  <c r="L72" i="4"/>
  <c r="I32" i="4"/>
  <c r="I53" i="4"/>
  <c r="I7" i="4"/>
  <c r="L40" i="4"/>
  <c r="L185" i="4"/>
  <c r="L17" i="4"/>
  <c r="K166" i="4"/>
  <c r="I238" i="4"/>
  <c r="I139" i="4"/>
  <c r="K95" i="4"/>
  <c r="L60" i="4"/>
  <c r="I95" i="4"/>
  <c r="L90" i="4"/>
  <c r="I108" i="4"/>
  <c r="L205" i="4"/>
  <c r="K168" i="4"/>
  <c r="K96" i="4"/>
  <c r="K97" i="4"/>
  <c r="L70" i="4"/>
  <c r="K16" i="4"/>
  <c r="I204" i="4"/>
  <c r="L160" i="4"/>
  <c r="I140" i="4"/>
  <c r="I18" i="4"/>
  <c r="K47" i="4"/>
  <c r="K245" i="4"/>
  <c r="I137" i="4"/>
  <c r="K186" i="4"/>
  <c r="L240" i="4"/>
  <c r="L208" i="4"/>
  <c r="L93" i="4"/>
  <c r="K210" i="4"/>
  <c r="K141" i="4"/>
  <c r="I22" i="4"/>
  <c r="K21" i="4"/>
  <c r="I4" i="4"/>
  <c r="L233" i="4"/>
  <c r="L176" i="4"/>
  <c r="L24" i="4"/>
  <c r="I165" i="4"/>
  <c r="L33" i="4"/>
  <c r="L5" i="4"/>
  <c r="I41" i="4"/>
  <c r="K204" i="4"/>
  <c r="I128" i="4"/>
  <c r="K137" i="4"/>
  <c r="L79" i="4"/>
  <c r="I64" i="4"/>
  <c r="L14" i="4"/>
  <c r="L8" i="4"/>
  <c r="K215" i="4"/>
  <c r="L113" i="4"/>
  <c r="L117" i="4"/>
  <c r="L212" i="4"/>
  <c r="K133" i="4"/>
  <c r="I213" i="4"/>
  <c r="L170" i="4"/>
  <c r="L222" i="4"/>
  <c r="K227" i="4"/>
  <c r="K128" i="4"/>
  <c r="K12" i="4"/>
  <c r="I98" i="4"/>
  <c r="L53" i="4"/>
  <c r="I120" i="4"/>
  <c r="I24" i="4"/>
  <c r="L171" i="4"/>
  <c r="I79" i="4"/>
  <c r="K149" i="4"/>
  <c r="L100" i="4"/>
  <c r="L82" i="4"/>
  <c r="K24" i="4"/>
  <c r="I97" i="4"/>
  <c r="L3" i="4"/>
  <c r="I212" i="4"/>
  <c r="L173" i="4"/>
  <c r="I142" i="4"/>
  <c r="L102" i="4"/>
  <c r="I77" i="4"/>
  <c r="L21" i="4"/>
  <c r="K214" i="4"/>
  <c r="I167" i="4"/>
  <c r="K150" i="4"/>
  <c r="I40" i="4"/>
  <c r="L52" i="4"/>
  <c r="L157" i="4"/>
  <c r="L218" i="4"/>
  <c r="L191" i="4"/>
  <c r="K5" i="4"/>
  <c r="I215" i="4"/>
  <c r="I100" i="4"/>
  <c r="K237" i="4"/>
  <c r="I57" i="4"/>
  <c r="K4" i="4"/>
  <c r="I185" i="4"/>
  <c r="K89" i="4"/>
  <c r="I2" i="4"/>
  <c r="I112" i="4"/>
  <c r="K102" i="4"/>
  <c r="K55" i="4"/>
  <c r="L216" i="4"/>
  <c r="K103" i="4"/>
  <c r="K77" i="4"/>
  <c r="I111" i="4"/>
  <c r="I207" i="4"/>
  <c r="K84" i="4"/>
  <c r="I134" i="4"/>
  <c r="L46" i="4"/>
  <c r="K124" i="4"/>
  <c r="I231" i="4"/>
  <c r="L175" i="4"/>
  <c r="L89" i="4"/>
  <c r="I15" i="4"/>
  <c r="K20" i="4"/>
  <c r="L27" i="4"/>
  <c r="K144" i="4"/>
  <c r="I146" i="4"/>
  <c r="L192" i="4"/>
  <c r="L246" i="4"/>
  <c r="B13" i="5"/>
  <c r="K240" i="4"/>
  <c r="K34" i="4"/>
  <c r="I178" i="4"/>
  <c r="I3" i="4"/>
  <c r="L154" i="4"/>
  <c r="I107" i="4"/>
  <c r="L104" i="4"/>
  <c r="L29" i="4"/>
  <c r="K107" i="4"/>
  <c r="L25" i="4"/>
  <c r="L227" i="4"/>
  <c r="I180" i="4"/>
  <c r="I164" i="4"/>
  <c r="I109" i="4"/>
  <c r="K87" i="4"/>
  <c r="I28" i="4"/>
  <c r="L219" i="4"/>
  <c r="K199" i="4"/>
  <c r="L155" i="4"/>
  <c r="I84" i="4"/>
  <c r="I59" i="4"/>
  <c r="K218" i="4"/>
  <c r="K235" i="4"/>
  <c r="I198" i="4"/>
  <c r="L10" i="4"/>
  <c r="K225" i="4"/>
  <c r="K110" i="4"/>
  <c r="L134" i="4"/>
  <c r="L187" i="4"/>
  <c r="I91" i="4"/>
  <c r="L11" i="4"/>
  <c r="L188" i="4"/>
  <c r="L190" i="4"/>
  <c r="I240" i="4"/>
  <c r="K114" i="4"/>
  <c r="I195" i="4"/>
  <c r="K175" i="4"/>
  <c r="L141" i="4"/>
  <c r="L127" i="4"/>
  <c r="K41" i="4"/>
  <c r="K170" i="4"/>
  <c r="L123" i="4"/>
  <c r="I21" i="4"/>
  <c r="K37" i="4"/>
  <c r="L149" i="4"/>
  <c r="K192" i="4"/>
  <c r="K246" i="4"/>
  <c r="B5" i="5"/>
  <c r="I1" i="5" s="1"/>
  <c r="K15" i="4"/>
  <c r="L39" i="4"/>
  <c r="K188" i="4"/>
  <c r="I25" i="4"/>
  <c r="I183" i="4"/>
  <c r="K117" i="4"/>
  <c r="K121" i="4"/>
  <c r="K46" i="4"/>
  <c r="L112" i="4"/>
  <c r="L47" i="4"/>
  <c r="L19" i="4"/>
  <c r="K190" i="4"/>
  <c r="I186" i="4"/>
  <c r="K119" i="4"/>
  <c r="L92" i="4"/>
  <c r="K38" i="4"/>
  <c r="I226" i="4"/>
  <c r="L204" i="4"/>
  <c r="I162" i="4"/>
  <c r="K160" i="4"/>
  <c r="K69" i="4"/>
  <c r="I155" i="4"/>
  <c r="I247" i="4"/>
  <c r="I242" i="4"/>
  <c r="I17" i="4"/>
  <c r="L230" i="4"/>
  <c r="L115" i="4"/>
  <c r="L245" i="4"/>
  <c r="I39" i="4"/>
  <c r="I27" i="4"/>
  <c r="L73" i="4"/>
  <c r="K185" i="4"/>
  <c r="K62" i="4"/>
  <c r="I83" i="4"/>
  <c r="K14" i="4"/>
  <c r="I67" i="4"/>
  <c r="L200" i="4"/>
  <c r="K9" i="4"/>
  <c r="K3" i="4"/>
  <c r="K205" i="4"/>
  <c r="K207" i="4"/>
  <c r="K217" i="4"/>
  <c r="L220" i="4"/>
  <c r="I63" i="4"/>
  <c r="I136" i="4"/>
  <c r="I170" i="4"/>
  <c r="A11" i="5"/>
  <c r="L86" i="4"/>
  <c r="I46" i="4"/>
  <c r="L193" i="4"/>
  <c r="K189" i="4"/>
  <c r="K193" i="4"/>
  <c r="L122" i="4"/>
  <c r="K143" i="4"/>
  <c r="K68" i="4"/>
  <c r="I119" i="4"/>
  <c r="K130" i="4"/>
  <c r="I26" i="4"/>
  <c r="L195" i="4"/>
  <c r="K61" i="4"/>
  <c r="L124" i="4"/>
  <c r="I99" i="4"/>
  <c r="L43" i="4"/>
  <c r="K236" i="4"/>
  <c r="I211" i="4"/>
  <c r="K172" i="4"/>
  <c r="K182" i="4"/>
  <c r="L74" i="4"/>
  <c r="K116" i="4"/>
  <c r="K10" i="4"/>
  <c r="K187" i="4"/>
  <c r="K27" i="4"/>
  <c r="I237" i="4"/>
  <c r="I122" i="4"/>
  <c r="B12" i="5"/>
  <c r="K1" i="5" s="1"/>
  <c r="A12" i="5"/>
  <c r="J1" i="5" s="1"/>
  <c r="B6" i="5"/>
  <c r="L1" i="5" s="1"/>
  <c r="A13" i="5"/>
  <c r="L91" i="4"/>
  <c r="I144" i="4"/>
  <c r="I101" i="4"/>
  <c r="L23" i="4"/>
  <c r="I206" i="4"/>
  <c r="I113" i="4"/>
  <c r="I81" i="4"/>
  <c r="L223" i="4"/>
  <c r="K147" i="4"/>
  <c r="L147" i="4"/>
  <c r="L69" i="4"/>
  <c r="L142" i="4"/>
  <c r="I93" i="4"/>
  <c r="I166" i="4"/>
  <c r="L150" i="4"/>
  <c r="L36" i="4"/>
  <c r="I219" i="4"/>
  <c r="I209" i="4"/>
  <c r="K148" i="4"/>
  <c r="K111" i="4"/>
  <c r="I30" i="4"/>
  <c r="K216" i="4"/>
  <c r="I152" i="4"/>
  <c r="K113" i="4"/>
  <c r="K11" i="4"/>
  <c r="K169" i="4"/>
  <c r="I154" i="4"/>
  <c r="K152" i="4"/>
  <c r="I149" i="4"/>
  <c r="K191" i="4"/>
  <c r="K176" i="4"/>
  <c r="I75" i="4"/>
  <c r="L244" i="4"/>
  <c r="L183" i="4"/>
  <c r="L151" i="4"/>
  <c r="I157" i="4"/>
  <c r="I43" i="4"/>
  <c r="K229" i="4"/>
  <c r="K219" i="4"/>
  <c r="L153" i="4"/>
  <c r="L116" i="4"/>
  <c r="K40" i="4"/>
  <c r="L221" i="4"/>
  <c r="K162" i="4"/>
  <c r="L118" i="4"/>
  <c r="K33" i="4"/>
  <c r="L196" i="4"/>
  <c r="K164" i="4"/>
  <c r="K174" i="4"/>
  <c r="K159" i="4"/>
  <c r="K213" i="4"/>
  <c r="L181" i="4"/>
  <c r="K73" i="4"/>
  <c r="L232" i="4"/>
  <c r="K83" i="4"/>
  <c r="K85" i="4"/>
  <c r="L35" i="4"/>
  <c r="I190" i="4"/>
  <c r="I158" i="4"/>
  <c r="K233" i="4"/>
  <c r="K53" i="4"/>
  <c r="K43" i="4"/>
  <c r="L224" i="4"/>
  <c r="I160" i="4"/>
  <c r="I123" i="4"/>
  <c r="L45" i="4"/>
  <c r="I228" i="4"/>
  <c r="L167" i="4"/>
  <c r="I125" i="4"/>
  <c r="I133" i="4"/>
  <c r="I203" i="4"/>
  <c r="L169" i="4"/>
  <c r="L152" i="4"/>
  <c r="L164" i="4"/>
  <c r="I225" i="4"/>
  <c r="L119" i="4"/>
  <c r="I82" i="4"/>
  <c r="K26" i="4"/>
  <c r="K136" i="4"/>
  <c r="K70" i="4"/>
  <c r="I16" i="4"/>
  <c r="I104" i="4"/>
  <c r="I38" i="4"/>
  <c r="K180" i="4"/>
  <c r="I148" i="4"/>
  <c r="I236" i="4"/>
  <c r="L207" i="4"/>
  <c r="I214" i="4"/>
  <c r="K48" i="4"/>
  <c r="L229" i="4"/>
  <c r="K202" i="4"/>
  <c r="L31" i="4"/>
  <c r="I44" i="4"/>
  <c r="K208" i="4"/>
  <c r="I49" i="4"/>
  <c r="K93" i="4"/>
  <c r="L38" i="4"/>
  <c r="K44" i="4"/>
  <c r="L203" i="4"/>
  <c r="L213" i="4"/>
  <c r="I71" i="4"/>
  <c r="L98" i="4"/>
  <c r="I221" i="4"/>
  <c r="L49" i="4"/>
  <c r="I210" i="4"/>
  <c r="L217" i="4"/>
  <c r="I208" i="4"/>
  <c r="K75" i="4"/>
  <c r="L234" i="4"/>
  <c r="L180" i="4"/>
  <c r="I94" i="4"/>
  <c r="I89" i="4"/>
  <c r="K177" i="4"/>
  <c r="I96" i="4"/>
  <c r="I199" i="4"/>
  <c r="I174" i="4"/>
  <c r="K91" i="4"/>
  <c r="I86" i="4"/>
  <c r="K118" i="4"/>
  <c r="L59" i="4"/>
  <c r="I220" i="4"/>
  <c r="L108" i="4"/>
  <c r="I105" i="4"/>
  <c r="K6" i="4"/>
  <c r="I56" i="4"/>
  <c r="K220" i="4"/>
  <c r="L42" i="4"/>
  <c r="L80" i="4"/>
  <c r="I241" i="4"/>
  <c r="I187" i="4"/>
  <c r="K104" i="4"/>
  <c r="I177" i="4"/>
  <c r="L182" i="4"/>
  <c r="K106" i="4"/>
  <c r="L214" i="4"/>
  <c r="K184" i="4"/>
  <c r="L96" i="4"/>
  <c r="I130" i="4"/>
  <c r="K140" i="4"/>
  <c r="I66" i="4"/>
  <c r="K230" i="4"/>
  <c r="I115" i="4"/>
  <c r="K115" i="4"/>
  <c r="K94" i="4"/>
  <c r="K66" i="4"/>
  <c r="L225" i="4"/>
  <c r="L106" i="4"/>
  <c r="K19" i="4"/>
  <c r="L178" i="4"/>
  <c r="L51" i="4"/>
  <c r="I70" i="4"/>
  <c r="K234" i="4"/>
  <c r="L22" i="4"/>
  <c r="I87" i="4"/>
  <c r="I33" i="4"/>
  <c r="K197" i="4"/>
  <c r="L109" i="4"/>
  <c r="K209" i="4"/>
  <c r="I189" i="4"/>
  <c r="L111" i="4"/>
  <c r="I243" i="4"/>
  <c r="L189" i="4"/>
  <c r="I103" i="4"/>
  <c r="L135" i="4"/>
  <c r="L145" i="4"/>
  <c r="K76" i="4"/>
  <c r="L235" i="4"/>
  <c r="K125" i="4"/>
  <c r="L120" i="4"/>
  <c r="L121" i="4"/>
  <c r="L71" i="4"/>
  <c r="I232" i="4"/>
  <c r="C7" i="5"/>
  <c r="B8" i="5"/>
  <c r="C8" i="5"/>
  <c r="D8" i="5" s="1"/>
  <c r="J2" i="5" l="1"/>
  <c r="H2" i="5"/>
  <c r="I2" i="5"/>
  <c r="K2" i="5"/>
  <c r="L2" i="5" s="1"/>
  <c r="C6" i="5"/>
  <c r="M1" i="5"/>
  <c r="M2" i="5"/>
</calcChain>
</file>

<file path=xl/sharedStrings.xml><?xml version="1.0" encoding="utf-8"?>
<sst xmlns="http://schemas.openxmlformats.org/spreadsheetml/2006/main" count="58483" uniqueCount="3255">
  <si>
    <t>Nama Jalan</t>
  </si>
  <si>
    <t>STA</t>
  </si>
  <si>
    <t>Jarak Kumulatif (m)</t>
  </si>
  <si>
    <t>Kelas Jalan</t>
  </si>
  <si>
    <t>Lebar Standar (m)</t>
  </si>
  <si>
    <t>Lebar Kiri (m)</t>
  </si>
  <si>
    <t>Lebar Kanan (m)</t>
  </si>
  <si>
    <t>Lebar Total (m)</t>
  </si>
  <si>
    <t>Status Lebar Jalan</t>
  </si>
  <si>
    <t>Elevasi As (m)</t>
  </si>
  <si>
    <t>Grade Longitudinal (%)</t>
  </si>
  <si>
    <t>Status Grade</t>
  </si>
  <si>
    <t>Label Grade (%)</t>
  </si>
  <si>
    <t>Keterangan Grade</t>
  </si>
  <si>
    <t>Crossfall Kiri (%)</t>
  </si>
  <si>
    <t>Status Crossfall Kiri</t>
  </si>
  <si>
    <t>Crossfall Kanan (%)</t>
  </si>
  <si>
    <t>Status Crossfall Kanan</t>
  </si>
  <si>
    <t>Is_Regular_STA</t>
  </si>
  <si>
    <t>Jl Bontang</t>
  </si>
  <si>
    <t>Jl Sangatta</t>
  </si>
  <si>
    <t>Jl Makassar</t>
  </si>
  <si>
    <t>Jl Banjarmasin Atas</t>
  </si>
  <si>
    <t>Jl BPP Ambon</t>
  </si>
  <si>
    <t>Jl Flores New</t>
  </si>
  <si>
    <t>Jl Binjai</t>
  </si>
  <si>
    <t>Jl Medan</t>
  </si>
  <si>
    <t>Jl Bone</t>
  </si>
  <si>
    <t>Jl Denpasar</t>
  </si>
  <si>
    <t>Jl Subang</t>
  </si>
  <si>
    <t>Jl Pontianak</t>
  </si>
  <si>
    <t>Jl Bogor</t>
  </si>
  <si>
    <t>Jl Jakarta</t>
  </si>
  <si>
    <t>Jl Bekasi</t>
  </si>
  <si>
    <t>Jl Padang</t>
  </si>
  <si>
    <t>Jl Jambi</t>
  </si>
  <si>
    <t>Jl BInjai Waterfill</t>
  </si>
  <si>
    <t>Jl Palembang</t>
  </si>
  <si>
    <t>Jl Lampung</t>
  </si>
  <si>
    <t>Jl Dumai</t>
  </si>
  <si>
    <t>Jl Bengkulu</t>
  </si>
  <si>
    <t>Jl Sabang</t>
  </si>
  <si>
    <t>Jl Bangka</t>
  </si>
  <si>
    <t>Jl Sibolga</t>
  </si>
  <si>
    <t xml:space="preserve"> Jl Kerinci</t>
  </si>
  <si>
    <t>Jl Merauke</t>
  </si>
  <si>
    <t>Jl Maluku</t>
  </si>
  <si>
    <t>Jl Palu</t>
  </si>
  <si>
    <t>Jl Tanjung</t>
  </si>
  <si>
    <t>Jl Manado</t>
  </si>
  <si>
    <t>Jl Banjarbaru</t>
  </si>
  <si>
    <t>Jl Banjarmasin Bawah</t>
  </si>
  <si>
    <t>Jl Aceh</t>
  </si>
  <si>
    <t>Jl Sumba</t>
  </si>
  <si>
    <t>Jl Metro</t>
  </si>
  <si>
    <t xml:space="preserve"> </t>
  </si>
  <si>
    <t>0+000</t>
  </si>
  <si>
    <t>0+020</t>
  </si>
  <si>
    <t>0+040</t>
  </si>
  <si>
    <t>0+060</t>
  </si>
  <si>
    <t>0+080</t>
  </si>
  <si>
    <t>0+100</t>
  </si>
  <si>
    <t>0+120</t>
  </si>
  <si>
    <t>0+140</t>
  </si>
  <si>
    <t>0+160</t>
  </si>
  <si>
    <t>0+180</t>
  </si>
  <si>
    <t>0+200</t>
  </si>
  <si>
    <t>0+220</t>
  </si>
  <si>
    <t>0+240</t>
  </si>
  <si>
    <t>0+260</t>
  </si>
  <si>
    <t>0+280</t>
  </si>
  <si>
    <t>0+300</t>
  </si>
  <si>
    <t>0+320</t>
  </si>
  <si>
    <t>0+340</t>
  </si>
  <si>
    <t>0+360</t>
  </si>
  <si>
    <t>0+380</t>
  </si>
  <si>
    <t>0+400</t>
  </si>
  <si>
    <t>0+420</t>
  </si>
  <si>
    <t>0+440</t>
  </si>
  <si>
    <t>0+460</t>
  </si>
  <si>
    <t>0+480</t>
  </si>
  <si>
    <t>0+500</t>
  </si>
  <si>
    <t>0+520</t>
  </si>
  <si>
    <t>0+540</t>
  </si>
  <si>
    <t>0+560</t>
  </si>
  <si>
    <t>0+580</t>
  </si>
  <si>
    <t>0+600</t>
  </si>
  <si>
    <t>0+620</t>
  </si>
  <si>
    <t>0+640</t>
  </si>
  <si>
    <t>0+660</t>
  </si>
  <si>
    <t>0+680</t>
  </si>
  <si>
    <t>0+700</t>
  </si>
  <si>
    <t>0+720</t>
  </si>
  <si>
    <t>0+740</t>
  </si>
  <si>
    <t>0+760</t>
  </si>
  <si>
    <t>0+780</t>
  </si>
  <si>
    <t>0+800</t>
  </si>
  <si>
    <t>0+820</t>
  </si>
  <si>
    <t>0+840</t>
  </si>
  <si>
    <t>0+860</t>
  </si>
  <si>
    <t>0+880</t>
  </si>
  <si>
    <t>0+900</t>
  </si>
  <si>
    <t>0+920</t>
  </si>
  <si>
    <t>0+940</t>
  </si>
  <si>
    <t>0+960</t>
  </si>
  <si>
    <t>0+980</t>
  </si>
  <si>
    <t>1+000</t>
  </si>
  <si>
    <t>1+006.9</t>
  </si>
  <si>
    <t>1+020</t>
  </si>
  <si>
    <t>1+040</t>
  </si>
  <si>
    <t>1+060</t>
  </si>
  <si>
    <t>1+080</t>
  </si>
  <si>
    <t>1+100</t>
  </si>
  <si>
    <t>1+120</t>
  </si>
  <si>
    <t>1+140</t>
  </si>
  <si>
    <t>1+160</t>
  </si>
  <si>
    <t>1+180</t>
  </si>
  <si>
    <t>1+200</t>
  </si>
  <si>
    <t>1+220</t>
  </si>
  <si>
    <t>1+240</t>
  </si>
  <si>
    <t>1+260</t>
  </si>
  <si>
    <t>1+280</t>
  </si>
  <si>
    <t>1+289.2</t>
  </si>
  <si>
    <t>1+300</t>
  </si>
  <si>
    <t>1+320</t>
  </si>
  <si>
    <t>1+340</t>
  </si>
  <si>
    <t>1+360</t>
  </si>
  <si>
    <t>1+380</t>
  </si>
  <si>
    <t>1+400</t>
  </si>
  <si>
    <t>1+420</t>
  </si>
  <si>
    <t>1+440</t>
  </si>
  <si>
    <t>1+460</t>
  </si>
  <si>
    <t>1+480</t>
  </si>
  <si>
    <t>1+500</t>
  </si>
  <si>
    <t>1+520</t>
  </si>
  <si>
    <t>1+540</t>
  </si>
  <si>
    <t>1+560</t>
  </si>
  <si>
    <t>1+580</t>
  </si>
  <si>
    <t>1+600</t>
  </si>
  <si>
    <t>1+620</t>
  </si>
  <si>
    <t>1+640</t>
  </si>
  <si>
    <t>1+660</t>
  </si>
  <si>
    <t>1+680</t>
  </si>
  <si>
    <t>1+700</t>
  </si>
  <si>
    <t>1+720</t>
  </si>
  <si>
    <t>1+740</t>
  </si>
  <si>
    <t>1+760</t>
  </si>
  <si>
    <t>1+780</t>
  </si>
  <si>
    <t>1+800</t>
  </si>
  <si>
    <t>1+820</t>
  </si>
  <si>
    <t>1+840</t>
  </si>
  <si>
    <t>1+860</t>
  </si>
  <si>
    <t>1+880</t>
  </si>
  <si>
    <t>1+900</t>
  </si>
  <si>
    <t>1+920</t>
  </si>
  <si>
    <t>1+940</t>
  </si>
  <si>
    <t>1+960</t>
  </si>
  <si>
    <t>1+980</t>
  </si>
  <si>
    <t>2+000</t>
  </si>
  <si>
    <t>2+020</t>
  </si>
  <si>
    <t>2+040</t>
  </si>
  <si>
    <t>2+060</t>
  </si>
  <si>
    <t>2+080</t>
  </si>
  <si>
    <t>2+100</t>
  </si>
  <si>
    <t>2+120</t>
  </si>
  <si>
    <t>2+120.1</t>
  </si>
  <si>
    <t>0+873.6</t>
  </si>
  <si>
    <t>1+301.4</t>
  </si>
  <si>
    <t>1+465.3</t>
  </si>
  <si>
    <t>1+001.1</t>
  </si>
  <si>
    <t>2+140</t>
  </si>
  <si>
    <t>2+160</t>
  </si>
  <si>
    <t>2+180</t>
  </si>
  <si>
    <t>2+200</t>
  </si>
  <si>
    <t>2+220</t>
  </si>
  <si>
    <t>2+240</t>
  </si>
  <si>
    <t>2+260</t>
  </si>
  <si>
    <t>2+280</t>
  </si>
  <si>
    <t>2+300</t>
  </si>
  <si>
    <t>2+320</t>
  </si>
  <si>
    <t>2+340</t>
  </si>
  <si>
    <t>2+360</t>
  </si>
  <si>
    <t>2+380</t>
  </si>
  <si>
    <t>2+400</t>
  </si>
  <si>
    <t>2+420</t>
  </si>
  <si>
    <t>2+440</t>
  </si>
  <si>
    <t>2+460</t>
  </si>
  <si>
    <t>2+480</t>
  </si>
  <si>
    <t>2+500</t>
  </si>
  <si>
    <t>2+520</t>
  </si>
  <si>
    <t>2+540</t>
  </si>
  <si>
    <t>2+560</t>
  </si>
  <si>
    <t>2+580</t>
  </si>
  <si>
    <t>2+600</t>
  </si>
  <si>
    <t>2+620</t>
  </si>
  <si>
    <t>2+640</t>
  </si>
  <si>
    <t>2+660</t>
  </si>
  <si>
    <t>2+680</t>
  </si>
  <si>
    <t>2+700</t>
  </si>
  <si>
    <t>2+720</t>
  </si>
  <si>
    <t>2+740</t>
  </si>
  <si>
    <t>2+760</t>
  </si>
  <si>
    <t>2+780</t>
  </si>
  <si>
    <t>2+800</t>
  </si>
  <si>
    <t>2+820</t>
  </si>
  <si>
    <t>2+840</t>
  </si>
  <si>
    <t>2+860</t>
  </si>
  <si>
    <t>2+880</t>
  </si>
  <si>
    <t>2+900</t>
  </si>
  <si>
    <t>2+920</t>
  </si>
  <si>
    <t>2+940</t>
  </si>
  <si>
    <t>2+960</t>
  </si>
  <si>
    <t>2+980</t>
  </si>
  <si>
    <t>3+000</t>
  </si>
  <si>
    <t>3+020</t>
  </si>
  <si>
    <t>3+040</t>
  </si>
  <si>
    <t>3+060</t>
  </si>
  <si>
    <t>3+080</t>
  </si>
  <si>
    <t>3+100</t>
  </si>
  <si>
    <t>3+120</t>
  </si>
  <si>
    <t>3+140</t>
  </si>
  <si>
    <t>3+160</t>
  </si>
  <si>
    <t>3+180</t>
  </si>
  <si>
    <t>3+200</t>
  </si>
  <si>
    <t>3+220</t>
  </si>
  <si>
    <t>3+240</t>
  </si>
  <si>
    <t>3+250.0</t>
  </si>
  <si>
    <t>1+044.1</t>
  </si>
  <si>
    <t>0+562.0</t>
  </si>
  <si>
    <t>2+025.1</t>
  </si>
  <si>
    <t>1+097.9</t>
  </si>
  <si>
    <t>0+984.8</t>
  </si>
  <si>
    <t>2+007.1</t>
  </si>
  <si>
    <t>1+556.7</t>
  </si>
  <si>
    <t>2+786.4</t>
  </si>
  <si>
    <t>0+877.8</t>
  </si>
  <si>
    <t>0+286.7</t>
  </si>
  <si>
    <t>2+780.6</t>
  </si>
  <si>
    <t>2+250.6</t>
  </si>
  <si>
    <t>0+745.6</t>
  </si>
  <si>
    <t>0+686.2</t>
  </si>
  <si>
    <t>3+260</t>
  </si>
  <si>
    <t>3+280</t>
  </si>
  <si>
    <t>3+300</t>
  </si>
  <si>
    <t>3+320</t>
  </si>
  <si>
    <t>3+340</t>
  </si>
  <si>
    <t>3+360</t>
  </si>
  <si>
    <t>3+380</t>
  </si>
  <si>
    <t>3+400</t>
  </si>
  <si>
    <t>3+420</t>
  </si>
  <si>
    <t>3+440</t>
  </si>
  <si>
    <t>3+460</t>
  </si>
  <si>
    <t>3+480</t>
  </si>
  <si>
    <t>3+500</t>
  </si>
  <si>
    <t>3+520</t>
  </si>
  <si>
    <t>3+540</t>
  </si>
  <si>
    <t>3+560</t>
  </si>
  <si>
    <t>3+580</t>
  </si>
  <si>
    <t>3+600</t>
  </si>
  <si>
    <t>3+620</t>
  </si>
  <si>
    <t>3+640</t>
  </si>
  <si>
    <t>3+660</t>
  </si>
  <si>
    <t>3+680</t>
  </si>
  <si>
    <t>3+700</t>
  </si>
  <si>
    <t>3+720</t>
  </si>
  <si>
    <t>3+740</t>
  </si>
  <si>
    <t>3+760</t>
  </si>
  <si>
    <t>3+780</t>
  </si>
  <si>
    <t>3+800</t>
  </si>
  <si>
    <t>3+820</t>
  </si>
  <si>
    <t>3+840</t>
  </si>
  <si>
    <t>3+860</t>
  </si>
  <si>
    <t>3+880</t>
  </si>
  <si>
    <t>3+900</t>
  </si>
  <si>
    <t>3+920</t>
  </si>
  <si>
    <t>3+940</t>
  </si>
  <si>
    <t>3+960</t>
  </si>
  <si>
    <t>3+980</t>
  </si>
  <si>
    <t>4+000</t>
  </si>
  <si>
    <t>4+020</t>
  </si>
  <si>
    <t>4+040</t>
  </si>
  <si>
    <t>4+060</t>
  </si>
  <si>
    <t>4+080</t>
  </si>
  <si>
    <t>4+100</t>
  </si>
  <si>
    <t>4+120</t>
  </si>
  <si>
    <t>4+140</t>
  </si>
  <si>
    <t>4+160</t>
  </si>
  <si>
    <t>4+180</t>
  </si>
  <si>
    <t>4+200</t>
  </si>
  <si>
    <t>4+220</t>
  </si>
  <si>
    <t>4+240</t>
  </si>
  <si>
    <t>4+260</t>
  </si>
  <si>
    <t>4+280</t>
  </si>
  <si>
    <t>4+300</t>
  </si>
  <si>
    <t>4+320</t>
  </si>
  <si>
    <t>4+340</t>
  </si>
  <si>
    <t>4+360</t>
  </si>
  <si>
    <t>4+380</t>
  </si>
  <si>
    <t>4+400</t>
  </si>
  <si>
    <t>4+420</t>
  </si>
  <si>
    <t>4+440</t>
  </si>
  <si>
    <t>4+460</t>
  </si>
  <si>
    <t>4+480</t>
  </si>
  <si>
    <t>4+500</t>
  </si>
  <si>
    <t>4+520</t>
  </si>
  <si>
    <t>4+540</t>
  </si>
  <si>
    <t>4+560</t>
  </si>
  <si>
    <t>4+580</t>
  </si>
  <si>
    <t>4+600</t>
  </si>
  <si>
    <t>4+620</t>
  </si>
  <si>
    <t>4+640</t>
  </si>
  <si>
    <t>4+660</t>
  </si>
  <si>
    <t>4+680</t>
  </si>
  <si>
    <t>4+700</t>
  </si>
  <si>
    <t>4+720</t>
  </si>
  <si>
    <t>4+740</t>
  </si>
  <si>
    <t>4+760</t>
  </si>
  <si>
    <t>4+780</t>
  </si>
  <si>
    <t>4+800</t>
  </si>
  <si>
    <t>4+820</t>
  </si>
  <si>
    <t>4+840</t>
  </si>
  <si>
    <t>4+860</t>
  </si>
  <si>
    <t>4+880</t>
  </si>
  <si>
    <t>4+888.5</t>
  </si>
  <si>
    <t>1+172.3</t>
  </si>
  <si>
    <t>1+175.2</t>
  </si>
  <si>
    <t>1+398.2</t>
  </si>
  <si>
    <t>0+251.6</t>
  </si>
  <si>
    <t>1+546.3</t>
  </si>
  <si>
    <t>1+487.9</t>
  </si>
  <si>
    <t>1+242.5</t>
  </si>
  <si>
    <t>1+252.0</t>
  </si>
  <si>
    <t>0+919.5</t>
  </si>
  <si>
    <t>1+566.6</t>
  </si>
  <si>
    <t>2+420.3</t>
  </si>
  <si>
    <t>2+028</t>
  </si>
  <si>
    <t>1+774.9</t>
  </si>
  <si>
    <t>1+942.4</t>
  </si>
  <si>
    <t>0+024.7</t>
  </si>
  <si>
    <t>0+052.8</t>
  </si>
  <si>
    <t>Class 200</t>
  </si>
  <si>
    <t>Class 150</t>
  </si>
  <si>
    <t>Class 100</t>
  </si>
  <si>
    <t>Nonstandard</t>
  </si>
  <si>
    <t>Standard</t>
  </si>
  <si>
    <t>N/A</t>
  </si>
  <si>
    <t>Aman</t>
  </si>
  <si>
    <t>Warning</t>
  </si>
  <si>
    <t>Overgrade</t>
  </si>
  <si>
    <t>Flat</t>
  </si>
  <si>
    <t>Tanjakan/Turunan</t>
  </si>
  <si>
    <t>Key</t>
  </si>
  <si>
    <t>Point</t>
  </si>
  <si>
    <t>Lebar_m</t>
  </si>
  <si>
    <t>Elevasi_RL</t>
  </si>
  <si>
    <t>Jl Bontang_0+000</t>
  </si>
  <si>
    <t>Jl Bontang_0+020</t>
  </si>
  <si>
    <t>Jl Bontang_0+040</t>
  </si>
  <si>
    <t>Jl Bontang_0+060</t>
  </si>
  <si>
    <t>Jl Bontang_0+080</t>
  </si>
  <si>
    <t>Jl Bontang_0+100</t>
  </si>
  <si>
    <t>Jl Bontang_0+120</t>
  </si>
  <si>
    <t>Jl Bontang_0+140</t>
  </si>
  <si>
    <t>Jl Bontang_0+160</t>
  </si>
  <si>
    <t>Jl Bontang_0+180</t>
  </si>
  <si>
    <t>Jl Bontang_0+200</t>
  </si>
  <si>
    <t>Jl Bontang_0+220</t>
  </si>
  <si>
    <t>Jl Bontang_0+240</t>
  </si>
  <si>
    <t>Jl Bontang_0+260</t>
  </si>
  <si>
    <t>Jl Bontang_0+280</t>
  </si>
  <si>
    <t>Jl Bontang_0+300</t>
  </si>
  <si>
    <t>Jl Bontang_0+320</t>
  </si>
  <si>
    <t>Jl Bontang_0+340</t>
  </si>
  <si>
    <t>Jl Bontang_0+360</t>
  </si>
  <si>
    <t>Jl Bontang_0+380</t>
  </si>
  <si>
    <t>Jl Bontang_0+400</t>
  </si>
  <si>
    <t>Jl Bontang_0+420</t>
  </si>
  <si>
    <t>Jl Bontang_0+440</t>
  </si>
  <si>
    <t>Jl Bontang_0+460</t>
  </si>
  <si>
    <t>Jl Bontang_0+480</t>
  </si>
  <si>
    <t>Jl Bontang_0+500</t>
  </si>
  <si>
    <t>Jl Bontang_0+520</t>
  </si>
  <si>
    <t>Jl Bontang_0+540</t>
  </si>
  <si>
    <t>Jl Bontang_0+560</t>
  </si>
  <si>
    <t>Jl Bontang_0+580</t>
  </si>
  <si>
    <t>Jl Bontang_0+600</t>
  </si>
  <si>
    <t>Jl Bontang_0+620</t>
  </si>
  <si>
    <t>Jl Bontang_0+640</t>
  </si>
  <si>
    <t>Jl Bontang_0+660</t>
  </si>
  <si>
    <t>Jl Bontang_0+680</t>
  </si>
  <si>
    <t>Jl Bontang_0+700</t>
  </si>
  <si>
    <t>Jl Bontang_0+720</t>
  </si>
  <si>
    <t>Jl Bontang_0+740</t>
  </si>
  <si>
    <t>Jl Bontang_0+760</t>
  </si>
  <si>
    <t>Jl Bontang_0+780</t>
  </si>
  <si>
    <t>Jl Bontang_0+800</t>
  </si>
  <si>
    <t>Jl Bontang_0+820</t>
  </si>
  <si>
    <t>Jl Bontang_0+840</t>
  </si>
  <si>
    <t>Jl Bontang_0+860</t>
  </si>
  <si>
    <t>Jl Bontang_0+880</t>
  </si>
  <si>
    <t>Jl Bontang_0+900</t>
  </si>
  <si>
    <t>Jl Bontang_0+920</t>
  </si>
  <si>
    <t>Jl Bontang_0+940</t>
  </si>
  <si>
    <t>Jl Bontang_0+960</t>
  </si>
  <si>
    <t>Jl Bontang_0+980</t>
  </si>
  <si>
    <t>Jl Bontang_1+000</t>
  </si>
  <si>
    <t>Jl Bontang_1+006.9</t>
  </si>
  <si>
    <t>Jl Sangatta_0+000</t>
  </si>
  <si>
    <t>Jl Sangatta_0+020</t>
  </si>
  <si>
    <t>Jl Sangatta_0+040</t>
  </si>
  <si>
    <t>Jl Sangatta_0+060</t>
  </si>
  <si>
    <t>Jl Sangatta_0+080</t>
  </si>
  <si>
    <t>Jl Sangatta_0+100</t>
  </si>
  <si>
    <t>Jl Sangatta_0+120</t>
  </si>
  <si>
    <t>Jl Sangatta_0+140</t>
  </si>
  <si>
    <t>Jl Sangatta_0+160</t>
  </si>
  <si>
    <t>Jl Sangatta_0+180</t>
  </si>
  <si>
    <t>Jl Sangatta_0+200</t>
  </si>
  <si>
    <t>Jl Sangatta_0+220</t>
  </si>
  <si>
    <t>Jl Sangatta_0+240</t>
  </si>
  <si>
    <t>Jl Sangatta_0+260</t>
  </si>
  <si>
    <t>Jl Sangatta_0+280</t>
  </si>
  <si>
    <t>Jl Sangatta_0+300</t>
  </si>
  <si>
    <t>Jl Sangatta_0+320</t>
  </si>
  <si>
    <t>Jl Sangatta_0+340</t>
  </si>
  <si>
    <t>Jl Sangatta_0+360</t>
  </si>
  <si>
    <t>Jl Sangatta_0+380</t>
  </si>
  <si>
    <t>Jl Sangatta_0+400</t>
  </si>
  <si>
    <t>Jl Sangatta_0+420</t>
  </si>
  <si>
    <t>Jl Sangatta_0+440</t>
  </si>
  <si>
    <t>Jl Sangatta_0+460</t>
  </si>
  <si>
    <t>Jl Sangatta_0+480</t>
  </si>
  <si>
    <t>Jl Sangatta_0+500</t>
  </si>
  <si>
    <t>Jl Sangatta_0+520</t>
  </si>
  <si>
    <t>Jl Sangatta_0+540</t>
  </si>
  <si>
    <t>Jl Sangatta_0+560</t>
  </si>
  <si>
    <t>Jl Sangatta_0+580</t>
  </si>
  <si>
    <t>Jl Sangatta_0+600</t>
  </si>
  <si>
    <t>Jl Sangatta_0+620</t>
  </si>
  <si>
    <t>Jl Sangatta_0+640</t>
  </si>
  <si>
    <t>Jl Sangatta_0+660</t>
  </si>
  <si>
    <t>Jl Sangatta_0+680</t>
  </si>
  <si>
    <t>Jl Sangatta_0+700</t>
  </si>
  <si>
    <t>Jl Sangatta_0+720</t>
  </si>
  <si>
    <t>Jl Sangatta_0+740</t>
  </si>
  <si>
    <t>Jl Sangatta_0+760</t>
  </si>
  <si>
    <t>Jl Sangatta_0+780</t>
  </si>
  <si>
    <t>Jl Sangatta_0+800</t>
  </si>
  <si>
    <t>Jl Sangatta_0+820</t>
  </si>
  <si>
    <t>Jl Sangatta_0+840</t>
  </si>
  <si>
    <t>Jl Sangatta_0+860</t>
  </si>
  <si>
    <t>Jl Sangatta_0+880</t>
  </si>
  <si>
    <t>Jl Sangatta_0+900</t>
  </si>
  <si>
    <t>Jl Sangatta_0+920</t>
  </si>
  <si>
    <t>Jl Sangatta_0+940</t>
  </si>
  <si>
    <t>Jl Sangatta_0+960</t>
  </si>
  <si>
    <t>Jl Sangatta_0+980</t>
  </si>
  <si>
    <t>Jl Sangatta_1+000</t>
  </si>
  <si>
    <t>Jl Sangatta_1+020</t>
  </si>
  <si>
    <t>Jl Sangatta_1+040</t>
  </si>
  <si>
    <t>Jl Sangatta_1+060</t>
  </si>
  <si>
    <t>Jl Sangatta_1+080</t>
  </si>
  <si>
    <t>Jl Sangatta_1+100</t>
  </si>
  <si>
    <t>Jl Sangatta_1+120</t>
  </si>
  <si>
    <t>Jl Sangatta_1+140</t>
  </si>
  <si>
    <t>Jl Sangatta_1+160</t>
  </si>
  <si>
    <t>Jl Sangatta_1+180</t>
  </si>
  <si>
    <t>Jl Sangatta_1+200</t>
  </si>
  <si>
    <t>Jl Sangatta_1+220</t>
  </si>
  <si>
    <t>Jl Sangatta_1+240</t>
  </si>
  <si>
    <t>Jl Sangatta_1+260</t>
  </si>
  <si>
    <t>Jl Sangatta_1+280</t>
  </si>
  <si>
    <t>Jl Sangatta_1+289.2</t>
  </si>
  <si>
    <t>Jl Makassar_0+000</t>
  </si>
  <si>
    <t>Jl Makassar_0+020</t>
  </si>
  <si>
    <t>Jl Makassar_0+040</t>
  </si>
  <si>
    <t>Jl Makassar_0+060</t>
  </si>
  <si>
    <t>Jl Makassar_0+080</t>
  </si>
  <si>
    <t>Jl Makassar_0+100</t>
  </si>
  <si>
    <t>Jl Makassar_0+120</t>
  </si>
  <si>
    <t>Jl Makassar_0+140</t>
  </si>
  <si>
    <t>Jl Makassar_0+160</t>
  </si>
  <si>
    <t>Jl Makassar_0+180</t>
  </si>
  <si>
    <t>Jl Makassar_0+200</t>
  </si>
  <si>
    <t>Jl Makassar_0+220</t>
  </si>
  <si>
    <t>Jl Makassar_0+240</t>
  </si>
  <si>
    <t>Jl Makassar_0+260</t>
  </si>
  <si>
    <t>Jl Makassar_0+280</t>
  </si>
  <si>
    <t>Jl Makassar_0+300</t>
  </si>
  <si>
    <t>Jl Makassar_0+320</t>
  </si>
  <si>
    <t>Jl Makassar_0+340</t>
  </si>
  <si>
    <t>Jl Makassar_0+360</t>
  </si>
  <si>
    <t>Jl Makassar_0+380</t>
  </si>
  <si>
    <t>Jl Makassar_0+400</t>
  </si>
  <si>
    <t>Jl Makassar_0+420</t>
  </si>
  <si>
    <t>Jl Makassar_0+440</t>
  </si>
  <si>
    <t>Jl Makassar_0+460</t>
  </si>
  <si>
    <t>Jl Makassar_0+480</t>
  </si>
  <si>
    <t>Jl Makassar_0+500</t>
  </si>
  <si>
    <t>Jl Makassar_0+520</t>
  </si>
  <si>
    <t>Jl Makassar_0+540</t>
  </si>
  <si>
    <t>Jl Makassar_0+560</t>
  </si>
  <si>
    <t>Jl Makassar_0+580</t>
  </si>
  <si>
    <t>Jl Makassar_0+600</t>
  </si>
  <si>
    <t>Jl Makassar_0+620</t>
  </si>
  <si>
    <t>Jl Makassar_0+640</t>
  </si>
  <si>
    <t>Jl Makassar_0+660</t>
  </si>
  <si>
    <t>Jl Makassar_0+680</t>
  </si>
  <si>
    <t>Jl Makassar_0+700</t>
  </si>
  <si>
    <t>Jl Makassar_0+720</t>
  </si>
  <si>
    <t>Jl Makassar_0+740</t>
  </si>
  <si>
    <t>Jl Makassar_0+760</t>
  </si>
  <si>
    <t>Jl Makassar_0+780</t>
  </si>
  <si>
    <t>Jl Makassar_0+800</t>
  </si>
  <si>
    <t>Jl Makassar_0+820</t>
  </si>
  <si>
    <t>Jl Makassar_0+840</t>
  </si>
  <si>
    <t>Jl Makassar_0+860</t>
  </si>
  <si>
    <t>Jl Makassar_0+880</t>
  </si>
  <si>
    <t>Jl Makassar_0+900</t>
  </si>
  <si>
    <t>Jl Makassar_0+920</t>
  </si>
  <si>
    <t>Jl Makassar_0+940</t>
  </si>
  <si>
    <t>Jl Makassar_0+960</t>
  </si>
  <si>
    <t>Jl Makassar_0+980</t>
  </si>
  <si>
    <t>Jl Makassar_1+000</t>
  </si>
  <si>
    <t>Jl Makassar_1+020</t>
  </si>
  <si>
    <t>Jl Makassar_1+040</t>
  </si>
  <si>
    <t>Jl Makassar_1+060</t>
  </si>
  <si>
    <t>Jl Makassar_1+080</t>
  </si>
  <si>
    <t>Jl Makassar_1+100</t>
  </si>
  <si>
    <t>Jl Makassar_1+120</t>
  </si>
  <si>
    <t>Jl Makassar_1+140</t>
  </si>
  <si>
    <t>Jl Makassar_1+160</t>
  </si>
  <si>
    <t>Jl Makassar_1+180</t>
  </si>
  <si>
    <t>Jl Makassar_1+200</t>
  </si>
  <si>
    <t>Jl Makassar_1+220</t>
  </si>
  <si>
    <t>Jl Makassar_1+240</t>
  </si>
  <si>
    <t>Jl Makassar_1+260</t>
  </si>
  <si>
    <t>Jl Makassar_1+280</t>
  </si>
  <si>
    <t>Jl Makassar_1+300</t>
  </si>
  <si>
    <t>Jl Makassar_1+320</t>
  </si>
  <si>
    <t>Jl Makassar_1+340</t>
  </si>
  <si>
    <t>Jl Makassar_1+360</t>
  </si>
  <si>
    <t>Jl Makassar_1+380</t>
  </si>
  <si>
    <t>Jl Makassar_1+400</t>
  </si>
  <si>
    <t>Jl Makassar_1+420</t>
  </si>
  <si>
    <t>Jl Makassar_1+440</t>
  </si>
  <si>
    <t>Jl Makassar_1+460</t>
  </si>
  <si>
    <t>Jl Makassar_1+480</t>
  </si>
  <si>
    <t>Jl Makassar_1+500</t>
  </si>
  <si>
    <t>Jl Makassar_1+520</t>
  </si>
  <si>
    <t>Jl Makassar_1+540</t>
  </si>
  <si>
    <t>Jl Makassar_1+560</t>
  </si>
  <si>
    <t>Jl Makassar_1+580</t>
  </si>
  <si>
    <t>Jl Makassar_1+600</t>
  </si>
  <si>
    <t>Jl Makassar_1+620</t>
  </si>
  <si>
    <t>Jl Makassar_1+640</t>
  </si>
  <si>
    <t>Jl Makassar_1+660</t>
  </si>
  <si>
    <t>Jl Makassar_1+680</t>
  </si>
  <si>
    <t>Jl Makassar_1+700</t>
  </si>
  <si>
    <t>Jl Makassar_1+720</t>
  </si>
  <si>
    <t>Jl Makassar_1+740</t>
  </si>
  <si>
    <t>Jl Makassar_1+760</t>
  </si>
  <si>
    <t>Jl Makassar_1+780</t>
  </si>
  <si>
    <t>Jl Makassar_1+800</t>
  </si>
  <si>
    <t>Jl Makassar_1+820</t>
  </si>
  <si>
    <t>Jl Makassar_1+840</t>
  </si>
  <si>
    <t>Jl Makassar_1+860</t>
  </si>
  <si>
    <t>Jl Makassar_1+880</t>
  </si>
  <si>
    <t>Jl Makassar_1+900</t>
  </si>
  <si>
    <t>Jl Makassar_1+920</t>
  </si>
  <si>
    <t>Jl Makassar_1+940</t>
  </si>
  <si>
    <t>Jl Makassar_1+960</t>
  </si>
  <si>
    <t>Jl Makassar_1+980</t>
  </si>
  <si>
    <t>Jl Makassar_2+000</t>
  </si>
  <si>
    <t>Jl Makassar_2+020</t>
  </si>
  <si>
    <t>Jl Makassar_2+040</t>
  </si>
  <si>
    <t>Jl Makassar_2+060</t>
  </si>
  <si>
    <t>Jl Makassar_2+080</t>
  </si>
  <si>
    <t>Jl Makassar_2+100</t>
  </si>
  <si>
    <t>Jl Makassar_2+120</t>
  </si>
  <si>
    <t>Jl Makassar_2+120.1</t>
  </si>
  <si>
    <t>Jl Banjarmasin Atas_0+000</t>
  </si>
  <si>
    <t>Jl Banjarmasin Atas_0+020</t>
  </si>
  <si>
    <t>Jl Banjarmasin Atas_0+040</t>
  </si>
  <si>
    <t>Jl Banjarmasin Atas_0+060</t>
  </si>
  <si>
    <t>Jl Banjarmasin Atas_0+080</t>
  </si>
  <si>
    <t>Jl Banjarmasin Atas_0+100</t>
  </si>
  <si>
    <t>Jl Banjarmasin Atas_0+120</t>
  </si>
  <si>
    <t>Jl Banjarmasin Atas_0+140</t>
  </si>
  <si>
    <t>Jl Banjarmasin Atas_0+160</t>
  </si>
  <si>
    <t>Jl Banjarmasin Atas_0+180</t>
  </si>
  <si>
    <t>Jl Banjarmasin Atas_0+200</t>
  </si>
  <si>
    <t>Jl Banjarmasin Atas_0+220</t>
  </si>
  <si>
    <t>Jl Banjarmasin Atas_0+240</t>
  </si>
  <si>
    <t>Jl Banjarmasin Atas_0+260</t>
  </si>
  <si>
    <t>Jl Banjarmasin Atas_0+280</t>
  </si>
  <si>
    <t>Jl Banjarmasin Atas_0+300</t>
  </si>
  <si>
    <t>Jl Banjarmasin Atas_0+320</t>
  </si>
  <si>
    <t>Jl Banjarmasin Atas_0+340</t>
  </si>
  <si>
    <t>Jl Banjarmasin Atas_0+360</t>
  </si>
  <si>
    <t>Jl Banjarmasin Atas_0+380</t>
  </si>
  <si>
    <t>Jl Banjarmasin Atas_0+400</t>
  </si>
  <si>
    <t>Jl Banjarmasin Atas_0+420</t>
  </si>
  <si>
    <t>Jl Banjarmasin Atas_0+440</t>
  </si>
  <si>
    <t>Jl Banjarmasin Atas_0+460</t>
  </si>
  <si>
    <t>Jl Banjarmasin Atas_0+480</t>
  </si>
  <si>
    <t>Jl Banjarmasin Atas_0+500</t>
  </si>
  <si>
    <t>Jl Banjarmasin Atas_0+520</t>
  </si>
  <si>
    <t>Jl Banjarmasin Atas_0+540</t>
  </si>
  <si>
    <t>Jl Banjarmasin Atas_0+560</t>
  </si>
  <si>
    <t>Jl Banjarmasin Atas_0+580</t>
  </si>
  <si>
    <t>Jl Banjarmasin Atas_0+600</t>
  </si>
  <si>
    <t>Jl Banjarmasin Atas_0+620</t>
  </si>
  <si>
    <t>Jl Banjarmasin Atas_0+640</t>
  </si>
  <si>
    <t>Jl Banjarmasin Atas_0+660</t>
  </si>
  <si>
    <t>Jl Banjarmasin Atas_0+680</t>
  </si>
  <si>
    <t>Jl Banjarmasin Atas_0+700</t>
  </si>
  <si>
    <t>Jl Banjarmasin Atas_0+720</t>
  </si>
  <si>
    <t>Jl Banjarmasin Atas_0+740</t>
  </si>
  <si>
    <t>Jl Banjarmasin Atas_0+760</t>
  </si>
  <si>
    <t>Jl Banjarmasin Atas_0+780</t>
  </si>
  <si>
    <t>Jl Banjarmasin Atas_0+800</t>
  </si>
  <si>
    <t>Jl Banjarmasin Atas_0+820</t>
  </si>
  <si>
    <t>Jl Banjarmasin Atas_0+840</t>
  </si>
  <si>
    <t>Jl Banjarmasin Atas_0+860</t>
  </si>
  <si>
    <t>Jl Banjarmasin Atas_0+873.6</t>
  </si>
  <si>
    <t>Jl BPP Ambon_0+000</t>
  </si>
  <si>
    <t>Jl BPP Ambon_0+020</t>
  </si>
  <si>
    <t>Jl BPP Ambon_0+040</t>
  </si>
  <si>
    <t>Jl BPP Ambon_0+060</t>
  </si>
  <si>
    <t>Jl BPP Ambon_0+080</t>
  </si>
  <si>
    <t>Jl BPP Ambon_0+100</t>
  </si>
  <si>
    <t>Jl BPP Ambon_0+120</t>
  </si>
  <si>
    <t>Jl BPP Ambon_0+140</t>
  </si>
  <si>
    <t>Jl BPP Ambon_0+160</t>
  </si>
  <si>
    <t>Jl BPP Ambon_0+180</t>
  </si>
  <si>
    <t>Jl BPP Ambon_0+200</t>
  </si>
  <si>
    <t>Jl BPP Ambon_0+220</t>
  </si>
  <si>
    <t>Jl BPP Ambon_0+240</t>
  </si>
  <si>
    <t>Jl BPP Ambon_0+260</t>
  </si>
  <si>
    <t>Jl BPP Ambon_0+280</t>
  </si>
  <si>
    <t>Jl BPP Ambon_0+300</t>
  </si>
  <si>
    <t>Jl BPP Ambon_0+320</t>
  </si>
  <si>
    <t>Jl BPP Ambon_0+340</t>
  </si>
  <si>
    <t>Jl BPP Ambon_0+360</t>
  </si>
  <si>
    <t>Jl BPP Ambon_0+380</t>
  </si>
  <si>
    <t>Jl BPP Ambon_0+400</t>
  </si>
  <si>
    <t>Jl BPP Ambon_0+420</t>
  </si>
  <si>
    <t>Jl BPP Ambon_0+440</t>
  </si>
  <si>
    <t>Jl BPP Ambon_0+460</t>
  </si>
  <si>
    <t>Jl BPP Ambon_0+480</t>
  </si>
  <si>
    <t>Jl BPP Ambon_0+500</t>
  </si>
  <si>
    <t>Jl BPP Ambon_0+520</t>
  </si>
  <si>
    <t>Jl BPP Ambon_0+540</t>
  </si>
  <si>
    <t>Jl BPP Ambon_0+560</t>
  </si>
  <si>
    <t>Jl BPP Ambon_0+580</t>
  </si>
  <si>
    <t>Jl BPP Ambon_0+600</t>
  </si>
  <si>
    <t>Jl BPP Ambon_0+620</t>
  </si>
  <si>
    <t>Jl BPP Ambon_0+640</t>
  </si>
  <si>
    <t>Jl BPP Ambon_0+660</t>
  </si>
  <si>
    <t>Jl BPP Ambon_0+680</t>
  </si>
  <si>
    <t>Jl BPP Ambon_0+700</t>
  </si>
  <si>
    <t>Jl BPP Ambon_0+720</t>
  </si>
  <si>
    <t>Jl BPP Ambon_0+740</t>
  </si>
  <si>
    <t>Jl BPP Ambon_0+760</t>
  </si>
  <si>
    <t>Jl BPP Ambon_0+780</t>
  </si>
  <si>
    <t>Jl BPP Ambon_0+800</t>
  </si>
  <si>
    <t>Jl BPP Ambon_0+820</t>
  </si>
  <si>
    <t>Jl BPP Ambon_0+840</t>
  </si>
  <si>
    <t>Jl BPP Ambon_0+860</t>
  </si>
  <si>
    <t>Jl BPP Ambon_0+880</t>
  </si>
  <si>
    <t>Jl BPP Ambon_0+900</t>
  </si>
  <si>
    <t>Jl BPP Ambon_0+920</t>
  </si>
  <si>
    <t>Jl BPP Ambon_0+940</t>
  </si>
  <si>
    <t>Jl BPP Ambon_0+960</t>
  </si>
  <si>
    <t>Jl BPP Ambon_0+980</t>
  </si>
  <si>
    <t>Jl BPP Ambon_1+000</t>
  </si>
  <si>
    <t>Jl BPP Ambon_1+020</t>
  </si>
  <si>
    <t>Jl BPP Ambon_1+040</t>
  </si>
  <si>
    <t>Jl BPP Ambon_1+060</t>
  </si>
  <si>
    <t>Jl BPP Ambon_1+080</t>
  </si>
  <si>
    <t>Jl BPP Ambon_1+100</t>
  </si>
  <si>
    <t>Jl BPP Ambon_1+120</t>
  </si>
  <si>
    <t>Jl BPP Ambon_1+140</t>
  </si>
  <si>
    <t>Jl BPP Ambon_1+160</t>
  </si>
  <si>
    <t>Jl BPP Ambon_1+180</t>
  </si>
  <si>
    <t>Jl BPP Ambon_1+200</t>
  </si>
  <si>
    <t>Jl BPP Ambon_1+220</t>
  </si>
  <si>
    <t>Jl BPP Ambon_1+240</t>
  </si>
  <si>
    <t>Jl BPP Ambon_1+260</t>
  </si>
  <si>
    <t>Jl BPP Ambon_1+280</t>
  </si>
  <si>
    <t>Jl BPP Ambon_1+300</t>
  </si>
  <si>
    <t>Jl BPP Ambon_1+301.4</t>
  </si>
  <si>
    <t>Jl Flores New_0+000</t>
  </si>
  <si>
    <t>Jl Flores New_0+020</t>
  </si>
  <si>
    <t>Jl Flores New_0+040</t>
  </si>
  <si>
    <t>Jl Flores New_0+060</t>
  </si>
  <si>
    <t>Jl Flores New_0+080</t>
  </si>
  <si>
    <t>Jl Flores New_0+100</t>
  </si>
  <si>
    <t>Jl Flores New_0+120</t>
  </si>
  <si>
    <t>Jl Flores New_0+140</t>
  </si>
  <si>
    <t>Jl Flores New_0+160</t>
  </si>
  <si>
    <t>Jl Flores New_0+180</t>
  </si>
  <si>
    <t>Jl Flores New_0+200</t>
  </si>
  <si>
    <t>Jl Flores New_0+220</t>
  </si>
  <si>
    <t>Jl Flores New_0+240</t>
  </si>
  <si>
    <t>Jl Flores New_0+260</t>
  </si>
  <si>
    <t>Jl Flores New_0+280</t>
  </si>
  <si>
    <t>Jl Flores New_0+300</t>
  </si>
  <si>
    <t>Jl Flores New_0+320</t>
  </si>
  <si>
    <t>Jl Flores New_0+340</t>
  </si>
  <si>
    <t>Jl Flores New_0+360</t>
  </si>
  <si>
    <t>Jl Flores New_0+380</t>
  </si>
  <si>
    <t>Jl Flores New_0+400</t>
  </si>
  <si>
    <t>Jl Flores New_0+420</t>
  </si>
  <si>
    <t>Jl Flores New_0+440</t>
  </si>
  <si>
    <t>Jl Flores New_0+460</t>
  </si>
  <si>
    <t>Jl Flores New_0+480</t>
  </si>
  <si>
    <t>Jl Flores New_0+500</t>
  </si>
  <si>
    <t>Jl Flores New_0+520</t>
  </si>
  <si>
    <t>Jl Flores New_0+540</t>
  </si>
  <si>
    <t>Jl Flores New_0+560</t>
  </si>
  <si>
    <t>Jl Flores New_0+580</t>
  </si>
  <si>
    <t>Jl Flores New_0+600</t>
  </si>
  <si>
    <t>Jl Flores New_0+620</t>
  </si>
  <si>
    <t>Jl Flores New_0+640</t>
  </si>
  <si>
    <t>Jl Flores New_0+660</t>
  </si>
  <si>
    <t>Jl Flores New_0+680</t>
  </si>
  <si>
    <t>Jl Flores New_0+700</t>
  </si>
  <si>
    <t>Jl Flores New_0+720</t>
  </si>
  <si>
    <t>Jl Flores New_0+740</t>
  </si>
  <si>
    <t>Jl Flores New_0+760</t>
  </si>
  <si>
    <t>Jl Flores New_0+780</t>
  </si>
  <si>
    <t>Jl Flores New_0+800</t>
  </si>
  <si>
    <t>Jl Flores New_0+820</t>
  </si>
  <si>
    <t>Jl Flores New_0+840</t>
  </si>
  <si>
    <t>Jl Flores New_0+860</t>
  </si>
  <si>
    <t>Jl Flores New_0+880</t>
  </si>
  <si>
    <t>Jl Flores New_0+900</t>
  </si>
  <si>
    <t>Jl Flores New_0+920</t>
  </si>
  <si>
    <t>Jl Flores New_0+940</t>
  </si>
  <si>
    <t>Jl Flores New_0+960</t>
  </si>
  <si>
    <t>Jl Flores New_0+980</t>
  </si>
  <si>
    <t>Jl Flores New_1+000</t>
  </si>
  <si>
    <t>Jl Flores New_1+020</t>
  </si>
  <si>
    <t>Jl Flores New_1+040</t>
  </si>
  <si>
    <t>Jl Flores New_1+060</t>
  </si>
  <si>
    <t>Jl Flores New_1+080</t>
  </si>
  <si>
    <t>Jl Flores New_1+100</t>
  </si>
  <si>
    <t>Jl Flores New_1+120</t>
  </si>
  <si>
    <t>Jl Flores New_1+140</t>
  </si>
  <si>
    <t>Jl Flores New_1+160</t>
  </si>
  <si>
    <t>Jl Flores New_1+180</t>
  </si>
  <si>
    <t>Jl Flores New_1+200</t>
  </si>
  <si>
    <t>Jl Flores New_1+220</t>
  </si>
  <si>
    <t>Jl Flores New_1+240</t>
  </si>
  <si>
    <t>Jl Flores New_1+260</t>
  </si>
  <si>
    <t>Jl Flores New_1+280</t>
  </si>
  <si>
    <t>Jl Flores New_1+300</t>
  </si>
  <si>
    <t>Jl Flores New_1+320</t>
  </si>
  <si>
    <t>Jl Flores New_1+340</t>
  </si>
  <si>
    <t>Jl Flores New_1+360</t>
  </si>
  <si>
    <t>Jl Flores New_1+380</t>
  </si>
  <si>
    <t>Jl Flores New_1+400</t>
  </si>
  <si>
    <t>Jl Flores New_1+420</t>
  </si>
  <si>
    <t>Jl Flores New_1+440</t>
  </si>
  <si>
    <t>Jl Flores New_1+460</t>
  </si>
  <si>
    <t>Jl Flores New_1+465.3</t>
  </si>
  <si>
    <t>Jl Binjai_0+000</t>
  </si>
  <si>
    <t>Jl Binjai_0+020</t>
  </si>
  <si>
    <t>Jl Binjai_0+040</t>
  </si>
  <si>
    <t>Jl Binjai_0+060</t>
  </si>
  <si>
    <t>Jl Binjai_0+080</t>
  </si>
  <si>
    <t>Jl Binjai_0+100</t>
  </si>
  <si>
    <t>Jl Binjai_0+120</t>
  </si>
  <si>
    <t>Jl Binjai_0+140</t>
  </si>
  <si>
    <t>Jl Binjai_0+160</t>
  </si>
  <si>
    <t>Jl Binjai_0+180</t>
  </si>
  <si>
    <t>Jl Binjai_0+200</t>
  </si>
  <si>
    <t>Jl Binjai_0+220</t>
  </si>
  <si>
    <t>Jl Binjai_0+240</t>
  </si>
  <si>
    <t>Jl Binjai_0+260</t>
  </si>
  <si>
    <t>Jl Binjai_0+280</t>
  </si>
  <si>
    <t>Jl Binjai_0+300</t>
  </si>
  <si>
    <t>Jl Binjai_0+320</t>
  </si>
  <si>
    <t>Jl Binjai_0+340</t>
  </si>
  <si>
    <t>Jl Binjai_0+360</t>
  </si>
  <si>
    <t>Jl Binjai_0+380</t>
  </si>
  <si>
    <t>Jl Binjai_0+400</t>
  </si>
  <si>
    <t>Jl Binjai_0+420</t>
  </si>
  <si>
    <t>Jl Binjai_0+440</t>
  </si>
  <si>
    <t>Jl Binjai_0+460</t>
  </si>
  <si>
    <t>Jl Binjai_0+480</t>
  </si>
  <si>
    <t>Jl Binjai_0+500</t>
  </si>
  <si>
    <t>Jl Binjai_0+520</t>
  </si>
  <si>
    <t>Jl Binjai_0+540</t>
  </si>
  <si>
    <t>Jl Binjai_0+560</t>
  </si>
  <si>
    <t>Jl Binjai_0+580</t>
  </si>
  <si>
    <t>Jl Binjai_0+600</t>
  </si>
  <si>
    <t>Jl Binjai_0+620</t>
  </si>
  <si>
    <t>Jl Binjai_0+640</t>
  </si>
  <si>
    <t>Jl Binjai_0+660</t>
  </si>
  <si>
    <t>Jl Binjai_0+680</t>
  </si>
  <si>
    <t>Jl Binjai_0+700</t>
  </si>
  <si>
    <t>Jl Binjai_0+720</t>
  </si>
  <si>
    <t>Jl Binjai_0+740</t>
  </si>
  <si>
    <t>Jl Binjai_0+760</t>
  </si>
  <si>
    <t>Jl Binjai_0+780</t>
  </si>
  <si>
    <t>Jl Binjai_0+800</t>
  </si>
  <si>
    <t>Jl Binjai_0+820</t>
  </si>
  <si>
    <t>Jl Binjai_0+840</t>
  </si>
  <si>
    <t>Jl Binjai_0+860</t>
  </si>
  <si>
    <t>Jl Binjai_0+880</t>
  </si>
  <si>
    <t>Jl Binjai_0+900</t>
  </si>
  <si>
    <t>Jl Binjai_0+920</t>
  </si>
  <si>
    <t>Jl Binjai_0+940</t>
  </si>
  <si>
    <t>Jl Binjai_0+960</t>
  </si>
  <si>
    <t>Jl Binjai_0+980</t>
  </si>
  <si>
    <t>Jl Binjai_1+000</t>
  </si>
  <si>
    <t>Jl Binjai_1+001.1</t>
  </si>
  <si>
    <t>Jl Medan_0+000</t>
  </si>
  <si>
    <t>Jl Medan_0+020</t>
  </si>
  <si>
    <t>Jl Medan_0+040</t>
  </si>
  <si>
    <t>Jl Medan_0+060</t>
  </si>
  <si>
    <t>Jl Medan_0+080</t>
  </si>
  <si>
    <t>Jl Medan_0+100</t>
  </si>
  <si>
    <t>Jl Medan_0+120</t>
  </si>
  <si>
    <t>Jl Medan_0+140</t>
  </si>
  <si>
    <t>Jl Medan_0+160</t>
  </si>
  <si>
    <t>Jl Medan_0+180</t>
  </si>
  <si>
    <t>Jl Medan_0+200</t>
  </si>
  <si>
    <t>Jl Medan_0+220</t>
  </si>
  <si>
    <t>Jl Medan_0+240</t>
  </si>
  <si>
    <t>Jl Medan_0+260</t>
  </si>
  <si>
    <t>Jl Medan_0+280</t>
  </si>
  <si>
    <t>Jl Medan_0+300</t>
  </si>
  <si>
    <t>Jl Medan_0+320</t>
  </si>
  <si>
    <t>Jl Medan_0+340</t>
  </si>
  <si>
    <t>Jl Medan_0+360</t>
  </si>
  <si>
    <t>Jl Medan_0+380</t>
  </si>
  <si>
    <t>Jl Medan_0+400</t>
  </si>
  <si>
    <t>Jl Medan_0+420</t>
  </si>
  <si>
    <t>Jl Medan_0+440</t>
  </si>
  <si>
    <t>Jl Medan_0+460</t>
  </si>
  <si>
    <t>Jl Medan_0+480</t>
  </si>
  <si>
    <t>Jl Medan_0+500</t>
  </si>
  <si>
    <t>Jl Medan_0+520</t>
  </si>
  <si>
    <t>Jl Medan_0+540</t>
  </si>
  <si>
    <t>Jl Medan_0+560</t>
  </si>
  <si>
    <t>Jl Medan_0+580</t>
  </si>
  <si>
    <t>Jl Medan_0+600</t>
  </si>
  <si>
    <t>Jl Medan_0+620</t>
  </si>
  <si>
    <t>Jl Medan_0+640</t>
  </si>
  <si>
    <t>Jl Medan_0+660</t>
  </si>
  <si>
    <t>Jl Medan_0+680</t>
  </si>
  <si>
    <t>Jl Medan_0+700</t>
  </si>
  <si>
    <t>Jl Medan_0+720</t>
  </si>
  <si>
    <t>Jl Medan_0+740</t>
  </si>
  <si>
    <t>Jl Medan_0+760</t>
  </si>
  <si>
    <t>Jl Medan_0+780</t>
  </si>
  <si>
    <t>Jl Medan_0+800</t>
  </si>
  <si>
    <t>Jl Medan_0+820</t>
  </si>
  <si>
    <t>Jl Medan_0+840</t>
  </si>
  <si>
    <t>Jl Medan_0+860</t>
  </si>
  <si>
    <t>Jl Medan_0+880</t>
  </si>
  <si>
    <t>Jl Medan_0+900</t>
  </si>
  <si>
    <t>Jl Medan_0+920</t>
  </si>
  <si>
    <t>Jl Medan_0+940</t>
  </si>
  <si>
    <t>Jl Medan_0+960</t>
  </si>
  <si>
    <t>Jl Medan_0+980</t>
  </si>
  <si>
    <t>Jl Medan_1+000</t>
  </si>
  <si>
    <t>Jl Medan_1+020</t>
  </si>
  <si>
    <t>Jl Medan_1+040</t>
  </si>
  <si>
    <t>Jl Medan_1+060</t>
  </si>
  <si>
    <t>Jl Medan_1+080</t>
  </si>
  <si>
    <t>Jl Medan_1+100</t>
  </si>
  <si>
    <t>Jl Medan_1+120</t>
  </si>
  <si>
    <t>Jl Medan_1+140</t>
  </si>
  <si>
    <t>Jl Medan_1+160</t>
  </si>
  <si>
    <t>Jl Medan_1+180</t>
  </si>
  <si>
    <t>Jl Medan_1+200</t>
  </si>
  <si>
    <t>Jl Medan_1+220</t>
  </si>
  <si>
    <t>Jl Medan_1+240</t>
  </si>
  <si>
    <t>Jl Medan_1+260</t>
  </si>
  <si>
    <t>Jl Medan_1+280</t>
  </si>
  <si>
    <t>Jl Medan_1+300</t>
  </si>
  <si>
    <t>Jl Medan_1+320</t>
  </si>
  <si>
    <t>Jl Medan_1+340</t>
  </si>
  <si>
    <t>Jl Medan_1+360</t>
  </si>
  <si>
    <t>Jl Medan_1+380</t>
  </si>
  <si>
    <t>Jl Medan_1+400</t>
  </si>
  <si>
    <t>Jl Medan_1+420</t>
  </si>
  <si>
    <t>Jl Medan_1+440</t>
  </si>
  <si>
    <t>Jl Medan_1+460</t>
  </si>
  <si>
    <t>Jl Medan_1+480</t>
  </si>
  <si>
    <t>Jl Medan_1+500</t>
  </si>
  <si>
    <t>Jl Medan_1+520</t>
  </si>
  <si>
    <t>Jl Medan_1+540</t>
  </si>
  <si>
    <t>Jl Medan_1+560</t>
  </si>
  <si>
    <t>Jl Medan_1+580</t>
  </si>
  <si>
    <t>Jl Medan_1+600</t>
  </si>
  <si>
    <t>Jl Medan_1+620</t>
  </si>
  <si>
    <t>Jl Medan_1+640</t>
  </si>
  <si>
    <t>Jl Medan_1+660</t>
  </si>
  <si>
    <t>Jl Medan_1+680</t>
  </si>
  <si>
    <t>Jl Medan_1+700</t>
  </si>
  <si>
    <t>Jl Medan_1+720</t>
  </si>
  <si>
    <t>Jl Medan_1+740</t>
  </si>
  <si>
    <t>Jl Medan_1+760</t>
  </si>
  <si>
    <t>Jl Medan_1+780</t>
  </si>
  <si>
    <t>Jl Medan_1+800</t>
  </si>
  <si>
    <t>Jl Medan_1+820</t>
  </si>
  <si>
    <t>Jl Medan_1+840</t>
  </si>
  <si>
    <t>Jl Medan_1+860</t>
  </si>
  <si>
    <t>Jl Medan_1+880</t>
  </si>
  <si>
    <t>Jl Medan_1+900</t>
  </si>
  <si>
    <t>Jl Medan_1+920</t>
  </si>
  <si>
    <t>Jl Medan_1+940</t>
  </si>
  <si>
    <t>Jl Medan_1+960</t>
  </si>
  <si>
    <t>Jl Medan_1+980</t>
  </si>
  <si>
    <t>Jl Medan_2+000</t>
  </si>
  <si>
    <t>Jl Medan_2+020</t>
  </si>
  <si>
    <t>Jl Medan_2+040</t>
  </si>
  <si>
    <t>Jl Medan_2+060</t>
  </si>
  <si>
    <t>Jl Medan_2+080</t>
  </si>
  <si>
    <t>Jl Medan_2+100</t>
  </si>
  <si>
    <t>Jl Medan_2+120</t>
  </si>
  <si>
    <t>Jl Medan_2+140</t>
  </si>
  <si>
    <t>Jl Medan_2+160</t>
  </si>
  <si>
    <t>Jl Medan_2+180</t>
  </si>
  <si>
    <t>Jl Medan_2+200</t>
  </si>
  <si>
    <t>Jl Medan_2+220</t>
  </si>
  <si>
    <t>Jl Medan_2+240</t>
  </si>
  <si>
    <t>Jl Medan_2+260</t>
  </si>
  <si>
    <t>Jl Medan_2+280</t>
  </si>
  <si>
    <t>Jl Medan_2+300</t>
  </si>
  <si>
    <t>Jl Medan_2+320</t>
  </si>
  <si>
    <t>Jl Medan_2+340</t>
  </si>
  <si>
    <t>Jl Medan_2+360</t>
  </si>
  <si>
    <t>Jl Medan_2+380</t>
  </si>
  <si>
    <t>Jl Medan_2+400</t>
  </si>
  <si>
    <t>Jl Medan_2+420</t>
  </si>
  <si>
    <t>Jl Medan_2+440</t>
  </si>
  <si>
    <t>Jl Medan_2+460</t>
  </si>
  <si>
    <t>Jl Medan_2+480</t>
  </si>
  <si>
    <t>Jl Medan_2+500</t>
  </si>
  <si>
    <t>Jl Medan_2+520</t>
  </si>
  <si>
    <t>Jl Medan_2+540</t>
  </si>
  <si>
    <t>Jl Medan_2+560</t>
  </si>
  <si>
    <t>Jl Medan_2+580</t>
  </si>
  <si>
    <t>Jl Medan_2+600</t>
  </si>
  <si>
    <t>Jl Medan_2+620</t>
  </si>
  <si>
    <t>Jl Medan_2+640</t>
  </si>
  <si>
    <t>Jl Medan_2+660</t>
  </si>
  <si>
    <t>Jl Medan_2+680</t>
  </si>
  <si>
    <t>Jl Medan_2+700</t>
  </si>
  <si>
    <t>Jl Medan_2+720</t>
  </si>
  <si>
    <t>Jl Medan_2+740</t>
  </si>
  <si>
    <t>Jl Medan_2+760</t>
  </si>
  <si>
    <t>Jl Medan_2+780</t>
  </si>
  <si>
    <t>Jl Medan_2+800</t>
  </si>
  <si>
    <t>Jl Medan_2+820</t>
  </si>
  <si>
    <t>Jl Medan_2+840</t>
  </si>
  <si>
    <t>Jl Medan_2+860</t>
  </si>
  <si>
    <t>Jl Medan_2+880</t>
  </si>
  <si>
    <t>Jl Medan_2+900</t>
  </si>
  <si>
    <t>Jl Medan_2+920</t>
  </si>
  <si>
    <t>Jl Medan_2+940</t>
  </si>
  <si>
    <t>Jl Medan_2+960</t>
  </si>
  <si>
    <t>Jl Medan_2+980</t>
  </si>
  <si>
    <t>Jl Medan_3+000</t>
  </si>
  <si>
    <t>Jl Medan_3+020</t>
  </si>
  <si>
    <t>Jl Medan_3+040</t>
  </si>
  <si>
    <t>Jl Medan_3+060</t>
  </si>
  <si>
    <t>Jl Medan_3+080</t>
  </si>
  <si>
    <t>Jl Medan_3+100</t>
  </si>
  <si>
    <t>Jl Medan_3+120</t>
  </si>
  <si>
    <t>Jl Medan_3+140</t>
  </si>
  <si>
    <t>Jl Medan_3+160</t>
  </si>
  <si>
    <t>Jl Medan_3+180</t>
  </si>
  <si>
    <t>Jl Medan_3+200</t>
  </si>
  <si>
    <t>Jl Medan_3+220</t>
  </si>
  <si>
    <t>Jl Medan_3+240</t>
  </si>
  <si>
    <t>Jl Medan_3+250.0</t>
  </si>
  <si>
    <t>Jl Bone_0+000</t>
  </si>
  <si>
    <t>Jl Bone_0+020</t>
  </si>
  <si>
    <t>Jl Bone_0+040</t>
  </si>
  <si>
    <t>Jl Bone_0+060</t>
  </si>
  <si>
    <t>Jl Bone_0+080</t>
  </si>
  <si>
    <t>Jl Bone_0+100</t>
  </si>
  <si>
    <t>Jl Bone_0+120</t>
  </si>
  <si>
    <t>Jl Bone_0+140</t>
  </si>
  <si>
    <t>Jl Bone_0+160</t>
  </si>
  <si>
    <t>Jl Bone_0+180</t>
  </si>
  <si>
    <t>Jl Bone_0+200</t>
  </si>
  <si>
    <t>Jl Bone_0+220</t>
  </si>
  <si>
    <t>Jl Bone_0+240</t>
  </si>
  <si>
    <t>Jl Bone_0+260</t>
  </si>
  <si>
    <t>Jl Bone_0+280</t>
  </si>
  <si>
    <t>Jl Bone_0+300</t>
  </si>
  <si>
    <t>Jl Bone_0+320</t>
  </si>
  <si>
    <t>Jl Bone_0+340</t>
  </si>
  <si>
    <t>Jl Bone_0+360</t>
  </si>
  <si>
    <t>Jl Bone_0+380</t>
  </si>
  <si>
    <t>Jl Bone_0+400</t>
  </si>
  <si>
    <t>Jl Bone_0+420</t>
  </si>
  <si>
    <t>Jl Bone_0+440</t>
  </si>
  <si>
    <t>Jl Bone_0+460</t>
  </si>
  <si>
    <t>Jl Bone_0+480</t>
  </si>
  <si>
    <t>Jl Bone_0+500</t>
  </si>
  <si>
    <t>Jl Bone_0+520</t>
  </si>
  <si>
    <t>Jl Bone_0+540</t>
  </si>
  <si>
    <t>Jl Bone_0+560</t>
  </si>
  <si>
    <t>Jl Bone_0+580</t>
  </si>
  <si>
    <t>Jl Bone_0+600</t>
  </si>
  <si>
    <t>Jl Bone_0+620</t>
  </si>
  <si>
    <t>Jl Bone_0+640</t>
  </si>
  <si>
    <t>Jl Bone_0+660</t>
  </si>
  <si>
    <t>Jl Bone_0+680</t>
  </si>
  <si>
    <t>Jl Bone_0+700</t>
  </si>
  <si>
    <t>Jl Bone_0+720</t>
  </si>
  <si>
    <t>Jl Bone_0+740</t>
  </si>
  <si>
    <t>Jl Bone_0+760</t>
  </si>
  <si>
    <t>Jl Bone_0+780</t>
  </si>
  <si>
    <t>Jl Bone_0+800</t>
  </si>
  <si>
    <t>Jl Bone_0+820</t>
  </si>
  <si>
    <t>Jl Bone_0+840</t>
  </si>
  <si>
    <t>Jl Bone_0+860</t>
  </si>
  <si>
    <t>Jl Bone_0+880</t>
  </si>
  <si>
    <t>Jl Bone_0+900</t>
  </si>
  <si>
    <t>Jl Bone_0+920</t>
  </si>
  <si>
    <t>Jl Bone_0+940</t>
  </si>
  <si>
    <t>Jl Bone_0+960</t>
  </si>
  <si>
    <t>Jl Bone_0+980</t>
  </si>
  <si>
    <t>Jl Bone_1+000</t>
  </si>
  <si>
    <t>Jl Bone_1+020</t>
  </si>
  <si>
    <t>Jl Bone_1+040</t>
  </si>
  <si>
    <t>Jl Bone_1+044.1</t>
  </si>
  <si>
    <t>Jl Denpasar_0+000</t>
  </si>
  <si>
    <t>Jl Denpasar_0+020</t>
  </si>
  <si>
    <t>Jl Denpasar_0+040</t>
  </si>
  <si>
    <t>Jl Denpasar_0+060</t>
  </si>
  <si>
    <t>Jl Denpasar_0+080</t>
  </si>
  <si>
    <t>Jl Denpasar_0+100</t>
  </si>
  <si>
    <t>Jl Denpasar_0+120</t>
  </si>
  <si>
    <t>Jl Denpasar_0+140</t>
  </si>
  <si>
    <t>Jl Denpasar_0+160</t>
  </si>
  <si>
    <t>Jl Denpasar_0+180</t>
  </si>
  <si>
    <t>Jl Denpasar_0+200</t>
  </si>
  <si>
    <t>Jl Denpasar_0+220</t>
  </si>
  <si>
    <t>Jl Denpasar_0+240</t>
  </si>
  <si>
    <t>Jl Denpasar_0+260</t>
  </si>
  <si>
    <t>Jl Denpasar_0+280</t>
  </si>
  <si>
    <t>Jl Denpasar_0+300</t>
  </si>
  <si>
    <t>Jl Denpasar_0+320</t>
  </si>
  <si>
    <t>Jl Denpasar_0+340</t>
  </si>
  <si>
    <t>Jl Denpasar_0+360</t>
  </si>
  <si>
    <t>Jl Denpasar_0+380</t>
  </si>
  <si>
    <t>Jl Denpasar_0+400</t>
  </si>
  <si>
    <t>Jl Denpasar_0+420</t>
  </si>
  <si>
    <t>Jl Denpasar_0+440</t>
  </si>
  <si>
    <t>Jl Denpasar_0+460</t>
  </si>
  <si>
    <t>Jl Denpasar_0+480</t>
  </si>
  <si>
    <t>Jl Denpasar_0+500</t>
  </si>
  <si>
    <t>Jl Denpasar_0+520</t>
  </si>
  <si>
    <t>Jl Denpasar_0+540</t>
  </si>
  <si>
    <t>Jl Denpasar_0+560</t>
  </si>
  <si>
    <t>Jl Denpasar_0+562.0</t>
  </si>
  <si>
    <t>Jl Subang_0+000</t>
  </si>
  <si>
    <t>Jl Subang_0+020</t>
  </si>
  <si>
    <t>Jl Subang_0+040</t>
  </si>
  <si>
    <t>Jl Subang_0+060</t>
  </si>
  <si>
    <t>Jl Subang_0+080</t>
  </si>
  <si>
    <t>Jl Subang_0+100</t>
  </si>
  <si>
    <t>Jl Subang_0+120</t>
  </si>
  <si>
    <t>Jl Subang_0+140</t>
  </si>
  <si>
    <t>Jl Subang_0+160</t>
  </si>
  <si>
    <t>Jl Subang_0+180</t>
  </si>
  <si>
    <t>Jl Subang_0+200</t>
  </si>
  <si>
    <t>Jl Subang_0+220</t>
  </si>
  <si>
    <t>Jl Subang_0+240</t>
  </si>
  <si>
    <t>Jl Subang_0+260</t>
  </si>
  <si>
    <t>Jl Subang_0+280</t>
  </si>
  <si>
    <t>Jl Subang_0+300</t>
  </si>
  <si>
    <t>Jl Subang_0+320</t>
  </si>
  <si>
    <t>Jl Subang_0+340</t>
  </si>
  <si>
    <t>Jl Subang_0+360</t>
  </si>
  <si>
    <t>Jl Subang_0+380</t>
  </si>
  <si>
    <t>Jl Subang_0+400</t>
  </si>
  <si>
    <t>Jl Subang_0+420</t>
  </si>
  <si>
    <t>Jl Subang_0+440</t>
  </si>
  <si>
    <t>Jl Subang_0+460</t>
  </si>
  <si>
    <t>Jl Subang_0+480</t>
  </si>
  <si>
    <t>Jl Subang_0+500</t>
  </si>
  <si>
    <t>Jl Subang_0+520</t>
  </si>
  <si>
    <t>Jl Subang_0+540</t>
  </si>
  <si>
    <t>Jl Subang_0+560</t>
  </si>
  <si>
    <t>Jl Subang_0+580</t>
  </si>
  <si>
    <t>Jl Subang_0+600</t>
  </si>
  <si>
    <t>Jl Subang_0+620</t>
  </si>
  <si>
    <t>Jl Subang_0+640</t>
  </si>
  <si>
    <t>Jl Subang_0+660</t>
  </si>
  <si>
    <t>Jl Subang_0+680</t>
  </si>
  <si>
    <t>Jl Subang_0+700</t>
  </si>
  <si>
    <t>Jl Subang_0+720</t>
  </si>
  <si>
    <t>Jl Subang_0+740</t>
  </si>
  <si>
    <t>Jl Subang_0+760</t>
  </si>
  <si>
    <t>Jl Subang_0+780</t>
  </si>
  <si>
    <t>Jl Subang_0+800</t>
  </si>
  <si>
    <t>Jl Subang_0+820</t>
  </si>
  <si>
    <t>Jl Subang_0+840</t>
  </si>
  <si>
    <t>Jl Subang_0+860</t>
  </si>
  <si>
    <t>Jl Subang_0+880</t>
  </si>
  <si>
    <t>Jl Subang_0+900</t>
  </si>
  <si>
    <t>Jl Subang_0+920</t>
  </si>
  <si>
    <t>Jl Subang_0+940</t>
  </si>
  <si>
    <t>Jl Subang_0+960</t>
  </si>
  <si>
    <t>Jl Subang_0+980</t>
  </si>
  <si>
    <t>Jl Subang_1+000</t>
  </si>
  <si>
    <t>Jl Subang_1+020</t>
  </si>
  <si>
    <t>Jl Subang_1+040</t>
  </si>
  <si>
    <t>Jl Subang_1+060</t>
  </si>
  <si>
    <t>Jl Subang_1+080</t>
  </si>
  <si>
    <t>Jl Subang_1+100</t>
  </si>
  <si>
    <t>Jl Subang_1+120</t>
  </si>
  <si>
    <t>Jl Subang_1+140</t>
  </si>
  <si>
    <t>Jl Subang_1+160</t>
  </si>
  <si>
    <t>Jl Subang_1+180</t>
  </si>
  <si>
    <t>Jl Subang_1+200</t>
  </si>
  <si>
    <t>Jl Subang_1+220</t>
  </si>
  <si>
    <t>Jl Subang_1+240</t>
  </si>
  <si>
    <t>Jl Subang_1+260</t>
  </si>
  <si>
    <t>Jl Subang_1+280</t>
  </si>
  <si>
    <t>Jl Subang_1+300</t>
  </si>
  <si>
    <t>Jl Subang_1+320</t>
  </si>
  <si>
    <t>Jl Subang_1+340</t>
  </si>
  <si>
    <t>Jl Subang_1+360</t>
  </si>
  <si>
    <t>Jl Subang_1+380</t>
  </si>
  <si>
    <t>Jl Subang_1+400</t>
  </si>
  <si>
    <t>Jl Subang_1+420</t>
  </si>
  <si>
    <t>Jl Subang_1+440</t>
  </si>
  <si>
    <t>Jl Subang_1+460</t>
  </si>
  <si>
    <t>Jl Subang_1+480</t>
  </si>
  <si>
    <t>Jl Subang_1+500</t>
  </si>
  <si>
    <t>Jl Subang_1+520</t>
  </si>
  <si>
    <t>Jl Subang_1+540</t>
  </si>
  <si>
    <t>Jl Subang_1+560</t>
  </si>
  <si>
    <t>Jl Subang_1+580</t>
  </si>
  <si>
    <t>Jl Subang_1+600</t>
  </si>
  <si>
    <t>Jl Subang_1+620</t>
  </si>
  <si>
    <t>Jl Subang_1+640</t>
  </si>
  <si>
    <t>Jl Subang_1+660</t>
  </si>
  <si>
    <t>Jl Subang_1+680</t>
  </si>
  <si>
    <t>Jl Subang_1+700</t>
  </si>
  <si>
    <t>Jl Subang_1+720</t>
  </si>
  <si>
    <t>Jl Subang_1+740</t>
  </si>
  <si>
    <t>Jl Subang_1+760</t>
  </si>
  <si>
    <t>Jl Subang_1+780</t>
  </si>
  <si>
    <t>Jl Subang_1+800</t>
  </si>
  <si>
    <t>Jl Subang_1+820</t>
  </si>
  <si>
    <t>Jl Subang_1+840</t>
  </si>
  <si>
    <t>Jl Subang_1+860</t>
  </si>
  <si>
    <t>Jl Subang_1+880</t>
  </si>
  <si>
    <t>Jl Subang_1+900</t>
  </si>
  <si>
    <t>Jl Subang_1+920</t>
  </si>
  <si>
    <t>Jl Subang_1+940</t>
  </si>
  <si>
    <t>Jl Subang_1+960</t>
  </si>
  <si>
    <t>Jl Subang_1+980</t>
  </si>
  <si>
    <t>Jl Subang_2+000</t>
  </si>
  <si>
    <t>Jl Subang_2+020</t>
  </si>
  <si>
    <t>Jl Subang_2+025.1</t>
  </si>
  <si>
    <t>Jl Pontianak_0+000</t>
  </si>
  <si>
    <t>Jl Pontianak_0+020</t>
  </si>
  <si>
    <t>Jl Pontianak_0+040</t>
  </si>
  <si>
    <t>Jl Pontianak_0+060</t>
  </si>
  <si>
    <t>Jl Pontianak_0+080</t>
  </si>
  <si>
    <t>Jl Pontianak_0+100</t>
  </si>
  <si>
    <t>Jl Pontianak_0+120</t>
  </si>
  <si>
    <t>Jl Pontianak_0+140</t>
  </si>
  <si>
    <t>Jl Pontianak_0+160</t>
  </si>
  <si>
    <t>Jl Pontianak_0+180</t>
  </si>
  <si>
    <t>Jl Pontianak_0+200</t>
  </si>
  <si>
    <t>Jl Pontianak_0+220</t>
  </si>
  <si>
    <t>Jl Pontianak_0+240</t>
  </si>
  <si>
    <t>Jl Pontianak_0+260</t>
  </si>
  <si>
    <t>Jl Pontianak_0+280</t>
  </si>
  <si>
    <t>Jl Pontianak_0+300</t>
  </si>
  <si>
    <t>Jl Pontianak_0+320</t>
  </si>
  <si>
    <t>Jl Pontianak_0+340</t>
  </si>
  <si>
    <t>Jl Pontianak_0+360</t>
  </si>
  <si>
    <t>Jl Pontianak_0+380</t>
  </si>
  <si>
    <t>Jl Pontianak_0+400</t>
  </si>
  <si>
    <t>Jl Pontianak_0+420</t>
  </si>
  <si>
    <t>Jl Pontianak_0+440</t>
  </si>
  <si>
    <t>Jl Pontianak_0+460</t>
  </si>
  <si>
    <t>Jl Pontianak_0+480</t>
  </si>
  <si>
    <t>Jl Pontianak_0+500</t>
  </si>
  <si>
    <t>Jl Pontianak_0+520</t>
  </si>
  <si>
    <t>Jl Pontianak_0+540</t>
  </si>
  <si>
    <t>Jl Pontianak_0+560</t>
  </si>
  <si>
    <t>Jl Pontianak_0+580</t>
  </si>
  <si>
    <t>Jl Pontianak_0+600</t>
  </si>
  <si>
    <t>Jl Pontianak_0+620</t>
  </si>
  <si>
    <t>Jl Pontianak_0+640</t>
  </si>
  <si>
    <t>Jl Pontianak_0+660</t>
  </si>
  <si>
    <t>Jl Pontianak_0+680</t>
  </si>
  <si>
    <t>Jl Pontianak_0+700</t>
  </si>
  <si>
    <t>Jl Pontianak_0+720</t>
  </si>
  <si>
    <t>Jl Pontianak_0+740</t>
  </si>
  <si>
    <t>Jl Pontianak_0+760</t>
  </si>
  <si>
    <t>Jl Pontianak_0+780</t>
  </si>
  <si>
    <t>Jl Pontianak_0+800</t>
  </si>
  <si>
    <t>Jl Pontianak_0+820</t>
  </si>
  <si>
    <t>Jl Pontianak_0+840</t>
  </si>
  <si>
    <t>Jl Pontianak_0+860</t>
  </si>
  <si>
    <t>Jl Pontianak_0+880</t>
  </si>
  <si>
    <t>Jl Pontianak_0+900</t>
  </si>
  <si>
    <t>Jl Pontianak_0+920</t>
  </si>
  <si>
    <t>Jl Pontianak_0+940</t>
  </si>
  <si>
    <t>Jl Pontianak_0+960</t>
  </si>
  <si>
    <t>Jl Pontianak_0+980</t>
  </si>
  <si>
    <t>Jl Pontianak_1+000</t>
  </si>
  <si>
    <t>Jl Pontianak_1+020</t>
  </si>
  <si>
    <t>Jl Pontianak_1+040</t>
  </si>
  <si>
    <t>Jl Pontianak_1+060</t>
  </si>
  <si>
    <t>Jl Pontianak_1+080</t>
  </si>
  <si>
    <t>Jl Pontianak_1+097.9</t>
  </si>
  <si>
    <t>Jl Bogor_0+000</t>
  </si>
  <si>
    <t>Jl Bogor_0+020</t>
  </si>
  <si>
    <t>Jl Bogor_0+040</t>
  </si>
  <si>
    <t>Jl Bogor_0+060</t>
  </si>
  <si>
    <t>Jl Bogor_0+080</t>
  </si>
  <si>
    <t>Jl Bogor_0+100</t>
  </si>
  <si>
    <t>Jl Bogor_0+120</t>
  </si>
  <si>
    <t>Jl Bogor_0+140</t>
  </si>
  <si>
    <t>Jl Bogor_0+160</t>
  </si>
  <si>
    <t>Jl Bogor_0+180</t>
  </si>
  <si>
    <t>Jl Bogor_0+200</t>
  </si>
  <si>
    <t>Jl Bogor_0+220</t>
  </si>
  <si>
    <t>Jl Bogor_0+240</t>
  </si>
  <si>
    <t>Jl Bogor_0+260</t>
  </si>
  <si>
    <t>Jl Bogor_0+280</t>
  </si>
  <si>
    <t>Jl Bogor_0+300</t>
  </si>
  <si>
    <t>Jl Bogor_0+320</t>
  </si>
  <si>
    <t>Jl Bogor_0+340</t>
  </si>
  <si>
    <t>Jl Bogor_0+360</t>
  </si>
  <si>
    <t>Jl Bogor_0+380</t>
  </si>
  <si>
    <t>Jl Bogor_0+400</t>
  </si>
  <si>
    <t>Jl Bogor_0+420</t>
  </si>
  <si>
    <t>Jl Bogor_0+440</t>
  </si>
  <si>
    <t>Jl Bogor_0+460</t>
  </si>
  <si>
    <t>Jl Bogor_0+480</t>
  </si>
  <si>
    <t>Jl Bogor_0+500</t>
  </si>
  <si>
    <t>Jl Bogor_0+520</t>
  </si>
  <si>
    <t>Jl Bogor_0+540</t>
  </si>
  <si>
    <t>Jl Bogor_0+560</t>
  </si>
  <si>
    <t>Jl Bogor_0+580</t>
  </si>
  <si>
    <t>Jl Bogor_0+600</t>
  </si>
  <si>
    <t>Jl Bogor_0+620</t>
  </si>
  <si>
    <t>Jl Bogor_0+640</t>
  </si>
  <si>
    <t>Jl Bogor_0+660</t>
  </si>
  <si>
    <t>Jl Bogor_0+680</t>
  </si>
  <si>
    <t>Jl Bogor_0+700</t>
  </si>
  <si>
    <t>Jl Bogor_0+720</t>
  </si>
  <si>
    <t>Jl Bogor_0+740</t>
  </si>
  <si>
    <t>Jl Bogor_0+760</t>
  </si>
  <si>
    <t>Jl Bogor_0+780</t>
  </si>
  <si>
    <t>Jl Bogor_0+800</t>
  </si>
  <si>
    <t>Jl Bogor_0+820</t>
  </si>
  <si>
    <t>Jl Bogor_0+840</t>
  </si>
  <si>
    <t>Jl Bogor_0+860</t>
  </si>
  <si>
    <t>Jl Bogor_0+880</t>
  </si>
  <si>
    <t>Jl Bogor_0+900</t>
  </si>
  <si>
    <t>Jl Bogor_0+920</t>
  </si>
  <si>
    <t>Jl Bogor_0+940</t>
  </si>
  <si>
    <t>Jl Bogor_0+960</t>
  </si>
  <si>
    <t>Jl Bogor_0+980</t>
  </si>
  <si>
    <t>Jl Bogor_0+984.8</t>
  </si>
  <si>
    <t>Jl Jakarta_0+000</t>
  </si>
  <si>
    <t>Jl Jakarta_0+020</t>
  </si>
  <si>
    <t>Jl Jakarta_0+040</t>
  </si>
  <si>
    <t>Jl Jakarta_0+060</t>
  </si>
  <si>
    <t>Jl Jakarta_0+080</t>
  </si>
  <si>
    <t>Jl Jakarta_0+100</t>
  </si>
  <si>
    <t>Jl Jakarta_0+120</t>
  </si>
  <si>
    <t>Jl Jakarta_0+140</t>
  </si>
  <si>
    <t>Jl Jakarta_0+160</t>
  </si>
  <si>
    <t>Jl Jakarta_0+180</t>
  </si>
  <si>
    <t>Jl Jakarta_0+200</t>
  </si>
  <si>
    <t>Jl Jakarta_0+220</t>
  </si>
  <si>
    <t>Jl Jakarta_0+240</t>
  </si>
  <si>
    <t>Jl Jakarta_0+260</t>
  </si>
  <si>
    <t>Jl Jakarta_0+280</t>
  </si>
  <si>
    <t>Jl Jakarta_0+300</t>
  </si>
  <si>
    <t>Jl Jakarta_0+320</t>
  </si>
  <si>
    <t>Jl Jakarta_0+340</t>
  </si>
  <si>
    <t>Jl Jakarta_0+360</t>
  </si>
  <si>
    <t>Jl Jakarta_0+380</t>
  </si>
  <si>
    <t>Jl Jakarta_0+400</t>
  </si>
  <si>
    <t>Jl Jakarta_0+420</t>
  </si>
  <si>
    <t>Jl Jakarta_0+440</t>
  </si>
  <si>
    <t>Jl Jakarta_0+460</t>
  </si>
  <si>
    <t>Jl Jakarta_0+480</t>
  </si>
  <si>
    <t>Jl Jakarta_0+500</t>
  </si>
  <si>
    <t>Jl Jakarta_0+520</t>
  </si>
  <si>
    <t>Jl Jakarta_0+540</t>
  </si>
  <si>
    <t>Jl Jakarta_0+560</t>
  </si>
  <si>
    <t>Jl Jakarta_0+580</t>
  </si>
  <si>
    <t>Jl Jakarta_0+600</t>
  </si>
  <si>
    <t>Jl Jakarta_0+620</t>
  </si>
  <si>
    <t>Jl Jakarta_0+640</t>
  </si>
  <si>
    <t>Jl Jakarta_0+660</t>
  </si>
  <si>
    <t>Jl Jakarta_0+680</t>
  </si>
  <si>
    <t>Jl Jakarta_0+700</t>
  </si>
  <si>
    <t>Jl Jakarta_0+720</t>
  </si>
  <si>
    <t>Jl Jakarta_0+740</t>
  </si>
  <si>
    <t>Jl Jakarta_0+760</t>
  </si>
  <si>
    <t>Jl Jakarta_0+780</t>
  </si>
  <si>
    <t>Jl Jakarta_0+800</t>
  </si>
  <si>
    <t>Jl Jakarta_0+820</t>
  </si>
  <si>
    <t>Jl Jakarta_0+840</t>
  </si>
  <si>
    <t>Jl Jakarta_0+860</t>
  </si>
  <si>
    <t>Jl Jakarta_0+880</t>
  </si>
  <si>
    <t>Jl Jakarta_0+900</t>
  </si>
  <si>
    <t>Jl Jakarta_0+920</t>
  </si>
  <si>
    <t>Jl Jakarta_0+940</t>
  </si>
  <si>
    <t>Jl Jakarta_0+960</t>
  </si>
  <si>
    <t>Jl Jakarta_0+980</t>
  </si>
  <si>
    <t>Jl Jakarta_1+000</t>
  </si>
  <si>
    <t>Jl Jakarta_1+020</t>
  </si>
  <si>
    <t>Jl Jakarta_1+040</t>
  </si>
  <si>
    <t>Jl Jakarta_1+060</t>
  </si>
  <si>
    <t>Jl Jakarta_1+080</t>
  </si>
  <si>
    <t>Jl Jakarta_1+100</t>
  </si>
  <si>
    <t>Jl Jakarta_1+120</t>
  </si>
  <si>
    <t>Jl Jakarta_1+140</t>
  </si>
  <si>
    <t>Jl Jakarta_1+160</t>
  </si>
  <si>
    <t>Jl Jakarta_1+180</t>
  </si>
  <si>
    <t>Jl Jakarta_1+200</t>
  </si>
  <si>
    <t>Jl Jakarta_1+220</t>
  </si>
  <si>
    <t>Jl Jakarta_1+240</t>
  </si>
  <si>
    <t>Jl Jakarta_1+260</t>
  </si>
  <si>
    <t>Jl Jakarta_1+280</t>
  </si>
  <si>
    <t>Jl Jakarta_1+300</t>
  </si>
  <si>
    <t>Jl Jakarta_1+320</t>
  </si>
  <si>
    <t>Jl Jakarta_1+340</t>
  </si>
  <si>
    <t>Jl Jakarta_1+360</t>
  </si>
  <si>
    <t>Jl Jakarta_1+380</t>
  </si>
  <si>
    <t>Jl Jakarta_1+400</t>
  </si>
  <si>
    <t>Jl Jakarta_1+420</t>
  </si>
  <si>
    <t>Jl Jakarta_1+440</t>
  </si>
  <si>
    <t>Jl Jakarta_1+460</t>
  </si>
  <si>
    <t>Jl Jakarta_1+480</t>
  </si>
  <si>
    <t>Jl Jakarta_1+500</t>
  </si>
  <si>
    <t>Jl Jakarta_1+520</t>
  </si>
  <si>
    <t>Jl Jakarta_1+540</t>
  </si>
  <si>
    <t>Jl Jakarta_1+560</t>
  </si>
  <si>
    <t>Jl Jakarta_1+580</t>
  </si>
  <si>
    <t>Jl Jakarta_1+600</t>
  </si>
  <si>
    <t>Jl Jakarta_1+620</t>
  </si>
  <si>
    <t>Jl Jakarta_1+640</t>
  </si>
  <si>
    <t>Jl Jakarta_1+660</t>
  </si>
  <si>
    <t>Jl Jakarta_1+680</t>
  </si>
  <si>
    <t>Jl Jakarta_1+700</t>
  </si>
  <si>
    <t>Jl Jakarta_1+720</t>
  </si>
  <si>
    <t>Jl Jakarta_1+740</t>
  </si>
  <si>
    <t>Jl Jakarta_1+760</t>
  </si>
  <si>
    <t>Jl Jakarta_1+780</t>
  </si>
  <si>
    <t>Jl Jakarta_1+800</t>
  </si>
  <si>
    <t>Jl Jakarta_1+820</t>
  </si>
  <si>
    <t>Jl Jakarta_1+840</t>
  </si>
  <si>
    <t>Jl Jakarta_1+860</t>
  </si>
  <si>
    <t>Jl Jakarta_1+880</t>
  </si>
  <si>
    <t>Jl Jakarta_1+900</t>
  </si>
  <si>
    <t>Jl Jakarta_1+920</t>
  </si>
  <si>
    <t>Jl Jakarta_1+940</t>
  </si>
  <si>
    <t>Jl Jakarta_1+960</t>
  </si>
  <si>
    <t>Jl Jakarta_1+980</t>
  </si>
  <si>
    <t>Jl Jakarta_2+000</t>
  </si>
  <si>
    <t>Jl Jakarta_2+007.1</t>
  </si>
  <si>
    <t>Jl Bekasi_0+000</t>
  </si>
  <si>
    <t>Jl Bekasi_0+020</t>
  </si>
  <si>
    <t>Jl Bekasi_0+040</t>
  </si>
  <si>
    <t>Jl Bekasi_0+060</t>
  </si>
  <si>
    <t>Jl Bekasi_0+080</t>
  </si>
  <si>
    <t>Jl Bekasi_0+100</t>
  </si>
  <si>
    <t>Jl Bekasi_0+120</t>
  </si>
  <si>
    <t>Jl Bekasi_0+140</t>
  </si>
  <si>
    <t>Jl Bekasi_0+160</t>
  </si>
  <si>
    <t>Jl Bekasi_0+180</t>
  </si>
  <si>
    <t>Jl Bekasi_0+200</t>
  </si>
  <si>
    <t>Jl Bekasi_0+220</t>
  </si>
  <si>
    <t>Jl Bekasi_0+240</t>
  </si>
  <si>
    <t>Jl Bekasi_0+260</t>
  </si>
  <si>
    <t>Jl Bekasi_0+280</t>
  </si>
  <si>
    <t>Jl Bekasi_0+300</t>
  </si>
  <si>
    <t>Jl Bekasi_0+320</t>
  </si>
  <si>
    <t>Jl Bekasi_0+340</t>
  </si>
  <si>
    <t>Jl Bekasi_0+360</t>
  </si>
  <si>
    <t>Jl Bekasi_0+380</t>
  </si>
  <si>
    <t>Jl Bekasi_0+400</t>
  </si>
  <si>
    <t>Jl Bekasi_0+420</t>
  </si>
  <si>
    <t>Jl Bekasi_0+440</t>
  </si>
  <si>
    <t>Jl Bekasi_0+460</t>
  </si>
  <si>
    <t>Jl Bekasi_0+480</t>
  </si>
  <si>
    <t>Jl Bekasi_0+500</t>
  </si>
  <si>
    <t>Jl Bekasi_0+520</t>
  </si>
  <si>
    <t>Jl Bekasi_0+540</t>
  </si>
  <si>
    <t>Jl Bekasi_0+560</t>
  </si>
  <si>
    <t>Jl Bekasi_0+580</t>
  </si>
  <si>
    <t>Jl Bekasi_0+600</t>
  </si>
  <si>
    <t>Jl Bekasi_0+620</t>
  </si>
  <si>
    <t>Jl Bekasi_0+640</t>
  </si>
  <si>
    <t>Jl Bekasi_0+660</t>
  </si>
  <si>
    <t>Jl Bekasi_0+680</t>
  </si>
  <si>
    <t>Jl Bekasi_0+700</t>
  </si>
  <si>
    <t>Jl Bekasi_0+720</t>
  </si>
  <si>
    <t>Jl Bekasi_0+740</t>
  </si>
  <si>
    <t>Jl Bekasi_0+760</t>
  </si>
  <si>
    <t>Jl Bekasi_0+780</t>
  </si>
  <si>
    <t>Jl Bekasi_0+800</t>
  </si>
  <si>
    <t>Jl Bekasi_0+820</t>
  </si>
  <si>
    <t>Jl Bekasi_0+840</t>
  </si>
  <si>
    <t>Jl Bekasi_0+860</t>
  </si>
  <si>
    <t>Jl Bekasi_0+880</t>
  </si>
  <si>
    <t>Jl Bekasi_0+900</t>
  </si>
  <si>
    <t>Jl Bekasi_0+920</t>
  </si>
  <si>
    <t>Jl Bekasi_0+940</t>
  </si>
  <si>
    <t>Jl Bekasi_0+960</t>
  </si>
  <si>
    <t>Jl Bekasi_0+980</t>
  </si>
  <si>
    <t>Jl Bekasi_1+000</t>
  </si>
  <si>
    <t>Jl Bekasi_1+020</t>
  </si>
  <si>
    <t>Jl Bekasi_1+040</t>
  </si>
  <si>
    <t>Jl Bekasi_1+060</t>
  </si>
  <si>
    <t>Jl Bekasi_1+080</t>
  </si>
  <si>
    <t>Jl Bekasi_1+100</t>
  </si>
  <si>
    <t>Jl Bekasi_1+120</t>
  </si>
  <si>
    <t>Jl Bekasi_1+140</t>
  </si>
  <si>
    <t>Jl Bekasi_1+160</t>
  </si>
  <si>
    <t>Jl Bekasi_1+180</t>
  </si>
  <si>
    <t>Jl Bekasi_1+200</t>
  </si>
  <si>
    <t>Jl Bekasi_1+220</t>
  </si>
  <si>
    <t>Jl Bekasi_1+240</t>
  </si>
  <si>
    <t>Jl Bekasi_1+260</t>
  </si>
  <si>
    <t>Jl Bekasi_1+280</t>
  </si>
  <si>
    <t>Jl Bekasi_1+300</t>
  </si>
  <si>
    <t>Jl Bekasi_1+320</t>
  </si>
  <si>
    <t>Jl Bekasi_1+340</t>
  </si>
  <si>
    <t>Jl Bekasi_1+360</t>
  </si>
  <si>
    <t>Jl Bekasi_1+380</t>
  </si>
  <si>
    <t>Jl Bekasi_1+400</t>
  </si>
  <si>
    <t>Jl Bekasi_1+420</t>
  </si>
  <si>
    <t>Jl Bekasi_1+440</t>
  </si>
  <si>
    <t>Jl Bekasi_1+460</t>
  </si>
  <si>
    <t>Jl Bekasi_1+480</t>
  </si>
  <si>
    <t>Jl Bekasi_1+500</t>
  </si>
  <si>
    <t>Jl Bekasi_1+520</t>
  </si>
  <si>
    <t>Jl Bekasi_1+540</t>
  </si>
  <si>
    <t>Jl Bekasi_1+556.7</t>
  </si>
  <si>
    <t>Jl Padang_0+000</t>
  </si>
  <si>
    <t>Jl Padang_0+020</t>
  </si>
  <si>
    <t>Jl Padang_0+040</t>
  </si>
  <si>
    <t>Jl Padang_0+060</t>
  </si>
  <si>
    <t>Jl Padang_0+080</t>
  </si>
  <si>
    <t>Jl Padang_0+100</t>
  </si>
  <si>
    <t>Jl Padang_0+120</t>
  </si>
  <si>
    <t>Jl Padang_0+140</t>
  </si>
  <si>
    <t>Jl Padang_0+160</t>
  </si>
  <si>
    <t>Jl Padang_0+180</t>
  </si>
  <si>
    <t>Jl Padang_0+200</t>
  </si>
  <si>
    <t>Jl Padang_0+220</t>
  </si>
  <si>
    <t>Jl Padang_0+240</t>
  </si>
  <si>
    <t>Jl Padang_0+260</t>
  </si>
  <si>
    <t>Jl Padang_0+280</t>
  </si>
  <si>
    <t>Jl Padang_0+300</t>
  </si>
  <si>
    <t>Jl Padang_0+320</t>
  </si>
  <si>
    <t>Jl Padang_0+340</t>
  </si>
  <si>
    <t>Jl Padang_0+360</t>
  </si>
  <si>
    <t>Jl Padang_0+380</t>
  </si>
  <si>
    <t>Jl Padang_0+400</t>
  </si>
  <si>
    <t>Jl Padang_0+420</t>
  </si>
  <si>
    <t>Jl Padang_0+440</t>
  </si>
  <si>
    <t>Jl Padang_0+460</t>
  </si>
  <si>
    <t>Jl Padang_0+480</t>
  </si>
  <si>
    <t>Jl Padang_0+500</t>
  </si>
  <si>
    <t>Jl Padang_0+520</t>
  </si>
  <si>
    <t>Jl Padang_0+540</t>
  </si>
  <si>
    <t>Jl Padang_0+560</t>
  </si>
  <si>
    <t>Jl Padang_0+580</t>
  </si>
  <si>
    <t>Jl Padang_0+600</t>
  </si>
  <si>
    <t>Jl Padang_0+620</t>
  </si>
  <si>
    <t>Jl Padang_0+640</t>
  </si>
  <si>
    <t>Jl Padang_0+660</t>
  </si>
  <si>
    <t>Jl Padang_0+680</t>
  </si>
  <si>
    <t>Jl Padang_0+700</t>
  </si>
  <si>
    <t>Jl Padang_0+720</t>
  </si>
  <si>
    <t>Jl Padang_0+740</t>
  </si>
  <si>
    <t>Jl Padang_0+760</t>
  </si>
  <si>
    <t>Jl Padang_0+780</t>
  </si>
  <si>
    <t>Jl Padang_0+800</t>
  </si>
  <si>
    <t>Jl Padang_0+820</t>
  </si>
  <si>
    <t>Jl Padang_0+840</t>
  </si>
  <si>
    <t>Jl Padang_0+860</t>
  </si>
  <si>
    <t>Jl Padang_0+880</t>
  </si>
  <si>
    <t>Jl Padang_0+900</t>
  </si>
  <si>
    <t>Jl Padang_0+920</t>
  </si>
  <si>
    <t>Jl Padang_0+940</t>
  </si>
  <si>
    <t>Jl Padang_0+960</t>
  </si>
  <si>
    <t>Jl Padang_0+980</t>
  </si>
  <si>
    <t>Jl Padang_1+000</t>
  </si>
  <si>
    <t>Jl Padang_1+020</t>
  </si>
  <si>
    <t>Jl Padang_1+040</t>
  </si>
  <si>
    <t>Jl Padang_1+060</t>
  </si>
  <si>
    <t>Jl Padang_1+080</t>
  </si>
  <si>
    <t>Jl Padang_1+100</t>
  </si>
  <si>
    <t>Jl Padang_1+120</t>
  </si>
  <si>
    <t>Jl Padang_1+140</t>
  </si>
  <si>
    <t>Jl Padang_1+160</t>
  </si>
  <si>
    <t>Jl Padang_1+180</t>
  </si>
  <si>
    <t>Jl Padang_1+200</t>
  </si>
  <si>
    <t>Jl Padang_1+220</t>
  </si>
  <si>
    <t>Jl Padang_1+240</t>
  </si>
  <si>
    <t>Jl Padang_1+260</t>
  </si>
  <si>
    <t>Jl Padang_1+280</t>
  </si>
  <si>
    <t>Jl Padang_1+300</t>
  </si>
  <si>
    <t>Jl Padang_1+320</t>
  </si>
  <si>
    <t>Jl Padang_1+340</t>
  </si>
  <si>
    <t>Jl Padang_1+360</t>
  </si>
  <si>
    <t>Jl Padang_1+380</t>
  </si>
  <si>
    <t>Jl Padang_1+400</t>
  </si>
  <si>
    <t>Jl Padang_1+420</t>
  </si>
  <si>
    <t>Jl Padang_1+440</t>
  </si>
  <si>
    <t>Jl Padang_1+460</t>
  </si>
  <si>
    <t>Jl Padang_1+480</t>
  </si>
  <si>
    <t>Jl Padang_1+500</t>
  </si>
  <si>
    <t>Jl Padang_1+520</t>
  </si>
  <si>
    <t>Jl Padang_1+540</t>
  </si>
  <si>
    <t>Jl Padang_1+560</t>
  </si>
  <si>
    <t>Jl Padang_1+580</t>
  </si>
  <si>
    <t>Jl Padang_1+600</t>
  </si>
  <si>
    <t>Jl Padang_1+620</t>
  </si>
  <si>
    <t>Jl Padang_1+640</t>
  </si>
  <si>
    <t>Jl Padang_1+660</t>
  </si>
  <si>
    <t>Jl Padang_1+680</t>
  </si>
  <si>
    <t>Jl Padang_1+700</t>
  </si>
  <si>
    <t>Jl Padang_1+720</t>
  </si>
  <si>
    <t>Jl Padang_1+740</t>
  </si>
  <si>
    <t>Jl Padang_1+760</t>
  </si>
  <si>
    <t>Jl Padang_1+780</t>
  </si>
  <si>
    <t>Jl Padang_1+800</t>
  </si>
  <si>
    <t>Jl Padang_1+820</t>
  </si>
  <si>
    <t>Jl Padang_1+840</t>
  </si>
  <si>
    <t>Jl Padang_1+860</t>
  </si>
  <si>
    <t>Jl Padang_1+880</t>
  </si>
  <si>
    <t>Jl Padang_1+900</t>
  </si>
  <si>
    <t>Jl Padang_1+920</t>
  </si>
  <si>
    <t>Jl Padang_1+940</t>
  </si>
  <si>
    <t>Jl Padang_1+960</t>
  </si>
  <si>
    <t>Jl Padang_1+980</t>
  </si>
  <si>
    <t>Jl Padang_2+000</t>
  </si>
  <si>
    <t>Jl Padang_2+020</t>
  </si>
  <si>
    <t>Jl Padang_2+040</t>
  </si>
  <si>
    <t>Jl Padang_2+060</t>
  </si>
  <si>
    <t>Jl Padang_2+080</t>
  </si>
  <si>
    <t>Jl Padang_2+100</t>
  </si>
  <si>
    <t>Jl Padang_2+120</t>
  </si>
  <si>
    <t>Jl Padang_2+140</t>
  </si>
  <si>
    <t>Jl Padang_2+160</t>
  </si>
  <si>
    <t>Jl Padang_2+180</t>
  </si>
  <si>
    <t>Jl Padang_2+200</t>
  </si>
  <si>
    <t>Jl Padang_2+220</t>
  </si>
  <si>
    <t>Jl Padang_2+240</t>
  </si>
  <si>
    <t>Jl Padang_2+260</t>
  </si>
  <si>
    <t>Jl Padang_2+280</t>
  </si>
  <si>
    <t>Jl Padang_2+300</t>
  </si>
  <si>
    <t>Jl Padang_2+320</t>
  </si>
  <si>
    <t>Jl Padang_2+340</t>
  </si>
  <si>
    <t>Jl Padang_2+360</t>
  </si>
  <si>
    <t>Jl Padang_2+380</t>
  </si>
  <si>
    <t>Jl Padang_2+400</t>
  </si>
  <si>
    <t>Jl Padang_2+420</t>
  </si>
  <si>
    <t>Jl Padang_2+440</t>
  </si>
  <si>
    <t>Jl Padang_2+460</t>
  </si>
  <si>
    <t>Jl Padang_2+480</t>
  </si>
  <si>
    <t>Jl Padang_2+500</t>
  </si>
  <si>
    <t>Jl Padang_2+520</t>
  </si>
  <si>
    <t>Jl Padang_2+540</t>
  </si>
  <si>
    <t>Jl Padang_2+560</t>
  </si>
  <si>
    <t>Jl Padang_2+580</t>
  </si>
  <si>
    <t>Jl Padang_2+600</t>
  </si>
  <si>
    <t>Jl Padang_2+620</t>
  </si>
  <si>
    <t>Jl Padang_2+640</t>
  </si>
  <si>
    <t>Jl Padang_2+660</t>
  </si>
  <si>
    <t>Jl Padang_2+680</t>
  </si>
  <si>
    <t>Jl Padang_2+700</t>
  </si>
  <si>
    <t>Jl Padang_2+720</t>
  </si>
  <si>
    <t>Jl Padang_2+740</t>
  </si>
  <si>
    <t>Jl Padang_2+760</t>
  </si>
  <si>
    <t>Jl Padang_2+780</t>
  </si>
  <si>
    <t>Jl Padang_2+786.4</t>
  </si>
  <si>
    <t>Jl Jambi_0+000</t>
  </si>
  <si>
    <t>Jl Jambi_0+020</t>
  </si>
  <si>
    <t>Jl Jambi_0+040</t>
  </si>
  <si>
    <t>Jl Jambi_0+060</t>
  </si>
  <si>
    <t>Jl Jambi_0+080</t>
  </si>
  <si>
    <t>Jl Jambi_0+100</t>
  </si>
  <si>
    <t>Jl Jambi_0+120</t>
  </si>
  <si>
    <t>Jl Jambi_0+140</t>
  </si>
  <si>
    <t>Jl Jambi_0+160</t>
  </si>
  <si>
    <t>Jl Jambi_0+180</t>
  </si>
  <si>
    <t>Jl Jambi_0+200</t>
  </si>
  <si>
    <t>Jl Jambi_0+220</t>
  </si>
  <si>
    <t>Jl Jambi_0+240</t>
  </si>
  <si>
    <t>Jl Jambi_0+260</t>
  </si>
  <si>
    <t>Jl Jambi_0+280</t>
  </si>
  <si>
    <t>Jl Jambi_0+300</t>
  </si>
  <si>
    <t>Jl Jambi_0+320</t>
  </si>
  <si>
    <t>Jl Jambi_0+340</t>
  </si>
  <si>
    <t>Jl Jambi_0+360</t>
  </si>
  <si>
    <t>Jl Jambi_0+380</t>
  </si>
  <si>
    <t>Jl Jambi_0+400</t>
  </si>
  <si>
    <t>Jl Jambi_0+420</t>
  </si>
  <si>
    <t>Jl Jambi_0+440</t>
  </si>
  <si>
    <t>Jl Jambi_0+460</t>
  </si>
  <si>
    <t>Jl Jambi_0+480</t>
  </si>
  <si>
    <t>Jl Jambi_0+500</t>
  </si>
  <si>
    <t>Jl Jambi_0+520</t>
  </si>
  <si>
    <t>Jl Jambi_0+540</t>
  </si>
  <si>
    <t>Jl Jambi_0+560</t>
  </si>
  <si>
    <t>Jl Jambi_0+580</t>
  </si>
  <si>
    <t>Jl Jambi_0+600</t>
  </si>
  <si>
    <t>Jl Jambi_0+620</t>
  </si>
  <si>
    <t>Jl Jambi_0+640</t>
  </si>
  <si>
    <t>Jl Jambi_0+660</t>
  </si>
  <si>
    <t>Jl Jambi_0+680</t>
  </si>
  <si>
    <t>Jl Jambi_0+700</t>
  </si>
  <si>
    <t>Jl Jambi_0+720</t>
  </si>
  <si>
    <t>Jl Jambi_0+740</t>
  </si>
  <si>
    <t>Jl Jambi_0+760</t>
  </si>
  <si>
    <t>Jl Jambi_0+780</t>
  </si>
  <si>
    <t>Jl Jambi_0+800</t>
  </si>
  <si>
    <t>Jl Jambi_0+820</t>
  </si>
  <si>
    <t>Jl Jambi_0+840</t>
  </si>
  <si>
    <t>Jl Jambi_0+860</t>
  </si>
  <si>
    <t>Jl Jambi_0+877.8</t>
  </si>
  <si>
    <t>Jl BInjai Waterfill_0+000</t>
  </si>
  <si>
    <t>Jl BInjai Waterfill_0+020</t>
  </si>
  <si>
    <t>Jl BInjai Waterfill_0+040</t>
  </si>
  <si>
    <t>Jl BInjai Waterfill_0+060</t>
  </si>
  <si>
    <t>Jl BInjai Waterfill_0+080</t>
  </si>
  <si>
    <t>Jl BInjai Waterfill_0+100</t>
  </si>
  <si>
    <t>Jl BInjai Waterfill_0+120</t>
  </si>
  <si>
    <t>Jl BInjai Waterfill_0+140</t>
  </si>
  <si>
    <t>Jl BInjai Waterfill_0+160</t>
  </si>
  <si>
    <t>Jl BInjai Waterfill_0+180</t>
  </si>
  <si>
    <t>Jl BInjai Waterfill_0+200</t>
  </si>
  <si>
    <t>Jl BInjai Waterfill_0+220</t>
  </si>
  <si>
    <t>Jl BInjai Waterfill_0+240</t>
  </si>
  <si>
    <t>Jl BInjai Waterfill_0+260</t>
  </si>
  <si>
    <t>Jl BInjai Waterfill_0+280</t>
  </si>
  <si>
    <t>Jl BInjai Waterfill_0+286.7</t>
  </si>
  <si>
    <t>Jl Palembang_0+000</t>
  </si>
  <si>
    <t>Jl Palembang_0+020</t>
  </si>
  <si>
    <t>Jl Palembang_0+040</t>
  </si>
  <si>
    <t>Jl Palembang_0+060</t>
  </si>
  <si>
    <t>Jl Palembang_0+080</t>
  </si>
  <si>
    <t>Jl Palembang_0+100</t>
  </si>
  <si>
    <t>Jl Palembang_0+120</t>
  </si>
  <si>
    <t>Jl Palembang_0+140</t>
  </si>
  <si>
    <t>Jl Palembang_0+160</t>
  </si>
  <si>
    <t>Jl Palembang_0+180</t>
  </si>
  <si>
    <t>Jl Palembang_0+200</t>
  </si>
  <si>
    <t>Jl Palembang_0+220</t>
  </si>
  <si>
    <t>Jl Palembang_0+240</t>
  </si>
  <si>
    <t>Jl Palembang_0+260</t>
  </si>
  <si>
    <t>Jl Palembang_0+280</t>
  </si>
  <si>
    <t>Jl Palembang_0+300</t>
  </si>
  <si>
    <t>Jl Palembang_0+320</t>
  </si>
  <si>
    <t>Jl Palembang_0+340</t>
  </si>
  <si>
    <t>Jl Palembang_0+360</t>
  </si>
  <si>
    <t>Jl Palembang_0+380</t>
  </si>
  <si>
    <t>Jl Palembang_0+400</t>
  </si>
  <si>
    <t>Jl Palembang_0+420</t>
  </si>
  <si>
    <t>Jl Palembang_0+440</t>
  </si>
  <si>
    <t>Jl Palembang_0+460</t>
  </si>
  <si>
    <t>Jl Palembang_0+480</t>
  </si>
  <si>
    <t>Jl Palembang_0+500</t>
  </si>
  <si>
    <t>Jl Palembang_0+520</t>
  </si>
  <si>
    <t>Jl Palembang_0+540</t>
  </si>
  <si>
    <t>Jl Palembang_0+560</t>
  </si>
  <si>
    <t>Jl Palembang_0+580</t>
  </si>
  <si>
    <t>Jl Palembang_0+600</t>
  </si>
  <si>
    <t>Jl Palembang_0+620</t>
  </si>
  <si>
    <t>Jl Palembang_0+640</t>
  </si>
  <si>
    <t>Jl Palembang_0+660</t>
  </si>
  <si>
    <t>Jl Palembang_0+680</t>
  </si>
  <si>
    <t>Jl Palembang_0+700</t>
  </si>
  <si>
    <t>Jl Palembang_0+720</t>
  </si>
  <si>
    <t>Jl Palembang_0+740</t>
  </si>
  <si>
    <t>Jl Palembang_0+760</t>
  </si>
  <si>
    <t>Jl Palembang_0+780</t>
  </si>
  <si>
    <t>Jl Palembang_0+800</t>
  </si>
  <si>
    <t>Jl Palembang_0+820</t>
  </si>
  <si>
    <t>Jl Palembang_0+840</t>
  </si>
  <si>
    <t>Jl Palembang_0+860</t>
  </si>
  <si>
    <t>Jl Palembang_0+880</t>
  </si>
  <si>
    <t>Jl Palembang_0+900</t>
  </si>
  <si>
    <t>Jl Palembang_0+920</t>
  </si>
  <si>
    <t>Jl Palembang_0+940</t>
  </si>
  <si>
    <t>Jl Palembang_0+960</t>
  </si>
  <si>
    <t>Jl Palembang_0+980</t>
  </si>
  <si>
    <t>Jl Palembang_1+000</t>
  </si>
  <si>
    <t>Jl Palembang_1+020</t>
  </si>
  <si>
    <t>Jl Palembang_1+040</t>
  </si>
  <si>
    <t>Jl Palembang_1+060</t>
  </si>
  <si>
    <t>Jl Palembang_1+080</t>
  </si>
  <si>
    <t>Jl Palembang_1+100</t>
  </si>
  <si>
    <t>Jl Palembang_1+120</t>
  </si>
  <si>
    <t>Jl Palembang_1+140</t>
  </si>
  <si>
    <t>Jl Palembang_1+160</t>
  </si>
  <si>
    <t>Jl Palembang_1+180</t>
  </si>
  <si>
    <t>Jl Palembang_1+200</t>
  </si>
  <si>
    <t>Jl Palembang_1+220</t>
  </si>
  <si>
    <t>Jl Palembang_1+240</t>
  </si>
  <si>
    <t>Jl Palembang_1+260</t>
  </si>
  <si>
    <t>Jl Palembang_1+280</t>
  </si>
  <si>
    <t>Jl Palembang_1+300</t>
  </si>
  <si>
    <t>Jl Palembang_1+320</t>
  </si>
  <si>
    <t>Jl Palembang_1+340</t>
  </si>
  <si>
    <t>Jl Palembang_1+360</t>
  </si>
  <si>
    <t>Jl Palembang_1+380</t>
  </si>
  <si>
    <t>Jl Palembang_1+400</t>
  </si>
  <si>
    <t>Jl Palembang_1+420</t>
  </si>
  <si>
    <t>Jl Palembang_1+440</t>
  </si>
  <si>
    <t>Jl Palembang_1+460</t>
  </si>
  <si>
    <t>Jl Palembang_1+480</t>
  </si>
  <si>
    <t>Jl Palembang_1+500</t>
  </si>
  <si>
    <t>Jl Palembang_1+520</t>
  </si>
  <si>
    <t>Jl Palembang_1+540</t>
  </si>
  <si>
    <t>Jl Palembang_1+560</t>
  </si>
  <si>
    <t>Jl Palembang_1+580</t>
  </si>
  <si>
    <t>Jl Palembang_1+600</t>
  </si>
  <si>
    <t>Jl Palembang_1+620</t>
  </si>
  <si>
    <t>Jl Palembang_1+640</t>
  </si>
  <si>
    <t>Jl Palembang_1+660</t>
  </si>
  <si>
    <t>Jl Palembang_1+680</t>
  </si>
  <si>
    <t>Jl Palembang_1+700</t>
  </si>
  <si>
    <t>Jl Palembang_1+720</t>
  </si>
  <si>
    <t>Jl Palembang_1+740</t>
  </si>
  <si>
    <t>Jl Palembang_1+760</t>
  </si>
  <si>
    <t>Jl Palembang_1+780</t>
  </si>
  <si>
    <t>Jl Palembang_1+800</t>
  </si>
  <si>
    <t>Jl Palembang_1+820</t>
  </si>
  <si>
    <t>Jl Palembang_1+840</t>
  </si>
  <si>
    <t>Jl Palembang_1+860</t>
  </si>
  <si>
    <t>Jl Palembang_1+880</t>
  </si>
  <si>
    <t>Jl Palembang_1+900</t>
  </si>
  <si>
    <t>Jl Palembang_1+920</t>
  </si>
  <si>
    <t>Jl Palembang_1+940</t>
  </si>
  <si>
    <t>Jl Palembang_1+960</t>
  </si>
  <si>
    <t>Jl Palembang_1+980</t>
  </si>
  <si>
    <t>Jl Palembang_2+000</t>
  </si>
  <si>
    <t>Jl Palembang_2+020</t>
  </si>
  <si>
    <t>Jl Palembang_2+040</t>
  </si>
  <si>
    <t>Jl Palembang_2+060</t>
  </si>
  <si>
    <t>Jl Palembang_2+080</t>
  </si>
  <si>
    <t>Jl Palembang_2+100</t>
  </si>
  <si>
    <t>Jl Palembang_2+120</t>
  </si>
  <si>
    <t>Jl Palembang_2+140</t>
  </si>
  <si>
    <t>Jl Palembang_2+160</t>
  </si>
  <si>
    <t>Jl Palembang_2+180</t>
  </si>
  <si>
    <t>Jl Palembang_2+200</t>
  </si>
  <si>
    <t>Jl Palembang_2+220</t>
  </si>
  <si>
    <t>Jl Palembang_2+240</t>
  </si>
  <si>
    <t>Jl Palembang_2+260</t>
  </si>
  <si>
    <t>Jl Palembang_2+280</t>
  </si>
  <si>
    <t>Jl Palembang_2+300</t>
  </si>
  <si>
    <t>Jl Palembang_2+320</t>
  </si>
  <si>
    <t>Jl Palembang_2+340</t>
  </si>
  <si>
    <t>Jl Palembang_2+360</t>
  </si>
  <si>
    <t>Jl Palembang_2+380</t>
  </si>
  <si>
    <t>Jl Palembang_2+400</t>
  </si>
  <si>
    <t>Jl Palembang_2+420</t>
  </si>
  <si>
    <t>Jl Palembang_2+440</t>
  </si>
  <si>
    <t>Jl Palembang_2+460</t>
  </si>
  <si>
    <t>Jl Palembang_2+480</t>
  </si>
  <si>
    <t>Jl Palembang_2+500</t>
  </si>
  <si>
    <t>Jl Palembang_2+520</t>
  </si>
  <si>
    <t>Jl Palembang_2+540</t>
  </si>
  <si>
    <t>Jl Palembang_2+560</t>
  </si>
  <si>
    <t>Jl Palembang_2+580</t>
  </si>
  <si>
    <t>Jl Palembang_2+600</t>
  </si>
  <si>
    <t>Jl Palembang_2+620</t>
  </si>
  <si>
    <t>Jl Palembang_2+640</t>
  </si>
  <si>
    <t>Jl Palembang_2+660</t>
  </si>
  <si>
    <t>Jl Palembang_2+680</t>
  </si>
  <si>
    <t>Jl Palembang_2+700</t>
  </si>
  <si>
    <t>Jl Palembang_2+720</t>
  </si>
  <si>
    <t>Jl Palembang_2+740</t>
  </si>
  <si>
    <t>Jl Palembang_2+760</t>
  </si>
  <si>
    <t>Jl Palembang_2+780</t>
  </si>
  <si>
    <t>Jl Palembang_2+780.6</t>
  </si>
  <si>
    <t>Jl Lampung_0+000</t>
  </si>
  <si>
    <t>Jl Lampung_0+020</t>
  </si>
  <si>
    <t>Jl Lampung_0+040</t>
  </si>
  <si>
    <t>Jl Lampung_0+060</t>
  </si>
  <si>
    <t>Jl Lampung_0+080</t>
  </si>
  <si>
    <t>Jl Lampung_0+100</t>
  </si>
  <si>
    <t>Jl Lampung_0+120</t>
  </si>
  <si>
    <t>Jl Lampung_0+140</t>
  </si>
  <si>
    <t>Jl Lampung_0+160</t>
  </si>
  <si>
    <t>Jl Lampung_0+180</t>
  </si>
  <si>
    <t>Jl Lampung_0+200</t>
  </si>
  <si>
    <t>Jl Lampung_0+220</t>
  </si>
  <si>
    <t>Jl Lampung_0+240</t>
  </si>
  <si>
    <t>Jl Lampung_0+260</t>
  </si>
  <si>
    <t>Jl Lampung_0+280</t>
  </si>
  <si>
    <t>Jl Lampung_0+300</t>
  </si>
  <si>
    <t>Jl Lampung_0+320</t>
  </si>
  <si>
    <t>Jl Lampung_0+340</t>
  </si>
  <si>
    <t>Jl Lampung_0+360</t>
  </si>
  <si>
    <t>Jl Lampung_0+380</t>
  </si>
  <si>
    <t>Jl Lampung_0+400</t>
  </si>
  <si>
    <t>Jl Lampung_0+420</t>
  </si>
  <si>
    <t>Jl Lampung_0+440</t>
  </si>
  <si>
    <t>Jl Lampung_0+460</t>
  </si>
  <si>
    <t>Jl Lampung_0+480</t>
  </si>
  <si>
    <t>Jl Lampung_0+500</t>
  </si>
  <si>
    <t>Jl Lampung_0+520</t>
  </si>
  <si>
    <t>Jl Lampung_0+540</t>
  </si>
  <si>
    <t>Jl Lampung_0+560</t>
  </si>
  <si>
    <t>Jl Lampung_0+580</t>
  </si>
  <si>
    <t>Jl Lampung_0+600</t>
  </si>
  <si>
    <t>Jl Lampung_0+620</t>
  </si>
  <si>
    <t>Jl Lampung_0+640</t>
  </si>
  <si>
    <t>Jl Lampung_0+660</t>
  </si>
  <si>
    <t>Jl Lampung_0+680</t>
  </si>
  <si>
    <t>Jl Lampung_0+700</t>
  </si>
  <si>
    <t>Jl Lampung_0+720</t>
  </si>
  <si>
    <t>Jl Lampung_0+740</t>
  </si>
  <si>
    <t>Jl Lampung_0+760</t>
  </si>
  <si>
    <t>Jl Lampung_0+780</t>
  </si>
  <si>
    <t>Jl Lampung_0+800</t>
  </si>
  <si>
    <t>Jl Lampung_0+820</t>
  </si>
  <si>
    <t>Jl Lampung_0+840</t>
  </si>
  <si>
    <t>Jl Lampung_0+860</t>
  </si>
  <si>
    <t>Jl Lampung_0+880</t>
  </si>
  <si>
    <t>Jl Lampung_0+900</t>
  </si>
  <si>
    <t>Jl Lampung_0+920</t>
  </si>
  <si>
    <t>Jl Lampung_0+940</t>
  </si>
  <si>
    <t>Jl Lampung_0+960</t>
  </si>
  <si>
    <t>Jl Lampung_0+980</t>
  </si>
  <si>
    <t>Jl Lampung_1+000</t>
  </si>
  <si>
    <t>Jl Lampung_1+020</t>
  </si>
  <si>
    <t>Jl Lampung_1+040</t>
  </si>
  <si>
    <t>Jl Lampung_1+060</t>
  </si>
  <si>
    <t>Jl Lampung_1+080</t>
  </si>
  <si>
    <t>Jl Lampung_1+100</t>
  </si>
  <si>
    <t>Jl Lampung_1+120</t>
  </si>
  <si>
    <t>Jl Lampung_1+140</t>
  </si>
  <si>
    <t>Jl Lampung_1+160</t>
  </si>
  <si>
    <t>Jl Lampung_1+180</t>
  </si>
  <si>
    <t>Jl Lampung_1+200</t>
  </si>
  <si>
    <t>Jl Lampung_1+220</t>
  </si>
  <si>
    <t>Jl Lampung_1+240</t>
  </si>
  <si>
    <t>Jl Lampung_1+260</t>
  </si>
  <si>
    <t>Jl Lampung_1+280</t>
  </si>
  <si>
    <t>Jl Lampung_1+300</t>
  </si>
  <si>
    <t>Jl Lampung_1+320</t>
  </si>
  <si>
    <t>Jl Lampung_1+340</t>
  </si>
  <si>
    <t>Jl Lampung_1+360</t>
  </si>
  <si>
    <t>Jl Lampung_1+380</t>
  </si>
  <si>
    <t>Jl Lampung_1+400</t>
  </si>
  <si>
    <t>Jl Lampung_1+420</t>
  </si>
  <si>
    <t>Jl Lampung_1+440</t>
  </si>
  <si>
    <t>Jl Lampung_1+460</t>
  </si>
  <si>
    <t>Jl Lampung_1+480</t>
  </si>
  <si>
    <t>Jl Lampung_1+500</t>
  </si>
  <si>
    <t>Jl Lampung_1+520</t>
  </si>
  <si>
    <t>Jl Lampung_1+540</t>
  </si>
  <si>
    <t>Jl Lampung_1+560</t>
  </si>
  <si>
    <t>Jl Lampung_1+580</t>
  </si>
  <si>
    <t>Jl Lampung_1+600</t>
  </si>
  <si>
    <t>Jl Lampung_1+620</t>
  </si>
  <si>
    <t>Jl Lampung_1+640</t>
  </si>
  <si>
    <t>Jl Lampung_1+660</t>
  </si>
  <si>
    <t>Jl Lampung_1+680</t>
  </si>
  <si>
    <t>Jl Lampung_1+700</t>
  </si>
  <si>
    <t>Jl Lampung_1+720</t>
  </si>
  <si>
    <t>Jl Lampung_1+740</t>
  </si>
  <si>
    <t>Jl Lampung_1+760</t>
  </si>
  <si>
    <t>Jl Lampung_1+780</t>
  </si>
  <si>
    <t>Jl Lampung_1+800</t>
  </si>
  <si>
    <t>Jl Lampung_1+820</t>
  </si>
  <si>
    <t>Jl Lampung_1+840</t>
  </si>
  <si>
    <t>Jl Lampung_1+860</t>
  </si>
  <si>
    <t>Jl Lampung_1+880</t>
  </si>
  <si>
    <t>Jl Lampung_1+900</t>
  </si>
  <si>
    <t>Jl Lampung_1+920</t>
  </si>
  <si>
    <t>Jl Lampung_1+940</t>
  </si>
  <si>
    <t>Jl Lampung_1+960</t>
  </si>
  <si>
    <t>Jl Lampung_1+980</t>
  </si>
  <si>
    <t>Jl Lampung_2+000</t>
  </si>
  <si>
    <t>Jl Lampung_2+020</t>
  </si>
  <si>
    <t>Jl Lampung_2+040</t>
  </si>
  <si>
    <t>Jl Lampung_2+060</t>
  </si>
  <si>
    <t>Jl Lampung_2+080</t>
  </si>
  <si>
    <t>Jl Lampung_2+100</t>
  </si>
  <si>
    <t>Jl Lampung_2+120</t>
  </si>
  <si>
    <t>Jl Lampung_2+140</t>
  </si>
  <si>
    <t>Jl Lampung_2+160</t>
  </si>
  <si>
    <t>Jl Lampung_2+180</t>
  </si>
  <si>
    <t>Jl Lampung_2+200</t>
  </si>
  <si>
    <t>Jl Lampung_2+220</t>
  </si>
  <si>
    <t>Jl Lampung_2+240</t>
  </si>
  <si>
    <t>Jl Lampung_2+250.6</t>
  </si>
  <si>
    <t>Jl Dumai_0+000</t>
  </si>
  <si>
    <t>Jl Dumai_0+020</t>
  </si>
  <si>
    <t>Jl Dumai_0+040</t>
  </si>
  <si>
    <t>Jl Dumai_0+060</t>
  </si>
  <si>
    <t>Jl Dumai_0+080</t>
  </si>
  <si>
    <t>Jl Dumai_0+100</t>
  </si>
  <si>
    <t>Jl Dumai_0+120</t>
  </si>
  <si>
    <t>Jl Dumai_0+140</t>
  </si>
  <si>
    <t>Jl Dumai_0+160</t>
  </si>
  <si>
    <t>Jl Dumai_0+180</t>
  </si>
  <si>
    <t>Jl Dumai_0+200</t>
  </si>
  <si>
    <t>Jl Dumai_0+220</t>
  </si>
  <si>
    <t>Jl Dumai_0+240</t>
  </si>
  <si>
    <t>Jl Dumai_0+260</t>
  </si>
  <si>
    <t>Jl Dumai_0+280</t>
  </si>
  <si>
    <t>Jl Dumai_0+300</t>
  </si>
  <si>
    <t>Jl Dumai_0+320</t>
  </si>
  <si>
    <t>Jl Dumai_0+340</t>
  </si>
  <si>
    <t>Jl Dumai_0+360</t>
  </si>
  <si>
    <t>Jl Dumai_0+380</t>
  </si>
  <si>
    <t>Jl Dumai_0+400</t>
  </si>
  <si>
    <t>Jl Dumai_0+420</t>
  </si>
  <si>
    <t>Jl Dumai_0+440</t>
  </si>
  <si>
    <t>Jl Dumai_0+460</t>
  </si>
  <si>
    <t>Jl Dumai_0+480</t>
  </si>
  <si>
    <t>Jl Dumai_0+500</t>
  </si>
  <si>
    <t>Jl Dumai_0+520</t>
  </si>
  <si>
    <t>Jl Dumai_0+540</t>
  </si>
  <si>
    <t>Jl Dumai_0+560</t>
  </si>
  <si>
    <t>Jl Dumai_0+580</t>
  </si>
  <si>
    <t>Jl Dumai_0+600</t>
  </si>
  <si>
    <t>Jl Dumai_0+620</t>
  </si>
  <si>
    <t>Jl Dumai_0+640</t>
  </si>
  <si>
    <t>Jl Dumai_0+660</t>
  </si>
  <si>
    <t>Jl Dumai_0+680</t>
  </si>
  <si>
    <t>Jl Dumai_0+700</t>
  </si>
  <si>
    <t>Jl Dumai_0+720</t>
  </si>
  <si>
    <t>Jl Dumai_0+740</t>
  </si>
  <si>
    <t>Jl Dumai_0+745.6</t>
  </si>
  <si>
    <t>Jl Bengkulu_0+000</t>
  </si>
  <si>
    <t>Jl Bengkulu_0+020</t>
  </si>
  <si>
    <t>Jl Bengkulu_0+040</t>
  </si>
  <si>
    <t>Jl Bengkulu_0+060</t>
  </si>
  <si>
    <t>Jl Bengkulu_0+080</t>
  </si>
  <si>
    <t>Jl Bengkulu_0+100</t>
  </si>
  <si>
    <t>Jl Bengkulu_0+120</t>
  </si>
  <si>
    <t>Jl Bengkulu_0+140</t>
  </si>
  <si>
    <t>Jl Bengkulu_0+160</t>
  </si>
  <si>
    <t>Jl Bengkulu_0+180</t>
  </si>
  <si>
    <t>Jl Bengkulu_0+200</t>
  </si>
  <si>
    <t>Jl Bengkulu_0+220</t>
  </si>
  <si>
    <t>Jl Bengkulu_0+240</t>
  </si>
  <si>
    <t>Jl Bengkulu_0+260</t>
  </si>
  <si>
    <t>Jl Bengkulu_0+280</t>
  </si>
  <si>
    <t>Jl Bengkulu_0+300</t>
  </si>
  <si>
    <t>Jl Bengkulu_0+320</t>
  </si>
  <si>
    <t>Jl Bengkulu_0+340</t>
  </si>
  <si>
    <t>Jl Bengkulu_0+360</t>
  </si>
  <si>
    <t>Jl Bengkulu_0+380</t>
  </si>
  <si>
    <t>Jl Bengkulu_0+400</t>
  </si>
  <si>
    <t>Jl Bengkulu_0+420</t>
  </si>
  <si>
    <t>Jl Bengkulu_0+440</t>
  </si>
  <si>
    <t>Jl Bengkulu_0+460</t>
  </si>
  <si>
    <t>Jl Bengkulu_0+480</t>
  </si>
  <si>
    <t>Jl Bengkulu_0+500</t>
  </si>
  <si>
    <t>Jl Bengkulu_0+520</t>
  </si>
  <si>
    <t>Jl Bengkulu_0+540</t>
  </si>
  <si>
    <t>Jl Bengkulu_0+560</t>
  </si>
  <si>
    <t>Jl Bengkulu_0+580</t>
  </si>
  <si>
    <t>Jl Bengkulu_0+600</t>
  </si>
  <si>
    <t>Jl Bengkulu_0+620</t>
  </si>
  <si>
    <t>Jl Bengkulu_0+640</t>
  </si>
  <si>
    <t>Jl Bengkulu_0+660</t>
  </si>
  <si>
    <t>Jl Bengkulu_0+680</t>
  </si>
  <si>
    <t>Jl Bengkulu_0+686.2</t>
  </si>
  <si>
    <t>Jl Sabang_0+000</t>
  </si>
  <si>
    <t>Jl Sabang_0+020</t>
  </si>
  <si>
    <t>Jl Sabang_0+040</t>
  </si>
  <si>
    <t>Jl Sabang_0+060</t>
  </si>
  <si>
    <t>Jl Sabang_0+080</t>
  </si>
  <si>
    <t>Jl Sabang_0+100</t>
  </si>
  <si>
    <t>Jl Sabang_0+120</t>
  </si>
  <si>
    <t>Jl Sabang_0+140</t>
  </si>
  <si>
    <t>Jl Sabang_0+160</t>
  </si>
  <si>
    <t>Jl Sabang_0+180</t>
  </si>
  <si>
    <t>Jl Sabang_0+200</t>
  </si>
  <si>
    <t>Jl Sabang_0+220</t>
  </si>
  <si>
    <t>Jl Sabang_0+240</t>
  </si>
  <si>
    <t>Jl Sabang_0+260</t>
  </si>
  <si>
    <t>Jl Sabang_0+280</t>
  </si>
  <si>
    <t>Jl Sabang_0+300</t>
  </si>
  <si>
    <t>Jl Sabang_0+320</t>
  </si>
  <si>
    <t>Jl Sabang_0+340</t>
  </si>
  <si>
    <t>Jl Sabang_0+360</t>
  </si>
  <si>
    <t>Jl Sabang_0+380</t>
  </si>
  <si>
    <t>Jl Sabang_0+400</t>
  </si>
  <si>
    <t>Jl Sabang_0+420</t>
  </si>
  <si>
    <t>Jl Sabang_0+440</t>
  </si>
  <si>
    <t>Jl Sabang_0+460</t>
  </si>
  <si>
    <t>Jl Sabang_0+480</t>
  </si>
  <si>
    <t>Jl Sabang_0+500</t>
  </si>
  <si>
    <t>Jl Sabang_0+520</t>
  </si>
  <si>
    <t>Jl Sabang_0+540</t>
  </si>
  <si>
    <t>Jl Sabang_0+560</t>
  </si>
  <si>
    <t>Jl Sabang_0+580</t>
  </si>
  <si>
    <t>Jl Sabang_0+600</t>
  </si>
  <si>
    <t>Jl Sabang_0+620</t>
  </si>
  <si>
    <t>Jl Sabang_0+640</t>
  </si>
  <si>
    <t>Jl Sabang_0+660</t>
  </si>
  <si>
    <t>Jl Sabang_0+680</t>
  </si>
  <si>
    <t>Jl Sabang_0+700</t>
  </si>
  <si>
    <t>Jl Sabang_0+720</t>
  </si>
  <si>
    <t>Jl Sabang_0+740</t>
  </si>
  <si>
    <t>Jl Sabang_0+760</t>
  </si>
  <si>
    <t>Jl Sabang_0+780</t>
  </si>
  <si>
    <t>Jl Sabang_0+800</t>
  </si>
  <si>
    <t>Jl Sabang_0+820</t>
  </si>
  <si>
    <t>Jl Sabang_0+840</t>
  </si>
  <si>
    <t>Jl Sabang_0+860</t>
  </si>
  <si>
    <t>Jl Sabang_0+880</t>
  </si>
  <si>
    <t>Jl Sabang_0+900</t>
  </si>
  <si>
    <t>Jl Sabang_0+920</t>
  </si>
  <si>
    <t>Jl Sabang_0+940</t>
  </si>
  <si>
    <t>Jl Sabang_0+960</t>
  </si>
  <si>
    <t>Jl Sabang_0+980</t>
  </si>
  <si>
    <t>Jl Sabang_1+000</t>
  </si>
  <si>
    <t>Jl Sabang_1+020</t>
  </si>
  <si>
    <t>Jl Sabang_1+040</t>
  </si>
  <si>
    <t>Jl Sabang_1+060</t>
  </si>
  <si>
    <t>Jl Sabang_1+080</t>
  </si>
  <si>
    <t>Jl Sabang_1+100</t>
  </si>
  <si>
    <t>Jl Sabang_1+120</t>
  </si>
  <si>
    <t>Jl Sabang_1+140</t>
  </si>
  <si>
    <t>Jl Sabang_1+160</t>
  </si>
  <si>
    <t>Jl Sabang_1+180</t>
  </si>
  <si>
    <t>Jl Sabang_1+200</t>
  </si>
  <si>
    <t>Jl Sabang_1+220</t>
  </si>
  <si>
    <t>Jl Sabang_1+240</t>
  </si>
  <si>
    <t>Jl Sabang_1+260</t>
  </si>
  <si>
    <t>Jl Sabang_1+280</t>
  </si>
  <si>
    <t>Jl Sabang_1+300</t>
  </si>
  <si>
    <t>Jl Sabang_1+320</t>
  </si>
  <si>
    <t>Jl Sabang_1+340</t>
  </si>
  <si>
    <t>Jl Sabang_1+360</t>
  </si>
  <si>
    <t>Jl Sabang_1+380</t>
  </si>
  <si>
    <t>Jl Sabang_1+400</t>
  </si>
  <si>
    <t>Jl Sabang_1+420</t>
  </si>
  <si>
    <t>Jl Sabang_1+440</t>
  </si>
  <si>
    <t>Jl Sabang_1+460</t>
  </si>
  <si>
    <t>Jl Sabang_1+480</t>
  </si>
  <si>
    <t>Jl Sabang_1+500</t>
  </si>
  <si>
    <t>Jl Sabang_1+520</t>
  </si>
  <si>
    <t>Jl Sabang_1+540</t>
  </si>
  <si>
    <t>Jl Sabang_1+560</t>
  </si>
  <si>
    <t>Jl Sabang_1+580</t>
  </si>
  <si>
    <t>Jl Sabang_1+600</t>
  </si>
  <si>
    <t>Jl Sabang_1+620</t>
  </si>
  <si>
    <t>Jl Sabang_1+640</t>
  </si>
  <si>
    <t>Jl Sabang_1+660</t>
  </si>
  <si>
    <t>Jl Sabang_1+680</t>
  </si>
  <si>
    <t>Jl Sabang_1+700</t>
  </si>
  <si>
    <t>Jl Sabang_1+720</t>
  </si>
  <si>
    <t>Jl Sabang_1+740</t>
  </si>
  <si>
    <t>Jl Sabang_1+760</t>
  </si>
  <si>
    <t>Jl Sabang_1+780</t>
  </si>
  <si>
    <t>Jl Sabang_1+800</t>
  </si>
  <si>
    <t>Jl Sabang_1+820</t>
  </si>
  <si>
    <t>Jl Sabang_1+840</t>
  </si>
  <si>
    <t>Jl Sabang_1+860</t>
  </si>
  <si>
    <t>Jl Sabang_1+880</t>
  </si>
  <si>
    <t>Jl Sabang_1+900</t>
  </si>
  <si>
    <t>Jl Sabang_1+920</t>
  </si>
  <si>
    <t>Jl Sabang_1+940</t>
  </si>
  <si>
    <t>Jl Sabang_1+960</t>
  </si>
  <si>
    <t>Jl Sabang_1+980</t>
  </si>
  <si>
    <t>Jl Sabang_2+000</t>
  </si>
  <si>
    <t>Jl Sabang_2+020</t>
  </si>
  <si>
    <t>Jl Sabang_2+040</t>
  </si>
  <si>
    <t>Jl Sabang_2+060</t>
  </si>
  <si>
    <t>Jl Sabang_2+080</t>
  </si>
  <si>
    <t>Jl Sabang_2+100</t>
  </si>
  <si>
    <t>Jl Sabang_2+120</t>
  </si>
  <si>
    <t>Jl Sabang_2+140</t>
  </si>
  <si>
    <t>Jl Sabang_2+160</t>
  </si>
  <si>
    <t>Jl Sabang_2+180</t>
  </si>
  <si>
    <t>Jl Sabang_2+200</t>
  </si>
  <si>
    <t>Jl Sabang_2+220</t>
  </si>
  <si>
    <t>Jl Sabang_2+240</t>
  </si>
  <si>
    <t>Jl Sabang_2+260</t>
  </si>
  <si>
    <t>Jl Sabang_2+280</t>
  </si>
  <si>
    <t>Jl Sabang_2+300</t>
  </si>
  <si>
    <t>Jl Sabang_2+320</t>
  </si>
  <si>
    <t>Jl Sabang_2+340</t>
  </si>
  <si>
    <t>Jl Sabang_2+360</t>
  </si>
  <si>
    <t>Jl Sabang_2+380</t>
  </si>
  <si>
    <t>Jl Sabang_2+400</t>
  </si>
  <si>
    <t>Jl Sabang_2+420</t>
  </si>
  <si>
    <t>Jl Sabang_2+440</t>
  </si>
  <si>
    <t>Jl Sabang_2+460</t>
  </si>
  <si>
    <t>Jl Sabang_2+480</t>
  </si>
  <si>
    <t>Jl Sabang_2+500</t>
  </si>
  <si>
    <t>Jl Sabang_2+520</t>
  </si>
  <si>
    <t>Jl Sabang_2+540</t>
  </si>
  <si>
    <t>Jl Sabang_2+560</t>
  </si>
  <si>
    <t>Jl Sabang_2+580</t>
  </si>
  <si>
    <t>Jl Sabang_2+600</t>
  </si>
  <si>
    <t>Jl Sabang_2+620</t>
  </si>
  <si>
    <t>Jl Sabang_2+640</t>
  </si>
  <si>
    <t>Jl Sabang_2+660</t>
  </si>
  <si>
    <t>Jl Sabang_2+680</t>
  </si>
  <si>
    <t>Jl Sabang_2+700</t>
  </si>
  <si>
    <t>Jl Sabang_2+720</t>
  </si>
  <si>
    <t>Jl Sabang_2+740</t>
  </si>
  <si>
    <t>Jl Sabang_2+760</t>
  </si>
  <si>
    <t>Jl Sabang_2+780</t>
  </si>
  <si>
    <t>Jl Sabang_2+800</t>
  </si>
  <si>
    <t>Jl Sabang_2+820</t>
  </si>
  <si>
    <t>Jl Sabang_2+840</t>
  </si>
  <si>
    <t>Jl Sabang_2+860</t>
  </si>
  <si>
    <t>Jl Sabang_2+880</t>
  </si>
  <si>
    <t>Jl Sabang_2+900</t>
  </si>
  <si>
    <t>Jl Sabang_2+920</t>
  </si>
  <si>
    <t>Jl Sabang_2+940</t>
  </si>
  <si>
    <t>Jl Sabang_2+960</t>
  </si>
  <si>
    <t>Jl Sabang_2+980</t>
  </si>
  <si>
    <t>Jl Sabang_3+000</t>
  </si>
  <si>
    <t>Jl Sabang_3+020</t>
  </si>
  <si>
    <t>Jl Sabang_3+040</t>
  </si>
  <si>
    <t>Jl Sabang_3+060</t>
  </si>
  <si>
    <t>Jl Sabang_3+080</t>
  </si>
  <si>
    <t>Jl Sabang_3+100</t>
  </si>
  <si>
    <t>Jl Sabang_3+120</t>
  </si>
  <si>
    <t>Jl Sabang_3+140</t>
  </si>
  <si>
    <t>Jl Sabang_3+160</t>
  </si>
  <si>
    <t>Jl Sabang_3+180</t>
  </si>
  <si>
    <t>Jl Sabang_3+200</t>
  </si>
  <si>
    <t>Jl Sabang_3+220</t>
  </si>
  <si>
    <t>Jl Sabang_3+240</t>
  </si>
  <si>
    <t>Jl Sabang_3+260</t>
  </si>
  <si>
    <t>Jl Sabang_3+280</t>
  </si>
  <si>
    <t>Jl Sabang_3+300</t>
  </si>
  <si>
    <t>Jl Sabang_3+320</t>
  </si>
  <si>
    <t>Jl Sabang_3+340</t>
  </si>
  <si>
    <t>Jl Sabang_3+360</t>
  </si>
  <si>
    <t>Jl Sabang_3+380</t>
  </si>
  <si>
    <t>Jl Sabang_3+400</t>
  </si>
  <si>
    <t>Jl Sabang_3+420</t>
  </si>
  <si>
    <t>Jl Sabang_3+440</t>
  </si>
  <si>
    <t>Jl Sabang_3+460</t>
  </si>
  <si>
    <t>Jl Sabang_3+480</t>
  </si>
  <si>
    <t>Jl Sabang_3+500</t>
  </si>
  <si>
    <t>Jl Sabang_3+520</t>
  </si>
  <si>
    <t>Jl Sabang_3+540</t>
  </si>
  <si>
    <t>Jl Sabang_3+560</t>
  </si>
  <si>
    <t>Jl Sabang_3+580</t>
  </si>
  <si>
    <t>Jl Sabang_3+600</t>
  </si>
  <si>
    <t>Jl Sabang_3+620</t>
  </si>
  <si>
    <t>Jl Sabang_3+640</t>
  </si>
  <si>
    <t>Jl Sabang_3+660</t>
  </si>
  <si>
    <t>Jl Sabang_3+680</t>
  </si>
  <si>
    <t>Jl Sabang_3+700</t>
  </si>
  <si>
    <t>Jl Sabang_3+720</t>
  </si>
  <si>
    <t>Jl Sabang_3+740</t>
  </si>
  <si>
    <t>Jl Sabang_3+760</t>
  </si>
  <si>
    <t>Jl Sabang_3+780</t>
  </si>
  <si>
    <t>Jl Sabang_3+800</t>
  </si>
  <si>
    <t>Jl Sabang_3+820</t>
  </si>
  <si>
    <t>Jl Sabang_3+840</t>
  </si>
  <si>
    <t>Jl Sabang_3+860</t>
  </si>
  <si>
    <t>Jl Sabang_3+880</t>
  </si>
  <si>
    <t>Jl Sabang_3+900</t>
  </si>
  <si>
    <t>Jl Sabang_3+920</t>
  </si>
  <si>
    <t>Jl Sabang_3+940</t>
  </si>
  <si>
    <t>Jl Sabang_3+960</t>
  </si>
  <si>
    <t>Jl Sabang_3+980</t>
  </si>
  <si>
    <t>Jl Sabang_4+000</t>
  </si>
  <si>
    <t>Jl Sabang_4+020</t>
  </si>
  <si>
    <t>Jl Sabang_4+040</t>
  </si>
  <si>
    <t>Jl Sabang_4+060</t>
  </si>
  <si>
    <t>Jl Sabang_4+080</t>
  </si>
  <si>
    <t>Jl Sabang_4+100</t>
  </si>
  <si>
    <t>Jl Sabang_4+120</t>
  </si>
  <si>
    <t>Jl Sabang_4+140</t>
  </si>
  <si>
    <t>Jl Sabang_4+160</t>
  </si>
  <si>
    <t>Jl Sabang_4+180</t>
  </si>
  <si>
    <t>Jl Sabang_4+200</t>
  </si>
  <si>
    <t>Jl Sabang_4+220</t>
  </si>
  <si>
    <t>Jl Sabang_4+240</t>
  </si>
  <si>
    <t>Jl Sabang_4+260</t>
  </si>
  <si>
    <t>Jl Sabang_4+280</t>
  </si>
  <si>
    <t>Jl Sabang_4+300</t>
  </si>
  <si>
    <t>Jl Sabang_4+320</t>
  </si>
  <si>
    <t>Jl Sabang_4+340</t>
  </si>
  <si>
    <t>Jl Sabang_4+360</t>
  </si>
  <si>
    <t>Jl Sabang_4+380</t>
  </si>
  <si>
    <t>Jl Sabang_4+400</t>
  </si>
  <si>
    <t>Jl Sabang_4+420</t>
  </si>
  <si>
    <t>Jl Sabang_4+440</t>
  </si>
  <si>
    <t>Jl Sabang_4+460</t>
  </si>
  <si>
    <t>Jl Sabang_4+480</t>
  </si>
  <si>
    <t>Jl Sabang_4+500</t>
  </si>
  <si>
    <t>Jl Sabang_4+520</t>
  </si>
  <si>
    <t>Jl Sabang_4+540</t>
  </si>
  <si>
    <t>Jl Sabang_4+560</t>
  </si>
  <si>
    <t>Jl Sabang_4+580</t>
  </si>
  <si>
    <t>Jl Sabang_4+600</t>
  </si>
  <si>
    <t>Jl Sabang_4+620</t>
  </si>
  <si>
    <t>Jl Sabang_4+640</t>
  </si>
  <si>
    <t>Jl Sabang_4+660</t>
  </si>
  <si>
    <t>Jl Sabang_4+680</t>
  </si>
  <si>
    <t>Jl Sabang_4+700</t>
  </si>
  <si>
    <t>Jl Sabang_4+720</t>
  </si>
  <si>
    <t>Jl Sabang_4+740</t>
  </si>
  <si>
    <t>Jl Sabang_4+760</t>
  </si>
  <si>
    <t>Jl Sabang_4+780</t>
  </si>
  <si>
    <t>Jl Sabang_4+800</t>
  </si>
  <si>
    <t>Jl Sabang_4+820</t>
  </si>
  <si>
    <t>Jl Sabang_4+840</t>
  </si>
  <si>
    <t>Jl Sabang_4+860</t>
  </si>
  <si>
    <t>Jl Sabang_4+880</t>
  </si>
  <si>
    <t>Jl Sabang_4+888.5</t>
  </si>
  <si>
    <t>Jl Bangka_0+000</t>
  </si>
  <si>
    <t>Jl Bangka_0+020</t>
  </si>
  <si>
    <t>Jl Bangka_0+040</t>
  </si>
  <si>
    <t>Jl Bangka_0+060</t>
  </si>
  <si>
    <t>Jl Bangka_0+080</t>
  </si>
  <si>
    <t>Jl Bangka_0+100</t>
  </si>
  <si>
    <t>Jl Bangka_0+120</t>
  </si>
  <si>
    <t>Jl Bangka_0+140</t>
  </si>
  <si>
    <t>Jl Bangka_0+160</t>
  </si>
  <si>
    <t>Jl Bangka_0+180</t>
  </si>
  <si>
    <t>Jl Bangka_0+200</t>
  </si>
  <si>
    <t>Jl Bangka_0+220</t>
  </si>
  <si>
    <t>Jl Bangka_0+240</t>
  </si>
  <si>
    <t>Jl Bangka_0+260</t>
  </si>
  <si>
    <t>Jl Bangka_0+280</t>
  </si>
  <si>
    <t>Jl Bangka_0+300</t>
  </si>
  <si>
    <t>Jl Bangka_0+320</t>
  </si>
  <si>
    <t>Jl Bangka_0+340</t>
  </si>
  <si>
    <t>Jl Bangka_0+360</t>
  </si>
  <si>
    <t>Jl Bangka_0+380</t>
  </si>
  <si>
    <t>Jl Bangka_0+400</t>
  </si>
  <si>
    <t>Jl Bangka_0+420</t>
  </si>
  <si>
    <t>Jl Bangka_0+440</t>
  </si>
  <si>
    <t>Jl Bangka_0+460</t>
  </si>
  <si>
    <t>Jl Bangka_0+480</t>
  </si>
  <si>
    <t>Jl Bangka_0+500</t>
  </si>
  <si>
    <t>Jl Bangka_0+520</t>
  </si>
  <si>
    <t>Jl Bangka_0+540</t>
  </si>
  <si>
    <t>Jl Bangka_0+560</t>
  </si>
  <si>
    <t>Jl Bangka_0+580</t>
  </si>
  <si>
    <t>Jl Bangka_0+600</t>
  </si>
  <si>
    <t>Jl Bangka_0+620</t>
  </si>
  <si>
    <t>Jl Bangka_0+640</t>
  </si>
  <si>
    <t>Jl Bangka_0+660</t>
  </si>
  <si>
    <t>Jl Bangka_0+680</t>
  </si>
  <si>
    <t>Jl Bangka_0+700</t>
  </si>
  <si>
    <t>Jl Bangka_0+720</t>
  </si>
  <si>
    <t>Jl Bangka_0+740</t>
  </si>
  <si>
    <t>Jl Bangka_0+760</t>
  </si>
  <si>
    <t>Jl Bangka_0+780</t>
  </si>
  <si>
    <t>Jl Bangka_0+800</t>
  </si>
  <si>
    <t>Jl Bangka_0+820</t>
  </si>
  <si>
    <t>Jl Bangka_0+840</t>
  </si>
  <si>
    <t>Jl Bangka_0+860</t>
  </si>
  <si>
    <t>Jl Bangka_0+880</t>
  </si>
  <si>
    <t>Jl Bangka_0+900</t>
  </si>
  <si>
    <t>Jl Bangka_0+920</t>
  </si>
  <si>
    <t>Jl Bangka_0+940</t>
  </si>
  <si>
    <t>Jl Bangka_0+960</t>
  </si>
  <si>
    <t>Jl Bangka_0+980</t>
  </si>
  <si>
    <t>Jl Bangka_1+000</t>
  </si>
  <si>
    <t>Jl Bangka_1+020</t>
  </si>
  <si>
    <t>Jl Bangka_1+040</t>
  </si>
  <si>
    <t>Jl Bangka_1+060</t>
  </si>
  <si>
    <t>Jl Bangka_1+080</t>
  </si>
  <si>
    <t>Jl Bangka_1+100</t>
  </si>
  <si>
    <t>Jl Bangka_1+120</t>
  </si>
  <si>
    <t>Jl Bangka_1+140</t>
  </si>
  <si>
    <t>Jl Bangka_1+160</t>
  </si>
  <si>
    <t>Jl Bangka_1+172.3</t>
  </si>
  <si>
    <t>Jl Sibolga_0+000</t>
  </si>
  <si>
    <t>Jl Sibolga_0+020</t>
  </si>
  <si>
    <t>Jl Sibolga_0+040</t>
  </si>
  <si>
    <t>Jl Sibolga_0+060</t>
  </si>
  <si>
    <t>Jl Sibolga_0+080</t>
  </si>
  <si>
    <t>Jl Sibolga_0+100</t>
  </si>
  <si>
    <t>Jl Sibolga_0+120</t>
  </si>
  <si>
    <t>Jl Sibolga_0+140</t>
  </si>
  <si>
    <t>Jl Sibolga_0+160</t>
  </si>
  <si>
    <t>Jl Sibolga_0+180</t>
  </si>
  <si>
    <t>Jl Sibolga_0+200</t>
  </si>
  <si>
    <t>Jl Sibolga_0+220</t>
  </si>
  <si>
    <t>Jl Sibolga_0+240</t>
  </si>
  <si>
    <t>Jl Sibolga_0+260</t>
  </si>
  <si>
    <t>Jl Sibolga_0+280</t>
  </si>
  <si>
    <t>Jl Sibolga_0+300</t>
  </si>
  <si>
    <t>Jl Sibolga_0+320</t>
  </si>
  <si>
    <t>Jl Sibolga_0+340</t>
  </si>
  <si>
    <t>Jl Sibolga_0+360</t>
  </si>
  <si>
    <t>Jl Sibolga_0+380</t>
  </si>
  <si>
    <t>Jl Sibolga_0+400</t>
  </si>
  <si>
    <t>Jl Sibolga_0+420</t>
  </si>
  <si>
    <t>Jl Sibolga_0+440</t>
  </si>
  <si>
    <t>Jl Sibolga_0+460</t>
  </si>
  <si>
    <t>Jl Sibolga_0+480</t>
  </si>
  <si>
    <t>Jl Sibolga_0+500</t>
  </si>
  <si>
    <t>Jl Sibolga_0+520</t>
  </si>
  <si>
    <t>Jl Sibolga_0+540</t>
  </si>
  <si>
    <t>Jl Sibolga_0+560</t>
  </si>
  <si>
    <t>Jl Sibolga_0+580</t>
  </si>
  <si>
    <t>Jl Sibolga_0+600</t>
  </si>
  <si>
    <t>Jl Sibolga_0+620</t>
  </si>
  <si>
    <t>Jl Sibolga_0+640</t>
  </si>
  <si>
    <t>Jl Sibolga_0+660</t>
  </si>
  <si>
    <t>Jl Sibolga_0+680</t>
  </si>
  <si>
    <t>Jl Sibolga_0+700</t>
  </si>
  <si>
    <t>Jl Sibolga_0+720</t>
  </si>
  <si>
    <t>Jl Sibolga_0+740</t>
  </si>
  <si>
    <t>Jl Sibolga_0+760</t>
  </si>
  <si>
    <t>Jl Sibolga_0+780</t>
  </si>
  <si>
    <t>Jl Sibolga_0+800</t>
  </si>
  <si>
    <t>Jl Sibolga_0+820</t>
  </si>
  <si>
    <t>Jl Sibolga_0+840</t>
  </si>
  <si>
    <t>Jl Sibolga_0+860</t>
  </si>
  <si>
    <t>Jl Sibolga_0+880</t>
  </si>
  <si>
    <t>Jl Sibolga_0+900</t>
  </si>
  <si>
    <t>Jl Sibolga_0+920</t>
  </si>
  <si>
    <t>Jl Sibolga_0+940</t>
  </si>
  <si>
    <t>Jl Sibolga_0+960</t>
  </si>
  <si>
    <t>Jl Sibolga_0+980</t>
  </si>
  <si>
    <t>Jl Sibolga_1+000</t>
  </si>
  <si>
    <t>Jl Sibolga_1+020</t>
  </si>
  <si>
    <t>Jl Sibolga_1+040</t>
  </si>
  <si>
    <t>Jl Sibolga_1+060</t>
  </si>
  <si>
    <t>Jl Sibolga_1+080</t>
  </si>
  <si>
    <t>Jl Sibolga_1+100</t>
  </si>
  <si>
    <t>Jl Sibolga_1+120</t>
  </si>
  <si>
    <t>Jl Sibolga_1+140</t>
  </si>
  <si>
    <t>Jl Sibolga_1+160</t>
  </si>
  <si>
    <t>Jl Sibolga_1+175.2</t>
  </si>
  <si>
    <t xml:space="preserve"> Jl Kerinci_0+000</t>
  </si>
  <si>
    <t xml:space="preserve"> Jl Kerinci_0+020</t>
  </si>
  <si>
    <t xml:space="preserve"> Jl Kerinci_0+040</t>
  </si>
  <si>
    <t xml:space="preserve"> Jl Kerinci_0+060</t>
  </si>
  <si>
    <t xml:space="preserve"> Jl Kerinci_0+080</t>
  </si>
  <si>
    <t xml:space="preserve"> Jl Kerinci_0+100</t>
  </si>
  <si>
    <t xml:space="preserve"> Jl Kerinci_0+120</t>
  </si>
  <si>
    <t xml:space="preserve"> Jl Kerinci_0+140</t>
  </si>
  <si>
    <t xml:space="preserve"> Jl Kerinci_0+160</t>
  </si>
  <si>
    <t xml:space="preserve"> Jl Kerinci_0+180</t>
  </si>
  <si>
    <t xml:space="preserve"> Jl Kerinci_0+200</t>
  </si>
  <si>
    <t xml:space="preserve"> Jl Kerinci_0+220</t>
  </si>
  <si>
    <t xml:space="preserve"> Jl Kerinci_0+240</t>
  </si>
  <si>
    <t xml:space="preserve"> Jl Kerinci_0+260</t>
  </si>
  <si>
    <t xml:space="preserve"> Jl Kerinci_0+280</t>
  </si>
  <si>
    <t xml:space="preserve"> Jl Kerinci_0+300</t>
  </si>
  <si>
    <t xml:space="preserve"> Jl Kerinci_0+320</t>
  </si>
  <si>
    <t xml:space="preserve"> Jl Kerinci_0+340</t>
  </si>
  <si>
    <t xml:space="preserve"> Jl Kerinci_0+360</t>
  </si>
  <si>
    <t xml:space="preserve"> Jl Kerinci_0+380</t>
  </si>
  <si>
    <t xml:space="preserve"> Jl Kerinci_0+400</t>
  </si>
  <si>
    <t xml:space="preserve"> Jl Kerinci_0+420</t>
  </si>
  <si>
    <t xml:space="preserve"> Jl Kerinci_0+440</t>
  </si>
  <si>
    <t xml:space="preserve"> Jl Kerinci_0+460</t>
  </si>
  <si>
    <t xml:space="preserve"> Jl Kerinci_0+480</t>
  </si>
  <si>
    <t xml:space="preserve"> Jl Kerinci_0+500</t>
  </si>
  <si>
    <t xml:space="preserve"> Jl Kerinci_0+520</t>
  </si>
  <si>
    <t xml:space="preserve"> Jl Kerinci_0+540</t>
  </si>
  <si>
    <t xml:space="preserve"> Jl Kerinci_0+560</t>
  </si>
  <si>
    <t xml:space="preserve"> Jl Kerinci_0+580</t>
  </si>
  <si>
    <t xml:space="preserve"> Jl Kerinci_0+600</t>
  </si>
  <si>
    <t xml:space="preserve"> Jl Kerinci_0+620</t>
  </si>
  <si>
    <t xml:space="preserve"> Jl Kerinci_0+640</t>
  </si>
  <si>
    <t xml:space="preserve"> Jl Kerinci_0+660</t>
  </si>
  <si>
    <t xml:space="preserve"> Jl Kerinci_0+680</t>
  </si>
  <si>
    <t xml:space="preserve"> Jl Kerinci_0+700</t>
  </si>
  <si>
    <t xml:space="preserve"> Jl Kerinci_0+720</t>
  </si>
  <si>
    <t xml:space="preserve"> Jl Kerinci_0+740</t>
  </si>
  <si>
    <t xml:space="preserve"> Jl Kerinci_0+760</t>
  </si>
  <si>
    <t xml:space="preserve"> Jl Kerinci_0+780</t>
  </si>
  <si>
    <t xml:space="preserve"> Jl Kerinci_0+800</t>
  </si>
  <si>
    <t xml:space="preserve"> Jl Kerinci_0+820</t>
  </si>
  <si>
    <t xml:space="preserve"> Jl Kerinci_0+840</t>
  </si>
  <si>
    <t xml:space="preserve"> Jl Kerinci_0+860</t>
  </si>
  <si>
    <t xml:space="preserve"> Jl Kerinci_0+880</t>
  </si>
  <si>
    <t xml:space="preserve"> Jl Kerinci_0+900</t>
  </si>
  <si>
    <t xml:space="preserve"> Jl Kerinci_0+920</t>
  </si>
  <si>
    <t xml:space="preserve"> Jl Kerinci_0+940</t>
  </si>
  <si>
    <t xml:space="preserve"> Jl Kerinci_0+960</t>
  </si>
  <si>
    <t xml:space="preserve"> Jl Kerinci_0+980</t>
  </si>
  <si>
    <t xml:space="preserve"> Jl Kerinci_1+000</t>
  </si>
  <si>
    <t xml:space="preserve"> Jl Kerinci_1+020</t>
  </si>
  <si>
    <t xml:space="preserve"> Jl Kerinci_1+040</t>
  </si>
  <si>
    <t xml:space="preserve"> Jl Kerinci_1+060</t>
  </si>
  <si>
    <t xml:space="preserve"> Jl Kerinci_1+080</t>
  </si>
  <si>
    <t xml:space="preserve"> Jl Kerinci_1+100</t>
  </si>
  <si>
    <t xml:space="preserve"> Jl Kerinci_1+120</t>
  </si>
  <si>
    <t xml:space="preserve"> Jl Kerinci_1+140</t>
  </si>
  <si>
    <t xml:space="preserve"> Jl Kerinci_1+160</t>
  </si>
  <si>
    <t xml:space="preserve"> Jl Kerinci_1+180</t>
  </si>
  <si>
    <t xml:space="preserve"> Jl Kerinci_1+200</t>
  </si>
  <si>
    <t xml:space="preserve"> Jl Kerinci_1+220</t>
  </si>
  <si>
    <t xml:space="preserve"> Jl Kerinci_1+240</t>
  </si>
  <si>
    <t xml:space="preserve"> Jl Kerinci_1+260</t>
  </si>
  <si>
    <t xml:space="preserve"> Jl Kerinci_1+280</t>
  </si>
  <si>
    <t xml:space="preserve"> Jl Kerinci_1+300</t>
  </si>
  <si>
    <t xml:space="preserve"> Jl Kerinci_1+320</t>
  </si>
  <si>
    <t xml:space="preserve"> Jl Kerinci_1+340</t>
  </si>
  <si>
    <t xml:space="preserve"> Jl Kerinci_1+360</t>
  </si>
  <si>
    <t xml:space="preserve"> Jl Kerinci_1+380</t>
  </si>
  <si>
    <t xml:space="preserve"> Jl Kerinci_1+398.2</t>
  </si>
  <si>
    <t>Jl Merauke_0+000</t>
  </si>
  <si>
    <t>Jl Merauke_0+020</t>
  </si>
  <si>
    <t>Jl Merauke_0+040</t>
  </si>
  <si>
    <t>Jl Merauke_0+060</t>
  </si>
  <si>
    <t>Jl Merauke_0+080</t>
  </si>
  <si>
    <t>Jl Merauke_0+100</t>
  </si>
  <si>
    <t>Jl Merauke_0+120</t>
  </si>
  <si>
    <t>Jl Merauke_0+140</t>
  </si>
  <si>
    <t>Jl Merauke_0+160</t>
  </si>
  <si>
    <t>Jl Merauke_0+180</t>
  </si>
  <si>
    <t>Jl Merauke_0+200</t>
  </si>
  <si>
    <t>Jl Merauke_0+220</t>
  </si>
  <si>
    <t>Jl Merauke_0+240</t>
  </si>
  <si>
    <t>Jl Merauke_0+251.6</t>
  </si>
  <si>
    <t>Jl Maluku_0+000</t>
  </si>
  <si>
    <t>Jl Maluku_0+020</t>
  </si>
  <si>
    <t>Jl Maluku_0+040</t>
  </si>
  <si>
    <t>Jl Maluku_0+060</t>
  </si>
  <si>
    <t>Jl Maluku_0+080</t>
  </si>
  <si>
    <t>Jl Maluku_0+100</t>
  </si>
  <si>
    <t>Jl Maluku_0+120</t>
  </si>
  <si>
    <t>Jl Maluku_0+140</t>
  </si>
  <si>
    <t>Jl Maluku_0+160</t>
  </si>
  <si>
    <t>Jl Maluku_0+180</t>
  </si>
  <si>
    <t>Jl Maluku_0+200</t>
  </si>
  <si>
    <t>Jl Maluku_0+220</t>
  </si>
  <si>
    <t>Jl Maluku_0+240</t>
  </si>
  <si>
    <t>Jl Maluku_0+260</t>
  </si>
  <si>
    <t>Jl Maluku_0+280</t>
  </si>
  <si>
    <t>Jl Maluku_0+300</t>
  </si>
  <si>
    <t>Jl Maluku_0+320</t>
  </si>
  <si>
    <t>Jl Maluku_0+340</t>
  </si>
  <si>
    <t>Jl Maluku_0+360</t>
  </si>
  <si>
    <t>Jl Maluku_0+380</t>
  </si>
  <si>
    <t>Jl Maluku_0+400</t>
  </si>
  <si>
    <t>Jl Maluku_0+420</t>
  </si>
  <si>
    <t>Jl Maluku_0+440</t>
  </si>
  <si>
    <t>Jl Maluku_0+460</t>
  </si>
  <si>
    <t>Jl Maluku_0+480</t>
  </si>
  <si>
    <t>Jl Maluku_0+500</t>
  </si>
  <si>
    <t>Jl Maluku_0+520</t>
  </si>
  <si>
    <t>Jl Maluku_0+540</t>
  </si>
  <si>
    <t>Jl Maluku_0+560</t>
  </si>
  <si>
    <t>Jl Maluku_0+580</t>
  </si>
  <si>
    <t>Jl Maluku_0+600</t>
  </si>
  <si>
    <t>Jl Maluku_0+620</t>
  </si>
  <si>
    <t>Jl Maluku_0+640</t>
  </si>
  <si>
    <t>Jl Maluku_0+660</t>
  </si>
  <si>
    <t>Jl Maluku_0+680</t>
  </si>
  <si>
    <t>Jl Maluku_0+700</t>
  </si>
  <si>
    <t>Jl Maluku_0+720</t>
  </si>
  <si>
    <t>Jl Maluku_0+740</t>
  </si>
  <si>
    <t>Jl Maluku_0+760</t>
  </si>
  <si>
    <t>Jl Maluku_0+780</t>
  </si>
  <si>
    <t>Jl Maluku_0+800</t>
  </si>
  <si>
    <t>Jl Maluku_0+820</t>
  </si>
  <si>
    <t>Jl Maluku_0+840</t>
  </si>
  <si>
    <t>Jl Maluku_0+860</t>
  </si>
  <si>
    <t>Jl Maluku_0+880</t>
  </si>
  <si>
    <t>Jl Maluku_0+900</t>
  </si>
  <si>
    <t>Jl Maluku_0+920</t>
  </si>
  <si>
    <t>Jl Maluku_0+940</t>
  </si>
  <si>
    <t>Jl Maluku_0+960</t>
  </si>
  <si>
    <t>Jl Maluku_0+980</t>
  </si>
  <si>
    <t>Jl Maluku_1+000</t>
  </si>
  <si>
    <t>Jl Maluku_1+020</t>
  </si>
  <si>
    <t>Jl Maluku_1+040</t>
  </si>
  <si>
    <t>Jl Maluku_1+060</t>
  </si>
  <si>
    <t>Jl Maluku_1+080</t>
  </si>
  <si>
    <t>Jl Maluku_1+100</t>
  </si>
  <si>
    <t>Jl Maluku_1+120</t>
  </si>
  <si>
    <t>Jl Maluku_1+140</t>
  </si>
  <si>
    <t>Jl Maluku_1+160</t>
  </si>
  <si>
    <t>Jl Maluku_1+180</t>
  </si>
  <si>
    <t>Jl Maluku_1+200</t>
  </si>
  <si>
    <t>Jl Maluku_1+220</t>
  </si>
  <si>
    <t>Jl Maluku_1+240</t>
  </si>
  <si>
    <t>Jl Maluku_1+260</t>
  </si>
  <si>
    <t>Jl Maluku_1+280</t>
  </si>
  <si>
    <t>Jl Maluku_1+300</t>
  </si>
  <si>
    <t>Jl Maluku_1+320</t>
  </si>
  <si>
    <t>Jl Maluku_1+340</t>
  </si>
  <si>
    <t>Jl Maluku_1+360</t>
  </si>
  <si>
    <t>Jl Maluku_1+380</t>
  </si>
  <si>
    <t>Jl Maluku_1+400</t>
  </si>
  <si>
    <t>Jl Maluku_1+420</t>
  </si>
  <si>
    <t>Jl Maluku_1+440</t>
  </si>
  <si>
    <t>Jl Maluku_1+460</t>
  </si>
  <si>
    <t>Jl Maluku_1+480</t>
  </si>
  <si>
    <t>Jl Maluku_1+500</t>
  </si>
  <si>
    <t>Jl Maluku_1+520</t>
  </si>
  <si>
    <t>Jl Maluku_1+540</t>
  </si>
  <si>
    <t>Jl Maluku_1+546.3</t>
  </si>
  <si>
    <t>Jl Palu_0+000</t>
  </si>
  <si>
    <t>Jl Palu_0+020</t>
  </si>
  <si>
    <t>Jl Palu_0+040</t>
  </si>
  <si>
    <t>Jl Palu_0+060</t>
  </si>
  <si>
    <t>Jl Palu_0+080</t>
  </si>
  <si>
    <t>Jl Palu_0+100</t>
  </si>
  <si>
    <t>Jl Palu_0+120</t>
  </si>
  <si>
    <t>Jl Palu_0+140</t>
  </si>
  <si>
    <t>Jl Palu_0+160</t>
  </si>
  <si>
    <t>Jl Palu_0+180</t>
  </si>
  <si>
    <t>Jl Palu_0+200</t>
  </si>
  <si>
    <t>Jl Palu_0+220</t>
  </si>
  <si>
    <t>Jl Palu_0+240</t>
  </si>
  <si>
    <t>Jl Palu_0+260</t>
  </si>
  <si>
    <t>Jl Palu_0+280</t>
  </si>
  <si>
    <t>Jl Palu_0+300</t>
  </si>
  <si>
    <t>Jl Palu_0+320</t>
  </si>
  <si>
    <t>Jl Palu_0+340</t>
  </si>
  <si>
    <t>Jl Palu_0+360</t>
  </si>
  <si>
    <t>Jl Palu_0+380</t>
  </si>
  <si>
    <t>Jl Palu_0+400</t>
  </si>
  <si>
    <t>Jl Palu_0+420</t>
  </si>
  <si>
    <t>Jl Palu_0+440</t>
  </si>
  <si>
    <t>Jl Palu_0+460</t>
  </si>
  <si>
    <t>Jl Palu_0+480</t>
  </si>
  <si>
    <t>Jl Palu_0+500</t>
  </si>
  <si>
    <t>Jl Palu_0+520</t>
  </si>
  <si>
    <t>Jl Palu_0+540</t>
  </si>
  <si>
    <t>Jl Palu_0+560</t>
  </si>
  <si>
    <t>Jl Palu_0+580</t>
  </si>
  <si>
    <t>Jl Palu_0+600</t>
  </si>
  <si>
    <t>Jl Palu_0+620</t>
  </si>
  <si>
    <t>Jl Palu_0+640</t>
  </si>
  <si>
    <t>Jl Palu_0+660</t>
  </si>
  <si>
    <t>Jl Palu_0+680</t>
  </si>
  <si>
    <t>Jl Palu_0+700</t>
  </si>
  <si>
    <t>Jl Palu_0+720</t>
  </si>
  <si>
    <t>Jl Palu_0+740</t>
  </si>
  <si>
    <t>Jl Palu_0+760</t>
  </si>
  <si>
    <t>Jl Palu_0+780</t>
  </si>
  <si>
    <t>Jl Palu_0+800</t>
  </si>
  <si>
    <t>Jl Palu_0+820</t>
  </si>
  <si>
    <t>Jl Palu_0+840</t>
  </si>
  <si>
    <t>Jl Palu_0+860</t>
  </si>
  <si>
    <t>Jl Palu_0+880</t>
  </si>
  <si>
    <t>Jl Palu_0+900</t>
  </si>
  <si>
    <t>Jl Palu_0+920</t>
  </si>
  <si>
    <t>Jl Palu_0+940</t>
  </si>
  <si>
    <t>Jl Palu_0+960</t>
  </si>
  <si>
    <t>Jl Palu_0+980</t>
  </si>
  <si>
    <t>Jl Palu_1+000</t>
  </si>
  <si>
    <t>Jl Palu_1+020</t>
  </si>
  <si>
    <t>Jl Palu_1+040</t>
  </si>
  <si>
    <t>Jl Palu_1+060</t>
  </si>
  <si>
    <t>Jl Palu_1+080</t>
  </si>
  <si>
    <t>Jl Palu_1+100</t>
  </si>
  <si>
    <t>Jl Palu_1+120</t>
  </si>
  <si>
    <t>Jl Palu_1+140</t>
  </si>
  <si>
    <t>Jl Palu_1+160</t>
  </si>
  <si>
    <t>Jl Palu_1+180</t>
  </si>
  <si>
    <t>Jl Palu_1+200</t>
  </si>
  <si>
    <t>Jl Palu_1+220</t>
  </si>
  <si>
    <t>Jl Palu_1+240</t>
  </si>
  <si>
    <t>Jl Palu_1+260</t>
  </si>
  <si>
    <t>Jl Palu_1+280</t>
  </si>
  <si>
    <t>Jl Palu_1+300</t>
  </si>
  <si>
    <t>Jl Palu_1+320</t>
  </si>
  <si>
    <t>Jl Palu_1+340</t>
  </si>
  <si>
    <t>Jl Palu_1+360</t>
  </si>
  <si>
    <t>Jl Palu_1+380</t>
  </si>
  <si>
    <t>Jl Palu_1+400</t>
  </si>
  <si>
    <t>Jl Palu_1+420</t>
  </si>
  <si>
    <t>Jl Palu_1+440</t>
  </si>
  <si>
    <t>Jl Palu_1+460</t>
  </si>
  <si>
    <t>Jl Palu_1+480</t>
  </si>
  <si>
    <t>Jl Palu_1+487.9</t>
  </si>
  <si>
    <t>Jl Tanjung_0+000</t>
  </si>
  <si>
    <t>Jl Tanjung_0+020</t>
  </si>
  <si>
    <t>Jl Tanjung_0+040</t>
  </si>
  <si>
    <t>Jl Tanjung_0+060</t>
  </si>
  <si>
    <t>Jl Tanjung_0+080</t>
  </si>
  <si>
    <t>Jl Tanjung_0+100</t>
  </si>
  <si>
    <t>Jl Tanjung_0+120</t>
  </si>
  <si>
    <t>Jl Tanjung_0+140</t>
  </si>
  <si>
    <t>Jl Tanjung_0+160</t>
  </si>
  <si>
    <t>Jl Tanjung_0+180</t>
  </si>
  <si>
    <t>Jl Tanjung_0+200</t>
  </si>
  <si>
    <t>Jl Tanjung_0+220</t>
  </si>
  <si>
    <t>Jl Tanjung_0+240</t>
  </si>
  <si>
    <t>Jl Tanjung_0+260</t>
  </si>
  <si>
    <t>Jl Tanjung_0+280</t>
  </si>
  <si>
    <t>Jl Tanjung_0+300</t>
  </si>
  <si>
    <t>Jl Tanjung_0+320</t>
  </si>
  <si>
    <t>Jl Tanjung_0+340</t>
  </si>
  <si>
    <t>Jl Tanjung_0+360</t>
  </si>
  <si>
    <t>Jl Tanjung_0+380</t>
  </si>
  <si>
    <t>Jl Tanjung_0+400</t>
  </si>
  <si>
    <t>Jl Tanjung_0+420</t>
  </si>
  <si>
    <t>Jl Tanjung_0+440</t>
  </si>
  <si>
    <t>Jl Tanjung_0+460</t>
  </si>
  <si>
    <t>Jl Tanjung_0+480</t>
  </si>
  <si>
    <t>Jl Tanjung_0+500</t>
  </si>
  <si>
    <t>Jl Tanjung_0+520</t>
  </si>
  <si>
    <t>Jl Tanjung_0+540</t>
  </si>
  <si>
    <t>Jl Tanjung_0+560</t>
  </si>
  <si>
    <t>Jl Tanjung_0+580</t>
  </si>
  <si>
    <t>Jl Tanjung_0+600</t>
  </si>
  <si>
    <t>Jl Tanjung_0+620</t>
  </si>
  <si>
    <t>Jl Tanjung_0+640</t>
  </si>
  <si>
    <t>Jl Tanjung_0+660</t>
  </si>
  <si>
    <t>Jl Tanjung_0+680</t>
  </si>
  <si>
    <t>Jl Tanjung_0+700</t>
  </si>
  <si>
    <t>Jl Tanjung_0+720</t>
  </si>
  <si>
    <t>Jl Tanjung_0+740</t>
  </si>
  <si>
    <t>Jl Tanjung_0+760</t>
  </si>
  <si>
    <t>Jl Tanjung_0+780</t>
  </si>
  <si>
    <t>Jl Tanjung_0+800</t>
  </si>
  <si>
    <t>Jl Tanjung_0+820</t>
  </si>
  <si>
    <t>Jl Tanjung_0+840</t>
  </si>
  <si>
    <t>Jl Tanjung_0+860</t>
  </si>
  <si>
    <t>Jl Tanjung_0+880</t>
  </si>
  <si>
    <t>Jl Tanjung_0+900</t>
  </si>
  <si>
    <t>Jl Tanjung_0+920</t>
  </si>
  <si>
    <t>Jl Tanjung_0+940</t>
  </si>
  <si>
    <t>Jl Tanjung_0+960</t>
  </si>
  <si>
    <t>Jl Tanjung_0+980</t>
  </si>
  <si>
    <t>Jl Tanjung_1+000</t>
  </si>
  <si>
    <t>Jl Tanjung_1+020</t>
  </si>
  <si>
    <t>Jl Tanjung_1+040</t>
  </si>
  <si>
    <t>Jl Tanjung_1+060</t>
  </si>
  <si>
    <t>Jl Tanjung_1+080</t>
  </si>
  <si>
    <t>Jl Tanjung_1+100</t>
  </si>
  <si>
    <t>Jl Tanjung_1+120</t>
  </si>
  <si>
    <t>Jl Tanjung_1+140</t>
  </si>
  <si>
    <t>Jl Tanjung_1+160</t>
  </si>
  <si>
    <t>Jl Tanjung_1+180</t>
  </si>
  <si>
    <t>Jl Tanjung_1+200</t>
  </si>
  <si>
    <t>Jl Tanjung_1+220</t>
  </si>
  <si>
    <t>Jl Tanjung_1+240</t>
  </si>
  <si>
    <t>Jl Tanjung_1+242.5</t>
  </si>
  <si>
    <t>Jl Manado_0+000</t>
  </si>
  <si>
    <t>Jl Manado_0+020</t>
  </si>
  <si>
    <t>Jl Manado_0+040</t>
  </si>
  <si>
    <t>Jl Manado_0+060</t>
  </si>
  <si>
    <t>Jl Manado_0+080</t>
  </si>
  <si>
    <t>Jl Manado_0+100</t>
  </si>
  <si>
    <t>Jl Manado_0+120</t>
  </si>
  <si>
    <t>Jl Manado_0+140</t>
  </si>
  <si>
    <t>Jl Manado_0+160</t>
  </si>
  <si>
    <t>Jl Manado_0+180</t>
  </si>
  <si>
    <t>Jl Manado_0+200</t>
  </si>
  <si>
    <t>Jl Manado_0+220</t>
  </si>
  <si>
    <t>Jl Manado_0+240</t>
  </si>
  <si>
    <t>Jl Manado_0+260</t>
  </si>
  <si>
    <t>Jl Manado_0+280</t>
  </si>
  <si>
    <t>Jl Manado_0+300</t>
  </si>
  <si>
    <t>Jl Manado_0+320</t>
  </si>
  <si>
    <t>Jl Manado_0+340</t>
  </si>
  <si>
    <t>Jl Manado_0+360</t>
  </si>
  <si>
    <t>Jl Manado_0+380</t>
  </si>
  <si>
    <t>Jl Manado_0+400</t>
  </si>
  <si>
    <t>Jl Manado_0+420</t>
  </si>
  <si>
    <t>Jl Manado_0+440</t>
  </si>
  <si>
    <t>Jl Manado_0+460</t>
  </si>
  <si>
    <t>Jl Manado_0+480</t>
  </si>
  <si>
    <t>Jl Manado_0+500</t>
  </si>
  <si>
    <t>Jl Manado_0+520</t>
  </si>
  <si>
    <t>Jl Manado_0+540</t>
  </si>
  <si>
    <t>Jl Manado_0+560</t>
  </si>
  <si>
    <t>Jl Manado_0+580</t>
  </si>
  <si>
    <t>Jl Manado_0+600</t>
  </si>
  <si>
    <t>Jl Manado_0+620</t>
  </si>
  <si>
    <t>Jl Manado_0+640</t>
  </si>
  <si>
    <t>Jl Manado_0+660</t>
  </si>
  <si>
    <t>Jl Manado_0+680</t>
  </si>
  <si>
    <t>Jl Manado_0+700</t>
  </si>
  <si>
    <t>Jl Manado_0+720</t>
  </si>
  <si>
    <t>Jl Manado_0+740</t>
  </si>
  <si>
    <t>Jl Manado_0+760</t>
  </si>
  <si>
    <t>Jl Manado_0+780</t>
  </si>
  <si>
    <t>Jl Manado_0+800</t>
  </si>
  <si>
    <t>Jl Manado_0+820</t>
  </si>
  <si>
    <t>Jl Manado_0+840</t>
  </si>
  <si>
    <t>Jl Manado_0+860</t>
  </si>
  <si>
    <t>Jl Manado_0+880</t>
  </si>
  <si>
    <t>Jl Manado_0+900</t>
  </si>
  <si>
    <t>Jl Manado_0+920</t>
  </si>
  <si>
    <t>Jl Manado_0+940</t>
  </si>
  <si>
    <t>Jl Manado_0+960</t>
  </si>
  <si>
    <t>Jl Manado_0+980</t>
  </si>
  <si>
    <t>Jl Manado_1+000</t>
  </si>
  <si>
    <t>Jl Manado_1+020</t>
  </si>
  <si>
    <t>Jl Manado_1+040</t>
  </si>
  <si>
    <t>Jl Manado_1+060</t>
  </si>
  <si>
    <t>Jl Manado_1+080</t>
  </si>
  <si>
    <t>Jl Manado_1+100</t>
  </si>
  <si>
    <t>Jl Manado_1+120</t>
  </si>
  <si>
    <t>Jl Manado_1+140</t>
  </si>
  <si>
    <t>Jl Manado_1+160</t>
  </si>
  <si>
    <t>Jl Manado_1+180</t>
  </si>
  <si>
    <t>Jl Manado_1+200</t>
  </si>
  <si>
    <t>Jl Manado_1+220</t>
  </si>
  <si>
    <t>Jl Manado_1+240</t>
  </si>
  <si>
    <t>Jl Manado_1+252.0</t>
  </si>
  <si>
    <t>Jl Banjarbaru_0+000</t>
  </si>
  <si>
    <t>Jl Banjarbaru_0+020</t>
  </si>
  <si>
    <t>Jl Banjarbaru_0+040</t>
  </si>
  <si>
    <t>Jl Banjarbaru_0+060</t>
  </si>
  <si>
    <t>Jl Banjarbaru_0+080</t>
  </si>
  <si>
    <t>Jl Banjarbaru_0+100</t>
  </si>
  <si>
    <t>Jl Banjarbaru_0+120</t>
  </si>
  <si>
    <t>Jl Banjarbaru_0+140</t>
  </si>
  <si>
    <t>Jl Banjarbaru_0+160</t>
  </si>
  <si>
    <t>Jl Banjarbaru_0+180</t>
  </si>
  <si>
    <t>Jl Banjarbaru_0+200</t>
  </si>
  <si>
    <t>Jl Banjarbaru_0+220</t>
  </si>
  <si>
    <t>Jl Banjarbaru_0+240</t>
  </si>
  <si>
    <t>Jl Banjarbaru_0+260</t>
  </si>
  <si>
    <t>Jl Banjarbaru_0+280</t>
  </si>
  <si>
    <t>Jl Banjarbaru_0+300</t>
  </si>
  <si>
    <t>Jl Banjarbaru_0+320</t>
  </si>
  <si>
    <t>Jl Banjarbaru_0+340</t>
  </si>
  <si>
    <t>Jl Banjarbaru_0+360</t>
  </si>
  <si>
    <t>Jl Banjarbaru_0+380</t>
  </si>
  <si>
    <t>Jl Banjarbaru_0+400</t>
  </si>
  <si>
    <t>Jl Banjarbaru_0+420</t>
  </si>
  <si>
    <t>Jl Banjarbaru_0+440</t>
  </si>
  <si>
    <t>Jl Banjarbaru_0+460</t>
  </si>
  <si>
    <t>Jl Banjarbaru_0+480</t>
  </si>
  <si>
    <t>Jl Banjarbaru_0+500</t>
  </si>
  <si>
    <t>Jl Banjarbaru_0+520</t>
  </si>
  <si>
    <t>Jl Banjarbaru_0+540</t>
  </si>
  <si>
    <t>Jl Banjarbaru_0+560</t>
  </si>
  <si>
    <t>Jl Banjarbaru_0+580</t>
  </si>
  <si>
    <t>Jl Banjarbaru_0+600</t>
  </si>
  <si>
    <t>Jl Banjarbaru_0+620</t>
  </si>
  <si>
    <t>Jl Banjarbaru_0+640</t>
  </si>
  <si>
    <t>Jl Banjarbaru_0+660</t>
  </si>
  <si>
    <t>Jl Banjarbaru_0+680</t>
  </si>
  <si>
    <t>Jl Banjarbaru_0+700</t>
  </si>
  <si>
    <t>Jl Banjarbaru_0+720</t>
  </si>
  <si>
    <t>Jl Banjarbaru_0+740</t>
  </si>
  <si>
    <t>Jl Banjarbaru_0+760</t>
  </si>
  <si>
    <t>Jl Banjarbaru_0+780</t>
  </si>
  <si>
    <t>Jl Banjarbaru_0+800</t>
  </si>
  <si>
    <t>Jl Banjarbaru_0+820</t>
  </si>
  <si>
    <t>Jl Banjarbaru_0+840</t>
  </si>
  <si>
    <t>Jl Banjarbaru_0+860</t>
  </si>
  <si>
    <t>Jl Banjarbaru_0+880</t>
  </si>
  <si>
    <t>Jl Banjarbaru_0+900</t>
  </si>
  <si>
    <t>Jl Banjarbaru_0+919.5</t>
  </si>
  <si>
    <t>Jl Banjarmasin Bawah_0+000</t>
  </si>
  <si>
    <t>Jl Banjarmasin Bawah_0+020</t>
  </si>
  <si>
    <t>Jl Banjarmasin Bawah_0+040</t>
  </si>
  <si>
    <t>Jl Banjarmasin Bawah_0+060</t>
  </si>
  <si>
    <t>Jl Banjarmasin Bawah_0+080</t>
  </si>
  <si>
    <t>Jl Banjarmasin Bawah_0+100</t>
  </si>
  <si>
    <t>Jl Banjarmasin Bawah_0+120</t>
  </si>
  <si>
    <t>Jl Banjarmasin Bawah_0+140</t>
  </si>
  <si>
    <t>Jl Banjarmasin Bawah_0+160</t>
  </si>
  <si>
    <t>Jl Banjarmasin Bawah_0+180</t>
  </si>
  <si>
    <t>Jl Banjarmasin Bawah_0+200</t>
  </si>
  <si>
    <t>Jl Banjarmasin Bawah_0+220</t>
  </si>
  <si>
    <t>Jl Banjarmasin Bawah_0+240</t>
  </si>
  <si>
    <t>Jl Banjarmasin Bawah_0+260</t>
  </si>
  <si>
    <t>Jl Banjarmasin Bawah_0+280</t>
  </si>
  <si>
    <t>Jl Banjarmasin Bawah_0+300</t>
  </si>
  <si>
    <t>Jl Banjarmasin Bawah_0+320</t>
  </si>
  <si>
    <t>Jl Banjarmasin Bawah_0+340</t>
  </si>
  <si>
    <t>Jl Banjarmasin Bawah_0+360</t>
  </si>
  <si>
    <t>Jl Banjarmasin Bawah_0+380</t>
  </si>
  <si>
    <t>Jl Banjarmasin Bawah_0+400</t>
  </si>
  <si>
    <t>Jl Banjarmasin Bawah_0+420</t>
  </si>
  <si>
    <t>Jl Banjarmasin Bawah_0+440</t>
  </si>
  <si>
    <t>Jl Banjarmasin Bawah_0+460</t>
  </si>
  <si>
    <t>Jl Banjarmasin Bawah_0+480</t>
  </si>
  <si>
    <t>Jl Banjarmasin Bawah_0+500</t>
  </si>
  <si>
    <t>Jl Banjarmasin Bawah_0+520</t>
  </si>
  <si>
    <t>Jl Banjarmasin Bawah_0+540</t>
  </si>
  <si>
    <t>Jl Banjarmasin Bawah_0+560</t>
  </si>
  <si>
    <t>Jl Banjarmasin Bawah_0+580</t>
  </si>
  <si>
    <t>Jl Banjarmasin Bawah_0+600</t>
  </si>
  <si>
    <t>Jl Banjarmasin Bawah_0+620</t>
  </si>
  <si>
    <t>Jl Banjarmasin Bawah_0+640</t>
  </si>
  <si>
    <t>Jl Banjarmasin Bawah_0+660</t>
  </si>
  <si>
    <t>Jl Banjarmasin Bawah_0+680</t>
  </si>
  <si>
    <t>Jl Banjarmasin Bawah_0+700</t>
  </si>
  <si>
    <t>Jl Banjarmasin Bawah_0+720</t>
  </si>
  <si>
    <t>Jl Banjarmasin Bawah_0+740</t>
  </si>
  <si>
    <t>Jl Banjarmasin Bawah_0+760</t>
  </si>
  <si>
    <t>Jl Banjarmasin Bawah_0+780</t>
  </si>
  <si>
    <t>Jl Banjarmasin Bawah_0+800</t>
  </si>
  <si>
    <t>Jl Banjarmasin Bawah_0+820</t>
  </si>
  <si>
    <t>Jl Banjarmasin Bawah_0+840</t>
  </si>
  <si>
    <t>Jl Banjarmasin Bawah_0+860</t>
  </si>
  <si>
    <t>Jl Banjarmasin Bawah_0+880</t>
  </si>
  <si>
    <t>Jl Banjarmasin Bawah_0+900</t>
  </si>
  <si>
    <t>Jl Banjarmasin Bawah_0+920</t>
  </si>
  <si>
    <t>Jl Banjarmasin Bawah_0+940</t>
  </si>
  <si>
    <t>Jl Banjarmasin Bawah_0+960</t>
  </si>
  <si>
    <t>Jl Banjarmasin Bawah_0+980</t>
  </si>
  <si>
    <t>Jl Banjarmasin Bawah_1+000</t>
  </si>
  <si>
    <t>Jl Banjarmasin Bawah_1+020</t>
  </si>
  <si>
    <t>Jl Banjarmasin Bawah_1+040</t>
  </si>
  <si>
    <t>Jl Banjarmasin Bawah_1+060</t>
  </si>
  <si>
    <t>Jl Banjarmasin Bawah_1+080</t>
  </si>
  <si>
    <t>Jl Banjarmasin Bawah_1+100</t>
  </si>
  <si>
    <t>Jl Banjarmasin Bawah_1+120</t>
  </si>
  <si>
    <t>Jl Banjarmasin Bawah_1+140</t>
  </si>
  <si>
    <t>Jl Banjarmasin Bawah_1+160</t>
  </si>
  <si>
    <t>Jl Banjarmasin Bawah_1+180</t>
  </si>
  <si>
    <t>Jl Banjarmasin Bawah_1+200</t>
  </si>
  <si>
    <t>Jl Banjarmasin Bawah_1+220</t>
  </si>
  <si>
    <t>Jl Banjarmasin Bawah_1+240</t>
  </si>
  <si>
    <t>Jl Banjarmasin Bawah_1+260</t>
  </si>
  <si>
    <t>Jl Banjarmasin Bawah_1+280</t>
  </si>
  <si>
    <t>Jl Banjarmasin Bawah_1+300</t>
  </si>
  <si>
    <t>Jl Banjarmasin Bawah_1+320</t>
  </si>
  <si>
    <t>Jl Banjarmasin Bawah_1+340</t>
  </si>
  <si>
    <t>Jl Banjarmasin Bawah_1+360</t>
  </si>
  <si>
    <t>Jl Banjarmasin Bawah_1+380</t>
  </si>
  <si>
    <t>Jl Banjarmasin Bawah_1+400</t>
  </si>
  <si>
    <t>Jl Banjarmasin Bawah_1+420</t>
  </si>
  <si>
    <t>Jl Banjarmasin Bawah_1+440</t>
  </si>
  <si>
    <t>Jl Banjarmasin Bawah_1+460</t>
  </si>
  <si>
    <t>Jl Banjarmasin Bawah_1+480</t>
  </si>
  <si>
    <t>Jl Banjarmasin Bawah_1+500</t>
  </si>
  <si>
    <t>Jl Banjarmasin Bawah_1+520</t>
  </si>
  <si>
    <t>Jl Banjarmasin Bawah_1+540</t>
  </si>
  <si>
    <t>Jl Banjarmasin Bawah_1+560</t>
  </si>
  <si>
    <t>Jl Banjarmasin Bawah_1+566.6</t>
  </si>
  <si>
    <t>Jl Aceh_0+000</t>
  </si>
  <si>
    <t>Jl Aceh_0+020</t>
  </si>
  <si>
    <t>Jl Aceh_0+040</t>
  </si>
  <si>
    <t>Jl Aceh_0+060</t>
  </si>
  <si>
    <t>Jl Aceh_0+080</t>
  </si>
  <si>
    <t>Jl Aceh_0+100</t>
  </si>
  <si>
    <t>Jl Aceh_0+120</t>
  </si>
  <si>
    <t>Jl Aceh_0+140</t>
  </si>
  <si>
    <t>Jl Aceh_0+160</t>
  </si>
  <si>
    <t>Jl Aceh_0+180</t>
  </si>
  <si>
    <t>Jl Aceh_0+200</t>
  </si>
  <si>
    <t>Jl Aceh_0+220</t>
  </si>
  <si>
    <t>Jl Aceh_0+240</t>
  </si>
  <si>
    <t>Jl Aceh_0+260</t>
  </si>
  <si>
    <t>Jl Aceh_0+280</t>
  </si>
  <si>
    <t>Jl Aceh_0+300</t>
  </si>
  <si>
    <t>Jl Aceh_0+320</t>
  </si>
  <si>
    <t>Jl Aceh_0+340</t>
  </si>
  <si>
    <t>Jl Aceh_0+360</t>
  </si>
  <si>
    <t>Jl Aceh_0+380</t>
  </si>
  <si>
    <t>Jl Aceh_0+400</t>
  </si>
  <si>
    <t>Jl Aceh_0+420</t>
  </si>
  <si>
    <t>Jl Aceh_0+440</t>
  </si>
  <si>
    <t>Jl Aceh_0+460</t>
  </si>
  <si>
    <t>Jl Aceh_0+480</t>
  </si>
  <si>
    <t>Jl Aceh_0+500</t>
  </si>
  <si>
    <t>Jl Aceh_0+520</t>
  </si>
  <si>
    <t>Jl Aceh_0+540</t>
  </si>
  <si>
    <t>Jl Aceh_0+560</t>
  </si>
  <si>
    <t>Jl Aceh_0+580</t>
  </si>
  <si>
    <t>Jl Aceh_0+600</t>
  </si>
  <si>
    <t>Jl Aceh_0+620</t>
  </si>
  <si>
    <t>Jl Aceh_0+640</t>
  </si>
  <si>
    <t>Jl Aceh_0+660</t>
  </si>
  <si>
    <t>Jl Aceh_0+680</t>
  </si>
  <si>
    <t>Jl Aceh_0+700</t>
  </si>
  <si>
    <t>Jl Aceh_0+720</t>
  </si>
  <si>
    <t>Jl Aceh_0+740</t>
  </si>
  <si>
    <t>Jl Aceh_0+760</t>
  </si>
  <si>
    <t>Jl Aceh_0+780</t>
  </si>
  <si>
    <t>Jl Aceh_0+800</t>
  </si>
  <si>
    <t>Jl Aceh_0+820</t>
  </si>
  <si>
    <t>Jl Aceh_0+840</t>
  </si>
  <si>
    <t>Jl Aceh_0+860</t>
  </si>
  <si>
    <t>Jl Aceh_0+880</t>
  </si>
  <si>
    <t>Jl Aceh_0+900</t>
  </si>
  <si>
    <t>Jl Aceh_0+920</t>
  </si>
  <si>
    <t>Jl Aceh_0+940</t>
  </si>
  <si>
    <t>Jl Aceh_0+960</t>
  </si>
  <si>
    <t>Jl Aceh_0+980</t>
  </si>
  <si>
    <t>Jl Aceh_1+000</t>
  </si>
  <si>
    <t>Jl Aceh_1+020</t>
  </si>
  <si>
    <t>Jl Aceh_1+040</t>
  </si>
  <si>
    <t>Jl Aceh_1+060</t>
  </si>
  <si>
    <t>Jl Aceh_1+080</t>
  </si>
  <si>
    <t>Jl Aceh_1+100</t>
  </si>
  <si>
    <t>Jl Aceh_1+120</t>
  </si>
  <si>
    <t>Jl Aceh_1+140</t>
  </si>
  <si>
    <t>Jl Aceh_1+160</t>
  </si>
  <si>
    <t>Jl Aceh_1+180</t>
  </si>
  <si>
    <t>Jl Aceh_1+200</t>
  </si>
  <si>
    <t>Jl Aceh_1+220</t>
  </si>
  <si>
    <t>Jl Aceh_1+240</t>
  </si>
  <si>
    <t>Jl Aceh_1+260</t>
  </si>
  <si>
    <t>Jl Aceh_1+280</t>
  </si>
  <si>
    <t>Jl Aceh_1+300</t>
  </si>
  <si>
    <t>Jl Aceh_1+320</t>
  </si>
  <si>
    <t>Jl Aceh_1+340</t>
  </si>
  <si>
    <t>Jl Aceh_1+360</t>
  </si>
  <si>
    <t>Jl Aceh_1+380</t>
  </si>
  <si>
    <t>Jl Aceh_1+400</t>
  </si>
  <si>
    <t>Jl Aceh_1+420</t>
  </si>
  <si>
    <t>Jl Aceh_1+440</t>
  </si>
  <si>
    <t>Jl Aceh_1+460</t>
  </si>
  <si>
    <t>Jl Aceh_1+480</t>
  </si>
  <si>
    <t>Jl Aceh_1+500</t>
  </si>
  <si>
    <t>Jl Aceh_1+520</t>
  </si>
  <si>
    <t>Jl Aceh_1+540</t>
  </si>
  <si>
    <t>Jl Aceh_1+560</t>
  </si>
  <si>
    <t>Jl Aceh_1+580</t>
  </si>
  <si>
    <t>Jl Aceh_1+600</t>
  </si>
  <si>
    <t>Jl Aceh_1+620</t>
  </si>
  <si>
    <t>Jl Aceh_1+640</t>
  </si>
  <si>
    <t>Jl Aceh_1+660</t>
  </si>
  <si>
    <t>Jl Aceh_1+680</t>
  </si>
  <si>
    <t>Jl Aceh_1+700</t>
  </si>
  <si>
    <t>Jl Aceh_1+720</t>
  </si>
  <si>
    <t>Jl Aceh_1+740</t>
  </si>
  <si>
    <t>Jl Aceh_1+760</t>
  </si>
  <si>
    <t>Jl Aceh_1+780</t>
  </si>
  <si>
    <t>Jl Aceh_1+800</t>
  </si>
  <si>
    <t>Jl Aceh_1+820</t>
  </si>
  <si>
    <t>Jl Aceh_1+840</t>
  </si>
  <si>
    <t>Jl Aceh_1+860</t>
  </si>
  <si>
    <t>Jl Aceh_1+880</t>
  </si>
  <si>
    <t>Jl Aceh_1+900</t>
  </si>
  <si>
    <t>Jl Aceh_1+920</t>
  </si>
  <si>
    <t>Jl Aceh_1+940</t>
  </si>
  <si>
    <t>Jl Aceh_1+960</t>
  </si>
  <si>
    <t>Jl Aceh_1+980</t>
  </si>
  <si>
    <t>Jl Aceh_2+000</t>
  </si>
  <si>
    <t>Jl Aceh_2+020</t>
  </si>
  <si>
    <t>Jl Aceh_2+040</t>
  </si>
  <si>
    <t>Jl Aceh_2+060</t>
  </si>
  <si>
    <t>Jl Aceh_2+080</t>
  </si>
  <si>
    <t>Jl Aceh_2+100</t>
  </si>
  <si>
    <t>Jl Aceh_2+120</t>
  </si>
  <si>
    <t>Jl Aceh_2+140</t>
  </si>
  <si>
    <t>Jl Aceh_2+160</t>
  </si>
  <si>
    <t>Jl Aceh_2+180</t>
  </si>
  <si>
    <t>Jl Aceh_2+200</t>
  </si>
  <si>
    <t>Jl Aceh_2+220</t>
  </si>
  <si>
    <t>Jl Aceh_2+240</t>
  </si>
  <si>
    <t>Jl Aceh_2+260</t>
  </si>
  <si>
    <t>Jl Aceh_2+280</t>
  </si>
  <si>
    <t>Jl Aceh_2+300</t>
  </si>
  <si>
    <t>Jl Aceh_2+320</t>
  </si>
  <si>
    <t>Jl Aceh_2+340</t>
  </si>
  <si>
    <t>Jl Aceh_2+360</t>
  </si>
  <si>
    <t>Jl Aceh_2+380</t>
  </si>
  <si>
    <t>Jl Aceh_2+400</t>
  </si>
  <si>
    <t>Jl Aceh_2+420</t>
  </si>
  <si>
    <t>Jl Aceh_2+420.3</t>
  </si>
  <si>
    <t>Jl Sumba_0+000</t>
  </si>
  <si>
    <t>Jl Sumba_0+020</t>
  </si>
  <si>
    <t>Jl Sumba_0+040</t>
  </si>
  <si>
    <t>Jl Sumba_0+060</t>
  </si>
  <si>
    <t>Jl Sumba_0+080</t>
  </si>
  <si>
    <t>Jl Sumba_0+100</t>
  </si>
  <si>
    <t>Jl Sumba_0+120</t>
  </si>
  <si>
    <t>Jl Sumba_0+140</t>
  </si>
  <si>
    <t>Jl Sumba_0+160</t>
  </si>
  <si>
    <t>Jl Sumba_0+180</t>
  </si>
  <si>
    <t>Jl Sumba_0+200</t>
  </si>
  <si>
    <t>Jl Sumba_0+220</t>
  </si>
  <si>
    <t>Jl Sumba_0+240</t>
  </si>
  <si>
    <t>Jl Sumba_0+260</t>
  </si>
  <si>
    <t>Jl Sumba_0+280</t>
  </si>
  <si>
    <t>Jl Sumba_0+300</t>
  </si>
  <si>
    <t>Jl Sumba_0+320</t>
  </si>
  <si>
    <t>Jl Sumba_0+340</t>
  </si>
  <si>
    <t>Jl Sumba_0+360</t>
  </si>
  <si>
    <t>Jl Sumba_0+380</t>
  </si>
  <si>
    <t>Jl Sumba_0+400</t>
  </si>
  <si>
    <t>Jl Sumba_0+420</t>
  </si>
  <si>
    <t>Jl Sumba_0+440</t>
  </si>
  <si>
    <t>Jl Sumba_0+460</t>
  </si>
  <si>
    <t>Jl Sumba_0+480</t>
  </si>
  <si>
    <t>Jl Sumba_0+500</t>
  </si>
  <si>
    <t>Jl Sumba_0+520</t>
  </si>
  <si>
    <t>Jl Sumba_0+540</t>
  </si>
  <si>
    <t>Jl Sumba_0+560</t>
  </si>
  <si>
    <t>Jl Sumba_0+580</t>
  </si>
  <si>
    <t>Jl Sumba_0+600</t>
  </si>
  <si>
    <t>Jl Sumba_0+620</t>
  </si>
  <si>
    <t>Jl Sumba_0+640</t>
  </si>
  <si>
    <t>Jl Sumba_0+660</t>
  </si>
  <si>
    <t>Jl Sumba_0+680</t>
  </si>
  <si>
    <t>Jl Sumba_0+700</t>
  </si>
  <si>
    <t>Jl Sumba_0+720</t>
  </si>
  <si>
    <t>Jl Sumba_0+740</t>
  </si>
  <si>
    <t>Jl Sumba_0+760</t>
  </si>
  <si>
    <t>Jl Sumba_0+780</t>
  </si>
  <si>
    <t>Jl Sumba_0+800</t>
  </si>
  <si>
    <t>Jl Sumba_0+820</t>
  </si>
  <si>
    <t>Jl Sumba_0+840</t>
  </si>
  <si>
    <t>Jl Sumba_0+860</t>
  </si>
  <si>
    <t>Jl Sumba_0+880</t>
  </si>
  <si>
    <t>Jl Sumba_0+900</t>
  </si>
  <si>
    <t>Jl Sumba_0+920</t>
  </si>
  <si>
    <t>Jl Sumba_0+940</t>
  </si>
  <si>
    <t>Jl Sumba_0+960</t>
  </si>
  <si>
    <t>Jl Sumba_0+980</t>
  </si>
  <si>
    <t>Jl Sumba_1+000</t>
  </si>
  <si>
    <t>Jl Sumba_1+020</t>
  </si>
  <si>
    <t>Jl Sumba_1+040</t>
  </si>
  <si>
    <t>Jl Sumba_1+060</t>
  </si>
  <si>
    <t>Jl Sumba_1+080</t>
  </si>
  <si>
    <t>Jl Sumba_1+100</t>
  </si>
  <si>
    <t>Jl Sumba_1+120</t>
  </si>
  <si>
    <t>Jl Sumba_1+140</t>
  </si>
  <si>
    <t>Jl Sumba_1+160</t>
  </si>
  <si>
    <t>Jl Sumba_1+180</t>
  </si>
  <si>
    <t>Jl Sumba_1+200</t>
  </si>
  <si>
    <t>Jl Sumba_1+220</t>
  </si>
  <si>
    <t>Jl Sumba_1+240</t>
  </si>
  <si>
    <t>Jl Sumba_1+260</t>
  </si>
  <si>
    <t>Jl Sumba_1+280</t>
  </si>
  <si>
    <t>Jl Sumba_1+300</t>
  </si>
  <si>
    <t>Jl Sumba_1+320</t>
  </si>
  <si>
    <t>Jl Sumba_1+340</t>
  </si>
  <si>
    <t>Jl Sumba_1+360</t>
  </si>
  <si>
    <t>Jl Sumba_1+380</t>
  </si>
  <si>
    <t>Jl Sumba_1+400</t>
  </si>
  <si>
    <t>Jl Sumba_1+420</t>
  </si>
  <si>
    <t>Jl Sumba_1+440</t>
  </si>
  <si>
    <t>Jl Sumba_1+460</t>
  </si>
  <si>
    <t>Jl Sumba_1+480</t>
  </si>
  <si>
    <t>Jl Sumba_1+500</t>
  </si>
  <si>
    <t>Jl Sumba_1+520</t>
  </si>
  <si>
    <t>Jl Sumba_1+540</t>
  </si>
  <si>
    <t>Jl Sumba_1+560</t>
  </si>
  <si>
    <t>Jl Sumba_1+580</t>
  </si>
  <si>
    <t>Jl Sumba_1+600</t>
  </si>
  <si>
    <t>Jl Sumba_1+620</t>
  </si>
  <si>
    <t>Jl Sumba_1+640</t>
  </si>
  <si>
    <t>Jl Sumba_1+660</t>
  </si>
  <si>
    <t>Jl Sumba_1+680</t>
  </si>
  <si>
    <t>Jl Sumba_1+700</t>
  </si>
  <si>
    <t>Jl Sumba_1+720</t>
  </si>
  <si>
    <t>Jl Sumba_1+740</t>
  </si>
  <si>
    <t>Jl Sumba_1+760</t>
  </si>
  <si>
    <t>Jl Sumba_1+780</t>
  </si>
  <si>
    <t>Jl Sumba_1+800</t>
  </si>
  <si>
    <t>Jl Sumba_1+820</t>
  </si>
  <si>
    <t>Jl Sumba_1+840</t>
  </si>
  <si>
    <t>Jl Sumba_1+860</t>
  </si>
  <si>
    <t>Jl Sumba_1+880</t>
  </si>
  <si>
    <t>Jl Sumba_1+900</t>
  </si>
  <si>
    <t>Jl Sumba_1+920</t>
  </si>
  <si>
    <t>Jl Sumba_1+940</t>
  </si>
  <si>
    <t>Jl Sumba_1+960</t>
  </si>
  <si>
    <t>Jl Sumba_1+980</t>
  </si>
  <si>
    <t>Jl Sumba_2+000</t>
  </si>
  <si>
    <t>Jl Sumba_2+020</t>
  </si>
  <si>
    <t>Jl Sumba_2+028</t>
  </si>
  <si>
    <t>Jl Pontianak_1+100</t>
  </si>
  <si>
    <t>Jl Pontianak_1+120</t>
  </si>
  <si>
    <t>Jl Pontianak_1+140</t>
  </si>
  <si>
    <t>Jl Pontianak_1+160</t>
  </si>
  <si>
    <t>Jl Pontianak_1+180</t>
  </si>
  <si>
    <t>Jl Pontianak_1+200</t>
  </si>
  <si>
    <t>Jl Pontianak_1+220</t>
  </si>
  <si>
    <t>Jl Pontianak_1+240</t>
  </si>
  <si>
    <t>Jl Pontianak_1+260</t>
  </si>
  <si>
    <t>Jl Pontianak_1+280</t>
  </si>
  <si>
    <t>Jl Pontianak_1+300</t>
  </si>
  <si>
    <t>Jl Pontianak_1+320</t>
  </si>
  <si>
    <t>Jl Pontianak_1+340</t>
  </si>
  <si>
    <t>Jl Pontianak_1+360</t>
  </si>
  <si>
    <t>Jl Pontianak_1+380</t>
  </si>
  <si>
    <t>Jl Pontianak_1+400</t>
  </si>
  <si>
    <t>Jl Pontianak_1+420</t>
  </si>
  <si>
    <t>Jl Pontianak_1+440</t>
  </si>
  <si>
    <t>Jl Pontianak_1+460</t>
  </si>
  <si>
    <t>Jl Pontianak_1+480</t>
  </si>
  <si>
    <t>Jl Pontianak_1+500</t>
  </si>
  <si>
    <t>Jl Pontianak_1+520</t>
  </si>
  <si>
    <t>Jl Pontianak_1+540</t>
  </si>
  <si>
    <t>Jl Pontianak_1+560</t>
  </si>
  <si>
    <t>Jl Pontianak_1+580</t>
  </si>
  <si>
    <t>Jl Pontianak_1+600</t>
  </si>
  <si>
    <t>Jl Pontianak_1+620</t>
  </si>
  <si>
    <t>Jl Pontianak_1+640</t>
  </si>
  <si>
    <t>Jl Pontianak_1+660</t>
  </si>
  <si>
    <t>Jl Pontianak_1+680</t>
  </si>
  <si>
    <t>Jl Pontianak_1+700</t>
  </si>
  <si>
    <t>Jl Pontianak_1+720</t>
  </si>
  <si>
    <t>Jl Pontianak_1+740</t>
  </si>
  <si>
    <t>Jl Pontianak_1+760</t>
  </si>
  <si>
    <t>Jl Pontianak_1+774.9</t>
  </si>
  <si>
    <t>Jl Metro_0+000</t>
  </si>
  <si>
    <t>Jl Metro_0+020</t>
  </si>
  <si>
    <t>Jl Metro_0+040</t>
  </si>
  <si>
    <t>Jl Metro_0+060</t>
  </si>
  <si>
    <t>Jl Metro_0+080</t>
  </si>
  <si>
    <t>Jl Metro_0+100</t>
  </si>
  <si>
    <t>Jl Metro_0+120</t>
  </si>
  <si>
    <t>Jl Metro_0+140</t>
  </si>
  <si>
    <t>Jl Metro_0+160</t>
  </si>
  <si>
    <t>Jl Metro_0+180</t>
  </si>
  <si>
    <t>Jl Metro_0+200</t>
  </si>
  <si>
    <t>Jl Metro_0+220</t>
  </si>
  <si>
    <t>Jl Metro_0+240</t>
  </si>
  <si>
    <t>Jl Metro_0+260</t>
  </si>
  <si>
    <t>Jl Metro_0+280</t>
  </si>
  <si>
    <t>Jl Metro_0+300</t>
  </si>
  <si>
    <t>Jl Metro_0+320</t>
  </si>
  <si>
    <t>Jl Metro_0+340</t>
  </si>
  <si>
    <t>Jl Metro_0+360</t>
  </si>
  <si>
    <t>Jl Metro_0+380</t>
  </si>
  <si>
    <t>Jl Metro_0+400</t>
  </si>
  <si>
    <t>Jl Metro_0+420</t>
  </si>
  <si>
    <t>Jl Metro_0+440</t>
  </si>
  <si>
    <t>Jl Metro_0+460</t>
  </si>
  <si>
    <t>Jl Metro_0+480</t>
  </si>
  <si>
    <t>Jl Metro_0+500</t>
  </si>
  <si>
    <t>Jl Metro_0+520</t>
  </si>
  <si>
    <t>Jl Metro_0+540</t>
  </si>
  <si>
    <t>Jl Metro_0+560</t>
  </si>
  <si>
    <t>Jl Metro_0+580</t>
  </si>
  <si>
    <t>Jl Metro_0+600</t>
  </si>
  <si>
    <t>Jl Metro_0+620</t>
  </si>
  <si>
    <t>Jl Metro_0+640</t>
  </si>
  <si>
    <t>Jl Metro_0+660</t>
  </si>
  <si>
    <t>Jl Metro_0+680</t>
  </si>
  <si>
    <t>Jl Metro_0+700</t>
  </si>
  <si>
    <t>Jl Metro_0+720</t>
  </si>
  <si>
    <t>Jl Metro_0+740</t>
  </si>
  <si>
    <t>Jl Metro_0+760</t>
  </si>
  <si>
    <t>Jl Metro_0+780</t>
  </si>
  <si>
    <t>Jl Metro_0+800</t>
  </si>
  <si>
    <t>Jl Metro_0+820</t>
  </si>
  <si>
    <t>Jl Metro_0+840</t>
  </si>
  <si>
    <t>Jl Metro_0+860</t>
  </si>
  <si>
    <t>Jl Metro_0+880</t>
  </si>
  <si>
    <t>Jl Metro_0+900</t>
  </si>
  <si>
    <t>Jl Metro_0+920</t>
  </si>
  <si>
    <t>Jl Metro_0+940</t>
  </si>
  <si>
    <t>Jl Metro_0+960</t>
  </si>
  <si>
    <t>Jl Metro_0+980</t>
  </si>
  <si>
    <t>Jl Metro_1+000</t>
  </si>
  <si>
    <t>Jl Metro_1+020</t>
  </si>
  <si>
    <t>Jl Metro_1+040</t>
  </si>
  <si>
    <t>Jl Metro_1+060</t>
  </si>
  <si>
    <t>Jl Metro_1+080</t>
  </si>
  <si>
    <t>Jl Metro_1+100</t>
  </si>
  <si>
    <t>Jl Metro_1+120</t>
  </si>
  <si>
    <t>Jl Metro_1+140</t>
  </si>
  <si>
    <t>Jl Metro_1+160</t>
  </si>
  <si>
    <t>Jl Metro_1+180</t>
  </si>
  <si>
    <t>Jl Metro_1+200</t>
  </si>
  <si>
    <t>Jl Metro_1+220</t>
  </si>
  <si>
    <t>Jl Metro_1+240</t>
  </si>
  <si>
    <t>Jl Metro_1+260</t>
  </si>
  <si>
    <t>Jl Metro_1+280</t>
  </si>
  <si>
    <t>Jl Metro_1+300</t>
  </si>
  <si>
    <t>Jl Metro_1+320</t>
  </si>
  <si>
    <t>Jl Metro_1+340</t>
  </si>
  <si>
    <t>Jl Metro_1+360</t>
  </si>
  <si>
    <t>Jl Metro_1+380</t>
  </si>
  <si>
    <t>Jl Metro_1+400</t>
  </si>
  <si>
    <t>Jl Metro_1+420</t>
  </si>
  <si>
    <t>Jl Metro_1+440</t>
  </si>
  <si>
    <t>Jl Metro_1+460</t>
  </si>
  <si>
    <t>Jl Metro_1+480</t>
  </si>
  <si>
    <t>Jl Metro_1+500</t>
  </si>
  <si>
    <t>Jl Metro_1+520</t>
  </si>
  <si>
    <t>Jl Metro_1+540</t>
  </si>
  <si>
    <t>Jl Metro_1+560</t>
  </si>
  <si>
    <t>Jl Metro_1+580</t>
  </si>
  <si>
    <t>Jl Metro_1+600</t>
  </si>
  <si>
    <t>Jl Metro_1+620</t>
  </si>
  <si>
    <t>Jl Metro_1+640</t>
  </si>
  <si>
    <t>Jl Metro_1+660</t>
  </si>
  <si>
    <t>Jl Metro_1+680</t>
  </si>
  <si>
    <t>Jl Metro_1+700</t>
  </si>
  <si>
    <t>Jl Metro_1+720</t>
  </si>
  <si>
    <t>Jl Metro_1+740</t>
  </si>
  <si>
    <t>Jl Metro_1+760</t>
  </si>
  <si>
    <t>Jl Metro_1+780</t>
  </si>
  <si>
    <t>Jl Metro_1+800</t>
  </si>
  <si>
    <t>Jl Metro_1+820</t>
  </si>
  <si>
    <t>Jl Metro_1+840</t>
  </si>
  <si>
    <t>Jl Metro_1+860</t>
  </si>
  <si>
    <t>Jl Metro_1+880</t>
  </si>
  <si>
    <t>Jl Metro_1+900</t>
  </si>
  <si>
    <t>Jl Metro_1+920</t>
  </si>
  <si>
    <t>Jl Metro_1+940</t>
  </si>
  <si>
    <t>Jl Metro_1+942.4</t>
  </si>
  <si>
    <t xml:space="preserve"> _0+000</t>
  </si>
  <si>
    <t xml:space="preserve"> _0+020</t>
  </si>
  <si>
    <t xml:space="preserve"> _0+024.7</t>
  </si>
  <si>
    <t xml:space="preserve"> _0+040</t>
  </si>
  <si>
    <t xml:space="preserve"> _0+052.8</t>
  </si>
  <si>
    <t>Tepi Kiri</t>
  </si>
  <si>
    <t>As Jalan</t>
  </si>
  <si>
    <t>Tepi Kanan</t>
  </si>
  <si>
    <t>Nama_Jalan</t>
  </si>
  <si>
    <t>Jarak_m</t>
  </si>
  <si>
    <t>Elevasi_m</t>
  </si>
  <si>
    <t>Grade_pct</t>
  </si>
  <si>
    <t>Crossfall_L</t>
  </si>
  <si>
    <t>Crossfall_R</t>
  </si>
  <si>
    <t>Status_Grade</t>
  </si>
  <si>
    <t>Grade_Text</t>
  </si>
  <si>
    <t>Elev_Aman</t>
  </si>
  <si>
    <t>Elev_Warning</t>
  </si>
  <si>
    <t>Elev_Overgrade</t>
  </si>
  <si>
    <t>Is_Regular</t>
  </si>
  <si>
    <t>Total_Pts</t>
  </si>
  <si>
    <t>Chart_Pts</t>
  </si>
  <si>
    <t>Active_STA</t>
  </si>
  <si>
    <t>HAUL ROAD AUDIT DASHBOARD</t>
  </si>
  <si>
    <t>Pilih Stasioning (STA):</t>
  </si>
  <si>
    <t>Pilih Nama Jalan:</t>
  </si>
  <si>
    <t>Lebar Total (m):</t>
  </si>
  <si>
    <t>Crossfall Kiri (%):</t>
  </si>
  <si>
    <t>Crossfall Kanan (%):</t>
  </si>
  <si>
    <t>Overall Grade (%):</t>
  </si>
  <si>
    <t>Posisi Bentang Jalan (m)</t>
  </si>
  <si>
    <t>Elevasi RL (m)</t>
  </si>
  <si>
    <t>REKAPITULASI SEGMEN</t>
  </si>
  <si>
    <t>Total Panjang Jalan (m)</t>
  </si>
  <si>
    <t>Total Panjang Flat (m)</t>
  </si>
  <si>
    <t>Total Panjang Tanjakan/Turunan (m)</t>
  </si>
  <si>
    <t>Total Jalan Aman (m)</t>
  </si>
  <si>
    <t>Total Jalan Warning (m)</t>
  </si>
  <si>
    <t>Total Jalan Overgrade (m)</t>
  </si>
  <si>
    <t>Total Segmen Lebar Standard</t>
  </si>
  <si>
    <t>Total Segmen Lebar Nonstandard</t>
  </si>
  <si>
    <t>Total Crossfall Standard</t>
  </si>
  <si>
    <t>Total Crossfall Nonstandard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</si>
</sst>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1F4E79"/>
      <name val="Calibri"/>
      <family val="2"/>
      <scheme val="minor"/>
    </font>
    <font>
      <b/>
      <sz val="11"/>
      <color rgb="FF1F4E79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10" fontId="0" fillId="0" borderId="0" xfId="0" applyNumberFormat="1" applyAlignment="1">
      <alignment horizontal="right"/>
    </xf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0" fontId="2" fillId="3" borderId="1" xfId="0" applyFont="1" applyFill="1" applyBorder="1"/>
    <xf numFmtId="0" fontId="2" fillId="4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0" fontId="0" fillId="0" borderId="1" xfId="0" applyNumberFormat="1" applyBorder="1" applyAlignment="1">
      <alignment horizontal="right"/>
    </xf>
    <xf numFmtId="0" fontId="2" fillId="5" borderId="1" xfId="0" applyFont="1" applyFill="1" applyBorder="1"/>
    <xf numFmtId="2" fontId="4" fillId="0" borderId="1" xfId="0" applyNumberFormat="1" applyFont="1" applyBorder="1" applyAlignment="1">
      <alignment horizontal="center"/>
    </xf>
    <xf numFmtId="10" fontId="4" fillId="0" borderId="1" xfId="0" applyNumberFormat="1" applyFont="1" applyBorder="1" applyAlignment="1">
      <alignment horizontal="center"/>
    </xf>
    <xf numFmtId="0" fontId="5" fillId="0" borderId="0" xfId="0" applyFont="1"/>
    <xf numFmtId="0" fontId="1" fillId="2" borderId="1" xfId="0" applyFont="1" applyFill="1" applyBorder="1"/>
    <xf numFmtId="0" fontId="0" fillId="0" borderId="1" xfId="0" applyBorder="1" applyAlignment="1">
      <alignment horizontal="right"/>
    </xf>
  </cellXfs>
  <cellStyles count="1">
    <cellStyle name="Normal" xfId="0" builtinId="0"/>
  </cellStyles>
  <dxfs count="2">
    <dxf>
      <font>
        <b/>
        <color rgb="FF9C0006"/>
      </font>
      <fill>
        <patternFill>
          <bgColor rgb="FFFFC7CE"/>
        </patternFill>
      </fill>
    </dxf>
    <dxf>
      <font>
        <b/>
        <color rgb="FF9C6500"/>
      </font>
      <fill>
        <patternFill>
          <bgColor rgb="FFFFEB9C"/>
        </patternFill>
      </fill>
    </dxf>
  </dxfs>
  <tableStyles count="0" defaultTableStyle="TableStyleMedium9" defaultPivotStyle="PivotStyleLight16"/>
  <colors>
    <mruColors>
      <color rgb="FFFFFFB7"/>
      <color rgb="FFBDFFBD"/>
      <color rgb="FF65FF65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Cross Section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Permukaan Jalan</c:v>
          </c:tx>
          <c:spPr>
            <a:ln w="31750">
              <a:solidFill>
                <a:srgbClr val="2E75B6"/>
              </a:solidFill>
            </a:ln>
          </c:spPr>
          <c:marker>
            <c:symbol val="circle"/>
            <c:size val="8"/>
            <c:spPr>
              <a:solidFill>
                <a:srgbClr val="FFC000"/>
              </a:solidFill>
              <a:ln>
                <a:solidFill>
                  <a:srgbClr val="1F4E79"/>
                </a:solidFill>
              </a:ln>
            </c:spPr>
          </c:marker>
          <c:xVal>
            <c:numRef>
              <c:f>Dashboard_Visual!$A$11:$A$13</c:f>
              <c:numCache>
                <c:formatCode>General</c:formatCode>
                <c:ptCount val="3"/>
                <c:pt idx="0">
                  <c:v>0</c:v>
                </c:pt>
                <c:pt idx="1">
                  <c:v>16.22</c:v>
                </c:pt>
                <c:pt idx="2">
                  <c:v>32.049999999999997</c:v>
                </c:pt>
              </c:numCache>
            </c:numRef>
          </c:xVal>
          <c:yVal>
            <c:numRef>
              <c:f>Dashboard_Visual!$B$11:$B$13</c:f>
              <c:numCache>
                <c:formatCode>General</c:formatCode>
                <c:ptCount val="3"/>
                <c:pt idx="0">
                  <c:v>100.79</c:v>
                </c:pt>
                <c:pt idx="1">
                  <c:v>100.53</c:v>
                </c:pt>
                <c:pt idx="2">
                  <c:v>100.03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297-4D5A-8FA6-EF15FE47DA4D}"/>
            </c:ext>
          </c:extLst>
        </c:ser>
        <c:ser>
          <c:idx val="1"/>
          <c:order val="1"/>
          <c:spPr>
            <a:ln>
              <a:noFill/>
            </a:ln>
          </c:spPr>
          <c:marker>
            <c:symbol val="none"/>
          </c:marker>
          <c:xVal>
            <c:numRef>
              <c:f>Dashboard_Visual!$H$1:$I$1</c:f>
              <c:numCache>
                <c:formatCode>General</c:formatCode>
                <c:ptCount val="2"/>
                <c:pt idx="0">
                  <c:v>0</c:v>
                </c:pt>
                <c:pt idx="1">
                  <c:v>32.049999999999997</c:v>
                </c:pt>
              </c:numCache>
            </c:numRef>
          </c:xVal>
          <c:yVal>
            <c:numRef>
              <c:f>Dashboard_Visual!$H$2:$I$2</c:f>
              <c:numCache>
                <c:formatCode>General</c:formatCode>
                <c:ptCount val="2"/>
                <c:pt idx="0">
                  <c:v>99</c:v>
                </c:pt>
                <c:pt idx="1">
                  <c:v>103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297-4D5A-8FA6-EF15FE47DA4D}"/>
            </c:ext>
          </c:extLst>
        </c:ser>
        <c:ser>
          <c:idx val="2"/>
          <c:order val="2"/>
          <c:spPr>
            <a:ln>
              <a:noFill/>
            </a:ln>
          </c:spPr>
          <c:marker>
            <c:symbol val="none"/>
          </c:marker>
          <c:dLbls>
            <c:dLbl>
              <c:idx val="0"/>
              <c:tx>
                <c:strRef>
                  <c:f>Dashboard_Visual!$C$6</c:f>
                  <c:strCache>
                    <c:ptCount val="1"/>
                    <c:pt idx="0">
                      <c:v>1,82%</c:v>
                    </c:pt>
                  </c:strCache>
                </c:strRef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{CBC3E95C-4E1E-4E70-91CE-7384BE922A95}</c15:txfldGUID>
                      <c15:f>Dashboard_Visual!$C$6</c15:f>
                      <c15:dlblFieldTableCache>
                        <c:ptCount val="1"/>
                        <c:pt idx="0">
                          <c:v>1,82%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2-3297-4D5A-8FA6-EF15FE47DA4D}"/>
                </c:ext>
              </c:extLst>
            </c:dLbl>
            <c:dLbl>
              <c:idx val="1"/>
              <c:tx>
                <c:strRef>
                  <c:f>Dashboard_Visual!$C$7</c:f>
                  <c:strCache>
                    <c:ptCount val="1"/>
                    <c:pt idx="0">
                      <c:v>3,59%</c:v>
                    </c:pt>
                  </c:strCache>
                </c:strRef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{718FA5CD-2B65-442D-AC7D-9963949540DC}</c15:txfldGUID>
                      <c15:f>Dashboard_Visual!$C$7</c15:f>
                      <c15:dlblFieldTableCache>
                        <c:ptCount val="1"/>
                        <c:pt idx="0">
                          <c:v>3,59%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3-3297-4D5A-8FA6-EF15FE47DA4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1" baseline="0">
                    <a:solidFill>
                      <a:srgbClr val="000000"/>
                    </a:solidFill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Dashboard_Visual!$J$1:$J$2</c:f>
              <c:numCache>
                <c:formatCode>General</c:formatCode>
                <c:ptCount val="2"/>
                <c:pt idx="0">
                  <c:v>8.11</c:v>
                </c:pt>
                <c:pt idx="1">
                  <c:v>24.134999999999998</c:v>
                </c:pt>
              </c:numCache>
            </c:numRef>
          </c:xVal>
          <c:yVal>
            <c:numRef>
              <c:f>Dashboard_Visual!$L$1:$L$2</c:f>
              <c:numCache>
                <c:formatCode>General</c:formatCode>
                <c:ptCount val="2"/>
                <c:pt idx="0">
                  <c:v>#N/A</c:v>
                </c:pt>
                <c:pt idx="1">
                  <c:v>100.28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297-4D5A-8FA6-EF15FE47DA4D}"/>
            </c:ext>
          </c:extLst>
        </c:ser>
        <c:ser>
          <c:idx val="3"/>
          <c:order val="3"/>
          <c:spPr>
            <a:ln>
              <a:noFill/>
            </a:ln>
          </c:spPr>
          <c:marker>
            <c:symbol val="none"/>
          </c:marker>
          <c:dLbls>
            <c:dLbl>
              <c:idx val="0"/>
              <c:tx>
                <c:strRef>
                  <c:f>Dashboard_Visual!$C$6</c:f>
                  <c:strCache>
                    <c:ptCount val="1"/>
                    <c:pt idx="0">
                      <c:v>1,82%</c:v>
                    </c:pt>
                  </c:strCache>
                </c:strRef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{B1DE10DA-0ED1-447F-80F9-4E2F49CDEB50}</c15:txfldGUID>
                      <c15:f>Dashboard_Visual!$C$6</c15:f>
                      <c15:dlblFieldTableCache>
                        <c:ptCount val="1"/>
                        <c:pt idx="0">
                          <c:v>1,82%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5-3297-4D5A-8FA6-EF15FE47DA4D}"/>
                </c:ext>
              </c:extLst>
            </c:dLbl>
            <c:dLbl>
              <c:idx val="1"/>
              <c:tx>
                <c:strRef>
                  <c:f>Dashboard_Visual!$C$7</c:f>
                  <c:strCache>
                    <c:ptCount val="1"/>
                    <c:pt idx="0">
                      <c:v>3,59%</c:v>
                    </c:pt>
                  </c:strCache>
                </c:strRef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{761A65AE-9D2A-46EB-9ED4-10B2F2886E7C}</c15:txfldGUID>
                      <c15:f>Dashboard_Visual!$C$7</c15:f>
                      <c15:dlblFieldTableCache>
                        <c:ptCount val="1"/>
                        <c:pt idx="0">
                          <c:v>3,59%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6-3297-4D5A-8FA6-EF15FE47DA4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1" baseline="0">
                    <a:solidFill>
                      <a:srgbClr val="C00000"/>
                    </a:solidFill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Dashboard_Visual!$J$1:$J$2</c:f>
              <c:numCache>
                <c:formatCode>General</c:formatCode>
                <c:ptCount val="2"/>
                <c:pt idx="0">
                  <c:v>8.11</c:v>
                </c:pt>
                <c:pt idx="1">
                  <c:v>24.134999999999998</c:v>
                </c:pt>
              </c:numCache>
            </c:numRef>
          </c:xVal>
          <c:yVal>
            <c:numRef>
              <c:f>Dashboard_Visual!$M$1:$M$2</c:f>
              <c:numCache>
                <c:formatCode>General</c:formatCode>
                <c:ptCount val="2"/>
                <c:pt idx="0">
                  <c:v>100.66</c:v>
                </c:pt>
                <c:pt idx="1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3297-4D5A-8FA6-EF15FE47DA4D}"/>
            </c:ext>
          </c:extLst>
        </c:ser>
        <c:ser>
          <c:idx val="4"/>
          <c:order val="4"/>
          <c:spPr>
            <a:ln>
              <a:noFill/>
            </a:ln>
          </c:spPr>
          <c:marker>
            <c:symbol val="none"/>
          </c:marker>
          <c:dLbls>
            <c:dLbl>
              <c:idx val="0"/>
              <c:tx>
                <c:strRef>
                  <c:f>Dashboard_Visual!$D$8</c:f>
                  <c:strCache>
                    <c:ptCount val="1"/>
                    <c:pt idx="0">
                      <c:v>Overall Grade
002%</c:v>
                    </c:pt>
                  </c:strCache>
                </c:strRef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{CD69A607-C9E9-4519-BCA8-93AC5296865E}</c15:txfldGUID>
                      <c15:f>Dashboard_Visual!$D$8</c15:f>
                      <c15:dlblFieldTableCache>
                        <c:ptCount val="1"/>
                        <c:pt idx="0">
                          <c:v>Overall Grade
002%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8-3297-4D5A-8FA6-EF15FE47DA4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1" baseline="0">
                    <a:solidFill>
                      <a:srgbClr val="000000"/>
                    </a:solidFill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Dashboard_Visual!$A$12</c:f>
              <c:numCache>
                <c:formatCode>General</c:formatCode>
                <c:ptCount val="1"/>
                <c:pt idx="0">
                  <c:v>16.22</c:v>
                </c:pt>
              </c:numCache>
            </c:numRef>
          </c:xVal>
          <c:yVal>
            <c:numRef>
              <c:f>Dashboard_Visual!$B$12</c:f>
              <c:numCache>
                <c:formatCode>General</c:formatCode>
                <c:ptCount val="1"/>
                <c:pt idx="0">
                  <c:v>100.53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3297-4D5A-8FA6-EF15FE47D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10001"/>
        <c:axId val="50010002"/>
      </c:scatterChart>
      <c:valAx>
        <c:axId val="50010001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Posisi Bentang Jalan (m)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Elevasi RL (m)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min"/>
        <c:crossBetween val="midCat"/>
        <c:majorUnit val="1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PROFIL MEMANJANG JALAN ANGKUT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Elevasi As Jalan</c:v>
          </c:tx>
          <c:spPr>
            <a:ln w="28575">
              <a:solidFill>
                <a:srgbClr val="C00000"/>
              </a:solidFill>
            </a:ln>
          </c:spPr>
          <c:marker>
            <c:symbol val="diamond"/>
            <c:size val="7"/>
            <c:spPr>
              <a:solidFill>
                <a:srgbClr val="C00000"/>
              </a:solidFill>
              <a:ln>
                <a:solidFill>
                  <a:srgbClr val="002060"/>
                </a:solidFill>
              </a:ln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3ED93902-1182-483D-876F-7F2933D9EC6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6428-4398-9E2C-1F1675D6D0DF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B3F95986-B489-4C7C-9123-54248CB43BD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6428-4398-9E2C-1F1675D6D0DF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1472221E-7CA0-4B1F-8F27-164E083E657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6428-4398-9E2C-1F1675D6D0DF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7A53FCCA-6B14-49C5-8697-F1B3F8DF909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6428-4398-9E2C-1F1675D6D0DF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91489B0E-8AB6-4F73-A3F5-6B59AA52BD0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6428-4398-9E2C-1F1675D6D0DF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1C79912F-5832-465B-ACA0-55EE29663DB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6428-4398-9E2C-1F1675D6D0DF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42BBC0AD-800A-401B-993F-AD56361BB4A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6428-4398-9E2C-1F1675D6D0DF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2C12F778-75D9-4EC7-9667-92C7B9D7BFA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6428-4398-9E2C-1F1675D6D0DF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D61BB44A-49DB-4449-9A49-2C1EBD74B00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6428-4398-9E2C-1F1675D6D0DF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F3513F7E-AB04-41B0-ACD4-9364DE9C1EF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6428-4398-9E2C-1F1675D6D0DF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B5DEF3E4-39DD-482F-8C74-C406C96B34D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6428-4398-9E2C-1F1675D6D0DF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6298AF6C-172A-4B74-9FF7-41659B03A9D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6428-4398-9E2C-1F1675D6D0DF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2F672B0F-6B92-478B-97C8-BB0810FDF1D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6428-4398-9E2C-1F1675D6D0DF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E9458005-2AD3-4702-85BF-4041F6AB56A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6428-4398-9E2C-1F1675D6D0DF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AACEBFDF-E1CF-4966-A4C4-3C960F4E971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6428-4398-9E2C-1F1675D6D0DF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66C8B2D6-B0DB-4A66-A00C-309D8C6D07B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6428-4398-9E2C-1F1675D6D0DF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F63D37B4-CF68-4016-8A91-D101BDD5F41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6428-4398-9E2C-1F1675D6D0DF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F95B062F-52F0-42AE-B16D-461DDEAFD10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6428-4398-9E2C-1F1675D6D0DF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8FA0726A-31F6-4E3F-921F-F98E3CE641D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6428-4398-9E2C-1F1675D6D0DF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7DE9B029-430C-4995-8E85-3A327C195A8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6428-4398-9E2C-1F1675D6D0DF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2F9B7F1F-6689-4A66-B8E8-D77A1465E9E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6428-4398-9E2C-1F1675D6D0DF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627F134B-2D0E-4BC7-8723-C21B3A62428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6428-4398-9E2C-1F1675D6D0DF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02D92B27-F66D-4320-9FBD-00EDBFE22C3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6428-4398-9E2C-1F1675D6D0DF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B66E548D-D699-4710-8B37-E9683ECD258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6428-4398-9E2C-1F1675D6D0DF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0B4222D7-7BA5-43E6-8DA6-EF1A713AA03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6428-4398-9E2C-1F1675D6D0DF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CF87A2CA-47E6-42D0-A0C7-8AF30264B9C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6428-4398-9E2C-1F1675D6D0DF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56EB3D87-E07D-462C-AFDB-B5EAE2E0DA7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6428-4398-9E2C-1F1675D6D0DF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AA6217D1-516F-4614-ABE9-9B3366A67F5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6428-4398-9E2C-1F1675D6D0DF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fld id="{BC7D0DE8-F2E8-4198-9AD8-1CD93A02B2E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6428-4398-9E2C-1F1675D6D0DF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fld id="{59A16791-DDC9-4A88-85C1-913594C083B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6428-4398-9E2C-1F1675D6D0DF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fld id="{B98BB465-9790-46BF-B484-21A306A9B14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6428-4398-9E2C-1F1675D6D0DF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fld id="{06CB6646-DD05-417E-B4A2-0BFF4AE6F59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6428-4398-9E2C-1F1675D6D0DF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fld id="{B9C9F66B-CF3C-4EF0-8C21-4C79C5F39D3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6428-4398-9E2C-1F1675D6D0DF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fld id="{54C4B3F5-5CB0-40B8-8D1A-B8524D15A3B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6428-4398-9E2C-1F1675D6D0DF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fld id="{B07907D1-92E9-417B-B3E5-5F324C34B31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6428-4398-9E2C-1F1675D6D0DF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fld id="{BCA7966C-10B5-4ADB-B558-F13C36DDDBB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6428-4398-9E2C-1F1675D6D0DF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fld id="{93EC7A2F-F58B-4E87-B5E5-3E87F6E3FFC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6428-4398-9E2C-1F1675D6D0DF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fld id="{A5BA610D-33E4-488C-BF45-0F85F4FE8A7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6428-4398-9E2C-1F1675D6D0DF}"/>
                </c:ext>
              </c:extLst>
            </c:dLbl>
            <c:dLbl>
              <c:idx val="38"/>
              <c:tx>
                <c:rich>
                  <a:bodyPr/>
                  <a:lstStyle/>
                  <a:p>
                    <a:fld id="{05EE543E-DC01-4CCD-8122-5231E355FEB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6428-4398-9E2C-1F1675D6D0DF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fld id="{F687D43C-BE5F-4B8D-B35E-DB52461F5B7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6428-4398-9E2C-1F1675D6D0DF}"/>
                </c:ext>
              </c:extLst>
            </c:dLbl>
            <c:dLbl>
              <c:idx val="40"/>
              <c:tx>
                <c:rich>
                  <a:bodyPr/>
                  <a:lstStyle/>
                  <a:p>
                    <a:fld id="{C00BC880-C75D-431A-B3EA-B3A1F2B1A0B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6428-4398-9E2C-1F1675D6D0DF}"/>
                </c:ext>
              </c:extLst>
            </c:dLbl>
            <c:dLbl>
              <c:idx val="41"/>
              <c:tx>
                <c:rich>
                  <a:bodyPr/>
                  <a:lstStyle/>
                  <a:p>
                    <a:fld id="{314179B1-FD77-4133-ACC0-B1FA9509588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6428-4398-9E2C-1F1675D6D0DF}"/>
                </c:ext>
              </c:extLst>
            </c:dLbl>
            <c:dLbl>
              <c:idx val="42"/>
              <c:tx>
                <c:rich>
                  <a:bodyPr/>
                  <a:lstStyle/>
                  <a:p>
                    <a:fld id="{3A3CEEC1-0F84-44B9-812F-EC8665A3141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6428-4398-9E2C-1F1675D6D0DF}"/>
                </c:ext>
              </c:extLst>
            </c:dLbl>
            <c:dLbl>
              <c:idx val="43"/>
              <c:tx>
                <c:rich>
                  <a:bodyPr/>
                  <a:lstStyle/>
                  <a:p>
                    <a:fld id="{0D105A58-7CD6-4F47-89FF-099052A021D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6428-4398-9E2C-1F1675D6D0DF}"/>
                </c:ext>
              </c:extLst>
            </c:dLbl>
            <c:dLbl>
              <c:idx val="44"/>
              <c:tx>
                <c:rich>
                  <a:bodyPr/>
                  <a:lstStyle/>
                  <a:p>
                    <a:fld id="{2CB85EE0-5254-4348-B1E7-45AE234745E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6428-4398-9E2C-1F1675D6D0DF}"/>
                </c:ext>
              </c:extLst>
            </c:dLbl>
            <c:dLbl>
              <c:idx val="45"/>
              <c:tx>
                <c:rich>
                  <a:bodyPr/>
                  <a:lstStyle/>
                  <a:p>
                    <a:fld id="{34C36619-8C66-4168-9572-914D5DC42C3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6428-4398-9E2C-1F1675D6D0DF}"/>
                </c:ext>
              </c:extLst>
            </c:dLbl>
            <c:dLbl>
              <c:idx val="46"/>
              <c:tx>
                <c:rich>
                  <a:bodyPr/>
                  <a:lstStyle/>
                  <a:p>
                    <a:fld id="{7F652FB7-91C2-455D-861F-929669B4743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6428-4398-9E2C-1F1675D6D0DF}"/>
                </c:ext>
              </c:extLst>
            </c:dLbl>
            <c:dLbl>
              <c:idx val="47"/>
              <c:tx>
                <c:rich>
                  <a:bodyPr/>
                  <a:lstStyle/>
                  <a:p>
                    <a:fld id="{9881A362-92AE-4C54-A5F8-BC70FE91CAE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6428-4398-9E2C-1F1675D6D0DF}"/>
                </c:ext>
              </c:extLst>
            </c:dLbl>
            <c:dLbl>
              <c:idx val="48"/>
              <c:tx>
                <c:rich>
                  <a:bodyPr/>
                  <a:lstStyle/>
                  <a:p>
                    <a:fld id="{75C4F819-A221-4525-A72F-623694A488E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6428-4398-9E2C-1F1675D6D0DF}"/>
                </c:ext>
              </c:extLst>
            </c:dLbl>
            <c:dLbl>
              <c:idx val="49"/>
              <c:tx>
                <c:rich>
                  <a:bodyPr/>
                  <a:lstStyle/>
                  <a:p>
                    <a:fld id="{5D3092A1-B69E-456A-BE4D-964F28419F9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6428-4398-9E2C-1F1675D6D0DF}"/>
                </c:ext>
              </c:extLst>
            </c:dLbl>
            <c:dLbl>
              <c:idx val="50"/>
              <c:tx>
                <c:rich>
                  <a:bodyPr/>
                  <a:lstStyle/>
                  <a:p>
                    <a:fld id="{4A1E5C46-7034-41E2-89E1-98320705BFB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6428-4398-9E2C-1F1675D6D0D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216000" tIns="0" rIns="0" bIns="0" anchor="ctr">
                <a:spAutoFit/>
              </a:bodyPr>
              <a:lstStyle/>
              <a:p>
                <a:pPr>
                  <a:defRPr sz="700" b="1"/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DataLabelsRange val="1"/>
                <c15:showLeaderLines val="1"/>
              </c:ext>
            </c:extLst>
          </c:dLbls>
          <c:cat>
            <c:strRef>
              <c:f>Chart_Data!Dyn_STA</c:f>
              <c:strCache>
                <c:ptCount val="51"/>
                <c:pt idx="0">
                  <c:v>0+000</c:v>
                </c:pt>
                <c:pt idx="1">
                  <c:v>0+020</c:v>
                </c:pt>
                <c:pt idx="2">
                  <c:v>0+040</c:v>
                </c:pt>
                <c:pt idx="3">
                  <c:v>0+060</c:v>
                </c:pt>
                <c:pt idx="4">
                  <c:v>0+080</c:v>
                </c:pt>
                <c:pt idx="5">
                  <c:v>0+100</c:v>
                </c:pt>
                <c:pt idx="6">
                  <c:v>0+120</c:v>
                </c:pt>
                <c:pt idx="7">
                  <c:v>0+140</c:v>
                </c:pt>
                <c:pt idx="8">
                  <c:v>0+160</c:v>
                </c:pt>
                <c:pt idx="9">
                  <c:v>0+180</c:v>
                </c:pt>
                <c:pt idx="10">
                  <c:v>0+200</c:v>
                </c:pt>
                <c:pt idx="11">
                  <c:v>0+220</c:v>
                </c:pt>
                <c:pt idx="12">
                  <c:v>0+240</c:v>
                </c:pt>
                <c:pt idx="13">
                  <c:v>0+260</c:v>
                </c:pt>
                <c:pt idx="14">
                  <c:v>0+280</c:v>
                </c:pt>
                <c:pt idx="15">
                  <c:v>0+300</c:v>
                </c:pt>
                <c:pt idx="16">
                  <c:v>0+320</c:v>
                </c:pt>
                <c:pt idx="17">
                  <c:v>0+340</c:v>
                </c:pt>
                <c:pt idx="18">
                  <c:v>0+360</c:v>
                </c:pt>
                <c:pt idx="19">
                  <c:v>0+380</c:v>
                </c:pt>
                <c:pt idx="20">
                  <c:v>0+400</c:v>
                </c:pt>
                <c:pt idx="21">
                  <c:v>0+420</c:v>
                </c:pt>
                <c:pt idx="22">
                  <c:v>0+440</c:v>
                </c:pt>
                <c:pt idx="23">
                  <c:v>0+460</c:v>
                </c:pt>
                <c:pt idx="24">
                  <c:v>0+480</c:v>
                </c:pt>
                <c:pt idx="25">
                  <c:v>0+500</c:v>
                </c:pt>
                <c:pt idx="26">
                  <c:v>0+520</c:v>
                </c:pt>
                <c:pt idx="27">
                  <c:v>0+540</c:v>
                </c:pt>
                <c:pt idx="28">
                  <c:v>0+560</c:v>
                </c:pt>
                <c:pt idx="29">
                  <c:v>0+580</c:v>
                </c:pt>
                <c:pt idx="30">
                  <c:v>0+600</c:v>
                </c:pt>
                <c:pt idx="31">
                  <c:v>0+620</c:v>
                </c:pt>
                <c:pt idx="32">
                  <c:v>0+640</c:v>
                </c:pt>
                <c:pt idx="33">
                  <c:v>0+660</c:v>
                </c:pt>
                <c:pt idx="34">
                  <c:v>0+680</c:v>
                </c:pt>
                <c:pt idx="35">
                  <c:v>0+700</c:v>
                </c:pt>
                <c:pt idx="36">
                  <c:v>0+720</c:v>
                </c:pt>
                <c:pt idx="37">
                  <c:v>0+740</c:v>
                </c:pt>
                <c:pt idx="38">
                  <c:v>0+760</c:v>
                </c:pt>
                <c:pt idx="39">
                  <c:v>0+780</c:v>
                </c:pt>
                <c:pt idx="40">
                  <c:v>0+800</c:v>
                </c:pt>
                <c:pt idx="41">
                  <c:v>0+820</c:v>
                </c:pt>
                <c:pt idx="42">
                  <c:v>0+840</c:v>
                </c:pt>
                <c:pt idx="43">
                  <c:v>0+860</c:v>
                </c:pt>
                <c:pt idx="44">
                  <c:v>0+880</c:v>
                </c:pt>
                <c:pt idx="45">
                  <c:v>0+900</c:v>
                </c:pt>
                <c:pt idx="46">
                  <c:v>0+920</c:v>
                </c:pt>
                <c:pt idx="47">
                  <c:v>0+940</c:v>
                </c:pt>
                <c:pt idx="48">
                  <c:v>0+960</c:v>
                </c:pt>
                <c:pt idx="49">
                  <c:v>0+980</c:v>
                </c:pt>
                <c:pt idx="50">
                  <c:v>1+000</c:v>
                </c:pt>
              </c:strCache>
            </c:strRef>
          </c:cat>
          <c:val>
            <c:numRef>
              <c:f>Chart_Data!Dyn_Elev</c:f>
              <c:numCache>
                <c:formatCode>General</c:formatCode>
                <c:ptCount val="51"/>
                <c:pt idx="0">
                  <c:v>101.04</c:v>
                </c:pt>
                <c:pt idx="1">
                  <c:v>100.68</c:v>
                </c:pt>
                <c:pt idx="2">
                  <c:v>100.53</c:v>
                </c:pt>
                <c:pt idx="3">
                  <c:v>100.99</c:v>
                </c:pt>
                <c:pt idx="4">
                  <c:v>100.22</c:v>
                </c:pt>
                <c:pt idx="5">
                  <c:v>99.92</c:v>
                </c:pt>
                <c:pt idx="6">
                  <c:v>99.76</c:v>
                </c:pt>
                <c:pt idx="7">
                  <c:v>99.77</c:v>
                </c:pt>
                <c:pt idx="8">
                  <c:v>99.84</c:v>
                </c:pt>
                <c:pt idx="9">
                  <c:v>99.94</c:v>
                </c:pt>
                <c:pt idx="10">
                  <c:v>100.21</c:v>
                </c:pt>
                <c:pt idx="11">
                  <c:v>100.51</c:v>
                </c:pt>
                <c:pt idx="12">
                  <c:v>100.64</c:v>
                </c:pt>
                <c:pt idx="13">
                  <c:v>100.7</c:v>
                </c:pt>
                <c:pt idx="14">
                  <c:v>100.79</c:v>
                </c:pt>
                <c:pt idx="15">
                  <c:v>100.94</c:v>
                </c:pt>
                <c:pt idx="16">
                  <c:v>101.02</c:v>
                </c:pt>
                <c:pt idx="17">
                  <c:v>101.14</c:v>
                </c:pt>
                <c:pt idx="18">
                  <c:v>101.24</c:v>
                </c:pt>
                <c:pt idx="19">
                  <c:v>101.17</c:v>
                </c:pt>
                <c:pt idx="20">
                  <c:v>101.08</c:v>
                </c:pt>
                <c:pt idx="21">
                  <c:v>101.08</c:v>
                </c:pt>
                <c:pt idx="22">
                  <c:v>102.44</c:v>
                </c:pt>
                <c:pt idx="23">
                  <c:v>100.96</c:v>
                </c:pt>
                <c:pt idx="24">
                  <c:v>100.87</c:v>
                </c:pt>
                <c:pt idx="25">
                  <c:v>100.92</c:v>
                </c:pt>
                <c:pt idx="26">
                  <c:v>100.84</c:v>
                </c:pt>
                <c:pt idx="27">
                  <c:v>100.81</c:v>
                </c:pt>
                <c:pt idx="28">
                  <c:v>102.39</c:v>
                </c:pt>
                <c:pt idx="29">
                  <c:v>100.64</c:v>
                </c:pt>
                <c:pt idx="30">
                  <c:v>100.8</c:v>
                </c:pt>
                <c:pt idx="31">
                  <c:v>100.83</c:v>
                </c:pt>
                <c:pt idx="32">
                  <c:v>100.59</c:v>
                </c:pt>
                <c:pt idx="33">
                  <c:v>100.35</c:v>
                </c:pt>
                <c:pt idx="34">
                  <c:v>100.52</c:v>
                </c:pt>
                <c:pt idx="35">
                  <c:v>101.49</c:v>
                </c:pt>
                <c:pt idx="36">
                  <c:v>99.74</c:v>
                </c:pt>
                <c:pt idx="37">
                  <c:v>98.91</c:v>
                </c:pt>
                <c:pt idx="38">
                  <c:v>98.03</c:v>
                </c:pt>
                <c:pt idx="39">
                  <c:v>97.35</c:v>
                </c:pt>
                <c:pt idx="40">
                  <c:v>96.48</c:v>
                </c:pt>
                <c:pt idx="41">
                  <c:v>95.41</c:v>
                </c:pt>
                <c:pt idx="42">
                  <c:v>95.49</c:v>
                </c:pt>
                <c:pt idx="43">
                  <c:v>93.19</c:v>
                </c:pt>
                <c:pt idx="44">
                  <c:v>92.2</c:v>
                </c:pt>
                <c:pt idx="45">
                  <c:v>93.4</c:v>
                </c:pt>
                <c:pt idx="46">
                  <c:v>92.64</c:v>
                </c:pt>
                <c:pt idx="47">
                  <c:v>90.24</c:v>
                </c:pt>
                <c:pt idx="48">
                  <c:v>89.25</c:v>
                </c:pt>
                <c:pt idx="49">
                  <c:v>88.49</c:v>
                </c:pt>
                <c:pt idx="50">
                  <c:v>88.71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Dashboard_Visual!$V$4:$V$248</c15:f>
                <c15:dlblRangeCache>
                  <c:ptCount val="245"/>
                  <c:pt idx="0">
                    <c:v>1,78%</c:v>
                  </c:pt>
                  <c:pt idx="1">
                    <c:v>0,76%</c:v>
                  </c:pt>
                  <c:pt idx="2">
                    <c:v>2,28%</c:v>
                  </c:pt>
                  <c:pt idx="3">
                    <c:v>3,83%</c:v>
                  </c:pt>
                  <c:pt idx="4">
                    <c:v>1,48%</c:v>
                  </c:pt>
                  <c:pt idx="5">
                    <c:v>0,79%</c:v>
                  </c:pt>
                  <c:pt idx="6">
                    <c:v>0,01%</c:v>
                  </c:pt>
                  <c:pt idx="7">
                    <c:v>0,37%</c:v>
                  </c:pt>
                  <c:pt idx="8">
                    <c:v>0,49%</c:v>
                  </c:pt>
                  <c:pt idx="9">
                    <c:v>1,38%</c:v>
                  </c:pt>
                  <c:pt idx="10">
                    <c:v>1,47%</c:v>
                  </c:pt>
                  <c:pt idx="11">
                    <c:v>0,65%</c:v>
                  </c:pt>
                  <c:pt idx="12">
                    <c:v>0,34%</c:v>
                  </c:pt>
                  <c:pt idx="13">
                    <c:v>0,45%</c:v>
                  </c:pt>
                  <c:pt idx="14">
                    <c:v>0,71%</c:v>
                  </c:pt>
                  <c:pt idx="15">
                    <c:v>0,42%</c:v>
                  </c:pt>
                  <c:pt idx="16">
                    <c:v>0,60%</c:v>
                  </c:pt>
                  <c:pt idx="17">
                    <c:v>0,49%</c:v>
                  </c:pt>
                  <c:pt idx="18">
                    <c:v>0,36%</c:v>
                  </c:pt>
                  <c:pt idx="19">
                    <c:v>0,42%</c:v>
                  </c:pt>
                  <c:pt idx="20">
                    <c:v>0,01%</c:v>
                  </c:pt>
                  <c:pt idx="21">
                    <c:v>6,81%</c:v>
                  </c:pt>
                  <c:pt idx="22">
                    <c:v>7,40%</c:v>
                  </c:pt>
                  <c:pt idx="23">
                    <c:v>0,45%</c:v>
                  </c:pt>
                  <c:pt idx="24">
                    <c:v>0,25%</c:v>
                  </c:pt>
                  <c:pt idx="25">
                    <c:v>0,44%</c:v>
                  </c:pt>
                  <c:pt idx="26">
                    <c:v>0,13%</c:v>
                  </c:pt>
                  <c:pt idx="27">
                    <c:v>7,91%</c:v>
                  </c:pt>
                  <c:pt idx="28">
                    <c:v>8,77%</c:v>
                  </c:pt>
                  <c:pt idx="29">
                    <c:v>0,81%</c:v>
                  </c:pt>
                  <c:pt idx="30">
                    <c:v>0,16%</c:v>
                  </c:pt>
                  <c:pt idx="31">
                    <c:v>1,21%</c:v>
                  </c:pt>
                  <c:pt idx="32">
                    <c:v>1,18%</c:v>
                  </c:pt>
                  <c:pt idx="33">
                    <c:v>0,84%</c:v>
                  </c:pt>
                  <c:pt idx="34">
                    <c:v>4,84%</c:v>
                  </c:pt>
                  <c:pt idx="35">
                    <c:v>8,74%</c:v>
                  </c:pt>
                  <c:pt idx="36">
                    <c:v>4,18%</c:v>
                  </c:pt>
                  <c:pt idx="37">
                    <c:v>4,39%</c:v>
                  </c:pt>
                  <c:pt idx="38">
                    <c:v>3,38%</c:v>
                  </c:pt>
                  <c:pt idx="39">
                    <c:v>4,37%</c:v>
                  </c:pt>
                  <c:pt idx="40">
                    <c:v>5,36%</c:v>
                  </c:pt>
                  <c:pt idx="41">
                    <c:v>0,43%</c:v>
                  </c:pt>
                  <c:pt idx="42">
                    <c:v>11,52%</c:v>
                  </c:pt>
                  <c:pt idx="43">
                    <c:v>4,93%</c:v>
                  </c:pt>
                  <c:pt idx="44">
                    <c:v>5,98%</c:v>
                  </c:pt>
                  <c:pt idx="45">
                    <c:v>3,80%</c:v>
                  </c:pt>
                  <c:pt idx="46">
                    <c:v>12,03%</c:v>
                  </c:pt>
                  <c:pt idx="47">
                    <c:v>4,94%</c:v>
                  </c:pt>
                  <c:pt idx="48">
                    <c:v>3,81%</c:v>
                  </c:pt>
                  <c:pt idx="49">
                    <c:v>1,14%</c:v>
                  </c:pt>
                  <c:pt idx="50">
                    <c:v>22,12%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68E3-4DDD-8DD4-E78038AF76A1}"/>
            </c:ext>
          </c:extLst>
        </c:ser>
        <c:ser>
          <c:idx val="1"/>
          <c:order val="1"/>
          <c:tx>
            <c:v>Warning Grade</c:v>
          </c:tx>
          <c:spPr>
            <a:ln>
              <a:noFill/>
            </a:ln>
          </c:spPr>
          <c:marker>
            <c:symbol val="diamond"/>
            <c:size val="8"/>
            <c:spPr>
              <a:solidFill>
                <a:srgbClr val="FFC000"/>
              </a:solidFill>
              <a:ln>
                <a:solidFill>
                  <a:srgbClr val="B25900"/>
                </a:solidFill>
              </a:ln>
            </c:spPr>
          </c:marker>
          <c:dLbls>
            <c:delete val="1"/>
          </c:dLbls>
          <c:cat>
            <c:strRef>
              <c:f>Chart_Data!Dyn_STA</c:f>
              <c:strCache>
                <c:ptCount val="51"/>
                <c:pt idx="0">
                  <c:v>0+000</c:v>
                </c:pt>
                <c:pt idx="1">
                  <c:v>0+020</c:v>
                </c:pt>
                <c:pt idx="2">
                  <c:v>0+040</c:v>
                </c:pt>
                <c:pt idx="3">
                  <c:v>0+060</c:v>
                </c:pt>
                <c:pt idx="4">
                  <c:v>0+080</c:v>
                </c:pt>
                <c:pt idx="5">
                  <c:v>0+100</c:v>
                </c:pt>
                <c:pt idx="6">
                  <c:v>0+120</c:v>
                </c:pt>
                <c:pt idx="7">
                  <c:v>0+140</c:v>
                </c:pt>
                <c:pt idx="8">
                  <c:v>0+160</c:v>
                </c:pt>
                <c:pt idx="9">
                  <c:v>0+180</c:v>
                </c:pt>
                <c:pt idx="10">
                  <c:v>0+200</c:v>
                </c:pt>
                <c:pt idx="11">
                  <c:v>0+220</c:v>
                </c:pt>
                <c:pt idx="12">
                  <c:v>0+240</c:v>
                </c:pt>
                <c:pt idx="13">
                  <c:v>0+260</c:v>
                </c:pt>
                <c:pt idx="14">
                  <c:v>0+280</c:v>
                </c:pt>
                <c:pt idx="15">
                  <c:v>0+300</c:v>
                </c:pt>
                <c:pt idx="16">
                  <c:v>0+320</c:v>
                </c:pt>
                <c:pt idx="17">
                  <c:v>0+340</c:v>
                </c:pt>
                <c:pt idx="18">
                  <c:v>0+360</c:v>
                </c:pt>
                <c:pt idx="19">
                  <c:v>0+380</c:v>
                </c:pt>
                <c:pt idx="20">
                  <c:v>0+400</c:v>
                </c:pt>
                <c:pt idx="21">
                  <c:v>0+420</c:v>
                </c:pt>
                <c:pt idx="22">
                  <c:v>0+440</c:v>
                </c:pt>
                <c:pt idx="23">
                  <c:v>0+460</c:v>
                </c:pt>
                <c:pt idx="24">
                  <c:v>0+480</c:v>
                </c:pt>
                <c:pt idx="25">
                  <c:v>0+500</c:v>
                </c:pt>
                <c:pt idx="26">
                  <c:v>0+520</c:v>
                </c:pt>
                <c:pt idx="27">
                  <c:v>0+540</c:v>
                </c:pt>
                <c:pt idx="28">
                  <c:v>0+560</c:v>
                </c:pt>
                <c:pt idx="29">
                  <c:v>0+580</c:v>
                </c:pt>
                <c:pt idx="30">
                  <c:v>0+600</c:v>
                </c:pt>
                <c:pt idx="31">
                  <c:v>0+620</c:v>
                </c:pt>
                <c:pt idx="32">
                  <c:v>0+640</c:v>
                </c:pt>
                <c:pt idx="33">
                  <c:v>0+660</c:v>
                </c:pt>
                <c:pt idx="34">
                  <c:v>0+680</c:v>
                </c:pt>
                <c:pt idx="35">
                  <c:v>0+700</c:v>
                </c:pt>
                <c:pt idx="36">
                  <c:v>0+720</c:v>
                </c:pt>
                <c:pt idx="37">
                  <c:v>0+740</c:v>
                </c:pt>
                <c:pt idx="38">
                  <c:v>0+760</c:v>
                </c:pt>
                <c:pt idx="39">
                  <c:v>0+780</c:v>
                </c:pt>
                <c:pt idx="40">
                  <c:v>0+800</c:v>
                </c:pt>
                <c:pt idx="41">
                  <c:v>0+820</c:v>
                </c:pt>
                <c:pt idx="42">
                  <c:v>0+840</c:v>
                </c:pt>
                <c:pt idx="43">
                  <c:v>0+860</c:v>
                </c:pt>
                <c:pt idx="44">
                  <c:v>0+880</c:v>
                </c:pt>
                <c:pt idx="45">
                  <c:v>0+900</c:v>
                </c:pt>
                <c:pt idx="46">
                  <c:v>0+920</c:v>
                </c:pt>
                <c:pt idx="47">
                  <c:v>0+940</c:v>
                </c:pt>
                <c:pt idx="48">
                  <c:v>0+960</c:v>
                </c:pt>
                <c:pt idx="49">
                  <c:v>0+980</c:v>
                </c:pt>
                <c:pt idx="50">
                  <c:v>1+000</c:v>
                </c:pt>
              </c:strCache>
            </c:strRef>
          </c:cat>
          <c:val>
            <c:numRef>
              <c:f>Chart_Data!Dyn_Warn</c:f>
              <c:numCache>
                <c:formatCode>General</c:formatCode>
                <c:ptCount val="5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100.64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99.74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7-68E3-4DDD-8DD4-E78038AF76A1}"/>
            </c:ext>
          </c:extLst>
        </c:ser>
        <c:ser>
          <c:idx val="2"/>
          <c:order val="2"/>
          <c:tx>
            <c:v>Overgrade</c:v>
          </c:tx>
          <c:spPr>
            <a:ln>
              <a:noFill/>
            </a:ln>
          </c:spPr>
          <c:marker>
            <c:symbol val="diamond"/>
            <c:size val="9"/>
            <c:spPr>
              <a:solidFill>
                <a:srgbClr val="FF0000"/>
              </a:solidFill>
              <a:ln>
                <a:solidFill>
                  <a:srgbClr val="800000"/>
                </a:solidFill>
              </a:ln>
            </c:spPr>
          </c:marker>
          <c:dLbls>
            <c:delete val="1"/>
          </c:dLbls>
          <c:cat>
            <c:strRef>
              <c:f>Chart_Data!Dyn_STA</c:f>
              <c:strCache>
                <c:ptCount val="51"/>
                <c:pt idx="0">
                  <c:v>0+000</c:v>
                </c:pt>
                <c:pt idx="1">
                  <c:v>0+020</c:v>
                </c:pt>
                <c:pt idx="2">
                  <c:v>0+040</c:v>
                </c:pt>
                <c:pt idx="3">
                  <c:v>0+060</c:v>
                </c:pt>
                <c:pt idx="4">
                  <c:v>0+080</c:v>
                </c:pt>
                <c:pt idx="5">
                  <c:v>0+100</c:v>
                </c:pt>
                <c:pt idx="6">
                  <c:v>0+120</c:v>
                </c:pt>
                <c:pt idx="7">
                  <c:v>0+140</c:v>
                </c:pt>
                <c:pt idx="8">
                  <c:v>0+160</c:v>
                </c:pt>
                <c:pt idx="9">
                  <c:v>0+180</c:v>
                </c:pt>
                <c:pt idx="10">
                  <c:v>0+200</c:v>
                </c:pt>
                <c:pt idx="11">
                  <c:v>0+220</c:v>
                </c:pt>
                <c:pt idx="12">
                  <c:v>0+240</c:v>
                </c:pt>
                <c:pt idx="13">
                  <c:v>0+260</c:v>
                </c:pt>
                <c:pt idx="14">
                  <c:v>0+280</c:v>
                </c:pt>
                <c:pt idx="15">
                  <c:v>0+300</c:v>
                </c:pt>
                <c:pt idx="16">
                  <c:v>0+320</c:v>
                </c:pt>
                <c:pt idx="17">
                  <c:v>0+340</c:v>
                </c:pt>
                <c:pt idx="18">
                  <c:v>0+360</c:v>
                </c:pt>
                <c:pt idx="19">
                  <c:v>0+380</c:v>
                </c:pt>
                <c:pt idx="20">
                  <c:v>0+400</c:v>
                </c:pt>
                <c:pt idx="21">
                  <c:v>0+420</c:v>
                </c:pt>
                <c:pt idx="22">
                  <c:v>0+440</c:v>
                </c:pt>
                <c:pt idx="23">
                  <c:v>0+460</c:v>
                </c:pt>
                <c:pt idx="24">
                  <c:v>0+480</c:v>
                </c:pt>
                <c:pt idx="25">
                  <c:v>0+500</c:v>
                </c:pt>
                <c:pt idx="26">
                  <c:v>0+520</c:v>
                </c:pt>
                <c:pt idx="27">
                  <c:v>0+540</c:v>
                </c:pt>
                <c:pt idx="28">
                  <c:v>0+560</c:v>
                </c:pt>
                <c:pt idx="29">
                  <c:v>0+580</c:v>
                </c:pt>
                <c:pt idx="30">
                  <c:v>0+600</c:v>
                </c:pt>
                <c:pt idx="31">
                  <c:v>0+620</c:v>
                </c:pt>
                <c:pt idx="32">
                  <c:v>0+640</c:v>
                </c:pt>
                <c:pt idx="33">
                  <c:v>0+660</c:v>
                </c:pt>
                <c:pt idx="34">
                  <c:v>0+680</c:v>
                </c:pt>
                <c:pt idx="35">
                  <c:v>0+700</c:v>
                </c:pt>
                <c:pt idx="36">
                  <c:v>0+720</c:v>
                </c:pt>
                <c:pt idx="37">
                  <c:v>0+740</c:v>
                </c:pt>
                <c:pt idx="38">
                  <c:v>0+760</c:v>
                </c:pt>
                <c:pt idx="39">
                  <c:v>0+780</c:v>
                </c:pt>
                <c:pt idx="40">
                  <c:v>0+800</c:v>
                </c:pt>
                <c:pt idx="41">
                  <c:v>0+820</c:v>
                </c:pt>
                <c:pt idx="42">
                  <c:v>0+840</c:v>
                </c:pt>
                <c:pt idx="43">
                  <c:v>0+860</c:v>
                </c:pt>
                <c:pt idx="44">
                  <c:v>0+880</c:v>
                </c:pt>
                <c:pt idx="45">
                  <c:v>0+900</c:v>
                </c:pt>
                <c:pt idx="46">
                  <c:v>0+920</c:v>
                </c:pt>
                <c:pt idx="47">
                  <c:v>0+940</c:v>
                </c:pt>
                <c:pt idx="48">
                  <c:v>0+960</c:v>
                </c:pt>
                <c:pt idx="49">
                  <c:v>0+980</c:v>
                </c:pt>
                <c:pt idx="50">
                  <c:v>1+000</c:v>
                </c:pt>
              </c:strCache>
            </c:strRef>
          </c:cat>
          <c:val>
            <c:numRef>
              <c:f>Chart_Data!Dyn_Over</c:f>
              <c:numCache>
                <c:formatCode>General</c:formatCode>
                <c:ptCount val="5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93.19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90.24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EE-68E3-4DDD-8DD4-E78038AF76A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50020001"/>
        <c:axId val="50020002"/>
      </c:lineChart>
      <c:catAx>
        <c:axId val="5002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SEGMEN JALAN (STA)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low"/>
        <c:crossAx val="50020002"/>
        <c:crosses val="min"/>
        <c:auto val="1"/>
        <c:lblAlgn val="ctr"/>
        <c:lblOffset val="100"/>
        <c:noMultiLvlLbl val="0"/>
      </c:catAx>
      <c:valAx>
        <c:axId val="5002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ELEVASI (m dpl)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20001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Fluktuasi Grade Longitudinal (%) per STA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Grade Longitudinal (%)</c:v>
          </c:tx>
          <c:spPr>
            <a:solidFill>
              <a:srgbClr val="41719C"/>
            </a:solidFill>
          </c:spPr>
          <c:invertIfNegative val="0"/>
          <c:cat>
            <c:strRef>
              <c:f>Chart_Data!Dyn_STA</c:f>
              <c:strCache>
                <c:ptCount val="51"/>
                <c:pt idx="0">
                  <c:v>0+000</c:v>
                </c:pt>
                <c:pt idx="1">
                  <c:v>0+020</c:v>
                </c:pt>
                <c:pt idx="2">
                  <c:v>0+040</c:v>
                </c:pt>
                <c:pt idx="3">
                  <c:v>0+060</c:v>
                </c:pt>
                <c:pt idx="4">
                  <c:v>0+080</c:v>
                </c:pt>
                <c:pt idx="5">
                  <c:v>0+100</c:v>
                </c:pt>
                <c:pt idx="6">
                  <c:v>0+120</c:v>
                </c:pt>
                <c:pt idx="7">
                  <c:v>0+140</c:v>
                </c:pt>
                <c:pt idx="8">
                  <c:v>0+160</c:v>
                </c:pt>
                <c:pt idx="9">
                  <c:v>0+180</c:v>
                </c:pt>
                <c:pt idx="10">
                  <c:v>0+200</c:v>
                </c:pt>
                <c:pt idx="11">
                  <c:v>0+220</c:v>
                </c:pt>
                <c:pt idx="12">
                  <c:v>0+240</c:v>
                </c:pt>
                <c:pt idx="13">
                  <c:v>0+260</c:v>
                </c:pt>
                <c:pt idx="14">
                  <c:v>0+280</c:v>
                </c:pt>
                <c:pt idx="15">
                  <c:v>0+300</c:v>
                </c:pt>
                <c:pt idx="16">
                  <c:v>0+320</c:v>
                </c:pt>
                <c:pt idx="17">
                  <c:v>0+340</c:v>
                </c:pt>
                <c:pt idx="18">
                  <c:v>0+360</c:v>
                </c:pt>
                <c:pt idx="19">
                  <c:v>0+380</c:v>
                </c:pt>
                <c:pt idx="20">
                  <c:v>0+400</c:v>
                </c:pt>
                <c:pt idx="21">
                  <c:v>0+420</c:v>
                </c:pt>
                <c:pt idx="22">
                  <c:v>0+440</c:v>
                </c:pt>
                <c:pt idx="23">
                  <c:v>0+460</c:v>
                </c:pt>
                <c:pt idx="24">
                  <c:v>0+480</c:v>
                </c:pt>
                <c:pt idx="25">
                  <c:v>0+500</c:v>
                </c:pt>
                <c:pt idx="26">
                  <c:v>0+520</c:v>
                </c:pt>
                <c:pt idx="27">
                  <c:v>0+540</c:v>
                </c:pt>
                <c:pt idx="28">
                  <c:v>0+560</c:v>
                </c:pt>
                <c:pt idx="29">
                  <c:v>0+580</c:v>
                </c:pt>
                <c:pt idx="30">
                  <c:v>0+600</c:v>
                </c:pt>
                <c:pt idx="31">
                  <c:v>0+620</c:v>
                </c:pt>
                <c:pt idx="32">
                  <c:v>0+640</c:v>
                </c:pt>
                <c:pt idx="33">
                  <c:v>0+660</c:v>
                </c:pt>
                <c:pt idx="34">
                  <c:v>0+680</c:v>
                </c:pt>
                <c:pt idx="35">
                  <c:v>0+700</c:v>
                </c:pt>
                <c:pt idx="36">
                  <c:v>0+720</c:v>
                </c:pt>
                <c:pt idx="37">
                  <c:v>0+740</c:v>
                </c:pt>
                <c:pt idx="38">
                  <c:v>0+760</c:v>
                </c:pt>
                <c:pt idx="39">
                  <c:v>0+780</c:v>
                </c:pt>
                <c:pt idx="40">
                  <c:v>0+800</c:v>
                </c:pt>
                <c:pt idx="41">
                  <c:v>0+820</c:v>
                </c:pt>
                <c:pt idx="42">
                  <c:v>0+840</c:v>
                </c:pt>
                <c:pt idx="43">
                  <c:v>0+860</c:v>
                </c:pt>
                <c:pt idx="44">
                  <c:v>0+880</c:v>
                </c:pt>
                <c:pt idx="45">
                  <c:v>0+900</c:v>
                </c:pt>
                <c:pt idx="46">
                  <c:v>0+920</c:v>
                </c:pt>
                <c:pt idx="47">
                  <c:v>0+940</c:v>
                </c:pt>
                <c:pt idx="48">
                  <c:v>0+960</c:v>
                </c:pt>
                <c:pt idx="49">
                  <c:v>0+980</c:v>
                </c:pt>
                <c:pt idx="50">
                  <c:v>1+000</c:v>
                </c:pt>
              </c:strCache>
            </c:strRef>
          </c:cat>
          <c:val>
            <c:numRef>
              <c:f>Chart_Data!Dyn_Grade</c:f>
              <c:numCache>
                <c:formatCode>General</c:formatCode>
                <c:ptCount val="51"/>
                <c:pt idx="0">
                  <c:v>0</c:v>
                </c:pt>
                <c:pt idx="1">
                  <c:v>-1.78</c:v>
                </c:pt>
                <c:pt idx="2">
                  <c:v>-0.76</c:v>
                </c:pt>
                <c:pt idx="3">
                  <c:v>2.2799999999999998</c:v>
                </c:pt>
                <c:pt idx="4">
                  <c:v>-3.83</c:v>
                </c:pt>
                <c:pt idx="5">
                  <c:v>-1.48</c:v>
                </c:pt>
                <c:pt idx="6">
                  <c:v>-0.79</c:v>
                </c:pt>
                <c:pt idx="7">
                  <c:v>0.01</c:v>
                </c:pt>
                <c:pt idx="8">
                  <c:v>0.37</c:v>
                </c:pt>
                <c:pt idx="9">
                  <c:v>0.49</c:v>
                </c:pt>
                <c:pt idx="10">
                  <c:v>1.38</c:v>
                </c:pt>
                <c:pt idx="11">
                  <c:v>1.47</c:v>
                </c:pt>
                <c:pt idx="12">
                  <c:v>0.65</c:v>
                </c:pt>
                <c:pt idx="13">
                  <c:v>0.34</c:v>
                </c:pt>
                <c:pt idx="14">
                  <c:v>0.45</c:v>
                </c:pt>
                <c:pt idx="15">
                  <c:v>0.71</c:v>
                </c:pt>
                <c:pt idx="16">
                  <c:v>0.42</c:v>
                </c:pt>
                <c:pt idx="17">
                  <c:v>0.6</c:v>
                </c:pt>
                <c:pt idx="18">
                  <c:v>0.49</c:v>
                </c:pt>
                <c:pt idx="19">
                  <c:v>-0.36</c:v>
                </c:pt>
                <c:pt idx="20">
                  <c:v>-0.42</c:v>
                </c:pt>
                <c:pt idx="21">
                  <c:v>-0.01</c:v>
                </c:pt>
                <c:pt idx="22">
                  <c:v>6.81</c:v>
                </c:pt>
                <c:pt idx="23">
                  <c:v>-7.4</c:v>
                </c:pt>
                <c:pt idx="24">
                  <c:v>-0.45</c:v>
                </c:pt>
                <c:pt idx="25">
                  <c:v>0.25</c:v>
                </c:pt>
                <c:pt idx="26">
                  <c:v>-0.44</c:v>
                </c:pt>
                <c:pt idx="27">
                  <c:v>-0.13</c:v>
                </c:pt>
                <c:pt idx="28">
                  <c:v>7.91</c:v>
                </c:pt>
                <c:pt idx="29">
                  <c:v>-8.77</c:v>
                </c:pt>
                <c:pt idx="30">
                  <c:v>0.81</c:v>
                </c:pt>
                <c:pt idx="31">
                  <c:v>0.16</c:v>
                </c:pt>
                <c:pt idx="32">
                  <c:v>-1.21</c:v>
                </c:pt>
                <c:pt idx="33">
                  <c:v>-1.18</c:v>
                </c:pt>
                <c:pt idx="34">
                  <c:v>0.84</c:v>
                </c:pt>
                <c:pt idx="35">
                  <c:v>4.84</c:v>
                </c:pt>
                <c:pt idx="36">
                  <c:v>-8.74</c:v>
                </c:pt>
                <c:pt idx="37">
                  <c:v>-4.18</c:v>
                </c:pt>
                <c:pt idx="38">
                  <c:v>-4.3899999999999997</c:v>
                </c:pt>
                <c:pt idx="39">
                  <c:v>-3.38</c:v>
                </c:pt>
                <c:pt idx="40">
                  <c:v>-4.37</c:v>
                </c:pt>
                <c:pt idx="41">
                  <c:v>-5.36</c:v>
                </c:pt>
                <c:pt idx="42">
                  <c:v>0.43</c:v>
                </c:pt>
                <c:pt idx="43">
                  <c:v>-11.52</c:v>
                </c:pt>
                <c:pt idx="44">
                  <c:v>-4.93</c:v>
                </c:pt>
                <c:pt idx="45">
                  <c:v>5.98</c:v>
                </c:pt>
                <c:pt idx="46">
                  <c:v>-3.8</c:v>
                </c:pt>
                <c:pt idx="47">
                  <c:v>-12.03</c:v>
                </c:pt>
                <c:pt idx="48">
                  <c:v>-4.9400000000000004</c:v>
                </c:pt>
                <c:pt idx="49">
                  <c:v>-3.81</c:v>
                </c:pt>
                <c:pt idx="50">
                  <c:v>1.1399999999999999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36-4388-96EC-C6FE087CFA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30001"/>
        <c:axId val="50030002"/>
      </c:barChart>
      <c:catAx>
        <c:axId val="5003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Stasioning (STA)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low"/>
        <c:crossAx val="50030002"/>
        <c:crosses val="autoZero"/>
        <c:auto val="1"/>
        <c:lblAlgn val="ctr"/>
        <c:lblOffset val="100"/>
        <c:tickLblSkip val="2"/>
        <c:noMultiLvlLbl val="0"/>
      </c:catAx>
      <c:valAx>
        <c:axId val="5003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Grade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3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15</xdr:col>
      <xdr:colOff>438150</xdr:colOff>
      <xdr:row>19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23</xdr:row>
      <xdr:rowOff>0</xdr:rowOff>
    </xdr:from>
    <xdr:to>
      <xdr:col>20</xdr:col>
      <xdr:colOff>476250</xdr:colOff>
      <xdr:row>40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41</xdr:row>
      <xdr:rowOff>0</xdr:rowOff>
    </xdr:from>
    <xdr:to>
      <xdr:col>14</xdr:col>
      <xdr:colOff>0</xdr:colOff>
      <xdr:row>56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920"/>
  <sheetViews>
    <sheetView topLeftCell="B1" zoomScale="70" zoomScaleNormal="70" workbookViewId="0">
      <selection activeCell="K19" sqref="K19"/>
    </sheetView>
  </sheetViews>
  <sheetFormatPr defaultRowHeight="15" x14ac:dyDescent="0.25"/>
  <cols>
    <col min="1" max="12" width="16.7109375" customWidth="1"/>
    <col min="13" max="13" width="16.7109375" style="1" customWidth="1"/>
    <col min="14" max="19" width="16.7109375" customWidth="1"/>
  </cols>
  <sheetData>
    <row r="1" spans="1:1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x14ac:dyDescent="0.25">
      <c r="A2" t="s">
        <v>19</v>
      </c>
      <c r="B2" t="s">
        <v>56</v>
      </c>
      <c r="C2">
        <v>0</v>
      </c>
      <c r="D2" t="s">
        <v>340</v>
      </c>
      <c r="E2">
        <v>30.8</v>
      </c>
      <c r="F2">
        <v>16.010000000000002</v>
      </c>
      <c r="G2">
        <v>14.26</v>
      </c>
      <c r="H2">
        <v>30.27</v>
      </c>
      <c r="I2" t="s">
        <v>343</v>
      </c>
      <c r="J2">
        <v>101.04</v>
      </c>
      <c r="L2" t="s">
        <v>345</v>
      </c>
      <c r="N2" t="s">
        <v>345</v>
      </c>
      <c r="O2">
        <v>-1.49</v>
      </c>
      <c r="P2" t="s">
        <v>343</v>
      </c>
      <c r="Q2">
        <v>3.94</v>
      </c>
      <c r="R2" t="s">
        <v>344</v>
      </c>
      <c r="S2">
        <v>1</v>
      </c>
    </row>
    <row r="3" spans="1:19" x14ac:dyDescent="0.25">
      <c r="A3" t="s">
        <v>19</v>
      </c>
      <c r="B3" t="s">
        <v>57</v>
      </c>
      <c r="C3">
        <v>20</v>
      </c>
      <c r="D3" t="s">
        <v>340</v>
      </c>
      <c r="E3">
        <v>30.8</v>
      </c>
      <c r="F3">
        <v>18.11</v>
      </c>
      <c r="G3">
        <v>13.76</v>
      </c>
      <c r="H3">
        <v>31.87</v>
      </c>
      <c r="I3" t="s">
        <v>344</v>
      </c>
      <c r="J3">
        <v>100.68</v>
      </c>
      <c r="K3">
        <v>-1.78</v>
      </c>
      <c r="L3" t="s">
        <v>346</v>
      </c>
      <c r="M3" s="1">
        <v>1.78E-2</v>
      </c>
      <c r="N3" t="s">
        <v>349</v>
      </c>
      <c r="O3">
        <v>-4.21</v>
      </c>
      <c r="P3" t="s">
        <v>343</v>
      </c>
      <c r="Q3">
        <v>4.28</v>
      </c>
      <c r="R3" t="s">
        <v>343</v>
      </c>
      <c r="S3">
        <v>1</v>
      </c>
    </row>
    <row r="4" spans="1:19" x14ac:dyDescent="0.25">
      <c r="A4" t="s">
        <v>19</v>
      </c>
      <c r="B4" t="s">
        <v>58</v>
      </c>
      <c r="C4">
        <v>40</v>
      </c>
      <c r="D4" t="s">
        <v>340</v>
      </c>
      <c r="E4">
        <v>30.8</v>
      </c>
      <c r="F4">
        <v>16.22</v>
      </c>
      <c r="G4">
        <v>15.83</v>
      </c>
      <c r="H4">
        <v>32.049999999999997</v>
      </c>
      <c r="I4" t="s">
        <v>344</v>
      </c>
      <c r="J4">
        <v>100.53</v>
      </c>
      <c r="K4">
        <v>-0.76</v>
      </c>
      <c r="L4" t="s">
        <v>346</v>
      </c>
      <c r="M4" s="1">
        <v>7.6E-3</v>
      </c>
      <c r="N4" t="s">
        <v>349</v>
      </c>
      <c r="O4">
        <v>-1.82</v>
      </c>
      <c r="P4" t="s">
        <v>343</v>
      </c>
      <c r="Q4">
        <v>3.59</v>
      </c>
      <c r="R4" t="s">
        <v>344</v>
      </c>
      <c r="S4">
        <v>1</v>
      </c>
    </row>
    <row r="5" spans="1:19" x14ac:dyDescent="0.25">
      <c r="A5" t="s">
        <v>19</v>
      </c>
      <c r="B5" t="s">
        <v>59</v>
      </c>
      <c r="C5">
        <v>60</v>
      </c>
      <c r="D5" t="s">
        <v>340</v>
      </c>
      <c r="E5">
        <v>30.8</v>
      </c>
      <c r="F5">
        <v>16.22</v>
      </c>
      <c r="G5">
        <v>20</v>
      </c>
      <c r="H5">
        <v>36.22</v>
      </c>
      <c r="I5" t="s">
        <v>344</v>
      </c>
      <c r="J5">
        <v>100.99</v>
      </c>
      <c r="K5">
        <v>2.2799999999999998</v>
      </c>
      <c r="L5" t="s">
        <v>346</v>
      </c>
      <c r="M5" s="1">
        <v>2.2800000000000001E-2</v>
      </c>
      <c r="N5" t="s">
        <v>350</v>
      </c>
      <c r="O5">
        <v>2.58</v>
      </c>
      <c r="P5" t="s">
        <v>344</v>
      </c>
      <c r="Q5">
        <v>4.1900000000000004</v>
      </c>
      <c r="R5" t="s">
        <v>343</v>
      </c>
      <c r="S5">
        <v>1</v>
      </c>
    </row>
    <row r="6" spans="1:19" x14ac:dyDescent="0.25">
      <c r="A6" t="s">
        <v>19</v>
      </c>
      <c r="B6" t="s">
        <v>60</v>
      </c>
      <c r="C6">
        <v>80</v>
      </c>
      <c r="D6" t="s">
        <v>340</v>
      </c>
      <c r="E6">
        <v>30.8</v>
      </c>
      <c r="F6">
        <v>15.12</v>
      </c>
      <c r="G6">
        <v>20</v>
      </c>
      <c r="H6">
        <v>35.119999999999997</v>
      </c>
      <c r="I6" t="s">
        <v>344</v>
      </c>
      <c r="J6">
        <v>100.22</v>
      </c>
      <c r="K6">
        <v>-3.83</v>
      </c>
      <c r="L6" t="s">
        <v>346</v>
      </c>
      <c r="M6" s="1">
        <v>3.8300000000000001E-2</v>
      </c>
      <c r="N6" t="s">
        <v>350</v>
      </c>
      <c r="O6">
        <v>-2.78</v>
      </c>
      <c r="P6" t="s">
        <v>344</v>
      </c>
      <c r="Q6">
        <v>5.73</v>
      </c>
      <c r="R6" t="s">
        <v>343</v>
      </c>
      <c r="S6">
        <v>1</v>
      </c>
    </row>
    <row r="7" spans="1:19" x14ac:dyDescent="0.25">
      <c r="A7" t="s">
        <v>19</v>
      </c>
      <c r="B7" t="s">
        <v>61</v>
      </c>
      <c r="C7">
        <v>100</v>
      </c>
      <c r="D7" t="s">
        <v>340</v>
      </c>
      <c r="E7">
        <v>30.8</v>
      </c>
      <c r="F7">
        <v>15.63</v>
      </c>
      <c r="G7">
        <v>20</v>
      </c>
      <c r="H7">
        <v>35.630000000000003</v>
      </c>
      <c r="I7" t="s">
        <v>344</v>
      </c>
      <c r="J7">
        <v>99.92</v>
      </c>
      <c r="K7">
        <v>-1.48</v>
      </c>
      <c r="L7" t="s">
        <v>346</v>
      </c>
      <c r="M7" s="1">
        <v>1.4800000000000001E-2</v>
      </c>
      <c r="N7" t="s">
        <v>349</v>
      </c>
      <c r="O7">
        <v>-4.3600000000000003</v>
      </c>
      <c r="P7" t="s">
        <v>343</v>
      </c>
      <c r="Q7">
        <v>5.98</v>
      </c>
      <c r="R7" t="s">
        <v>343</v>
      </c>
      <c r="S7">
        <v>1</v>
      </c>
    </row>
    <row r="8" spans="1:19" x14ac:dyDescent="0.25">
      <c r="A8" t="s">
        <v>19</v>
      </c>
      <c r="B8" t="s">
        <v>62</v>
      </c>
      <c r="C8">
        <v>120</v>
      </c>
      <c r="D8" t="s">
        <v>340</v>
      </c>
      <c r="E8">
        <v>30.8</v>
      </c>
      <c r="F8">
        <v>16.82</v>
      </c>
      <c r="G8">
        <v>20</v>
      </c>
      <c r="H8">
        <v>36.82</v>
      </c>
      <c r="I8" t="s">
        <v>344</v>
      </c>
      <c r="J8">
        <v>99.76</v>
      </c>
      <c r="K8">
        <v>-0.79</v>
      </c>
      <c r="L8" t="s">
        <v>346</v>
      </c>
      <c r="M8" s="1">
        <v>7.9000000000000008E-3</v>
      </c>
      <c r="N8" t="s">
        <v>349</v>
      </c>
      <c r="O8">
        <v>-3.53</v>
      </c>
      <c r="P8" t="s">
        <v>344</v>
      </c>
      <c r="Q8">
        <v>2.42</v>
      </c>
      <c r="R8" t="s">
        <v>344</v>
      </c>
      <c r="S8">
        <v>1</v>
      </c>
    </row>
    <row r="9" spans="1:19" x14ac:dyDescent="0.25">
      <c r="A9" t="s">
        <v>19</v>
      </c>
      <c r="B9" t="s">
        <v>63</v>
      </c>
      <c r="C9">
        <v>140</v>
      </c>
      <c r="D9" t="s">
        <v>340</v>
      </c>
      <c r="E9">
        <v>30.8</v>
      </c>
      <c r="F9">
        <v>17.53</v>
      </c>
      <c r="G9">
        <v>17.899999999999999</v>
      </c>
      <c r="H9">
        <v>35.44</v>
      </c>
      <c r="I9" t="s">
        <v>344</v>
      </c>
      <c r="J9">
        <v>99.77</v>
      </c>
      <c r="K9">
        <v>0.01</v>
      </c>
      <c r="L9" t="s">
        <v>346</v>
      </c>
      <c r="M9" s="1">
        <v>1E-4</v>
      </c>
      <c r="N9" t="s">
        <v>349</v>
      </c>
      <c r="O9">
        <v>-4.0199999999999996</v>
      </c>
      <c r="P9" t="s">
        <v>343</v>
      </c>
      <c r="Q9">
        <v>3.49</v>
      </c>
      <c r="R9" t="s">
        <v>344</v>
      </c>
      <c r="S9">
        <v>1</v>
      </c>
    </row>
    <row r="10" spans="1:19" x14ac:dyDescent="0.25">
      <c r="A10" t="s">
        <v>19</v>
      </c>
      <c r="B10" t="s">
        <v>64</v>
      </c>
      <c r="C10">
        <v>160</v>
      </c>
      <c r="D10" t="s">
        <v>340</v>
      </c>
      <c r="E10">
        <v>30.8</v>
      </c>
      <c r="F10">
        <v>17.09</v>
      </c>
      <c r="G10">
        <v>16.440000000000001</v>
      </c>
      <c r="H10">
        <v>33.54</v>
      </c>
      <c r="I10" t="s">
        <v>344</v>
      </c>
      <c r="J10">
        <v>99.84</v>
      </c>
      <c r="K10">
        <v>0.37</v>
      </c>
      <c r="L10" t="s">
        <v>346</v>
      </c>
      <c r="M10" s="1">
        <v>3.7000000000000002E-3</v>
      </c>
      <c r="N10" t="s">
        <v>349</v>
      </c>
      <c r="O10">
        <v>-2.71</v>
      </c>
      <c r="P10" t="s">
        <v>344</v>
      </c>
      <c r="Q10">
        <v>2.78</v>
      </c>
      <c r="R10" t="s">
        <v>344</v>
      </c>
      <c r="S10">
        <v>1</v>
      </c>
    </row>
    <row r="11" spans="1:19" x14ac:dyDescent="0.25">
      <c r="A11" t="s">
        <v>19</v>
      </c>
      <c r="B11" t="s">
        <v>65</v>
      </c>
      <c r="C11">
        <v>180</v>
      </c>
      <c r="D11" t="s">
        <v>340</v>
      </c>
      <c r="E11">
        <v>30.8</v>
      </c>
      <c r="F11">
        <v>17.04</v>
      </c>
      <c r="G11">
        <v>15.47</v>
      </c>
      <c r="H11">
        <v>32.51</v>
      </c>
      <c r="I11" t="s">
        <v>344</v>
      </c>
      <c r="J11">
        <v>99.94</v>
      </c>
      <c r="K11">
        <v>0.49</v>
      </c>
      <c r="L11" t="s">
        <v>346</v>
      </c>
      <c r="M11" s="1">
        <v>4.8999999999999998E-3</v>
      </c>
      <c r="N11" t="s">
        <v>349</v>
      </c>
      <c r="O11">
        <v>-1.36</v>
      </c>
      <c r="P11" t="s">
        <v>343</v>
      </c>
      <c r="Q11">
        <v>2.74</v>
      </c>
      <c r="R11" t="s">
        <v>344</v>
      </c>
      <c r="S11">
        <v>1</v>
      </c>
    </row>
    <row r="12" spans="1:19" x14ac:dyDescent="0.25">
      <c r="A12" t="s">
        <v>19</v>
      </c>
      <c r="B12" t="s">
        <v>66</v>
      </c>
      <c r="C12">
        <v>200</v>
      </c>
      <c r="D12" t="s">
        <v>340</v>
      </c>
      <c r="E12">
        <v>30.8</v>
      </c>
      <c r="F12">
        <v>17</v>
      </c>
      <c r="G12">
        <v>15.51</v>
      </c>
      <c r="H12">
        <v>32.51</v>
      </c>
      <c r="I12" t="s">
        <v>344</v>
      </c>
      <c r="J12">
        <v>100.21</v>
      </c>
      <c r="K12">
        <v>1.38</v>
      </c>
      <c r="L12" t="s">
        <v>346</v>
      </c>
      <c r="M12" s="1">
        <v>1.38E-2</v>
      </c>
      <c r="N12" t="s">
        <v>349</v>
      </c>
      <c r="O12">
        <v>0.01</v>
      </c>
      <c r="P12" t="s">
        <v>343</v>
      </c>
      <c r="Q12">
        <v>3.39</v>
      </c>
      <c r="R12" t="s">
        <v>344</v>
      </c>
      <c r="S12">
        <v>1</v>
      </c>
    </row>
    <row r="13" spans="1:19" x14ac:dyDescent="0.25">
      <c r="A13" t="s">
        <v>19</v>
      </c>
      <c r="B13" t="s">
        <v>67</v>
      </c>
      <c r="C13">
        <v>220</v>
      </c>
      <c r="D13" t="s">
        <v>340</v>
      </c>
      <c r="E13">
        <v>30.8</v>
      </c>
      <c r="F13">
        <v>17.329999999999998</v>
      </c>
      <c r="G13">
        <v>16.97</v>
      </c>
      <c r="H13">
        <v>34.299999999999997</v>
      </c>
      <c r="I13" t="s">
        <v>344</v>
      </c>
      <c r="J13">
        <v>100.51</v>
      </c>
      <c r="K13">
        <v>1.47</v>
      </c>
      <c r="L13" t="s">
        <v>346</v>
      </c>
      <c r="M13" s="1">
        <v>1.47E-2</v>
      </c>
      <c r="N13" t="s">
        <v>349</v>
      </c>
      <c r="O13">
        <v>0.14000000000000001</v>
      </c>
      <c r="P13" t="s">
        <v>343</v>
      </c>
      <c r="Q13">
        <v>4.67</v>
      </c>
      <c r="R13" t="s">
        <v>343</v>
      </c>
      <c r="S13">
        <v>1</v>
      </c>
    </row>
    <row r="14" spans="1:19" x14ac:dyDescent="0.25">
      <c r="A14" t="s">
        <v>19</v>
      </c>
      <c r="B14" t="s">
        <v>68</v>
      </c>
      <c r="C14">
        <v>240</v>
      </c>
      <c r="D14" t="s">
        <v>340</v>
      </c>
      <c r="E14">
        <v>30.8</v>
      </c>
      <c r="F14">
        <v>17.14</v>
      </c>
      <c r="G14">
        <v>16.97</v>
      </c>
      <c r="H14">
        <v>34.119999999999997</v>
      </c>
      <c r="I14" t="s">
        <v>344</v>
      </c>
      <c r="J14">
        <v>100.64</v>
      </c>
      <c r="K14">
        <v>0.65</v>
      </c>
      <c r="L14" t="s">
        <v>346</v>
      </c>
      <c r="M14" s="1">
        <v>6.5000000000000006E-3</v>
      </c>
      <c r="N14" t="s">
        <v>349</v>
      </c>
      <c r="O14">
        <v>-1.17</v>
      </c>
      <c r="P14" t="s">
        <v>343</v>
      </c>
      <c r="Q14">
        <v>4.21</v>
      </c>
      <c r="R14" t="s">
        <v>343</v>
      </c>
      <c r="S14">
        <v>1</v>
      </c>
    </row>
    <row r="15" spans="1:19" x14ac:dyDescent="0.25">
      <c r="A15" t="s">
        <v>19</v>
      </c>
      <c r="B15" t="s">
        <v>69</v>
      </c>
      <c r="C15">
        <v>260</v>
      </c>
      <c r="D15" t="s">
        <v>340</v>
      </c>
      <c r="E15">
        <v>30.8</v>
      </c>
      <c r="F15">
        <v>16.14</v>
      </c>
      <c r="G15">
        <v>20</v>
      </c>
      <c r="H15">
        <v>36.14</v>
      </c>
      <c r="I15" t="s">
        <v>344</v>
      </c>
      <c r="J15">
        <v>100.7</v>
      </c>
      <c r="K15">
        <v>0.34</v>
      </c>
      <c r="L15" t="s">
        <v>346</v>
      </c>
      <c r="M15" s="1">
        <v>3.3999999999999998E-3</v>
      </c>
      <c r="N15" t="s">
        <v>349</v>
      </c>
      <c r="O15">
        <v>-1.08</v>
      </c>
      <c r="P15" t="s">
        <v>343</v>
      </c>
      <c r="Q15">
        <v>3.65</v>
      </c>
      <c r="R15" t="s">
        <v>344</v>
      </c>
      <c r="S15">
        <v>1</v>
      </c>
    </row>
    <row r="16" spans="1:19" x14ac:dyDescent="0.25">
      <c r="A16" t="s">
        <v>19</v>
      </c>
      <c r="B16" t="s">
        <v>70</v>
      </c>
      <c r="C16">
        <v>280</v>
      </c>
      <c r="D16" t="s">
        <v>340</v>
      </c>
      <c r="E16">
        <v>30.8</v>
      </c>
      <c r="F16">
        <v>15.13</v>
      </c>
      <c r="G16">
        <v>20</v>
      </c>
      <c r="H16">
        <v>35.130000000000003</v>
      </c>
      <c r="I16" t="s">
        <v>344</v>
      </c>
      <c r="J16">
        <v>100.79</v>
      </c>
      <c r="K16">
        <v>0.45</v>
      </c>
      <c r="L16" t="s">
        <v>346</v>
      </c>
      <c r="M16" s="1">
        <v>4.5000000000000014E-3</v>
      </c>
      <c r="N16" t="s">
        <v>349</v>
      </c>
      <c r="O16">
        <v>-3.53</v>
      </c>
      <c r="P16" t="s">
        <v>344</v>
      </c>
      <c r="Q16">
        <v>2.73</v>
      </c>
      <c r="R16" t="s">
        <v>344</v>
      </c>
      <c r="S16">
        <v>1</v>
      </c>
    </row>
    <row r="17" spans="1:19" x14ac:dyDescent="0.25">
      <c r="A17" t="s">
        <v>19</v>
      </c>
      <c r="B17" t="s">
        <v>71</v>
      </c>
      <c r="C17">
        <v>300</v>
      </c>
      <c r="D17" t="s">
        <v>340</v>
      </c>
      <c r="E17">
        <v>30.8</v>
      </c>
      <c r="F17">
        <v>14.9</v>
      </c>
      <c r="G17">
        <v>20</v>
      </c>
      <c r="H17">
        <v>34.9</v>
      </c>
      <c r="I17" t="s">
        <v>344</v>
      </c>
      <c r="J17">
        <v>100.94</v>
      </c>
      <c r="K17">
        <v>0.71</v>
      </c>
      <c r="L17" t="s">
        <v>346</v>
      </c>
      <c r="M17" s="1">
        <v>7.1000000000000004E-3</v>
      </c>
      <c r="N17" t="s">
        <v>349</v>
      </c>
      <c r="O17">
        <v>-2.63</v>
      </c>
      <c r="P17" t="s">
        <v>344</v>
      </c>
      <c r="Q17">
        <v>4.71</v>
      </c>
      <c r="R17" t="s">
        <v>343</v>
      </c>
      <c r="S17">
        <v>1</v>
      </c>
    </row>
    <row r="18" spans="1:19" x14ac:dyDescent="0.25">
      <c r="A18" t="s">
        <v>19</v>
      </c>
      <c r="B18" t="s">
        <v>72</v>
      </c>
      <c r="C18">
        <v>320</v>
      </c>
      <c r="D18" t="s">
        <v>340</v>
      </c>
      <c r="E18">
        <v>30.8</v>
      </c>
      <c r="F18">
        <v>15.05</v>
      </c>
      <c r="G18">
        <v>20</v>
      </c>
      <c r="H18">
        <v>35.049999999999997</v>
      </c>
      <c r="I18" t="s">
        <v>344</v>
      </c>
      <c r="J18">
        <v>101.02</v>
      </c>
      <c r="K18">
        <v>0.42</v>
      </c>
      <c r="L18" t="s">
        <v>346</v>
      </c>
      <c r="M18" s="1">
        <v>4.1999999999999997E-3</v>
      </c>
      <c r="N18" t="s">
        <v>349</v>
      </c>
      <c r="O18">
        <v>-2.73</v>
      </c>
      <c r="P18" t="s">
        <v>344</v>
      </c>
      <c r="Q18">
        <v>5.2</v>
      </c>
      <c r="R18" t="s">
        <v>343</v>
      </c>
      <c r="S18">
        <v>1</v>
      </c>
    </row>
    <row r="19" spans="1:19" x14ac:dyDescent="0.25">
      <c r="A19" t="s">
        <v>19</v>
      </c>
      <c r="B19" t="s">
        <v>73</v>
      </c>
      <c r="C19">
        <v>340</v>
      </c>
      <c r="D19" t="s">
        <v>340</v>
      </c>
      <c r="E19">
        <v>30.8</v>
      </c>
      <c r="F19">
        <v>15.82</v>
      </c>
      <c r="G19">
        <v>20</v>
      </c>
      <c r="H19">
        <v>35.82</v>
      </c>
      <c r="I19" t="s">
        <v>344</v>
      </c>
      <c r="J19">
        <v>101.14</v>
      </c>
      <c r="K19">
        <v>0.6</v>
      </c>
      <c r="L19" t="s">
        <v>346</v>
      </c>
      <c r="M19" s="1">
        <v>6.0000000000000001E-3</v>
      </c>
      <c r="N19" t="s">
        <v>349</v>
      </c>
      <c r="O19">
        <v>-2.1</v>
      </c>
      <c r="P19" t="s">
        <v>344</v>
      </c>
      <c r="Q19">
        <v>6.18</v>
      </c>
      <c r="R19" t="s">
        <v>343</v>
      </c>
      <c r="S19">
        <v>1</v>
      </c>
    </row>
    <row r="20" spans="1:19" x14ac:dyDescent="0.25">
      <c r="A20" t="s">
        <v>19</v>
      </c>
      <c r="B20" t="s">
        <v>74</v>
      </c>
      <c r="C20">
        <v>360</v>
      </c>
      <c r="D20" t="s">
        <v>340</v>
      </c>
      <c r="E20">
        <v>30.8</v>
      </c>
      <c r="F20">
        <v>16.579999999999998</v>
      </c>
      <c r="G20">
        <v>20</v>
      </c>
      <c r="H20">
        <v>36.58</v>
      </c>
      <c r="I20" t="s">
        <v>344</v>
      </c>
      <c r="J20">
        <v>101.24</v>
      </c>
      <c r="K20">
        <v>0.49</v>
      </c>
      <c r="L20" t="s">
        <v>346</v>
      </c>
      <c r="M20" s="1">
        <v>4.8999999999999998E-3</v>
      </c>
      <c r="N20" t="s">
        <v>349</v>
      </c>
      <c r="O20">
        <v>-1.71</v>
      </c>
      <c r="P20" t="s">
        <v>343</v>
      </c>
      <c r="Q20">
        <v>6.2</v>
      </c>
      <c r="R20" t="s">
        <v>343</v>
      </c>
      <c r="S20">
        <v>1</v>
      </c>
    </row>
    <row r="21" spans="1:19" x14ac:dyDescent="0.25">
      <c r="A21" t="s">
        <v>19</v>
      </c>
      <c r="B21" t="s">
        <v>75</v>
      </c>
      <c r="C21">
        <v>380</v>
      </c>
      <c r="D21" t="s">
        <v>340</v>
      </c>
      <c r="E21">
        <v>30.8</v>
      </c>
      <c r="F21">
        <v>17.52</v>
      </c>
      <c r="G21">
        <v>20</v>
      </c>
      <c r="H21">
        <v>37.520000000000003</v>
      </c>
      <c r="I21" t="s">
        <v>344</v>
      </c>
      <c r="J21">
        <v>101.17</v>
      </c>
      <c r="K21">
        <v>-0.36</v>
      </c>
      <c r="L21" t="s">
        <v>346</v>
      </c>
      <c r="M21" s="1">
        <v>3.5999999999999999E-3</v>
      </c>
      <c r="N21" t="s">
        <v>349</v>
      </c>
      <c r="O21">
        <v>-4.41</v>
      </c>
      <c r="P21" t="s">
        <v>343</v>
      </c>
      <c r="Q21">
        <v>5.56</v>
      </c>
      <c r="R21" t="s">
        <v>343</v>
      </c>
      <c r="S21">
        <v>1</v>
      </c>
    </row>
    <row r="22" spans="1:19" x14ac:dyDescent="0.25">
      <c r="A22" t="s">
        <v>19</v>
      </c>
      <c r="B22" t="s">
        <v>76</v>
      </c>
      <c r="C22">
        <v>400</v>
      </c>
      <c r="D22" t="s">
        <v>340</v>
      </c>
      <c r="E22">
        <v>30.8</v>
      </c>
      <c r="F22">
        <v>20</v>
      </c>
      <c r="G22">
        <v>18.52</v>
      </c>
      <c r="H22">
        <v>38.520000000000003</v>
      </c>
      <c r="I22" t="s">
        <v>344</v>
      </c>
      <c r="J22">
        <v>101.08</v>
      </c>
      <c r="K22">
        <v>-0.42</v>
      </c>
      <c r="L22" t="s">
        <v>346</v>
      </c>
      <c r="M22" s="1">
        <v>4.1999999999999997E-3</v>
      </c>
      <c r="N22" t="s">
        <v>349</v>
      </c>
      <c r="O22">
        <v>-3.82</v>
      </c>
      <c r="P22" t="s">
        <v>344</v>
      </c>
      <c r="Q22">
        <v>4.4800000000000004</v>
      </c>
      <c r="R22" t="s">
        <v>343</v>
      </c>
      <c r="S22">
        <v>1</v>
      </c>
    </row>
    <row r="23" spans="1:19" x14ac:dyDescent="0.25">
      <c r="A23" t="s">
        <v>19</v>
      </c>
      <c r="B23" t="s">
        <v>77</v>
      </c>
      <c r="C23">
        <v>420</v>
      </c>
      <c r="D23" t="s">
        <v>340</v>
      </c>
      <c r="E23">
        <v>30.8</v>
      </c>
      <c r="F23">
        <v>20</v>
      </c>
      <c r="G23">
        <v>20</v>
      </c>
      <c r="H23">
        <v>40</v>
      </c>
      <c r="I23" t="s">
        <v>344</v>
      </c>
      <c r="J23">
        <v>101.08</v>
      </c>
      <c r="K23">
        <v>-0.01</v>
      </c>
      <c r="L23" t="s">
        <v>346</v>
      </c>
      <c r="M23" s="1">
        <v>1E-4</v>
      </c>
      <c r="N23" t="s">
        <v>349</v>
      </c>
      <c r="O23">
        <v>-1.99</v>
      </c>
      <c r="P23" t="s">
        <v>343</v>
      </c>
      <c r="Q23">
        <v>4.24</v>
      </c>
      <c r="R23" t="s">
        <v>343</v>
      </c>
      <c r="S23">
        <v>1</v>
      </c>
    </row>
    <row r="24" spans="1:19" x14ac:dyDescent="0.25">
      <c r="A24" t="s">
        <v>19</v>
      </c>
      <c r="B24" t="s">
        <v>78</v>
      </c>
      <c r="C24">
        <v>440</v>
      </c>
      <c r="D24" t="s">
        <v>340</v>
      </c>
      <c r="E24">
        <v>30.8</v>
      </c>
      <c r="F24">
        <v>17.52</v>
      </c>
      <c r="G24">
        <v>20</v>
      </c>
      <c r="H24">
        <v>37.520000000000003</v>
      </c>
      <c r="I24" t="s">
        <v>344</v>
      </c>
      <c r="J24">
        <v>102.44</v>
      </c>
      <c r="K24">
        <v>6.81</v>
      </c>
      <c r="L24" t="s">
        <v>346</v>
      </c>
      <c r="M24" s="1">
        <v>6.8099999999999994E-2</v>
      </c>
      <c r="N24" t="s">
        <v>350</v>
      </c>
      <c r="O24">
        <v>-1.32</v>
      </c>
      <c r="P24" t="s">
        <v>343</v>
      </c>
      <c r="Q24">
        <v>4.07</v>
      </c>
      <c r="R24" t="s">
        <v>343</v>
      </c>
      <c r="S24">
        <v>1</v>
      </c>
    </row>
    <row r="25" spans="1:19" x14ac:dyDescent="0.25">
      <c r="A25" t="s">
        <v>19</v>
      </c>
      <c r="B25" t="s">
        <v>79</v>
      </c>
      <c r="C25">
        <v>460</v>
      </c>
      <c r="D25" t="s">
        <v>340</v>
      </c>
      <c r="E25">
        <v>30.8</v>
      </c>
      <c r="F25">
        <v>16.170000000000002</v>
      </c>
      <c r="G25">
        <v>20</v>
      </c>
      <c r="H25">
        <v>36.17</v>
      </c>
      <c r="I25" t="s">
        <v>344</v>
      </c>
      <c r="J25">
        <v>100.96</v>
      </c>
      <c r="K25">
        <v>-7.4</v>
      </c>
      <c r="L25" t="s">
        <v>346</v>
      </c>
      <c r="M25" s="1">
        <v>7.400000000000001E-2</v>
      </c>
      <c r="N25" t="s">
        <v>350</v>
      </c>
      <c r="O25">
        <v>-3.68</v>
      </c>
      <c r="P25" t="s">
        <v>344</v>
      </c>
      <c r="Q25">
        <v>3.91</v>
      </c>
      <c r="R25" t="s">
        <v>344</v>
      </c>
      <c r="S25">
        <v>1</v>
      </c>
    </row>
    <row r="26" spans="1:19" x14ac:dyDescent="0.25">
      <c r="A26" t="s">
        <v>19</v>
      </c>
      <c r="B26" t="s">
        <v>80</v>
      </c>
      <c r="C26">
        <v>480</v>
      </c>
      <c r="D26" t="s">
        <v>340</v>
      </c>
      <c r="E26">
        <v>30.8</v>
      </c>
      <c r="F26">
        <v>16.28</v>
      </c>
      <c r="G26">
        <v>20</v>
      </c>
      <c r="H26">
        <v>36.28</v>
      </c>
      <c r="I26" t="s">
        <v>344</v>
      </c>
      <c r="J26">
        <v>100.87</v>
      </c>
      <c r="K26">
        <v>-0.45</v>
      </c>
      <c r="L26" t="s">
        <v>346</v>
      </c>
      <c r="M26" s="1">
        <v>4.5000000000000014E-3</v>
      </c>
      <c r="N26" t="s">
        <v>349</v>
      </c>
      <c r="O26">
        <v>-3.6</v>
      </c>
      <c r="P26" t="s">
        <v>344</v>
      </c>
      <c r="Q26">
        <v>3.95</v>
      </c>
      <c r="R26" t="s">
        <v>344</v>
      </c>
      <c r="S26">
        <v>1</v>
      </c>
    </row>
    <row r="27" spans="1:19" x14ac:dyDescent="0.25">
      <c r="A27" t="s">
        <v>19</v>
      </c>
      <c r="B27" t="s">
        <v>81</v>
      </c>
      <c r="C27">
        <v>500</v>
      </c>
      <c r="D27" t="s">
        <v>340</v>
      </c>
      <c r="E27">
        <v>30.8</v>
      </c>
      <c r="F27">
        <v>16.559999999999999</v>
      </c>
      <c r="G27">
        <v>20</v>
      </c>
      <c r="H27">
        <v>36.56</v>
      </c>
      <c r="I27" t="s">
        <v>344</v>
      </c>
      <c r="J27">
        <v>100.92</v>
      </c>
      <c r="K27">
        <v>0.25</v>
      </c>
      <c r="L27" t="s">
        <v>346</v>
      </c>
      <c r="M27" s="1">
        <v>2.5000000000000001E-3</v>
      </c>
      <c r="N27" t="s">
        <v>349</v>
      </c>
      <c r="O27">
        <v>-5.34</v>
      </c>
      <c r="P27" t="s">
        <v>343</v>
      </c>
      <c r="Q27">
        <v>4.13</v>
      </c>
      <c r="R27" t="s">
        <v>343</v>
      </c>
      <c r="S27">
        <v>1</v>
      </c>
    </row>
    <row r="28" spans="1:19" x14ac:dyDescent="0.25">
      <c r="A28" t="s">
        <v>19</v>
      </c>
      <c r="B28" t="s">
        <v>82</v>
      </c>
      <c r="C28">
        <v>520</v>
      </c>
      <c r="D28" t="s">
        <v>340</v>
      </c>
      <c r="E28">
        <v>30.8</v>
      </c>
      <c r="F28">
        <v>20</v>
      </c>
      <c r="G28">
        <v>20</v>
      </c>
      <c r="H28">
        <v>40</v>
      </c>
      <c r="I28" t="s">
        <v>344</v>
      </c>
      <c r="J28">
        <v>100.84</v>
      </c>
      <c r="K28">
        <v>-0.44</v>
      </c>
      <c r="L28" t="s">
        <v>346</v>
      </c>
      <c r="M28" s="1">
        <v>4.4000000000000003E-3</v>
      </c>
      <c r="N28" t="s">
        <v>349</v>
      </c>
      <c r="O28">
        <v>-4.1100000000000003</v>
      </c>
      <c r="P28" t="s">
        <v>343</v>
      </c>
      <c r="Q28">
        <v>4.1399999999999997</v>
      </c>
      <c r="R28" t="s">
        <v>343</v>
      </c>
      <c r="S28">
        <v>1</v>
      </c>
    </row>
    <row r="29" spans="1:19" x14ac:dyDescent="0.25">
      <c r="A29" t="s">
        <v>19</v>
      </c>
      <c r="B29" t="s">
        <v>83</v>
      </c>
      <c r="C29">
        <v>540</v>
      </c>
      <c r="D29" t="s">
        <v>340</v>
      </c>
      <c r="E29">
        <v>30.8</v>
      </c>
      <c r="F29">
        <v>20</v>
      </c>
      <c r="G29">
        <v>20</v>
      </c>
      <c r="H29">
        <v>40</v>
      </c>
      <c r="I29" t="s">
        <v>344</v>
      </c>
      <c r="J29">
        <v>100.81</v>
      </c>
      <c r="K29">
        <v>-0.13</v>
      </c>
      <c r="L29" t="s">
        <v>346</v>
      </c>
      <c r="M29" s="1">
        <v>1.2999999999999999E-3</v>
      </c>
      <c r="N29" t="s">
        <v>349</v>
      </c>
      <c r="O29">
        <v>-3.52</v>
      </c>
      <c r="P29" t="s">
        <v>344</v>
      </c>
      <c r="Q29">
        <v>4.3</v>
      </c>
      <c r="R29" t="s">
        <v>343</v>
      </c>
      <c r="S29">
        <v>1</v>
      </c>
    </row>
    <row r="30" spans="1:19" x14ac:dyDescent="0.25">
      <c r="A30" t="s">
        <v>19</v>
      </c>
      <c r="B30" t="s">
        <v>84</v>
      </c>
      <c r="C30">
        <v>560</v>
      </c>
      <c r="D30" t="s">
        <v>340</v>
      </c>
      <c r="E30">
        <v>30.8</v>
      </c>
      <c r="F30">
        <v>20</v>
      </c>
      <c r="G30">
        <v>20</v>
      </c>
      <c r="H30">
        <v>40</v>
      </c>
      <c r="I30" t="s">
        <v>344</v>
      </c>
      <c r="J30">
        <v>102.39</v>
      </c>
      <c r="K30">
        <v>7.91</v>
      </c>
      <c r="L30" t="s">
        <v>346</v>
      </c>
      <c r="M30" s="1">
        <v>7.9100000000000004E-2</v>
      </c>
      <c r="N30" t="s">
        <v>350</v>
      </c>
      <c r="O30">
        <v>-1.28</v>
      </c>
      <c r="P30" t="s">
        <v>343</v>
      </c>
      <c r="Q30">
        <v>4.38</v>
      </c>
      <c r="R30" t="s">
        <v>343</v>
      </c>
      <c r="S30">
        <v>1</v>
      </c>
    </row>
    <row r="31" spans="1:19" x14ac:dyDescent="0.25">
      <c r="A31" t="s">
        <v>19</v>
      </c>
      <c r="B31" t="s">
        <v>85</v>
      </c>
      <c r="C31">
        <v>580</v>
      </c>
      <c r="D31" t="s">
        <v>340</v>
      </c>
      <c r="E31">
        <v>30.8</v>
      </c>
      <c r="F31">
        <v>20</v>
      </c>
      <c r="G31">
        <v>20</v>
      </c>
      <c r="H31">
        <v>40</v>
      </c>
      <c r="I31" t="s">
        <v>344</v>
      </c>
      <c r="J31">
        <v>100.64</v>
      </c>
      <c r="K31">
        <v>-8.77</v>
      </c>
      <c r="L31" t="s">
        <v>347</v>
      </c>
      <c r="M31" s="1">
        <v>8.77E-2</v>
      </c>
      <c r="N31" t="s">
        <v>350</v>
      </c>
      <c r="O31">
        <v>-4.38</v>
      </c>
      <c r="P31" t="s">
        <v>343</v>
      </c>
      <c r="Q31">
        <v>2.14</v>
      </c>
      <c r="R31" t="s">
        <v>344</v>
      </c>
      <c r="S31">
        <v>1</v>
      </c>
    </row>
    <row r="32" spans="1:19" x14ac:dyDescent="0.25">
      <c r="A32" t="s">
        <v>19</v>
      </c>
      <c r="B32" t="s">
        <v>86</v>
      </c>
      <c r="C32">
        <v>600</v>
      </c>
      <c r="D32" t="s">
        <v>340</v>
      </c>
      <c r="E32">
        <v>30.8</v>
      </c>
      <c r="F32">
        <v>20</v>
      </c>
      <c r="G32">
        <v>20</v>
      </c>
      <c r="H32">
        <v>40</v>
      </c>
      <c r="I32" t="s">
        <v>344</v>
      </c>
      <c r="J32">
        <v>100.8</v>
      </c>
      <c r="K32">
        <v>0.81</v>
      </c>
      <c r="L32" t="s">
        <v>346</v>
      </c>
      <c r="M32" s="1">
        <v>8.1000000000000013E-3</v>
      </c>
      <c r="N32" t="s">
        <v>349</v>
      </c>
      <c r="O32">
        <v>-4.17</v>
      </c>
      <c r="P32" t="s">
        <v>343</v>
      </c>
      <c r="Q32">
        <v>4.92</v>
      </c>
      <c r="R32" t="s">
        <v>343</v>
      </c>
      <c r="S32">
        <v>1</v>
      </c>
    </row>
    <row r="33" spans="1:19" x14ac:dyDescent="0.25">
      <c r="A33" t="s">
        <v>19</v>
      </c>
      <c r="B33" t="s">
        <v>87</v>
      </c>
      <c r="C33">
        <v>620</v>
      </c>
      <c r="D33" t="s">
        <v>340</v>
      </c>
      <c r="E33">
        <v>30.8</v>
      </c>
      <c r="F33">
        <v>20</v>
      </c>
      <c r="G33">
        <v>20</v>
      </c>
      <c r="H33">
        <v>40</v>
      </c>
      <c r="I33" t="s">
        <v>344</v>
      </c>
      <c r="J33">
        <v>100.83</v>
      </c>
      <c r="K33">
        <v>0.16</v>
      </c>
      <c r="L33" t="s">
        <v>346</v>
      </c>
      <c r="M33" s="1">
        <v>1.6000000000000001E-3</v>
      </c>
      <c r="N33" t="s">
        <v>349</v>
      </c>
      <c r="O33">
        <v>-4.4400000000000004</v>
      </c>
      <c r="P33" t="s">
        <v>343</v>
      </c>
      <c r="Q33">
        <v>4.29</v>
      </c>
      <c r="R33" t="s">
        <v>343</v>
      </c>
      <c r="S33">
        <v>1</v>
      </c>
    </row>
    <row r="34" spans="1:19" x14ac:dyDescent="0.25">
      <c r="A34" t="s">
        <v>19</v>
      </c>
      <c r="B34" t="s">
        <v>88</v>
      </c>
      <c r="C34">
        <v>640</v>
      </c>
      <c r="D34" t="s">
        <v>340</v>
      </c>
      <c r="E34">
        <v>30.8</v>
      </c>
      <c r="F34">
        <v>20</v>
      </c>
      <c r="G34">
        <v>20</v>
      </c>
      <c r="H34">
        <v>40</v>
      </c>
      <c r="I34" t="s">
        <v>344</v>
      </c>
      <c r="J34">
        <v>100.59</v>
      </c>
      <c r="K34">
        <v>-1.21</v>
      </c>
      <c r="L34" t="s">
        <v>346</v>
      </c>
      <c r="M34" s="1">
        <v>1.21E-2</v>
      </c>
      <c r="N34" t="s">
        <v>349</v>
      </c>
      <c r="O34">
        <v>-5.16</v>
      </c>
      <c r="P34" t="s">
        <v>343</v>
      </c>
      <c r="Q34">
        <v>-2.12</v>
      </c>
      <c r="R34" t="s">
        <v>344</v>
      </c>
      <c r="S34">
        <v>1</v>
      </c>
    </row>
    <row r="35" spans="1:19" x14ac:dyDescent="0.25">
      <c r="A35" t="s">
        <v>19</v>
      </c>
      <c r="B35" t="s">
        <v>89</v>
      </c>
      <c r="C35">
        <v>660</v>
      </c>
      <c r="D35" t="s">
        <v>340</v>
      </c>
      <c r="E35">
        <v>30.8</v>
      </c>
      <c r="F35">
        <v>20</v>
      </c>
      <c r="G35">
        <v>20</v>
      </c>
      <c r="H35">
        <v>40</v>
      </c>
      <c r="I35" t="s">
        <v>344</v>
      </c>
      <c r="J35">
        <v>100.35</v>
      </c>
      <c r="K35">
        <v>-1.18</v>
      </c>
      <c r="L35" t="s">
        <v>346</v>
      </c>
      <c r="M35" s="1">
        <v>1.18E-2</v>
      </c>
      <c r="N35" t="s">
        <v>349</v>
      </c>
      <c r="O35">
        <v>-6.19</v>
      </c>
      <c r="P35" t="s">
        <v>343</v>
      </c>
      <c r="Q35">
        <v>1.87</v>
      </c>
      <c r="R35" t="s">
        <v>343</v>
      </c>
      <c r="S35">
        <v>1</v>
      </c>
    </row>
    <row r="36" spans="1:19" x14ac:dyDescent="0.25">
      <c r="A36" t="s">
        <v>19</v>
      </c>
      <c r="B36" t="s">
        <v>90</v>
      </c>
      <c r="C36">
        <v>680</v>
      </c>
      <c r="D36" t="s">
        <v>340</v>
      </c>
      <c r="E36">
        <v>30.8</v>
      </c>
      <c r="F36">
        <v>20</v>
      </c>
      <c r="G36">
        <v>16.11</v>
      </c>
      <c r="H36">
        <v>36.11</v>
      </c>
      <c r="I36" t="s">
        <v>344</v>
      </c>
      <c r="J36">
        <v>100.52</v>
      </c>
      <c r="K36">
        <v>0.84</v>
      </c>
      <c r="L36" t="s">
        <v>346</v>
      </c>
      <c r="M36" s="1">
        <v>8.3999999999999995E-3</v>
      </c>
      <c r="N36" t="s">
        <v>349</v>
      </c>
      <c r="O36">
        <v>-5.34</v>
      </c>
      <c r="P36" t="s">
        <v>343</v>
      </c>
      <c r="Q36">
        <v>-8.11</v>
      </c>
      <c r="R36" t="s">
        <v>343</v>
      </c>
      <c r="S36">
        <v>1</v>
      </c>
    </row>
    <row r="37" spans="1:19" x14ac:dyDescent="0.25">
      <c r="A37" t="s">
        <v>19</v>
      </c>
      <c r="B37" t="s">
        <v>91</v>
      </c>
      <c r="C37">
        <v>700</v>
      </c>
      <c r="D37" t="s">
        <v>340</v>
      </c>
      <c r="E37">
        <v>30.8</v>
      </c>
      <c r="F37">
        <v>20</v>
      </c>
      <c r="G37">
        <v>16.850000000000001</v>
      </c>
      <c r="H37">
        <v>36.85</v>
      </c>
      <c r="I37" t="s">
        <v>344</v>
      </c>
      <c r="J37">
        <v>101.49</v>
      </c>
      <c r="K37">
        <v>4.84</v>
      </c>
      <c r="L37" t="s">
        <v>346</v>
      </c>
      <c r="M37" s="1">
        <v>4.8399999999999999E-2</v>
      </c>
      <c r="N37" t="s">
        <v>350</v>
      </c>
      <c r="O37">
        <v>-3.72</v>
      </c>
      <c r="P37" t="s">
        <v>344</v>
      </c>
      <c r="Q37">
        <v>2.2400000000000002</v>
      </c>
      <c r="R37" t="s">
        <v>344</v>
      </c>
      <c r="S37">
        <v>1</v>
      </c>
    </row>
    <row r="38" spans="1:19" x14ac:dyDescent="0.25">
      <c r="A38" t="s">
        <v>19</v>
      </c>
      <c r="B38" t="s">
        <v>92</v>
      </c>
      <c r="C38">
        <v>720</v>
      </c>
      <c r="D38" t="s">
        <v>340</v>
      </c>
      <c r="E38">
        <v>30.8</v>
      </c>
      <c r="F38">
        <v>17.61</v>
      </c>
      <c r="G38">
        <v>16.11</v>
      </c>
      <c r="H38">
        <v>33.72</v>
      </c>
      <c r="I38" t="s">
        <v>344</v>
      </c>
      <c r="J38">
        <v>99.74</v>
      </c>
      <c r="K38">
        <v>-8.74</v>
      </c>
      <c r="L38" t="s">
        <v>347</v>
      </c>
      <c r="M38" s="1">
        <v>8.7400000000000005E-2</v>
      </c>
      <c r="N38" t="s">
        <v>350</v>
      </c>
      <c r="O38">
        <v>-6.04</v>
      </c>
      <c r="P38" t="s">
        <v>343</v>
      </c>
      <c r="Q38">
        <v>2.75</v>
      </c>
      <c r="R38" t="s">
        <v>344</v>
      </c>
      <c r="S38">
        <v>1</v>
      </c>
    </row>
    <row r="39" spans="1:19" x14ac:dyDescent="0.25">
      <c r="A39" t="s">
        <v>19</v>
      </c>
      <c r="B39" t="s">
        <v>93</v>
      </c>
      <c r="C39">
        <v>740</v>
      </c>
      <c r="D39" t="s">
        <v>340</v>
      </c>
      <c r="E39">
        <v>30.8</v>
      </c>
      <c r="F39">
        <v>16.850000000000001</v>
      </c>
      <c r="G39">
        <v>16.850000000000001</v>
      </c>
      <c r="H39">
        <v>33.700000000000003</v>
      </c>
      <c r="I39" t="s">
        <v>344</v>
      </c>
      <c r="J39">
        <v>98.91</v>
      </c>
      <c r="K39">
        <v>-4.18</v>
      </c>
      <c r="L39" t="s">
        <v>346</v>
      </c>
      <c r="M39" s="1">
        <v>4.1799999999999997E-2</v>
      </c>
      <c r="N39" t="s">
        <v>350</v>
      </c>
      <c r="O39">
        <v>-2.19</v>
      </c>
      <c r="P39" t="s">
        <v>344</v>
      </c>
      <c r="Q39">
        <v>5.36</v>
      </c>
      <c r="R39" t="s">
        <v>343</v>
      </c>
      <c r="S39">
        <v>1</v>
      </c>
    </row>
    <row r="40" spans="1:19" x14ac:dyDescent="0.25">
      <c r="A40" t="s">
        <v>19</v>
      </c>
      <c r="B40" t="s">
        <v>94</v>
      </c>
      <c r="C40">
        <v>760</v>
      </c>
      <c r="D40" t="s">
        <v>340</v>
      </c>
      <c r="E40">
        <v>30.8</v>
      </c>
      <c r="F40">
        <v>15.86</v>
      </c>
      <c r="G40">
        <v>16.760000000000002</v>
      </c>
      <c r="H40">
        <v>32.619999999999997</v>
      </c>
      <c r="I40" t="s">
        <v>344</v>
      </c>
      <c r="J40">
        <v>98.03</v>
      </c>
      <c r="K40">
        <v>-4.3899999999999997</v>
      </c>
      <c r="L40" t="s">
        <v>346</v>
      </c>
      <c r="M40" s="1">
        <v>4.3899999999999988E-2</v>
      </c>
      <c r="N40" t="s">
        <v>350</v>
      </c>
      <c r="O40">
        <v>-3.58</v>
      </c>
      <c r="P40" t="s">
        <v>344</v>
      </c>
      <c r="Q40">
        <v>5.62</v>
      </c>
      <c r="R40" t="s">
        <v>343</v>
      </c>
      <c r="S40">
        <v>1</v>
      </c>
    </row>
    <row r="41" spans="1:19" x14ac:dyDescent="0.25">
      <c r="A41" t="s">
        <v>19</v>
      </c>
      <c r="B41" t="s">
        <v>95</v>
      </c>
      <c r="C41">
        <v>780</v>
      </c>
      <c r="D41" t="s">
        <v>340</v>
      </c>
      <c r="E41">
        <v>30.8</v>
      </c>
      <c r="F41">
        <v>16.850000000000001</v>
      </c>
      <c r="G41">
        <v>17.2</v>
      </c>
      <c r="H41">
        <v>34.04</v>
      </c>
      <c r="I41" t="s">
        <v>344</v>
      </c>
      <c r="J41">
        <v>97.35</v>
      </c>
      <c r="K41">
        <v>-3.38</v>
      </c>
      <c r="L41" t="s">
        <v>346</v>
      </c>
      <c r="M41" s="1">
        <v>3.3799999999999997E-2</v>
      </c>
      <c r="N41" t="s">
        <v>350</v>
      </c>
      <c r="O41">
        <v>-3.35</v>
      </c>
      <c r="P41" t="s">
        <v>344</v>
      </c>
      <c r="Q41">
        <v>4.13</v>
      </c>
      <c r="R41" t="s">
        <v>343</v>
      </c>
      <c r="S41">
        <v>1</v>
      </c>
    </row>
    <row r="42" spans="1:19" x14ac:dyDescent="0.25">
      <c r="A42" t="s">
        <v>19</v>
      </c>
      <c r="B42" t="s">
        <v>96</v>
      </c>
      <c r="C42">
        <v>800</v>
      </c>
      <c r="D42" t="s">
        <v>340</v>
      </c>
      <c r="E42">
        <v>30.8</v>
      </c>
      <c r="F42">
        <v>15.86</v>
      </c>
      <c r="G42">
        <v>17.29</v>
      </c>
      <c r="H42">
        <v>33.15</v>
      </c>
      <c r="I42" t="s">
        <v>344</v>
      </c>
      <c r="J42">
        <v>96.48</v>
      </c>
      <c r="K42">
        <v>-4.37</v>
      </c>
      <c r="L42" t="s">
        <v>346</v>
      </c>
      <c r="M42" s="1">
        <v>4.3700000000000003E-2</v>
      </c>
      <c r="N42" t="s">
        <v>350</v>
      </c>
      <c r="O42">
        <v>-1.98</v>
      </c>
      <c r="P42" t="s">
        <v>343</v>
      </c>
      <c r="Q42">
        <v>4.51</v>
      </c>
      <c r="R42" t="s">
        <v>343</v>
      </c>
      <c r="S42">
        <v>1</v>
      </c>
    </row>
    <row r="43" spans="1:19" x14ac:dyDescent="0.25">
      <c r="A43" t="s">
        <v>19</v>
      </c>
      <c r="B43" t="s">
        <v>97</v>
      </c>
      <c r="C43">
        <v>820</v>
      </c>
      <c r="D43" t="s">
        <v>340</v>
      </c>
      <c r="E43">
        <v>30.8</v>
      </c>
      <c r="F43">
        <v>16.25</v>
      </c>
      <c r="G43">
        <v>18.16</v>
      </c>
      <c r="H43">
        <v>34.409999999999997</v>
      </c>
      <c r="I43" t="s">
        <v>344</v>
      </c>
      <c r="J43">
        <v>95.41</v>
      </c>
      <c r="K43">
        <v>-5.36</v>
      </c>
      <c r="L43" t="s">
        <v>346</v>
      </c>
      <c r="M43" s="1">
        <v>5.3600000000000002E-2</v>
      </c>
      <c r="N43" t="s">
        <v>350</v>
      </c>
      <c r="O43">
        <v>-2.94</v>
      </c>
      <c r="P43" t="s">
        <v>344</v>
      </c>
      <c r="Q43">
        <v>5.34</v>
      </c>
      <c r="R43" t="s">
        <v>343</v>
      </c>
      <c r="S43">
        <v>1</v>
      </c>
    </row>
    <row r="44" spans="1:19" x14ac:dyDescent="0.25">
      <c r="A44" t="s">
        <v>19</v>
      </c>
      <c r="B44" t="s">
        <v>98</v>
      </c>
      <c r="C44">
        <v>840</v>
      </c>
      <c r="D44" t="s">
        <v>340</v>
      </c>
      <c r="E44">
        <v>30.8</v>
      </c>
      <c r="F44">
        <v>20</v>
      </c>
      <c r="G44">
        <v>17.010000000000002</v>
      </c>
      <c r="H44">
        <v>37.01</v>
      </c>
      <c r="I44" t="s">
        <v>344</v>
      </c>
      <c r="J44">
        <v>95.49</v>
      </c>
      <c r="K44">
        <v>0.43</v>
      </c>
      <c r="L44" t="s">
        <v>346</v>
      </c>
      <c r="M44" s="1">
        <v>4.3E-3</v>
      </c>
      <c r="N44" t="s">
        <v>349</v>
      </c>
      <c r="O44">
        <v>-1.69</v>
      </c>
      <c r="P44" t="s">
        <v>343</v>
      </c>
      <c r="Q44">
        <v>4.16</v>
      </c>
      <c r="R44" t="s">
        <v>343</v>
      </c>
      <c r="S44">
        <v>1</v>
      </c>
    </row>
    <row r="45" spans="1:19" x14ac:dyDescent="0.25">
      <c r="A45" t="s">
        <v>19</v>
      </c>
      <c r="B45" t="s">
        <v>99</v>
      </c>
      <c r="C45">
        <v>860</v>
      </c>
      <c r="D45" t="s">
        <v>340</v>
      </c>
      <c r="E45">
        <v>30.8</v>
      </c>
      <c r="F45">
        <v>20</v>
      </c>
      <c r="G45">
        <v>16</v>
      </c>
      <c r="H45">
        <v>36</v>
      </c>
      <c r="I45" t="s">
        <v>344</v>
      </c>
      <c r="J45">
        <v>93.19</v>
      </c>
      <c r="K45">
        <v>-11.52</v>
      </c>
      <c r="L45" t="s">
        <v>348</v>
      </c>
      <c r="M45" s="1">
        <v>0.1152</v>
      </c>
      <c r="N45" t="s">
        <v>350</v>
      </c>
      <c r="O45">
        <v>-4.17</v>
      </c>
      <c r="P45" t="s">
        <v>343</v>
      </c>
      <c r="Q45">
        <v>4.0599999999999996</v>
      </c>
      <c r="R45" t="s">
        <v>343</v>
      </c>
      <c r="S45">
        <v>1</v>
      </c>
    </row>
    <row r="46" spans="1:19" x14ac:dyDescent="0.25">
      <c r="A46" t="s">
        <v>19</v>
      </c>
      <c r="B46" t="s">
        <v>100</v>
      </c>
      <c r="C46">
        <v>880</v>
      </c>
      <c r="D46" t="s">
        <v>340</v>
      </c>
      <c r="E46">
        <v>30.8</v>
      </c>
      <c r="F46">
        <v>20</v>
      </c>
      <c r="G46">
        <v>16.8</v>
      </c>
      <c r="H46">
        <v>36.799999999999997</v>
      </c>
      <c r="I46" t="s">
        <v>344</v>
      </c>
      <c r="J46">
        <v>92.2</v>
      </c>
      <c r="K46">
        <v>-4.93</v>
      </c>
      <c r="L46" t="s">
        <v>346</v>
      </c>
      <c r="M46" s="1">
        <v>4.9299999999999997E-2</v>
      </c>
      <c r="N46" t="s">
        <v>350</v>
      </c>
      <c r="O46">
        <v>-5.47</v>
      </c>
      <c r="P46" t="s">
        <v>343</v>
      </c>
      <c r="Q46">
        <v>1.77</v>
      </c>
      <c r="R46" t="s">
        <v>343</v>
      </c>
      <c r="S46">
        <v>1</v>
      </c>
    </row>
    <row r="47" spans="1:19" x14ac:dyDescent="0.25">
      <c r="A47" t="s">
        <v>19</v>
      </c>
      <c r="B47" t="s">
        <v>101</v>
      </c>
      <c r="C47">
        <v>900</v>
      </c>
      <c r="D47" t="s">
        <v>340</v>
      </c>
      <c r="E47">
        <v>30.8</v>
      </c>
      <c r="F47">
        <v>20</v>
      </c>
      <c r="G47">
        <v>17.89</v>
      </c>
      <c r="H47">
        <v>37.89</v>
      </c>
      <c r="I47" t="s">
        <v>344</v>
      </c>
      <c r="J47">
        <v>93.4</v>
      </c>
      <c r="K47">
        <v>5.98</v>
      </c>
      <c r="L47" t="s">
        <v>346</v>
      </c>
      <c r="M47" s="1">
        <v>5.9800000000000013E-2</v>
      </c>
      <c r="N47" t="s">
        <v>350</v>
      </c>
      <c r="O47">
        <v>-2.95</v>
      </c>
      <c r="P47" t="s">
        <v>344</v>
      </c>
      <c r="Q47">
        <v>0.54</v>
      </c>
      <c r="R47" t="s">
        <v>343</v>
      </c>
      <c r="S47">
        <v>1</v>
      </c>
    </row>
    <row r="48" spans="1:19" x14ac:dyDescent="0.25">
      <c r="A48" t="s">
        <v>19</v>
      </c>
      <c r="B48" t="s">
        <v>102</v>
      </c>
      <c r="C48">
        <v>920</v>
      </c>
      <c r="D48" t="s">
        <v>340</v>
      </c>
      <c r="E48">
        <v>30.8</v>
      </c>
      <c r="F48">
        <v>20</v>
      </c>
      <c r="G48">
        <v>17.739999999999998</v>
      </c>
      <c r="H48">
        <v>37.74</v>
      </c>
      <c r="I48" t="s">
        <v>344</v>
      </c>
      <c r="J48">
        <v>92.64</v>
      </c>
      <c r="K48">
        <v>-3.8</v>
      </c>
      <c r="L48" t="s">
        <v>346</v>
      </c>
      <c r="M48" s="1">
        <v>3.7999999999999999E-2</v>
      </c>
      <c r="N48" t="s">
        <v>350</v>
      </c>
      <c r="O48">
        <v>-6.68</v>
      </c>
      <c r="P48" t="s">
        <v>343</v>
      </c>
      <c r="Q48">
        <v>1.63</v>
      </c>
      <c r="R48" t="s">
        <v>343</v>
      </c>
      <c r="S48">
        <v>1</v>
      </c>
    </row>
    <row r="49" spans="1:19" x14ac:dyDescent="0.25">
      <c r="A49" t="s">
        <v>19</v>
      </c>
      <c r="B49" t="s">
        <v>103</v>
      </c>
      <c r="C49">
        <v>940</v>
      </c>
      <c r="D49" t="s">
        <v>340</v>
      </c>
      <c r="E49">
        <v>30.8</v>
      </c>
      <c r="F49">
        <v>16.41</v>
      </c>
      <c r="G49">
        <v>15.53</v>
      </c>
      <c r="H49">
        <v>31.94</v>
      </c>
      <c r="I49" t="s">
        <v>344</v>
      </c>
      <c r="J49">
        <v>90.24</v>
      </c>
      <c r="K49">
        <v>-12.03</v>
      </c>
      <c r="L49" t="s">
        <v>348</v>
      </c>
      <c r="M49" s="1">
        <v>0.1203</v>
      </c>
      <c r="N49" t="s">
        <v>350</v>
      </c>
      <c r="O49">
        <v>-1.28</v>
      </c>
      <c r="P49" t="s">
        <v>343</v>
      </c>
      <c r="Q49">
        <v>2.14</v>
      </c>
      <c r="R49" t="s">
        <v>344</v>
      </c>
      <c r="S49">
        <v>1</v>
      </c>
    </row>
    <row r="50" spans="1:19" x14ac:dyDescent="0.25">
      <c r="A50" t="s">
        <v>19</v>
      </c>
      <c r="B50" t="s">
        <v>104</v>
      </c>
      <c r="C50">
        <v>960</v>
      </c>
      <c r="D50" t="s">
        <v>340</v>
      </c>
      <c r="E50">
        <v>30.8</v>
      </c>
      <c r="F50">
        <v>16.059999999999999</v>
      </c>
      <c r="G50">
        <v>15.98</v>
      </c>
      <c r="H50">
        <v>32.04</v>
      </c>
      <c r="I50" t="s">
        <v>344</v>
      </c>
      <c r="J50">
        <v>89.25</v>
      </c>
      <c r="K50">
        <v>-4.9400000000000004</v>
      </c>
      <c r="L50" t="s">
        <v>346</v>
      </c>
      <c r="M50" s="1">
        <v>4.9400000000000013E-2</v>
      </c>
      <c r="N50" t="s">
        <v>350</v>
      </c>
      <c r="O50">
        <v>-0.01</v>
      </c>
      <c r="P50" t="s">
        <v>343</v>
      </c>
      <c r="Q50">
        <v>0.97</v>
      </c>
      <c r="R50" t="s">
        <v>343</v>
      </c>
      <c r="S50">
        <v>1</v>
      </c>
    </row>
    <row r="51" spans="1:19" x14ac:dyDescent="0.25">
      <c r="A51" t="s">
        <v>19</v>
      </c>
      <c r="B51" t="s">
        <v>105</v>
      </c>
      <c r="C51">
        <v>980</v>
      </c>
      <c r="D51" t="s">
        <v>340</v>
      </c>
      <c r="E51">
        <v>30.8</v>
      </c>
      <c r="F51">
        <v>16.21</v>
      </c>
      <c r="G51">
        <v>15.98</v>
      </c>
      <c r="H51">
        <v>32.200000000000003</v>
      </c>
      <c r="I51" t="s">
        <v>344</v>
      </c>
      <c r="J51">
        <v>88.49</v>
      </c>
      <c r="K51">
        <v>-3.81</v>
      </c>
      <c r="L51" t="s">
        <v>346</v>
      </c>
      <c r="M51" s="1">
        <v>3.8100000000000002E-2</v>
      </c>
      <c r="N51" t="s">
        <v>350</v>
      </c>
      <c r="O51">
        <v>1.98</v>
      </c>
      <c r="P51" t="s">
        <v>343</v>
      </c>
      <c r="Q51">
        <v>1.99</v>
      </c>
      <c r="R51" t="s">
        <v>343</v>
      </c>
      <c r="S51">
        <v>1</v>
      </c>
    </row>
    <row r="52" spans="1:19" x14ac:dyDescent="0.25">
      <c r="A52" t="s">
        <v>19</v>
      </c>
      <c r="B52" t="s">
        <v>106</v>
      </c>
      <c r="C52">
        <v>1000</v>
      </c>
      <c r="D52" t="s">
        <v>340</v>
      </c>
      <c r="E52">
        <v>30.8</v>
      </c>
      <c r="F52">
        <v>16.54</v>
      </c>
      <c r="G52">
        <v>20</v>
      </c>
      <c r="H52">
        <v>36.54</v>
      </c>
      <c r="I52" t="s">
        <v>344</v>
      </c>
      <c r="J52">
        <v>88.71</v>
      </c>
      <c r="K52">
        <v>1.1399999999999999</v>
      </c>
      <c r="L52" t="s">
        <v>346</v>
      </c>
      <c r="M52" s="1">
        <v>1.14E-2</v>
      </c>
      <c r="N52" t="s">
        <v>349</v>
      </c>
      <c r="O52">
        <v>2.75</v>
      </c>
      <c r="P52" t="s">
        <v>344</v>
      </c>
      <c r="Q52">
        <v>0.79</v>
      </c>
      <c r="R52" t="s">
        <v>343</v>
      </c>
      <c r="S52">
        <v>1</v>
      </c>
    </row>
    <row r="53" spans="1:19" x14ac:dyDescent="0.25">
      <c r="A53" t="s">
        <v>19</v>
      </c>
      <c r="B53" t="s">
        <v>107</v>
      </c>
      <c r="C53">
        <v>1006.857</v>
      </c>
      <c r="D53" t="s">
        <v>340</v>
      </c>
      <c r="E53">
        <v>30.8</v>
      </c>
      <c r="F53">
        <v>17.059999999999999</v>
      </c>
      <c r="G53">
        <v>20</v>
      </c>
      <c r="H53">
        <v>37.06</v>
      </c>
      <c r="I53" t="s">
        <v>344</v>
      </c>
      <c r="J53">
        <v>87.2</v>
      </c>
      <c r="K53">
        <v>-22.12</v>
      </c>
      <c r="L53" t="s">
        <v>348</v>
      </c>
      <c r="M53" s="1">
        <v>0.22120000000000001</v>
      </c>
      <c r="N53" t="s">
        <v>350</v>
      </c>
      <c r="O53">
        <v>3.11</v>
      </c>
      <c r="P53" t="s">
        <v>344</v>
      </c>
      <c r="Q53">
        <v>0.53</v>
      </c>
      <c r="R53" t="s">
        <v>343</v>
      </c>
      <c r="S53">
        <v>0</v>
      </c>
    </row>
    <row r="54" spans="1:19" x14ac:dyDescent="0.25">
      <c r="A54" t="s">
        <v>20</v>
      </c>
      <c r="B54" t="s">
        <v>56</v>
      </c>
      <c r="C54">
        <v>0</v>
      </c>
      <c r="D54" t="s">
        <v>340</v>
      </c>
      <c r="E54">
        <v>30.8</v>
      </c>
      <c r="F54">
        <v>20</v>
      </c>
      <c r="G54">
        <v>20</v>
      </c>
      <c r="H54">
        <v>40</v>
      </c>
      <c r="I54" t="s">
        <v>344</v>
      </c>
      <c r="J54">
        <v>100.75</v>
      </c>
      <c r="L54" t="s">
        <v>345</v>
      </c>
      <c r="N54" t="s">
        <v>345</v>
      </c>
      <c r="O54">
        <v>-2</v>
      </c>
      <c r="P54" t="s">
        <v>344</v>
      </c>
      <c r="Q54">
        <v>-2.4</v>
      </c>
      <c r="R54" t="s">
        <v>344</v>
      </c>
      <c r="S54">
        <v>1</v>
      </c>
    </row>
    <row r="55" spans="1:19" x14ac:dyDescent="0.25">
      <c r="A55" t="s">
        <v>20</v>
      </c>
      <c r="B55" t="s">
        <v>57</v>
      </c>
      <c r="C55">
        <v>20</v>
      </c>
      <c r="D55" t="s">
        <v>340</v>
      </c>
      <c r="E55">
        <v>30.8</v>
      </c>
      <c r="F55">
        <v>20</v>
      </c>
      <c r="G55">
        <v>20</v>
      </c>
      <c r="H55">
        <v>40</v>
      </c>
      <c r="I55" t="s">
        <v>344</v>
      </c>
      <c r="J55">
        <v>98.05</v>
      </c>
      <c r="K55">
        <v>-13.54</v>
      </c>
      <c r="L55" t="s">
        <v>348</v>
      </c>
      <c r="M55" s="1">
        <v>0.13539999999999999</v>
      </c>
      <c r="N55" t="s">
        <v>350</v>
      </c>
      <c r="O55">
        <v>4.1500000000000004</v>
      </c>
      <c r="P55" t="s">
        <v>343</v>
      </c>
      <c r="Q55">
        <v>-3.03</v>
      </c>
      <c r="R55" t="s">
        <v>344</v>
      </c>
      <c r="S55">
        <v>1</v>
      </c>
    </row>
    <row r="56" spans="1:19" x14ac:dyDescent="0.25">
      <c r="A56" t="s">
        <v>20</v>
      </c>
      <c r="B56" t="s">
        <v>58</v>
      </c>
      <c r="C56">
        <v>40</v>
      </c>
      <c r="D56" t="s">
        <v>340</v>
      </c>
      <c r="E56">
        <v>30.8</v>
      </c>
      <c r="F56">
        <v>20</v>
      </c>
      <c r="G56">
        <v>16.97</v>
      </c>
      <c r="H56">
        <v>36.97</v>
      </c>
      <c r="I56" t="s">
        <v>344</v>
      </c>
      <c r="J56">
        <v>96.68</v>
      </c>
      <c r="K56">
        <v>-6.84</v>
      </c>
      <c r="L56" t="s">
        <v>346</v>
      </c>
      <c r="M56" s="1">
        <v>6.8400000000000002E-2</v>
      </c>
      <c r="N56" t="s">
        <v>350</v>
      </c>
      <c r="O56">
        <v>2.02</v>
      </c>
      <c r="P56" t="s">
        <v>344</v>
      </c>
      <c r="Q56">
        <v>-0.89</v>
      </c>
      <c r="R56" t="s">
        <v>343</v>
      </c>
      <c r="S56">
        <v>1</v>
      </c>
    </row>
    <row r="57" spans="1:19" x14ac:dyDescent="0.25">
      <c r="A57" t="s">
        <v>20</v>
      </c>
      <c r="B57" t="s">
        <v>59</v>
      </c>
      <c r="C57">
        <v>60</v>
      </c>
      <c r="D57" t="s">
        <v>340</v>
      </c>
      <c r="E57">
        <v>30.8</v>
      </c>
      <c r="F57">
        <v>16.54</v>
      </c>
      <c r="G57">
        <v>15.69</v>
      </c>
      <c r="H57">
        <v>32.229999999999997</v>
      </c>
      <c r="I57" t="s">
        <v>344</v>
      </c>
      <c r="J57">
        <v>95.39</v>
      </c>
      <c r="K57">
        <v>-6.46</v>
      </c>
      <c r="L57" t="s">
        <v>346</v>
      </c>
      <c r="M57" s="1">
        <v>6.4600000000000005E-2</v>
      </c>
      <c r="N57" t="s">
        <v>350</v>
      </c>
      <c r="O57">
        <v>2.08</v>
      </c>
      <c r="P57" t="s">
        <v>344</v>
      </c>
      <c r="Q57">
        <v>-11.67</v>
      </c>
      <c r="R57" t="s">
        <v>343</v>
      </c>
      <c r="S57">
        <v>1</v>
      </c>
    </row>
    <row r="58" spans="1:19" x14ac:dyDescent="0.25">
      <c r="A58" t="s">
        <v>20</v>
      </c>
      <c r="B58" t="s">
        <v>60</v>
      </c>
      <c r="C58">
        <v>80</v>
      </c>
      <c r="D58" t="s">
        <v>340</v>
      </c>
      <c r="E58">
        <v>30.8</v>
      </c>
      <c r="F58">
        <v>13.73</v>
      </c>
      <c r="G58">
        <v>14.29</v>
      </c>
      <c r="H58">
        <v>28.02</v>
      </c>
      <c r="I58" t="s">
        <v>343</v>
      </c>
      <c r="J58">
        <v>94.01</v>
      </c>
      <c r="K58">
        <v>-6.87</v>
      </c>
      <c r="L58" t="s">
        <v>346</v>
      </c>
      <c r="M58" s="1">
        <v>6.8699999999999997E-2</v>
      </c>
      <c r="N58" t="s">
        <v>350</v>
      </c>
      <c r="O58">
        <v>1.77</v>
      </c>
      <c r="P58" t="s">
        <v>343</v>
      </c>
      <c r="Q58">
        <v>1.34</v>
      </c>
      <c r="R58" t="s">
        <v>343</v>
      </c>
      <c r="S58">
        <v>1</v>
      </c>
    </row>
    <row r="59" spans="1:19" x14ac:dyDescent="0.25">
      <c r="A59" t="s">
        <v>20</v>
      </c>
      <c r="B59" t="s">
        <v>61</v>
      </c>
      <c r="C59">
        <v>100</v>
      </c>
      <c r="D59" t="s">
        <v>340</v>
      </c>
      <c r="E59">
        <v>30.8</v>
      </c>
      <c r="F59">
        <v>11.94</v>
      </c>
      <c r="G59">
        <v>15.69</v>
      </c>
      <c r="H59">
        <v>27.63</v>
      </c>
      <c r="I59" t="s">
        <v>343</v>
      </c>
      <c r="J59">
        <v>92.6</v>
      </c>
      <c r="K59">
        <v>-7.08</v>
      </c>
      <c r="L59" t="s">
        <v>346</v>
      </c>
      <c r="M59" s="1">
        <v>7.0800000000000002E-2</v>
      </c>
      <c r="N59" t="s">
        <v>350</v>
      </c>
      <c r="O59">
        <v>4.34</v>
      </c>
      <c r="P59" t="s">
        <v>343</v>
      </c>
      <c r="Q59">
        <v>-0.84</v>
      </c>
      <c r="R59" t="s">
        <v>343</v>
      </c>
      <c r="S59">
        <v>1</v>
      </c>
    </row>
    <row r="60" spans="1:19" x14ac:dyDescent="0.25">
      <c r="A60" t="s">
        <v>20</v>
      </c>
      <c r="B60" t="s">
        <v>62</v>
      </c>
      <c r="C60">
        <v>120</v>
      </c>
      <c r="D60" t="s">
        <v>340</v>
      </c>
      <c r="E60">
        <v>30.8</v>
      </c>
      <c r="F60">
        <v>11.67</v>
      </c>
      <c r="G60">
        <v>15.35</v>
      </c>
      <c r="H60">
        <v>27.02</v>
      </c>
      <c r="I60" t="s">
        <v>343</v>
      </c>
      <c r="J60">
        <v>91.2</v>
      </c>
      <c r="K60">
        <v>-7.01</v>
      </c>
      <c r="L60" t="s">
        <v>346</v>
      </c>
      <c r="M60" s="1">
        <v>7.0099999999999996E-2</v>
      </c>
      <c r="N60" t="s">
        <v>350</v>
      </c>
      <c r="O60">
        <v>3.75</v>
      </c>
      <c r="P60" t="s">
        <v>344</v>
      </c>
      <c r="Q60">
        <v>-1.55</v>
      </c>
      <c r="R60" t="s">
        <v>343</v>
      </c>
      <c r="S60">
        <v>1</v>
      </c>
    </row>
    <row r="61" spans="1:19" x14ac:dyDescent="0.25">
      <c r="A61" t="s">
        <v>20</v>
      </c>
      <c r="B61" t="s">
        <v>63</v>
      </c>
      <c r="C61">
        <v>140</v>
      </c>
      <c r="D61" t="s">
        <v>340</v>
      </c>
      <c r="E61">
        <v>30.8</v>
      </c>
      <c r="F61">
        <v>11.92</v>
      </c>
      <c r="G61">
        <v>16.27</v>
      </c>
      <c r="H61">
        <v>28.19</v>
      </c>
      <c r="I61" t="s">
        <v>343</v>
      </c>
      <c r="J61">
        <v>90.09</v>
      </c>
      <c r="K61">
        <v>-5.52</v>
      </c>
      <c r="L61" t="s">
        <v>346</v>
      </c>
      <c r="M61" s="1">
        <v>5.5199999999999999E-2</v>
      </c>
      <c r="N61" t="s">
        <v>350</v>
      </c>
      <c r="O61">
        <v>4.25</v>
      </c>
      <c r="P61" t="s">
        <v>343</v>
      </c>
      <c r="Q61">
        <v>-0.74</v>
      </c>
      <c r="R61" t="s">
        <v>343</v>
      </c>
      <c r="S61">
        <v>1</v>
      </c>
    </row>
    <row r="62" spans="1:19" x14ac:dyDescent="0.25">
      <c r="A62" t="s">
        <v>20</v>
      </c>
      <c r="B62" t="s">
        <v>64</v>
      </c>
      <c r="C62">
        <v>160</v>
      </c>
      <c r="D62" t="s">
        <v>340</v>
      </c>
      <c r="E62">
        <v>30.8</v>
      </c>
      <c r="F62">
        <v>14.14</v>
      </c>
      <c r="G62">
        <v>16.27</v>
      </c>
      <c r="H62">
        <v>30.41</v>
      </c>
      <c r="I62" t="s">
        <v>343</v>
      </c>
      <c r="J62">
        <v>90.38</v>
      </c>
      <c r="K62">
        <v>1.42</v>
      </c>
      <c r="L62" t="s">
        <v>346</v>
      </c>
      <c r="M62" s="1">
        <v>1.4200000000000001E-2</v>
      </c>
      <c r="N62" t="s">
        <v>349</v>
      </c>
      <c r="O62">
        <v>2.23</v>
      </c>
      <c r="P62" t="s">
        <v>344</v>
      </c>
      <c r="Q62">
        <v>1.65</v>
      </c>
      <c r="R62" t="s">
        <v>343</v>
      </c>
      <c r="S62">
        <v>1</v>
      </c>
    </row>
    <row r="63" spans="1:19" x14ac:dyDescent="0.25">
      <c r="A63" t="s">
        <v>20</v>
      </c>
      <c r="B63" t="s">
        <v>65</v>
      </c>
      <c r="C63">
        <v>180</v>
      </c>
      <c r="D63" t="s">
        <v>340</v>
      </c>
      <c r="E63">
        <v>30.8</v>
      </c>
      <c r="F63">
        <v>14.67</v>
      </c>
      <c r="G63">
        <v>16.62</v>
      </c>
      <c r="H63">
        <v>31.28</v>
      </c>
      <c r="I63" t="s">
        <v>344</v>
      </c>
      <c r="J63">
        <v>87.61</v>
      </c>
      <c r="K63">
        <v>-13.81</v>
      </c>
      <c r="L63" t="s">
        <v>348</v>
      </c>
      <c r="M63" s="1">
        <v>0.1381</v>
      </c>
      <c r="N63" t="s">
        <v>350</v>
      </c>
      <c r="O63">
        <v>2.59</v>
      </c>
      <c r="P63" t="s">
        <v>344</v>
      </c>
      <c r="Q63">
        <v>-3.63</v>
      </c>
      <c r="R63" t="s">
        <v>344</v>
      </c>
      <c r="S63">
        <v>1</v>
      </c>
    </row>
    <row r="64" spans="1:19" x14ac:dyDescent="0.25">
      <c r="A64" t="s">
        <v>20</v>
      </c>
      <c r="B64" t="s">
        <v>66</v>
      </c>
      <c r="C64">
        <v>200</v>
      </c>
      <c r="D64" t="s">
        <v>340</v>
      </c>
      <c r="E64">
        <v>30.8</v>
      </c>
      <c r="F64">
        <v>15.13</v>
      </c>
      <c r="G64">
        <v>16.010000000000002</v>
      </c>
      <c r="H64">
        <v>31.13</v>
      </c>
      <c r="I64" t="s">
        <v>344</v>
      </c>
      <c r="J64">
        <v>86.6</v>
      </c>
      <c r="K64">
        <v>-5.05</v>
      </c>
      <c r="L64" t="s">
        <v>346</v>
      </c>
      <c r="M64" s="1">
        <v>5.0500000000000003E-2</v>
      </c>
      <c r="N64" t="s">
        <v>350</v>
      </c>
      <c r="O64">
        <v>3.76</v>
      </c>
      <c r="P64" t="s">
        <v>344</v>
      </c>
      <c r="Q64">
        <v>-1.75</v>
      </c>
      <c r="R64" t="s">
        <v>343</v>
      </c>
      <c r="S64">
        <v>1</v>
      </c>
    </row>
    <row r="65" spans="1:19" x14ac:dyDescent="0.25">
      <c r="A65" t="s">
        <v>20</v>
      </c>
      <c r="B65" t="s">
        <v>67</v>
      </c>
      <c r="C65">
        <v>220</v>
      </c>
      <c r="D65" t="s">
        <v>340</v>
      </c>
      <c r="E65">
        <v>30.8</v>
      </c>
      <c r="F65">
        <v>15.42</v>
      </c>
      <c r="G65">
        <v>16.14</v>
      </c>
      <c r="H65">
        <v>31.57</v>
      </c>
      <c r="I65" t="s">
        <v>344</v>
      </c>
      <c r="J65">
        <v>85.57</v>
      </c>
      <c r="K65">
        <v>-5.18</v>
      </c>
      <c r="L65" t="s">
        <v>346</v>
      </c>
      <c r="M65" s="1">
        <v>5.1799999999999999E-2</v>
      </c>
      <c r="N65" t="s">
        <v>350</v>
      </c>
      <c r="O65">
        <v>3.12</v>
      </c>
      <c r="P65" t="s">
        <v>344</v>
      </c>
      <c r="Q65">
        <v>-2.61</v>
      </c>
      <c r="R65" t="s">
        <v>344</v>
      </c>
      <c r="S65">
        <v>1</v>
      </c>
    </row>
    <row r="66" spans="1:19" x14ac:dyDescent="0.25">
      <c r="A66" t="s">
        <v>20</v>
      </c>
      <c r="B66" t="s">
        <v>68</v>
      </c>
      <c r="C66">
        <v>240</v>
      </c>
      <c r="D66" t="s">
        <v>340</v>
      </c>
      <c r="E66">
        <v>30.8</v>
      </c>
      <c r="F66">
        <v>15</v>
      </c>
      <c r="G66">
        <v>16.399999999999999</v>
      </c>
      <c r="H66">
        <v>31.4</v>
      </c>
      <c r="I66" t="s">
        <v>344</v>
      </c>
      <c r="J66">
        <v>84.81</v>
      </c>
      <c r="K66">
        <v>-3.77</v>
      </c>
      <c r="L66" t="s">
        <v>346</v>
      </c>
      <c r="M66" s="1">
        <v>3.7699999999999997E-2</v>
      </c>
      <c r="N66" t="s">
        <v>350</v>
      </c>
      <c r="O66">
        <v>4.04</v>
      </c>
      <c r="P66" t="s">
        <v>343</v>
      </c>
      <c r="Q66">
        <v>-0.34</v>
      </c>
      <c r="R66" t="s">
        <v>343</v>
      </c>
      <c r="S66">
        <v>1</v>
      </c>
    </row>
    <row r="67" spans="1:19" x14ac:dyDescent="0.25">
      <c r="A67" t="s">
        <v>20</v>
      </c>
      <c r="B67" t="s">
        <v>69</v>
      </c>
      <c r="C67">
        <v>260</v>
      </c>
      <c r="D67" t="s">
        <v>340</v>
      </c>
      <c r="E67">
        <v>30.8</v>
      </c>
      <c r="F67">
        <v>14.89</v>
      </c>
      <c r="G67">
        <v>15.5</v>
      </c>
      <c r="H67">
        <v>30.39</v>
      </c>
      <c r="I67" t="s">
        <v>343</v>
      </c>
      <c r="J67">
        <v>84.05</v>
      </c>
      <c r="K67">
        <v>-3.84</v>
      </c>
      <c r="L67" t="s">
        <v>346</v>
      </c>
      <c r="M67" s="1">
        <v>3.8399999999999997E-2</v>
      </c>
      <c r="N67" t="s">
        <v>350</v>
      </c>
      <c r="O67">
        <v>3.19</v>
      </c>
      <c r="P67" t="s">
        <v>344</v>
      </c>
      <c r="Q67">
        <v>0.75</v>
      </c>
      <c r="R67" t="s">
        <v>343</v>
      </c>
      <c r="S67">
        <v>1</v>
      </c>
    </row>
    <row r="68" spans="1:19" x14ac:dyDescent="0.25">
      <c r="A68" t="s">
        <v>20</v>
      </c>
      <c r="B68" t="s">
        <v>70</v>
      </c>
      <c r="C68">
        <v>280</v>
      </c>
      <c r="D68" t="s">
        <v>340</v>
      </c>
      <c r="E68">
        <v>30.8</v>
      </c>
      <c r="F68">
        <v>15.59</v>
      </c>
      <c r="G68">
        <v>14.72</v>
      </c>
      <c r="H68">
        <v>30.31</v>
      </c>
      <c r="I68" t="s">
        <v>343</v>
      </c>
      <c r="J68">
        <v>83.37</v>
      </c>
      <c r="K68">
        <v>-3.38</v>
      </c>
      <c r="L68" t="s">
        <v>346</v>
      </c>
      <c r="M68" s="1">
        <v>3.3799999999999997E-2</v>
      </c>
      <c r="N68" t="s">
        <v>350</v>
      </c>
      <c r="O68">
        <v>0.82</v>
      </c>
      <c r="P68" t="s">
        <v>343</v>
      </c>
      <c r="Q68">
        <v>1.93</v>
      </c>
      <c r="R68" t="s">
        <v>343</v>
      </c>
      <c r="S68">
        <v>1</v>
      </c>
    </row>
    <row r="69" spans="1:19" x14ac:dyDescent="0.25">
      <c r="A69" t="s">
        <v>20</v>
      </c>
      <c r="B69" t="s">
        <v>71</v>
      </c>
      <c r="C69">
        <v>300</v>
      </c>
      <c r="D69" t="s">
        <v>340</v>
      </c>
      <c r="E69">
        <v>30.8</v>
      </c>
      <c r="F69">
        <v>16.350000000000001</v>
      </c>
      <c r="G69">
        <v>15.5</v>
      </c>
      <c r="H69">
        <v>31.85</v>
      </c>
      <c r="I69" t="s">
        <v>344</v>
      </c>
      <c r="J69">
        <v>82.82</v>
      </c>
      <c r="K69">
        <v>-2.75</v>
      </c>
      <c r="L69" t="s">
        <v>346</v>
      </c>
      <c r="M69" s="1">
        <v>2.75E-2</v>
      </c>
      <c r="N69" t="s">
        <v>350</v>
      </c>
      <c r="O69">
        <v>0.81</v>
      </c>
      <c r="P69" t="s">
        <v>343</v>
      </c>
      <c r="Q69">
        <v>0.87</v>
      </c>
      <c r="R69" t="s">
        <v>343</v>
      </c>
      <c r="S69">
        <v>1</v>
      </c>
    </row>
    <row r="70" spans="1:19" x14ac:dyDescent="0.25">
      <c r="A70" t="s">
        <v>20</v>
      </c>
      <c r="B70" t="s">
        <v>72</v>
      </c>
      <c r="C70">
        <v>320</v>
      </c>
      <c r="D70" t="s">
        <v>340</v>
      </c>
      <c r="E70">
        <v>30.8</v>
      </c>
      <c r="F70">
        <v>14.66</v>
      </c>
      <c r="G70">
        <v>15.51</v>
      </c>
      <c r="H70">
        <v>30.18</v>
      </c>
      <c r="I70" t="s">
        <v>343</v>
      </c>
      <c r="J70">
        <v>82.56</v>
      </c>
      <c r="K70">
        <v>-1.3</v>
      </c>
      <c r="L70" t="s">
        <v>346</v>
      </c>
      <c r="M70" s="1">
        <v>1.2999999999999999E-2</v>
      </c>
      <c r="N70" t="s">
        <v>349</v>
      </c>
      <c r="O70">
        <v>1.27</v>
      </c>
      <c r="P70" t="s">
        <v>343</v>
      </c>
      <c r="Q70">
        <v>0.8</v>
      </c>
      <c r="R70" t="s">
        <v>343</v>
      </c>
      <c r="S70">
        <v>1</v>
      </c>
    </row>
    <row r="71" spans="1:19" x14ac:dyDescent="0.25">
      <c r="A71" t="s">
        <v>20</v>
      </c>
      <c r="B71" t="s">
        <v>73</v>
      </c>
      <c r="C71">
        <v>340</v>
      </c>
      <c r="D71" t="s">
        <v>340</v>
      </c>
      <c r="E71">
        <v>30.8</v>
      </c>
      <c r="F71">
        <v>13.11</v>
      </c>
      <c r="G71">
        <v>16.28</v>
      </c>
      <c r="H71">
        <v>29.38</v>
      </c>
      <c r="I71" t="s">
        <v>343</v>
      </c>
      <c r="J71">
        <v>82.27</v>
      </c>
      <c r="K71">
        <v>-1.45</v>
      </c>
      <c r="L71" t="s">
        <v>346</v>
      </c>
      <c r="M71" s="1">
        <v>1.4500000000000001E-2</v>
      </c>
      <c r="N71" t="s">
        <v>349</v>
      </c>
      <c r="O71">
        <v>1.43</v>
      </c>
      <c r="P71" t="s">
        <v>343</v>
      </c>
      <c r="Q71">
        <v>-0.08</v>
      </c>
      <c r="R71" t="s">
        <v>343</v>
      </c>
      <c r="S71">
        <v>1</v>
      </c>
    </row>
    <row r="72" spans="1:19" x14ac:dyDescent="0.25">
      <c r="A72" t="s">
        <v>20</v>
      </c>
      <c r="B72" t="s">
        <v>74</v>
      </c>
      <c r="C72">
        <v>360</v>
      </c>
      <c r="D72" t="s">
        <v>340</v>
      </c>
      <c r="E72">
        <v>30.8</v>
      </c>
      <c r="F72">
        <v>12.33</v>
      </c>
      <c r="G72">
        <v>14.73</v>
      </c>
      <c r="H72">
        <v>27.06</v>
      </c>
      <c r="I72" t="s">
        <v>343</v>
      </c>
      <c r="J72">
        <v>82.2</v>
      </c>
      <c r="K72">
        <v>-0.32</v>
      </c>
      <c r="L72" t="s">
        <v>346</v>
      </c>
      <c r="M72" s="1">
        <v>3.2000000000000002E-3</v>
      </c>
      <c r="N72" t="s">
        <v>349</v>
      </c>
      <c r="O72">
        <v>1.7</v>
      </c>
      <c r="P72" t="s">
        <v>343</v>
      </c>
      <c r="Q72">
        <v>0.19</v>
      </c>
      <c r="R72" t="s">
        <v>343</v>
      </c>
      <c r="S72">
        <v>1</v>
      </c>
    </row>
    <row r="73" spans="1:19" x14ac:dyDescent="0.25">
      <c r="A73" t="s">
        <v>20</v>
      </c>
      <c r="B73" t="s">
        <v>75</v>
      </c>
      <c r="C73">
        <v>380</v>
      </c>
      <c r="D73" t="s">
        <v>340</v>
      </c>
      <c r="E73">
        <v>30.8</v>
      </c>
      <c r="F73">
        <v>11.34</v>
      </c>
      <c r="G73">
        <v>15.66</v>
      </c>
      <c r="H73">
        <v>27.01</v>
      </c>
      <c r="I73" t="s">
        <v>343</v>
      </c>
      <c r="J73">
        <v>82.2</v>
      </c>
      <c r="K73">
        <v>-0.01</v>
      </c>
      <c r="L73" t="s">
        <v>346</v>
      </c>
      <c r="M73" s="1">
        <v>1E-4</v>
      </c>
      <c r="N73" t="s">
        <v>349</v>
      </c>
      <c r="O73">
        <v>2.84</v>
      </c>
      <c r="P73" t="s">
        <v>344</v>
      </c>
      <c r="Q73">
        <v>-0.31</v>
      </c>
      <c r="R73" t="s">
        <v>343</v>
      </c>
      <c r="S73">
        <v>1</v>
      </c>
    </row>
    <row r="74" spans="1:19" x14ac:dyDescent="0.25">
      <c r="A74" t="s">
        <v>20</v>
      </c>
      <c r="B74" t="s">
        <v>76</v>
      </c>
      <c r="C74">
        <v>400</v>
      </c>
      <c r="D74" t="s">
        <v>340</v>
      </c>
      <c r="E74">
        <v>30.8</v>
      </c>
      <c r="F74">
        <v>11.86</v>
      </c>
      <c r="G74">
        <v>16.89</v>
      </c>
      <c r="H74">
        <v>28.75</v>
      </c>
      <c r="I74" t="s">
        <v>343</v>
      </c>
      <c r="J74">
        <v>82.13</v>
      </c>
      <c r="K74">
        <v>-0.34</v>
      </c>
      <c r="L74" t="s">
        <v>346</v>
      </c>
      <c r="M74" s="1">
        <v>3.3999999999999998E-3</v>
      </c>
      <c r="N74" t="s">
        <v>349</v>
      </c>
      <c r="O74">
        <v>2.23</v>
      </c>
      <c r="P74" t="s">
        <v>344</v>
      </c>
      <c r="Q74">
        <v>-1.64</v>
      </c>
      <c r="R74" t="s">
        <v>343</v>
      </c>
      <c r="S74">
        <v>1</v>
      </c>
    </row>
    <row r="75" spans="1:19" x14ac:dyDescent="0.25">
      <c r="A75" t="s">
        <v>20</v>
      </c>
      <c r="B75" t="s">
        <v>77</v>
      </c>
      <c r="C75">
        <v>420</v>
      </c>
      <c r="D75" t="s">
        <v>340</v>
      </c>
      <c r="E75">
        <v>30.8</v>
      </c>
      <c r="F75">
        <v>12.72</v>
      </c>
      <c r="G75">
        <v>17.100000000000001</v>
      </c>
      <c r="H75">
        <v>29.82</v>
      </c>
      <c r="I75" t="s">
        <v>343</v>
      </c>
      <c r="J75">
        <v>82.14</v>
      </c>
      <c r="K75">
        <v>0.01</v>
      </c>
      <c r="L75" t="s">
        <v>346</v>
      </c>
      <c r="M75" s="1">
        <v>1E-4</v>
      </c>
      <c r="N75" t="s">
        <v>349</v>
      </c>
      <c r="O75">
        <v>3.55</v>
      </c>
      <c r="P75" t="s">
        <v>344</v>
      </c>
      <c r="Q75">
        <v>-2.14</v>
      </c>
      <c r="R75" t="s">
        <v>344</v>
      </c>
      <c r="S75">
        <v>1</v>
      </c>
    </row>
    <row r="76" spans="1:19" x14ac:dyDescent="0.25">
      <c r="A76" t="s">
        <v>20</v>
      </c>
      <c r="B76" t="s">
        <v>78</v>
      </c>
      <c r="C76">
        <v>440</v>
      </c>
      <c r="D76" t="s">
        <v>340</v>
      </c>
      <c r="E76">
        <v>30.8</v>
      </c>
      <c r="F76">
        <v>12.75</v>
      </c>
      <c r="G76">
        <v>16</v>
      </c>
      <c r="H76">
        <v>28.75</v>
      </c>
      <c r="I76" t="s">
        <v>343</v>
      </c>
      <c r="J76">
        <v>82.07</v>
      </c>
      <c r="K76">
        <v>-0.33</v>
      </c>
      <c r="L76" t="s">
        <v>346</v>
      </c>
      <c r="M76" s="1">
        <v>3.3E-3</v>
      </c>
      <c r="N76" t="s">
        <v>349</v>
      </c>
      <c r="O76">
        <v>5.13</v>
      </c>
      <c r="P76" t="s">
        <v>343</v>
      </c>
      <c r="Q76">
        <v>-3.45</v>
      </c>
      <c r="R76" t="s">
        <v>344</v>
      </c>
      <c r="S76">
        <v>1</v>
      </c>
    </row>
    <row r="77" spans="1:19" x14ac:dyDescent="0.25">
      <c r="A77" t="s">
        <v>20</v>
      </c>
      <c r="B77" t="s">
        <v>79</v>
      </c>
      <c r="C77">
        <v>460</v>
      </c>
      <c r="D77" t="s">
        <v>340</v>
      </c>
      <c r="E77">
        <v>30.8</v>
      </c>
      <c r="F77">
        <v>12.58</v>
      </c>
      <c r="G77">
        <v>16.43</v>
      </c>
      <c r="H77">
        <v>29</v>
      </c>
      <c r="I77" t="s">
        <v>343</v>
      </c>
      <c r="J77">
        <v>82.04</v>
      </c>
      <c r="K77">
        <v>-0.13</v>
      </c>
      <c r="L77" t="s">
        <v>346</v>
      </c>
      <c r="M77" s="1">
        <v>1.2999999999999999E-3</v>
      </c>
      <c r="N77" t="s">
        <v>349</v>
      </c>
      <c r="O77">
        <v>6.39</v>
      </c>
      <c r="P77" t="s">
        <v>343</v>
      </c>
      <c r="Q77">
        <v>-3.25</v>
      </c>
      <c r="R77" t="s">
        <v>344</v>
      </c>
      <c r="S77">
        <v>1</v>
      </c>
    </row>
    <row r="78" spans="1:19" x14ac:dyDescent="0.25">
      <c r="A78" t="s">
        <v>20</v>
      </c>
      <c r="B78" t="s">
        <v>80</v>
      </c>
      <c r="C78">
        <v>480</v>
      </c>
      <c r="D78" t="s">
        <v>340</v>
      </c>
      <c r="E78">
        <v>30.8</v>
      </c>
      <c r="F78">
        <v>13.49</v>
      </c>
      <c r="G78">
        <v>15.73</v>
      </c>
      <c r="H78">
        <v>29.22</v>
      </c>
      <c r="I78" t="s">
        <v>343</v>
      </c>
      <c r="J78">
        <v>82.23</v>
      </c>
      <c r="K78">
        <v>0.93</v>
      </c>
      <c r="L78" t="s">
        <v>346</v>
      </c>
      <c r="M78" s="1">
        <v>9.300000000000001E-3</v>
      </c>
      <c r="N78" t="s">
        <v>349</v>
      </c>
      <c r="O78">
        <v>6.21</v>
      </c>
      <c r="P78" t="s">
        <v>343</v>
      </c>
      <c r="Q78">
        <v>-2.65</v>
      </c>
      <c r="R78" t="s">
        <v>344</v>
      </c>
      <c r="S78">
        <v>1</v>
      </c>
    </row>
    <row r="79" spans="1:19" x14ac:dyDescent="0.25">
      <c r="A79" t="s">
        <v>20</v>
      </c>
      <c r="B79" t="s">
        <v>81</v>
      </c>
      <c r="C79">
        <v>500</v>
      </c>
      <c r="D79" t="s">
        <v>340</v>
      </c>
      <c r="E79">
        <v>30.8</v>
      </c>
      <c r="F79">
        <v>16.25</v>
      </c>
      <c r="G79">
        <v>13.47</v>
      </c>
      <c r="H79">
        <v>29.71</v>
      </c>
      <c r="I79" t="s">
        <v>343</v>
      </c>
      <c r="J79">
        <v>82.58</v>
      </c>
      <c r="K79">
        <v>1.74</v>
      </c>
      <c r="L79" t="s">
        <v>346</v>
      </c>
      <c r="M79" s="1">
        <v>1.7399999999999999E-2</v>
      </c>
      <c r="N79" t="s">
        <v>349</v>
      </c>
      <c r="O79">
        <v>5.75</v>
      </c>
      <c r="P79" t="s">
        <v>343</v>
      </c>
      <c r="Q79">
        <v>-2.31</v>
      </c>
      <c r="R79" t="s">
        <v>344</v>
      </c>
      <c r="S79">
        <v>1</v>
      </c>
    </row>
    <row r="80" spans="1:19" x14ac:dyDescent="0.25">
      <c r="A80" t="s">
        <v>20</v>
      </c>
      <c r="B80" t="s">
        <v>82</v>
      </c>
      <c r="C80">
        <v>520</v>
      </c>
      <c r="D80" t="s">
        <v>340</v>
      </c>
      <c r="E80">
        <v>30.8</v>
      </c>
      <c r="F80">
        <v>17.32</v>
      </c>
      <c r="G80">
        <v>13.29</v>
      </c>
      <c r="H80">
        <v>30.61</v>
      </c>
      <c r="I80" t="s">
        <v>343</v>
      </c>
      <c r="J80">
        <v>82.71</v>
      </c>
      <c r="K80">
        <v>0.67</v>
      </c>
      <c r="L80" t="s">
        <v>346</v>
      </c>
      <c r="M80" s="1">
        <v>6.7000000000000002E-3</v>
      </c>
      <c r="N80" t="s">
        <v>349</v>
      </c>
      <c r="O80">
        <v>4.6500000000000004</v>
      </c>
      <c r="P80" t="s">
        <v>343</v>
      </c>
      <c r="Q80">
        <v>-0.31</v>
      </c>
      <c r="R80" t="s">
        <v>343</v>
      </c>
      <c r="S80">
        <v>1</v>
      </c>
    </row>
    <row r="81" spans="1:19" x14ac:dyDescent="0.25">
      <c r="A81" t="s">
        <v>20</v>
      </c>
      <c r="B81" t="s">
        <v>83</v>
      </c>
      <c r="C81">
        <v>540</v>
      </c>
      <c r="D81" t="s">
        <v>340</v>
      </c>
      <c r="E81">
        <v>30.8</v>
      </c>
      <c r="F81">
        <v>17.95</v>
      </c>
      <c r="G81">
        <v>13.05</v>
      </c>
      <c r="H81">
        <v>31</v>
      </c>
      <c r="I81" t="s">
        <v>344</v>
      </c>
      <c r="J81">
        <v>82.87</v>
      </c>
      <c r="K81">
        <v>0.82</v>
      </c>
      <c r="L81" t="s">
        <v>346</v>
      </c>
      <c r="M81" s="1">
        <v>8.199999999999999E-3</v>
      </c>
      <c r="N81" t="s">
        <v>349</v>
      </c>
      <c r="O81">
        <v>5.05</v>
      </c>
      <c r="P81" t="s">
        <v>343</v>
      </c>
      <c r="Q81">
        <v>-0.17</v>
      </c>
      <c r="R81" t="s">
        <v>343</v>
      </c>
      <c r="S81">
        <v>1</v>
      </c>
    </row>
    <row r="82" spans="1:19" x14ac:dyDescent="0.25">
      <c r="A82" t="s">
        <v>20</v>
      </c>
      <c r="B82" t="s">
        <v>84</v>
      </c>
      <c r="C82">
        <v>560</v>
      </c>
      <c r="D82" t="s">
        <v>340</v>
      </c>
      <c r="E82">
        <v>30.8</v>
      </c>
      <c r="F82">
        <v>18.309999999999999</v>
      </c>
      <c r="G82">
        <v>13.26</v>
      </c>
      <c r="H82">
        <v>31.57</v>
      </c>
      <c r="I82" t="s">
        <v>344</v>
      </c>
      <c r="J82">
        <v>82.6</v>
      </c>
      <c r="K82">
        <v>-1.34</v>
      </c>
      <c r="L82" t="s">
        <v>346</v>
      </c>
      <c r="M82" s="1">
        <v>1.34E-2</v>
      </c>
      <c r="N82" t="s">
        <v>349</v>
      </c>
      <c r="O82">
        <v>3.21</v>
      </c>
      <c r="P82" t="s">
        <v>344</v>
      </c>
      <c r="Q82">
        <v>-0.37</v>
      </c>
      <c r="R82" t="s">
        <v>343</v>
      </c>
      <c r="S82">
        <v>1</v>
      </c>
    </row>
    <row r="83" spans="1:19" x14ac:dyDescent="0.25">
      <c r="A83" t="s">
        <v>20</v>
      </c>
      <c r="B83" t="s">
        <v>85</v>
      </c>
      <c r="C83">
        <v>580</v>
      </c>
      <c r="D83" t="s">
        <v>340</v>
      </c>
      <c r="E83">
        <v>30.8</v>
      </c>
      <c r="F83">
        <v>18.309999999999999</v>
      </c>
      <c r="G83">
        <v>13.04</v>
      </c>
      <c r="H83">
        <v>31.35</v>
      </c>
      <c r="I83" t="s">
        <v>344</v>
      </c>
      <c r="J83">
        <v>82.13</v>
      </c>
      <c r="K83">
        <v>-2.34</v>
      </c>
      <c r="L83" t="s">
        <v>346</v>
      </c>
      <c r="M83" s="1">
        <v>2.3400000000000001E-2</v>
      </c>
      <c r="N83" t="s">
        <v>350</v>
      </c>
      <c r="O83">
        <v>2.2200000000000002</v>
      </c>
      <c r="P83" t="s">
        <v>344</v>
      </c>
      <c r="Q83">
        <v>-0.09</v>
      </c>
      <c r="R83" t="s">
        <v>343</v>
      </c>
      <c r="S83">
        <v>1</v>
      </c>
    </row>
    <row r="84" spans="1:19" x14ac:dyDescent="0.25">
      <c r="A84" t="s">
        <v>20</v>
      </c>
      <c r="B84" t="s">
        <v>86</v>
      </c>
      <c r="C84">
        <v>600</v>
      </c>
      <c r="D84" t="s">
        <v>340</v>
      </c>
      <c r="E84">
        <v>30.8</v>
      </c>
      <c r="F84">
        <v>18.309999999999999</v>
      </c>
      <c r="G84">
        <v>14.63</v>
      </c>
      <c r="H84">
        <v>32.950000000000003</v>
      </c>
      <c r="I84" t="s">
        <v>344</v>
      </c>
      <c r="J84">
        <v>81.93</v>
      </c>
      <c r="K84">
        <v>-1.04</v>
      </c>
      <c r="L84" t="s">
        <v>346</v>
      </c>
      <c r="M84" s="1">
        <v>1.04E-2</v>
      </c>
      <c r="N84" t="s">
        <v>349</v>
      </c>
      <c r="O84">
        <v>2.2000000000000002</v>
      </c>
      <c r="P84" t="s">
        <v>344</v>
      </c>
      <c r="Q84">
        <v>0.75</v>
      </c>
      <c r="R84" t="s">
        <v>343</v>
      </c>
      <c r="S84">
        <v>1</v>
      </c>
    </row>
    <row r="85" spans="1:19" x14ac:dyDescent="0.25">
      <c r="A85" t="s">
        <v>20</v>
      </c>
      <c r="B85" t="s">
        <v>87</v>
      </c>
      <c r="C85">
        <v>620</v>
      </c>
      <c r="D85" t="s">
        <v>340</v>
      </c>
      <c r="E85">
        <v>30.8</v>
      </c>
      <c r="F85">
        <v>18.12</v>
      </c>
      <c r="G85">
        <v>15.59</v>
      </c>
      <c r="H85">
        <v>33.71</v>
      </c>
      <c r="I85" t="s">
        <v>344</v>
      </c>
      <c r="J85">
        <v>81.790000000000006</v>
      </c>
      <c r="K85">
        <v>-0.71</v>
      </c>
      <c r="L85" t="s">
        <v>346</v>
      </c>
      <c r="M85" s="1">
        <v>7.1000000000000004E-3</v>
      </c>
      <c r="N85" t="s">
        <v>349</v>
      </c>
      <c r="O85">
        <v>3.61</v>
      </c>
      <c r="P85" t="s">
        <v>344</v>
      </c>
      <c r="Q85">
        <v>-0.1</v>
      </c>
      <c r="R85" t="s">
        <v>343</v>
      </c>
      <c r="S85">
        <v>1</v>
      </c>
    </row>
    <row r="86" spans="1:19" x14ac:dyDescent="0.25">
      <c r="A86" t="s">
        <v>20</v>
      </c>
      <c r="B86" t="s">
        <v>88</v>
      </c>
      <c r="C86">
        <v>640</v>
      </c>
      <c r="D86" t="s">
        <v>340</v>
      </c>
      <c r="E86">
        <v>30.8</v>
      </c>
      <c r="F86">
        <v>18.170000000000002</v>
      </c>
      <c r="G86">
        <v>16.38</v>
      </c>
      <c r="H86">
        <v>34.549999999999997</v>
      </c>
      <c r="I86" t="s">
        <v>344</v>
      </c>
      <c r="J86">
        <v>81.56</v>
      </c>
      <c r="K86">
        <v>-1.1399999999999999</v>
      </c>
      <c r="L86" t="s">
        <v>346</v>
      </c>
      <c r="M86" s="1">
        <v>1.14E-2</v>
      </c>
      <c r="N86" t="s">
        <v>349</v>
      </c>
      <c r="O86">
        <v>4.0599999999999996</v>
      </c>
      <c r="P86" t="s">
        <v>343</v>
      </c>
      <c r="Q86">
        <v>-0.73</v>
      </c>
      <c r="R86" t="s">
        <v>343</v>
      </c>
      <c r="S86">
        <v>1</v>
      </c>
    </row>
    <row r="87" spans="1:19" x14ac:dyDescent="0.25">
      <c r="A87" t="s">
        <v>20</v>
      </c>
      <c r="B87" t="s">
        <v>89</v>
      </c>
      <c r="C87">
        <v>660</v>
      </c>
      <c r="D87" t="s">
        <v>340</v>
      </c>
      <c r="E87">
        <v>30.8</v>
      </c>
      <c r="F87">
        <v>18.149999999999999</v>
      </c>
      <c r="G87">
        <v>17.3</v>
      </c>
      <c r="H87">
        <v>35.44</v>
      </c>
      <c r="I87" t="s">
        <v>344</v>
      </c>
      <c r="J87">
        <v>81.349999999999994</v>
      </c>
      <c r="K87">
        <v>-1.05</v>
      </c>
      <c r="L87" t="s">
        <v>346</v>
      </c>
      <c r="M87" s="1">
        <v>1.0500000000000001E-2</v>
      </c>
      <c r="N87" t="s">
        <v>349</v>
      </c>
      <c r="O87">
        <v>3.5</v>
      </c>
      <c r="P87" t="s">
        <v>344</v>
      </c>
      <c r="Q87">
        <v>-1.0900000000000001</v>
      </c>
      <c r="R87" t="s">
        <v>343</v>
      </c>
      <c r="S87">
        <v>1</v>
      </c>
    </row>
    <row r="88" spans="1:19" x14ac:dyDescent="0.25">
      <c r="A88" t="s">
        <v>20</v>
      </c>
      <c r="B88" t="s">
        <v>90</v>
      </c>
      <c r="C88">
        <v>680</v>
      </c>
      <c r="D88" t="s">
        <v>340</v>
      </c>
      <c r="E88">
        <v>30.8</v>
      </c>
      <c r="F88">
        <v>20</v>
      </c>
      <c r="G88">
        <v>20</v>
      </c>
      <c r="H88">
        <v>40</v>
      </c>
      <c r="I88" t="s">
        <v>344</v>
      </c>
      <c r="J88">
        <v>81.069999999999993</v>
      </c>
      <c r="K88">
        <v>-1.41</v>
      </c>
      <c r="L88" t="s">
        <v>346</v>
      </c>
      <c r="M88" s="1">
        <v>1.41E-2</v>
      </c>
      <c r="N88" t="s">
        <v>349</v>
      </c>
      <c r="O88">
        <v>2.48</v>
      </c>
      <c r="P88" t="s">
        <v>344</v>
      </c>
      <c r="Q88">
        <v>-2.4700000000000002</v>
      </c>
      <c r="R88" t="s">
        <v>344</v>
      </c>
      <c r="S88">
        <v>1</v>
      </c>
    </row>
    <row r="89" spans="1:19" x14ac:dyDescent="0.25">
      <c r="A89" t="s">
        <v>20</v>
      </c>
      <c r="B89" t="s">
        <v>91</v>
      </c>
      <c r="C89">
        <v>700</v>
      </c>
      <c r="D89" t="s">
        <v>340</v>
      </c>
      <c r="E89">
        <v>30.8</v>
      </c>
      <c r="F89">
        <v>20</v>
      </c>
      <c r="G89">
        <v>20</v>
      </c>
      <c r="H89">
        <v>40</v>
      </c>
      <c r="I89" t="s">
        <v>344</v>
      </c>
      <c r="J89">
        <v>81.05</v>
      </c>
      <c r="K89">
        <v>-0.09</v>
      </c>
      <c r="L89" t="s">
        <v>346</v>
      </c>
      <c r="M89" s="1">
        <v>8.9999999999999998E-4</v>
      </c>
      <c r="N89" t="s">
        <v>349</v>
      </c>
      <c r="O89">
        <v>3.35</v>
      </c>
      <c r="P89" t="s">
        <v>344</v>
      </c>
      <c r="Q89">
        <v>-3.54</v>
      </c>
      <c r="R89" t="s">
        <v>344</v>
      </c>
      <c r="S89">
        <v>1</v>
      </c>
    </row>
    <row r="90" spans="1:19" x14ac:dyDescent="0.25">
      <c r="A90" t="s">
        <v>20</v>
      </c>
      <c r="B90" t="s">
        <v>92</v>
      </c>
      <c r="C90">
        <v>720</v>
      </c>
      <c r="D90" t="s">
        <v>340</v>
      </c>
      <c r="E90">
        <v>30.8</v>
      </c>
      <c r="F90">
        <v>20</v>
      </c>
      <c r="G90">
        <v>20</v>
      </c>
      <c r="H90">
        <v>40</v>
      </c>
      <c r="I90" t="s">
        <v>344</v>
      </c>
      <c r="J90">
        <v>81.95</v>
      </c>
      <c r="K90">
        <v>4.51</v>
      </c>
      <c r="L90" t="s">
        <v>346</v>
      </c>
      <c r="M90" s="1">
        <v>4.5100000000000001E-2</v>
      </c>
      <c r="N90" t="s">
        <v>350</v>
      </c>
      <c r="O90">
        <v>0.84</v>
      </c>
      <c r="P90" t="s">
        <v>343</v>
      </c>
      <c r="Q90">
        <v>-2.4900000000000002</v>
      </c>
      <c r="R90" t="s">
        <v>344</v>
      </c>
      <c r="S90">
        <v>1</v>
      </c>
    </row>
    <row r="91" spans="1:19" x14ac:dyDescent="0.25">
      <c r="A91" t="s">
        <v>20</v>
      </c>
      <c r="B91" t="s">
        <v>93</v>
      </c>
      <c r="C91">
        <v>740</v>
      </c>
      <c r="D91" t="s">
        <v>340</v>
      </c>
      <c r="E91">
        <v>30.8</v>
      </c>
      <c r="F91">
        <v>20</v>
      </c>
      <c r="G91">
        <v>18.18</v>
      </c>
      <c r="H91">
        <v>38.18</v>
      </c>
      <c r="I91" t="s">
        <v>344</v>
      </c>
      <c r="J91">
        <v>81.94</v>
      </c>
      <c r="K91">
        <v>-0.04</v>
      </c>
      <c r="L91" t="s">
        <v>346</v>
      </c>
      <c r="M91" s="1">
        <v>4.0000000000000002E-4</v>
      </c>
      <c r="N91" t="s">
        <v>349</v>
      </c>
      <c r="O91">
        <v>1.81</v>
      </c>
      <c r="P91" t="s">
        <v>343</v>
      </c>
      <c r="Q91">
        <v>-1.43</v>
      </c>
      <c r="R91" t="s">
        <v>343</v>
      </c>
      <c r="S91">
        <v>1</v>
      </c>
    </row>
    <row r="92" spans="1:19" x14ac:dyDescent="0.25">
      <c r="A92" t="s">
        <v>20</v>
      </c>
      <c r="B92" t="s">
        <v>94</v>
      </c>
      <c r="C92">
        <v>760</v>
      </c>
      <c r="D92" t="s">
        <v>340</v>
      </c>
      <c r="E92">
        <v>30.8</v>
      </c>
      <c r="F92">
        <v>20</v>
      </c>
      <c r="G92">
        <v>15.4</v>
      </c>
      <c r="H92">
        <v>35.4</v>
      </c>
      <c r="I92" t="s">
        <v>344</v>
      </c>
      <c r="J92">
        <v>80.55</v>
      </c>
      <c r="K92">
        <v>-6.97</v>
      </c>
      <c r="L92" t="s">
        <v>346</v>
      </c>
      <c r="M92" s="1">
        <v>6.9699999999999998E-2</v>
      </c>
      <c r="N92" t="s">
        <v>350</v>
      </c>
      <c r="O92">
        <v>2.5299999999999998</v>
      </c>
      <c r="P92" t="s">
        <v>344</v>
      </c>
      <c r="Q92">
        <v>-2.13</v>
      </c>
      <c r="R92" t="s">
        <v>344</v>
      </c>
      <c r="S92">
        <v>1</v>
      </c>
    </row>
    <row r="93" spans="1:19" x14ac:dyDescent="0.25">
      <c r="A93" t="s">
        <v>20</v>
      </c>
      <c r="B93" t="s">
        <v>95</v>
      </c>
      <c r="C93">
        <v>780</v>
      </c>
      <c r="D93" t="s">
        <v>340</v>
      </c>
      <c r="E93">
        <v>30.8</v>
      </c>
      <c r="F93">
        <v>17.510000000000002</v>
      </c>
      <c r="G93">
        <v>14.91</v>
      </c>
      <c r="H93">
        <v>32.42</v>
      </c>
      <c r="I93" t="s">
        <v>344</v>
      </c>
      <c r="J93">
        <v>80.38</v>
      </c>
      <c r="K93">
        <v>-0.84</v>
      </c>
      <c r="L93" t="s">
        <v>346</v>
      </c>
      <c r="M93" s="1">
        <v>8.3999999999999995E-3</v>
      </c>
      <c r="N93" t="s">
        <v>349</v>
      </c>
      <c r="O93">
        <v>4.03</v>
      </c>
      <c r="P93" t="s">
        <v>343</v>
      </c>
      <c r="Q93">
        <v>0.44</v>
      </c>
      <c r="R93" t="s">
        <v>343</v>
      </c>
      <c r="S93">
        <v>1</v>
      </c>
    </row>
    <row r="94" spans="1:19" x14ac:dyDescent="0.25">
      <c r="A94" t="s">
        <v>20</v>
      </c>
      <c r="B94" t="s">
        <v>96</v>
      </c>
      <c r="C94">
        <v>800</v>
      </c>
      <c r="D94" t="s">
        <v>340</v>
      </c>
      <c r="E94">
        <v>30.8</v>
      </c>
      <c r="F94">
        <v>14.84</v>
      </c>
      <c r="G94">
        <v>15.64</v>
      </c>
      <c r="H94">
        <v>30.48</v>
      </c>
      <c r="I94" t="s">
        <v>343</v>
      </c>
      <c r="J94">
        <v>80.19</v>
      </c>
      <c r="K94">
        <v>-0.95</v>
      </c>
      <c r="L94" t="s">
        <v>346</v>
      </c>
      <c r="M94" s="1">
        <v>9.4999999999999998E-3</v>
      </c>
      <c r="N94" t="s">
        <v>349</v>
      </c>
      <c r="O94">
        <v>5.55</v>
      </c>
      <c r="P94" t="s">
        <v>343</v>
      </c>
      <c r="Q94">
        <v>2.17</v>
      </c>
      <c r="R94" t="s">
        <v>344</v>
      </c>
      <c r="S94">
        <v>1</v>
      </c>
    </row>
    <row r="95" spans="1:19" x14ac:dyDescent="0.25">
      <c r="A95" t="s">
        <v>20</v>
      </c>
      <c r="B95" t="s">
        <v>97</v>
      </c>
      <c r="C95">
        <v>820</v>
      </c>
      <c r="D95" t="s">
        <v>340</v>
      </c>
      <c r="E95">
        <v>30.8</v>
      </c>
      <c r="F95">
        <v>14.05</v>
      </c>
      <c r="G95">
        <v>16.350000000000001</v>
      </c>
      <c r="H95">
        <v>30.4</v>
      </c>
      <c r="I95" t="s">
        <v>343</v>
      </c>
      <c r="J95">
        <v>79.36</v>
      </c>
      <c r="K95">
        <v>-4.16</v>
      </c>
      <c r="L95" t="s">
        <v>346</v>
      </c>
      <c r="M95" s="1">
        <v>4.1599999999999998E-2</v>
      </c>
      <c r="N95" t="s">
        <v>350</v>
      </c>
      <c r="O95">
        <v>3.06</v>
      </c>
      <c r="P95" t="s">
        <v>344</v>
      </c>
      <c r="Q95">
        <v>-1.49</v>
      </c>
      <c r="R95" t="s">
        <v>343</v>
      </c>
      <c r="S95">
        <v>1</v>
      </c>
    </row>
    <row r="96" spans="1:19" x14ac:dyDescent="0.25">
      <c r="A96" t="s">
        <v>20</v>
      </c>
      <c r="B96" t="s">
        <v>98</v>
      </c>
      <c r="C96">
        <v>840</v>
      </c>
      <c r="D96" t="s">
        <v>340</v>
      </c>
      <c r="E96">
        <v>30.8</v>
      </c>
      <c r="F96">
        <v>12.46</v>
      </c>
      <c r="G96">
        <v>15.64</v>
      </c>
      <c r="H96">
        <v>28.1</v>
      </c>
      <c r="I96" t="s">
        <v>343</v>
      </c>
      <c r="J96">
        <v>79.099999999999994</v>
      </c>
      <c r="K96">
        <v>-1.27</v>
      </c>
      <c r="L96" t="s">
        <v>346</v>
      </c>
      <c r="M96" s="1">
        <v>1.2699999999999999E-2</v>
      </c>
      <c r="N96" t="s">
        <v>349</v>
      </c>
      <c r="O96">
        <v>3.78</v>
      </c>
      <c r="P96" t="s">
        <v>344</v>
      </c>
      <c r="Q96">
        <v>-3.99</v>
      </c>
      <c r="R96" t="s">
        <v>344</v>
      </c>
      <c r="S96">
        <v>1</v>
      </c>
    </row>
    <row r="97" spans="1:19" x14ac:dyDescent="0.25">
      <c r="A97" t="s">
        <v>20</v>
      </c>
      <c r="B97" t="s">
        <v>99</v>
      </c>
      <c r="C97">
        <v>860</v>
      </c>
      <c r="D97" t="s">
        <v>340</v>
      </c>
      <c r="E97">
        <v>30.8</v>
      </c>
      <c r="F97">
        <v>11.32</v>
      </c>
      <c r="G97">
        <v>12.65</v>
      </c>
      <c r="H97">
        <v>23.98</v>
      </c>
      <c r="I97" t="s">
        <v>343</v>
      </c>
      <c r="J97">
        <v>78.86</v>
      </c>
      <c r="K97">
        <v>-1.22</v>
      </c>
      <c r="L97" t="s">
        <v>346</v>
      </c>
      <c r="M97" s="1">
        <v>1.2200000000000001E-2</v>
      </c>
      <c r="N97" t="s">
        <v>349</v>
      </c>
      <c r="O97">
        <v>4.66</v>
      </c>
      <c r="P97" t="s">
        <v>343</v>
      </c>
      <c r="Q97">
        <v>7.0000000000000007E-2</v>
      </c>
      <c r="R97" t="s">
        <v>343</v>
      </c>
      <c r="S97">
        <v>1</v>
      </c>
    </row>
    <row r="98" spans="1:19" x14ac:dyDescent="0.25">
      <c r="A98" t="s">
        <v>20</v>
      </c>
      <c r="B98" t="s">
        <v>100</v>
      </c>
      <c r="C98">
        <v>880</v>
      </c>
      <c r="D98" t="s">
        <v>340</v>
      </c>
      <c r="E98">
        <v>30.8</v>
      </c>
      <c r="F98">
        <v>11.78</v>
      </c>
      <c r="G98">
        <v>12.65</v>
      </c>
      <c r="H98">
        <v>24.43</v>
      </c>
      <c r="I98" t="s">
        <v>343</v>
      </c>
      <c r="J98">
        <v>78.5</v>
      </c>
      <c r="K98">
        <v>-1.79</v>
      </c>
      <c r="L98" t="s">
        <v>346</v>
      </c>
      <c r="M98" s="1">
        <v>1.7899999999999999E-2</v>
      </c>
      <c r="N98" t="s">
        <v>349</v>
      </c>
      <c r="O98">
        <v>4.1399999999999997</v>
      </c>
      <c r="P98" t="s">
        <v>343</v>
      </c>
      <c r="Q98">
        <v>-0.41</v>
      </c>
      <c r="R98" t="s">
        <v>343</v>
      </c>
      <c r="S98">
        <v>1</v>
      </c>
    </row>
    <row r="99" spans="1:19" x14ac:dyDescent="0.25">
      <c r="A99" t="s">
        <v>20</v>
      </c>
      <c r="B99" t="s">
        <v>101</v>
      </c>
      <c r="C99">
        <v>900</v>
      </c>
      <c r="D99" t="s">
        <v>340</v>
      </c>
      <c r="E99">
        <v>30.8</v>
      </c>
      <c r="F99">
        <v>12.82</v>
      </c>
      <c r="G99">
        <v>12.59</v>
      </c>
      <c r="H99">
        <v>25.4</v>
      </c>
      <c r="I99" t="s">
        <v>343</v>
      </c>
      <c r="J99">
        <v>78.239999999999995</v>
      </c>
      <c r="K99">
        <v>-1.28</v>
      </c>
      <c r="L99" t="s">
        <v>346</v>
      </c>
      <c r="M99" s="1">
        <v>1.2800000000000001E-2</v>
      </c>
      <c r="N99" t="s">
        <v>349</v>
      </c>
      <c r="O99">
        <v>4.67</v>
      </c>
      <c r="P99" t="s">
        <v>343</v>
      </c>
      <c r="Q99">
        <v>-0.84</v>
      </c>
      <c r="R99" t="s">
        <v>343</v>
      </c>
      <c r="S99">
        <v>1</v>
      </c>
    </row>
    <row r="100" spans="1:19" x14ac:dyDescent="0.25">
      <c r="A100" t="s">
        <v>20</v>
      </c>
      <c r="B100" t="s">
        <v>102</v>
      </c>
      <c r="C100">
        <v>920</v>
      </c>
      <c r="D100" t="s">
        <v>340</v>
      </c>
      <c r="E100">
        <v>30.8</v>
      </c>
      <c r="F100">
        <v>14.67</v>
      </c>
      <c r="G100">
        <v>12</v>
      </c>
      <c r="H100">
        <v>26.66</v>
      </c>
      <c r="I100" t="s">
        <v>343</v>
      </c>
      <c r="J100">
        <v>78.13</v>
      </c>
      <c r="K100">
        <v>-0.57999999999999996</v>
      </c>
      <c r="L100" t="s">
        <v>346</v>
      </c>
      <c r="M100" s="1">
        <v>5.7999999999999996E-3</v>
      </c>
      <c r="N100" t="s">
        <v>349</v>
      </c>
      <c r="O100">
        <v>4.8099999999999996</v>
      </c>
      <c r="P100" t="s">
        <v>343</v>
      </c>
      <c r="Q100">
        <v>-0.81</v>
      </c>
      <c r="R100" t="s">
        <v>343</v>
      </c>
      <c r="S100">
        <v>1</v>
      </c>
    </row>
    <row r="101" spans="1:19" x14ac:dyDescent="0.25">
      <c r="A101" t="s">
        <v>20</v>
      </c>
      <c r="B101" t="s">
        <v>103</v>
      </c>
      <c r="C101">
        <v>940</v>
      </c>
      <c r="D101" t="s">
        <v>340</v>
      </c>
      <c r="E101">
        <v>30.8</v>
      </c>
      <c r="F101">
        <v>15.97</v>
      </c>
      <c r="G101">
        <v>12.45</v>
      </c>
      <c r="H101">
        <v>28.42</v>
      </c>
      <c r="I101" t="s">
        <v>343</v>
      </c>
      <c r="J101">
        <v>78.14</v>
      </c>
      <c r="K101">
        <v>0.04</v>
      </c>
      <c r="L101" t="s">
        <v>346</v>
      </c>
      <c r="M101" s="1">
        <v>4.0000000000000002E-4</v>
      </c>
      <c r="N101" t="s">
        <v>349</v>
      </c>
      <c r="O101">
        <v>6.91</v>
      </c>
      <c r="P101" t="s">
        <v>343</v>
      </c>
      <c r="Q101">
        <v>-0.18</v>
      </c>
      <c r="R101" t="s">
        <v>343</v>
      </c>
      <c r="S101">
        <v>1</v>
      </c>
    </row>
    <row r="102" spans="1:19" x14ac:dyDescent="0.25">
      <c r="A102" t="s">
        <v>20</v>
      </c>
      <c r="B102" t="s">
        <v>104</v>
      </c>
      <c r="C102">
        <v>960</v>
      </c>
      <c r="D102" t="s">
        <v>340</v>
      </c>
      <c r="E102">
        <v>30.8</v>
      </c>
      <c r="F102">
        <v>15.75</v>
      </c>
      <c r="G102">
        <v>13.66</v>
      </c>
      <c r="H102">
        <v>29.41</v>
      </c>
      <c r="I102" t="s">
        <v>343</v>
      </c>
      <c r="J102">
        <v>78.05</v>
      </c>
      <c r="K102">
        <v>-0.42</v>
      </c>
      <c r="L102" t="s">
        <v>346</v>
      </c>
      <c r="M102" s="1">
        <v>4.1999999999999997E-3</v>
      </c>
      <c r="N102" t="s">
        <v>349</v>
      </c>
      <c r="O102">
        <v>6.44</v>
      </c>
      <c r="P102" t="s">
        <v>343</v>
      </c>
      <c r="Q102">
        <v>-0.74</v>
      </c>
      <c r="R102" t="s">
        <v>343</v>
      </c>
      <c r="S102">
        <v>1</v>
      </c>
    </row>
    <row r="103" spans="1:19" x14ac:dyDescent="0.25">
      <c r="A103" t="s">
        <v>20</v>
      </c>
      <c r="B103" t="s">
        <v>105</v>
      </c>
      <c r="C103">
        <v>980</v>
      </c>
      <c r="D103" t="s">
        <v>340</v>
      </c>
      <c r="E103">
        <v>30.8</v>
      </c>
      <c r="F103">
        <v>15.75</v>
      </c>
      <c r="G103">
        <v>14.67</v>
      </c>
      <c r="H103">
        <v>30.42</v>
      </c>
      <c r="I103" t="s">
        <v>343</v>
      </c>
      <c r="J103">
        <v>78.38</v>
      </c>
      <c r="K103">
        <v>1.65</v>
      </c>
      <c r="L103" t="s">
        <v>346</v>
      </c>
      <c r="M103" s="1">
        <v>1.6500000000000001E-2</v>
      </c>
      <c r="N103" t="s">
        <v>349</v>
      </c>
      <c r="O103">
        <v>4.6500000000000004</v>
      </c>
      <c r="P103" t="s">
        <v>343</v>
      </c>
      <c r="Q103">
        <v>-0.96</v>
      </c>
      <c r="R103" t="s">
        <v>343</v>
      </c>
      <c r="S103">
        <v>1</v>
      </c>
    </row>
    <row r="104" spans="1:19" x14ac:dyDescent="0.25">
      <c r="A104" t="s">
        <v>20</v>
      </c>
      <c r="B104" t="s">
        <v>106</v>
      </c>
      <c r="C104">
        <v>1000</v>
      </c>
      <c r="D104" t="s">
        <v>340</v>
      </c>
      <c r="E104">
        <v>30.8</v>
      </c>
      <c r="F104">
        <v>14.72</v>
      </c>
      <c r="G104">
        <v>14.67</v>
      </c>
      <c r="H104">
        <v>29.4</v>
      </c>
      <c r="I104" t="s">
        <v>343</v>
      </c>
      <c r="J104">
        <v>78.53</v>
      </c>
      <c r="K104">
        <v>0.74</v>
      </c>
      <c r="L104" t="s">
        <v>346</v>
      </c>
      <c r="M104" s="1">
        <v>7.4000000000000003E-3</v>
      </c>
      <c r="N104" t="s">
        <v>349</v>
      </c>
      <c r="O104">
        <v>4.13</v>
      </c>
      <c r="P104" t="s">
        <v>343</v>
      </c>
      <c r="Q104">
        <v>7.0000000000000007E-2</v>
      </c>
      <c r="R104" t="s">
        <v>343</v>
      </c>
      <c r="S104">
        <v>1</v>
      </c>
    </row>
    <row r="105" spans="1:19" x14ac:dyDescent="0.25">
      <c r="A105" t="s">
        <v>20</v>
      </c>
      <c r="B105" t="s">
        <v>108</v>
      </c>
      <c r="C105">
        <v>1020</v>
      </c>
      <c r="D105" t="s">
        <v>340</v>
      </c>
      <c r="E105">
        <v>30.8</v>
      </c>
      <c r="F105">
        <v>15.1</v>
      </c>
      <c r="G105">
        <v>15.08</v>
      </c>
      <c r="H105">
        <v>30.18</v>
      </c>
      <c r="I105" t="s">
        <v>343</v>
      </c>
      <c r="J105">
        <v>78.680000000000007</v>
      </c>
      <c r="K105">
        <v>0.76</v>
      </c>
      <c r="L105" t="s">
        <v>346</v>
      </c>
      <c r="M105" s="1">
        <v>7.6E-3</v>
      </c>
      <c r="N105" t="s">
        <v>349</v>
      </c>
      <c r="O105">
        <v>2.67</v>
      </c>
      <c r="P105" t="s">
        <v>344</v>
      </c>
      <c r="Q105">
        <v>1.03</v>
      </c>
      <c r="R105" t="s">
        <v>343</v>
      </c>
      <c r="S105">
        <v>1</v>
      </c>
    </row>
    <row r="106" spans="1:19" x14ac:dyDescent="0.25">
      <c r="A106" t="s">
        <v>20</v>
      </c>
      <c r="B106" t="s">
        <v>109</v>
      </c>
      <c r="C106">
        <v>1040</v>
      </c>
      <c r="D106" t="s">
        <v>340</v>
      </c>
      <c r="E106">
        <v>30.8</v>
      </c>
      <c r="F106">
        <v>14.16</v>
      </c>
      <c r="G106">
        <v>14.94</v>
      </c>
      <c r="H106">
        <v>29.1</v>
      </c>
      <c r="I106" t="s">
        <v>343</v>
      </c>
      <c r="J106">
        <v>78.59</v>
      </c>
      <c r="K106">
        <v>-0.44</v>
      </c>
      <c r="L106" t="s">
        <v>346</v>
      </c>
      <c r="M106" s="1">
        <v>4.4000000000000003E-3</v>
      </c>
      <c r="N106" t="s">
        <v>349</v>
      </c>
      <c r="O106">
        <v>2.7</v>
      </c>
      <c r="P106" t="s">
        <v>344</v>
      </c>
      <c r="Q106">
        <v>1.29</v>
      </c>
      <c r="R106" t="s">
        <v>343</v>
      </c>
      <c r="S106">
        <v>1</v>
      </c>
    </row>
    <row r="107" spans="1:19" x14ac:dyDescent="0.25">
      <c r="A107" t="s">
        <v>20</v>
      </c>
      <c r="B107" t="s">
        <v>110</v>
      </c>
      <c r="C107">
        <v>1060</v>
      </c>
      <c r="D107" t="s">
        <v>340</v>
      </c>
      <c r="E107">
        <v>30.8</v>
      </c>
      <c r="F107">
        <v>14.12</v>
      </c>
      <c r="G107">
        <v>15.8</v>
      </c>
      <c r="H107">
        <v>29.92</v>
      </c>
      <c r="I107" t="s">
        <v>343</v>
      </c>
      <c r="J107">
        <v>78.459999999999994</v>
      </c>
      <c r="K107">
        <v>-0.67</v>
      </c>
      <c r="L107" t="s">
        <v>346</v>
      </c>
      <c r="M107" s="1">
        <v>6.7000000000000002E-3</v>
      </c>
      <c r="N107" t="s">
        <v>349</v>
      </c>
      <c r="O107">
        <v>3.38</v>
      </c>
      <c r="P107" t="s">
        <v>344</v>
      </c>
      <c r="Q107">
        <v>1.64</v>
      </c>
      <c r="R107" t="s">
        <v>343</v>
      </c>
      <c r="S107">
        <v>1</v>
      </c>
    </row>
    <row r="108" spans="1:19" x14ac:dyDescent="0.25">
      <c r="A108" t="s">
        <v>20</v>
      </c>
      <c r="B108" t="s">
        <v>111</v>
      </c>
      <c r="C108">
        <v>1080</v>
      </c>
      <c r="D108" t="s">
        <v>340</v>
      </c>
      <c r="E108">
        <v>30.8</v>
      </c>
      <c r="F108">
        <v>14.94</v>
      </c>
      <c r="G108">
        <v>15.74</v>
      </c>
      <c r="H108">
        <v>30.68</v>
      </c>
      <c r="I108" t="s">
        <v>343</v>
      </c>
      <c r="J108">
        <v>78.39</v>
      </c>
      <c r="K108">
        <v>-0.36</v>
      </c>
      <c r="L108" t="s">
        <v>346</v>
      </c>
      <c r="M108" s="1">
        <v>3.5999999999999999E-3</v>
      </c>
      <c r="N108" t="s">
        <v>349</v>
      </c>
      <c r="O108">
        <v>3.89</v>
      </c>
      <c r="P108" t="s">
        <v>344</v>
      </c>
      <c r="Q108">
        <v>0.8</v>
      </c>
      <c r="R108" t="s">
        <v>343</v>
      </c>
      <c r="S108">
        <v>1</v>
      </c>
    </row>
    <row r="109" spans="1:19" x14ac:dyDescent="0.25">
      <c r="A109" t="s">
        <v>20</v>
      </c>
      <c r="B109" t="s">
        <v>112</v>
      </c>
      <c r="C109">
        <v>1100</v>
      </c>
      <c r="D109" t="s">
        <v>340</v>
      </c>
      <c r="E109">
        <v>30.8</v>
      </c>
      <c r="F109">
        <v>15.81</v>
      </c>
      <c r="G109">
        <v>15.49</v>
      </c>
      <c r="H109">
        <v>31.3</v>
      </c>
      <c r="I109" t="s">
        <v>344</v>
      </c>
      <c r="J109">
        <v>78.319999999999993</v>
      </c>
      <c r="K109">
        <v>-0.36</v>
      </c>
      <c r="L109" t="s">
        <v>346</v>
      </c>
      <c r="M109" s="1">
        <v>3.5999999999999999E-3</v>
      </c>
      <c r="N109" t="s">
        <v>349</v>
      </c>
      <c r="O109">
        <v>3.81</v>
      </c>
      <c r="P109" t="s">
        <v>344</v>
      </c>
      <c r="Q109">
        <v>0.67</v>
      </c>
      <c r="R109" t="s">
        <v>343</v>
      </c>
      <c r="S109">
        <v>1</v>
      </c>
    </row>
    <row r="110" spans="1:19" x14ac:dyDescent="0.25">
      <c r="A110" t="s">
        <v>20</v>
      </c>
      <c r="B110" t="s">
        <v>113</v>
      </c>
      <c r="C110">
        <v>1120</v>
      </c>
      <c r="D110" t="s">
        <v>340</v>
      </c>
      <c r="E110">
        <v>30.8</v>
      </c>
      <c r="F110">
        <v>16.649999999999999</v>
      </c>
      <c r="G110">
        <v>15.74</v>
      </c>
      <c r="H110">
        <v>32.39</v>
      </c>
      <c r="I110" t="s">
        <v>344</v>
      </c>
      <c r="J110">
        <v>78.12</v>
      </c>
      <c r="K110">
        <v>-0.99</v>
      </c>
      <c r="L110" t="s">
        <v>346</v>
      </c>
      <c r="M110" s="1">
        <v>9.8999999999999991E-3</v>
      </c>
      <c r="N110" t="s">
        <v>349</v>
      </c>
      <c r="O110">
        <v>4.3099999999999996</v>
      </c>
      <c r="P110" t="s">
        <v>343</v>
      </c>
      <c r="Q110">
        <v>0.05</v>
      </c>
      <c r="R110" t="s">
        <v>343</v>
      </c>
      <c r="S110">
        <v>1</v>
      </c>
    </row>
    <row r="111" spans="1:19" x14ac:dyDescent="0.25">
      <c r="A111" t="s">
        <v>20</v>
      </c>
      <c r="B111" t="s">
        <v>114</v>
      </c>
      <c r="C111">
        <v>1140</v>
      </c>
      <c r="D111" t="s">
        <v>340</v>
      </c>
      <c r="E111">
        <v>30.8</v>
      </c>
      <c r="F111">
        <v>16.73</v>
      </c>
      <c r="G111">
        <v>15.65</v>
      </c>
      <c r="H111">
        <v>32.380000000000003</v>
      </c>
      <c r="I111" t="s">
        <v>344</v>
      </c>
      <c r="J111">
        <v>77.95</v>
      </c>
      <c r="K111">
        <v>-0.85</v>
      </c>
      <c r="L111" t="s">
        <v>346</v>
      </c>
      <c r="M111" s="1">
        <v>8.5000000000000006E-3</v>
      </c>
      <c r="N111" t="s">
        <v>349</v>
      </c>
      <c r="O111">
        <v>5.25</v>
      </c>
      <c r="P111" t="s">
        <v>343</v>
      </c>
      <c r="Q111">
        <v>-1.02</v>
      </c>
      <c r="R111" t="s">
        <v>343</v>
      </c>
      <c r="S111">
        <v>1</v>
      </c>
    </row>
    <row r="112" spans="1:19" x14ac:dyDescent="0.25">
      <c r="A112" t="s">
        <v>20</v>
      </c>
      <c r="B112" t="s">
        <v>115</v>
      </c>
      <c r="C112">
        <v>1160</v>
      </c>
      <c r="D112" t="s">
        <v>340</v>
      </c>
      <c r="E112">
        <v>30.8</v>
      </c>
      <c r="F112">
        <v>16.97</v>
      </c>
      <c r="G112">
        <v>15.56</v>
      </c>
      <c r="H112">
        <v>32.53</v>
      </c>
      <c r="I112" t="s">
        <v>344</v>
      </c>
      <c r="J112">
        <v>77.66</v>
      </c>
      <c r="K112">
        <v>-1.42</v>
      </c>
      <c r="L112" t="s">
        <v>346</v>
      </c>
      <c r="M112" s="1">
        <v>1.4200000000000001E-2</v>
      </c>
      <c r="N112" t="s">
        <v>349</v>
      </c>
      <c r="O112">
        <v>4.25</v>
      </c>
      <c r="P112" t="s">
        <v>343</v>
      </c>
      <c r="Q112">
        <v>-1.32</v>
      </c>
      <c r="R112" t="s">
        <v>343</v>
      </c>
      <c r="S112">
        <v>1</v>
      </c>
    </row>
    <row r="113" spans="1:19" x14ac:dyDescent="0.25">
      <c r="A113" t="s">
        <v>20</v>
      </c>
      <c r="B113" t="s">
        <v>116</v>
      </c>
      <c r="C113">
        <v>1180</v>
      </c>
      <c r="D113" t="s">
        <v>340</v>
      </c>
      <c r="E113">
        <v>30.8</v>
      </c>
      <c r="F113">
        <v>17.07</v>
      </c>
      <c r="G113">
        <v>16.43</v>
      </c>
      <c r="H113">
        <v>33.49</v>
      </c>
      <c r="I113" t="s">
        <v>344</v>
      </c>
      <c r="J113">
        <v>77.37</v>
      </c>
      <c r="K113">
        <v>-1.48</v>
      </c>
      <c r="L113" t="s">
        <v>346</v>
      </c>
      <c r="M113" s="1">
        <v>1.4800000000000001E-2</v>
      </c>
      <c r="N113" t="s">
        <v>349</v>
      </c>
      <c r="O113">
        <v>3.72</v>
      </c>
      <c r="P113" t="s">
        <v>344</v>
      </c>
      <c r="Q113">
        <v>-0.69</v>
      </c>
      <c r="R113" t="s">
        <v>343</v>
      </c>
      <c r="S113">
        <v>1</v>
      </c>
    </row>
    <row r="114" spans="1:19" x14ac:dyDescent="0.25">
      <c r="A114" t="s">
        <v>20</v>
      </c>
      <c r="B114" t="s">
        <v>117</v>
      </c>
      <c r="C114">
        <v>1200</v>
      </c>
      <c r="D114" t="s">
        <v>340</v>
      </c>
      <c r="E114">
        <v>30.8</v>
      </c>
      <c r="F114">
        <v>17.02</v>
      </c>
      <c r="G114">
        <v>16.43</v>
      </c>
      <c r="H114">
        <v>33.450000000000003</v>
      </c>
      <c r="I114" t="s">
        <v>344</v>
      </c>
      <c r="J114">
        <v>77.08</v>
      </c>
      <c r="K114">
        <v>-1.45</v>
      </c>
      <c r="L114" t="s">
        <v>346</v>
      </c>
      <c r="M114" s="1">
        <v>1.4500000000000001E-2</v>
      </c>
      <c r="N114" t="s">
        <v>349</v>
      </c>
      <c r="O114">
        <v>2.75</v>
      </c>
      <c r="P114" t="s">
        <v>344</v>
      </c>
      <c r="Q114">
        <v>-0.31</v>
      </c>
      <c r="R114" t="s">
        <v>343</v>
      </c>
      <c r="S114">
        <v>1</v>
      </c>
    </row>
    <row r="115" spans="1:19" x14ac:dyDescent="0.25">
      <c r="A115" t="s">
        <v>20</v>
      </c>
      <c r="B115" t="s">
        <v>118</v>
      </c>
      <c r="C115">
        <v>1220</v>
      </c>
      <c r="D115" t="s">
        <v>340</v>
      </c>
      <c r="E115">
        <v>30.8</v>
      </c>
      <c r="F115">
        <v>16.37</v>
      </c>
      <c r="G115">
        <v>16.54</v>
      </c>
      <c r="H115">
        <v>32.909999999999997</v>
      </c>
      <c r="I115" t="s">
        <v>344</v>
      </c>
      <c r="J115">
        <v>76.86</v>
      </c>
      <c r="K115">
        <v>-1.06</v>
      </c>
      <c r="L115" t="s">
        <v>346</v>
      </c>
      <c r="M115" s="1">
        <v>1.06E-2</v>
      </c>
      <c r="N115" t="s">
        <v>349</v>
      </c>
      <c r="O115">
        <v>2.73</v>
      </c>
      <c r="P115" t="s">
        <v>344</v>
      </c>
      <c r="Q115">
        <v>0.5</v>
      </c>
      <c r="R115" t="s">
        <v>343</v>
      </c>
      <c r="S115">
        <v>1</v>
      </c>
    </row>
    <row r="116" spans="1:19" x14ac:dyDescent="0.25">
      <c r="A116" t="s">
        <v>20</v>
      </c>
      <c r="B116" t="s">
        <v>119</v>
      </c>
      <c r="C116">
        <v>1240</v>
      </c>
      <c r="D116" t="s">
        <v>340</v>
      </c>
      <c r="E116">
        <v>30.8</v>
      </c>
      <c r="F116">
        <v>15.81</v>
      </c>
      <c r="G116">
        <v>16.690000000000001</v>
      </c>
      <c r="H116">
        <v>32.5</v>
      </c>
      <c r="I116" t="s">
        <v>344</v>
      </c>
      <c r="J116">
        <v>76.7</v>
      </c>
      <c r="K116">
        <v>-0.84</v>
      </c>
      <c r="L116" t="s">
        <v>346</v>
      </c>
      <c r="M116" s="1">
        <v>8.3999999999999995E-3</v>
      </c>
      <c r="N116" t="s">
        <v>349</v>
      </c>
      <c r="O116">
        <v>2.4700000000000002</v>
      </c>
      <c r="P116" t="s">
        <v>344</v>
      </c>
      <c r="Q116">
        <v>0.09</v>
      </c>
      <c r="R116" t="s">
        <v>343</v>
      </c>
      <c r="S116">
        <v>1</v>
      </c>
    </row>
    <row r="117" spans="1:19" x14ac:dyDescent="0.25">
      <c r="A117" t="s">
        <v>20</v>
      </c>
      <c r="B117" t="s">
        <v>120</v>
      </c>
      <c r="C117">
        <v>1260</v>
      </c>
      <c r="D117" t="s">
        <v>340</v>
      </c>
      <c r="E117">
        <v>30.8</v>
      </c>
      <c r="F117">
        <v>16.27</v>
      </c>
      <c r="G117">
        <v>16.68</v>
      </c>
      <c r="H117">
        <v>32.950000000000003</v>
      </c>
      <c r="I117" t="s">
        <v>344</v>
      </c>
      <c r="J117">
        <v>76.7</v>
      </c>
      <c r="K117">
        <v>0.02</v>
      </c>
      <c r="L117" t="s">
        <v>346</v>
      </c>
      <c r="M117" s="1">
        <v>2.0000000000000001E-4</v>
      </c>
      <c r="N117" t="s">
        <v>349</v>
      </c>
      <c r="O117">
        <v>2.14</v>
      </c>
      <c r="P117" t="s">
        <v>344</v>
      </c>
      <c r="Q117">
        <v>1.01</v>
      </c>
      <c r="R117" t="s">
        <v>343</v>
      </c>
      <c r="S117">
        <v>1</v>
      </c>
    </row>
    <row r="118" spans="1:19" x14ac:dyDescent="0.25">
      <c r="A118" t="s">
        <v>20</v>
      </c>
      <c r="B118" t="s">
        <v>121</v>
      </c>
      <c r="C118">
        <v>1280</v>
      </c>
      <c r="D118" t="s">
        <v>340</v>
      </c>
      <c r="E118">
        <v>30.8</v>
      </c>
      <c r="F118">
        <v>16.32</v>
      </c>
      <c r="G118">
        <v>15.97</v>
      </c>
      <c r="H118">
        <v>32.29</v>
      </c>
      <c r="I118" t="s">
        <v>344</v>
      </c>
      <c r="J118">
        <v>76.959999999999994</v>
      </c>
      <c r="K118">
        <v>1.3</v>
      </c>
      <c r="L118" t="s">
        <v>346</v>
      </c>
      <c r="M118" s="1">
        <v>1.2999999999999999E-2</v>
      </c>
      <c r="N118" t="s">
        <v>349</v>
      </c>
      <c r="O118">
        <v>2.89</v>
      </c>
      <c r="P118" t="s">
        <v>344</v>
      </c>
      <c r="Q118">
        <v>4.0199999999999996</v>
      </c>
      <c r="R118" t="s">
        <v>343</v>
      </c>
      <c r="S118">
        <v>1</v>
      </c>
    </row>
    <row r="119" spans="1:19" x14ac:dyDescent="0.25">
      <c r="A119" t="s">
        <v>20</v>
      </c>
      <c r="B119" t="s">
        <v>122</v>
      </c>
      <c r="C119">
        <v>1289.175</v>
      </c>
      <c r="D119" t="s">
        <v>340</v>
      </c>
      <c r="E119">
        <v>30.8</v>
      </c>
      <c r="F119">
        <v>20</v>
      </c>
      <c r="G119">
        <v>15.27</v>
      </c>
      <c r="H119">
        <v>35.270000000000003</v>
      </c>
      <c r="I119" t="s">
        <v>344</v>
      </c>
      <c r="J119">
        <v>77.069999999999993</v>
      </c>
      <c r="K119">
        <v>1.18</v>
      </c>
      <c r="L119" t="s">
        <v>346</v>
      </c>
      <c r="M119" s="1">
        <v>1.18E-2</v>
      </c>
      <c r="N119" t="s">
        <v>349</v>
      </c>
      <c r="O119">
        <v>1.3</v>
      </c>
      <c r="P119" t="s">
        <v>343</v>
      </c>
      <c r="Q119">
        <v>3.51</v>
      </c>
      <c r="R119" t="s">
        <v>344</v>
      </c>
      <c r="S119">
        <v>0</v>
      </c>
    </row>
    <row r="120" spans="1:19" x14ac:dyDescent="0.25">
      <c r="A120" t="s">
        <v>21</v>
      </c>
      <c r="B120" t="s">
        <v>56</v>
      </c>
      <c r="C120">
        <v>0</v>
      </c>
      <c r="D120" t="s">
        <v>340</v>
      </c>
      <c r="E120">
        <v>30.8</v>
      </c>
      <c r="F120">
        <v>20</v>
      </c>
      <c r="G120">
        <v>20</v>
      </c>
      <c r="H120">
        <v>40</v>
      </c>
      <c r="I120" t="s">
        <v>344</v>
      </c>
      <c r="J120">
        <v>84.93</v>
      </c>
      <c r="L120" t="s">
        <v>345</v>
      </c>
      <c r="N120" t="s">
        <v>345</v>
      </c>
      <c r="O120">
        <v>-0.6</v>
      </c>
      <c r="P120" t="s">
        <v>343</v>
      </c>
      <c r="Q120">
        <v>4.96</v>
      </c>
      <c r="R120" t="s">
        <v>343</v>
      </c>
      <c r="S120">
        <v>1</v>
      </c>
    </row>
    <row r="121" spans="1:19" x14ac:dyDescent="0.25">
      <c r="A121" t="s">
        <v>21</v>
      </c>
      <c r="B121" t="s">
        <v>57</v>
      </c>
      <c r="C121">
        <v>20</v>
      </c>
      <c r="D121" t="s">
        <v>340</v>
      </c>
      <c r="E121">
        <v>30.8</v>
      </c>
      <c r="F121">
        <v>20</v>
      </c>
      <c r="G121">
        <v>20</v>
      </c>
      <c r="H121">
        <v>40</v>
      </c>
      <c r="I121" t="s">
        <v>344</v>
      </c>
      <c r="J121">
        <v>84.42</v>
      </c>
      <c r="K121">
        <v>-2.5499999999999998</v>
      </c>
      <c r="L121" t="s">
        <v>346</v>
      </c>
      <c r="M121" s="1">
        <v>2.5499999999999998E-2</v>
      </c>
      <c r="N121" t="s">
        <v>350</v>
      </c>
      <c r="O121">
        <v>13.03</v>
      </c>
      <c r="P121" t="s">
        <v>343</v>
      </c>
      <c r="Q121">
        <v>3.27</v>
      </c>
      <c r="R121" t="s">
        <v>344</v>
      </c>
      <c r="S121">
        <v>1</v>
      </c>
    </row>
    <row r="122" spans="1:19" x14ac:dyDescent="0.25">
      <c r="A122" t="s">
        <v>21</v>
      </c>
      <c r="B122" t="s">
        <v>58</v>
      </c>
      <c r="C122">
        <v>40</v>
      </c>
      <c r="D122" t="s">
        <v>340</v>
      </c>
      <c r="E122">
        <v>30.8</v>
      </c>
      <c r="F122">
        <v>18.489999999999998</v>
      </c>
      <c r="G122">
        <v>20</v>
      </c>
      <c r="H122">
        <v>38.49</v>
      </c>
      <c r="I122" t="s">
        <v>344</v>
      </c>
      <c r="J122">
        <v>82.03</v>
      </c>
      <c r="K122">
        <v>-11.93</v>
      </c>
      <c r="L122" t="s">
        <v>348</v>
      </c>
      <c r="M122" s="1">
        <v>0.1193</v>
      </c>
      <c r="N122" t="s">
        <v>350</v>
      </c>
      <c r="O122">
        <v>8.5</v>
      </c>
      <c r="P122" t="s">
        <v>343</v>
      </c>
      <c r="Q122">
        <v>2.86</v>
      </c>
      <c r="R122" t="s">
        <v>344</v>
      </c>
      <c r="S122">
        <v>1</v>
      </c>
    </row>
    <row r="123" spans="1:19" x14ac:dyDescent="0.25">
      <c r="A123" t="s">
        <v>21</v>
      </c>
      <c r="B123" t="s">
        <v>59</v>
      </c>
      <c r="C123">
        <v>60</v>
      </c>
      <c r="D123" t="s">
        <v>340</v>
      </c>
      <c r="E123">
        <v>30.8</v>
      </c>
      <c r="F123">
        <v>18.079999999999998</v>
      </c>
      <c r="G123">
        <v>20</v>
      </c>
      <c r="H123">
        <v>38.08</v>
      </c>
      <c r="I123" t="s">
        <v>344</v>
      </c>
      <c r="J123">
        <v>80.84</v>
      </c>
      <c r="K123">
        <v>-5.98</v>
      </c>
      <c r="L123" t="s">
        <v>346</v>
      </c>
      <c r="M123" s="1">
        <v>5.9800000000000013E-2</v>
      </c>
      <c r="N123" t="s">
        <v>350</v>
      </c>
      <c r="O123">
        <v>8.85</v>
      </c>
      <c r="P123" t="s">
        <v>343</v>
      </c>
      <c r="Q123">
        <v>4.66</v>
      </c>
      <c r="R123" t="s">
        <v>343</v>
      </c>
      <c r="S123">
        <v>1</v>
      </c>
    </row>
    <row r="124" spans="1:19" x14ac:dyDescent="0.25">
      <c r="A124" t="s">
        <v>21</v>
      </c>
      <c r="B124" t="s">
        <v>60</v>
      </c>
      <c r="C124">
        <v>80</v>
      </c>
      <c r="D124" t="s">
        <v>340</v>
      </c>
      <c r="E124">
        <v>30.8</v>
      </c>
      <c r="F124">
        <v>17.440000000000001</v>
      </c>
      <c r="G124">
        <v>16.899999999999999</v>
      </c>
      <c r="H124">
        <v>34.340000000000003</v>
      </c>
      <c r="I124" t="s">
        <v>344</v>
      </c>
      <c r="J124">
        <v>79.09</v>
      </c>
      <c r="K124">
        <v>-8.7200000000000006</v>
      </c>
      <c r="L124" t="s">
        <v>347</v>
      </c>
      <c r="M124" s="1">
        <v>8.72E-2</v>
      </c>
      <c r="N124" t="s">
        <v>350</v>
      </c>
      <c r="O124">
        <v>7.28</v>
      </c>
      <c r="P124" t="s">
        <v>343</v>
      </c>
      <c r="Q124">
        <v>6.49</v>
      </c>
      <c r="R124" t="s">
        <v>343</v>
      </c>
      <c r="S124">
        <v>1</v>
      </c>
    </row>
    <row r="125" spans="1:19" x14ac:dyDescent="0.25">
      <c r="A125" t="s">
        <v>21</v>
      </c>
      <c r="B125" t="s">
        <v>61</v>
      </c>
      <c r="C125">
        <v>100</v>
      </c>
      <c r="D125" t="s">
        <v>340</v>
      </c>
      <c r="E125">
        <v>30.8</v>
      </c>
      <c r="F125">
        <v>18.079999999999998</v>
      </c>
      <c r="G125">
        <v>15.98</v>
      </c>
      <c r="H125">
        <v>34.06</v>
      </c>
      <c r="I125" t="s">
        <v>344</v>
      </c>
      <c r="J125">
        <v>76.95</v>
      </c>
      <c r="K125">
        <v>-10.73</v>
      </c>
      <c r="L125" t="s">
        <v>348</v>
      </c>
      <c r="M125" s="1">
        <v>0.10730000000000001</v>
      </c>
      <c r="N125" t="s">
        <v>350</v>
      </c>
      <c r="O125">
        <v>0.19</v>
      </c>
      <c r="P125" t="s">
        <v>343</v>
      </c>
      <c r="Q125">
        <v>6.29</v>
      </c>
      <c r="R125" t="s">
        <v>343</v>
      </c>
      <c r="S125">
        <v>1</v>
      </c>
    </row>
    <row r="126" spans="1:19" x14ac:dyDescent="0.25">
      <c r="A126" t="s">
        <v>21</v>
      </c>
      <c r="B126" t="s">
        <v>62</v>
      </c>
      <c r="C126">
        <v>120</v>
      </c>
      <c r="D126" t="s">
        <v>340</v>
      </c>
      <c r="E126">
        <v>30.8</v>
      </c>
      <c r="F126">
        <v>20</v>
      </c>
      <c r="G126">
        <v>16.579999999999998</v>
      </c>
      <c r="H126">
        <v>36.58</v>
      </c>
      <c r="I126" t="s">
        <v>344</v>
      </c>
      <c r="J126">
        <v>75.819999999999993</v>
      </c>
      <c r="K126">
        <v>-5.65</v>
      </c>
      <c r="L126" t="s">
        <v>346</v>
      </c>
      <c r="M126" s="1">
        <v>5.6500000000000002E-2</v>
      </c>
      <c r="N126" t="s">
        <v>350</v>
      </c>
      <c r="O126">
        <v>0.14000000000000001</v>
      </c>
      <c r="P126" t="s">
        <v>343</v>
      </c>
      <c r="Q126">
        <v>5.59</v>
      </c>
      <c r="R126" t="s">
        <v>343</v>
      </c>
      <c r="S126">
        <v>1</v>
      </c>
    </row>
    <row r="127" spans="1:19" x14ac:dyDescent="0.25">
      <c r="A127" t="s">
        <v>21</v>
      </c>
      <c r="B127" t="s">
        <v>63</v>
      </c>
      <c r="C127">
        <v>140</v>
      </c>
      <c r="D127" t="s">
        <v>340</v>
      </c>
      <c r="E127">
        <v>30.8</v>
      </c>
      <c r="F127">
        <v>20</v>
      </c>
      <c r="G127">
        <v>17.05</v>
      </c>
      <c r="H127">
        <v>37.049999999999997</v>
      </c>
      <c r="I127" t="s">
        <v>344</v>
      </c>
      <c r="J127">
        <v>75.09</v>
      </c>
      <c r="K127">
        <v>-3.65</v>
      </c>
      <c r="L127" t="s">
        <v>346</v>
      </c>
      <c r="M127" s="1">
        <v>3.6499999999999998E-2</v>
      </c>
      <c r="N127" t="s">
        <v>350</v>
      </c>
      <c r="O127">
        <v>0.3</v>
      </c>
      <c r="P127" t="s">
        <v>343</v>
      </c>
      <c r="Q127">
        <v>4.88</v>
      </c>
      <c r="R127" t="s">
        <v>343</v>
      </c>
      <c r="S127">
        <v>1</v>
      </c>
    </row>
    <row r="128" spans="1:19" x14ac:dyDescent="0.25">
      <c r="A128" t="s">
        <v>21</v>
      </c>
      <c r="B128" t="s">
        <v>64</v>
      </c>
      <c r="C128">
        <v>160</v>
      </c>
      <c r="D128" t="s">
        <v>340</v>
      </c>
      <c r="E128">
        <v>30.8</v>
      </c>
      <c r="F128">
        <v>20</v>
      </c>
      <c r="G128">
        <v>20</v>
      </c>
      <c r="H128">
        <v>40</v>
      </c>
      <c r="I128" t="s">
        <v>344</v>
      </c>
      <c r="J128">
        <v>74.39</v>
      </c>
      <c r="K128">
        <v>-3.49</v>
      </c>
      <c r="L128" t="s">
        <v>346</v>
      </c>
      <c r="M128" s="1">
        <v>3.49E-2</v>
      </c>
      <c r="N128" t="s">
        <v>350</v>
      </c>
      <c r="O128">
        <v>0.71</v>
      </c>
      <c r="P128" t="s">
        <v>343</v>
      </c>
      <c r="Q128">
        <v>2.89</v>
      </c>
      <c r="R128" t="s">
        <v>344</v>
      </c>
      <c r="S128">
        <v>1</v>
      </c>
    </row>
    <row r="129" spans="1:19" x14ac:dyDescent="0.25">
      <c r="A129" t="s">
        <v>21</v>
      </c>
      <c r="B129" t="s">
        <v>65</v>
      </c>
      <c r="C129">
        <v>180</v>
      </c>
      <c r="D129" t="s">
        <v>340</v>
      </c>
      <c r="E129">
        <v>30.8</v>
      </c>
      <c r="F129">
        <v>20</v>
      </c>
      <c r="G129">
        <v>20</v>
      </c>
      <c r="H129">
        <v>40</v>
      </c>
      <c r="I129" t="s">
        <v>344</v>
      </c>
      <c r="J129">
        <v>73.849999999999994</v>
      </c>
      <c r="K129">
        <v>-2.7</v>
      </c>
      <c r="L129" t="s">
        <v>346</v>
      </c>
      <c r="M129" s="1">
        <v>2.7E-2</v>
      </c>
      <c r="N129" t="s">
        <v>350</v>
      </c>
      <c r="O129">
        <v>-1.53</v>
      </c>
      <c r="P129" t="s">
        <v>343</v>
      </c>
      <c r="Q129">
        <v>4.18</v>
      </c>
      <c r="R129" t="s">
        <v>343</v>
      </c>
      <c r="S129">
        <v>1</v>
      </c>
    </row>
    <row r="130" spans="1:19" x14ac:dyDescent="0.25">
      <c r="A130" t="s">
        <v>21</v>
      </c>
      <c r="B130" t="s">
        <v>66</v>
      </c>
      <c r="C130">
        <v>200</v>
      </c>
      <c r="D130" t="s">
        <v>340</v>
      </c>
      <c r="E130">
        <v>30.8</v>
      </c>
      <c r="F130">
        <v>20</v>
      </c>
      <c r="G130">
        <v>20</v>
      </c>
      <c r="H130">
        <v>40</v>
      </c>
      <c r="I130" t="s">
        <v>344</v>
      </c>
      <c r="J130">
        <v>73.56</v>
      </c>
      <c r="K130">
        <v>-1.47</v>
      </c>
      <c r="L130" t="s">
        <v>346</v>
      </c>
      <c r="M130" s="1">
        <v>1.47E-2</v>
      </c>
      <c r="N130" t="s">
        <v>349</v>
      </c>
      <c r="O130">
        <v>-1.1399999999999999</v>
      </c>
      <c r="P130" t="s">
        <v>343</v>
      </c>
      <c r="Q130">
        <v>5.8</v>
      </c>
      <c r="R130" t="s">
        <v>343</v>
      </c>
      <c r="S130">
        <v>1</v>
      </c>
    </row>
    <row r="131" spans="1:19" x14ac:dyDescent="0.25">
      <c r="A131" t="s">
        <v>21</v>
      </c>
      <c r="B131" t="s">
        <v>67</v>
      </c>
      <c r="C131">
        <v>220</v>
      </c>
      <c r="D131" t="s">
        <v>340</v>
      </c>
      <c r="E131">
        <v>30.8</v>
      </c>
      <c r="F131">
        <v>20</v>
      </c>
      <c r="G131">
        <v>20</v>
      </c>
      <c r="H131">
        <v>40</v>
      </c>
      <c r="I131" t="s">
        <v>344</v>
      </c>
      <c r="J131">
        <v>73.08</v>
      </c>
      <c r="K131">
        <v>-2.39</v>
      </c>
      <c r="L131" t="s">
        <v>346</v>
      </c>
      <c r="M131" s="1">
        <v>2.3900000000000001E-2</v>
      </c>
      <c r="N131" t="s">
        <v>350</v>
      </c>
      <c r="O131">
        <v>-1.22</v>
      </c>
      <c r="P131" t="s">
        <v>343</v>
      </c>
      <c r="Q131">
        <v>5.96</v>
      </c>
      <c r="R131" t="s">
        <v>343</v>
      </c>
      <c r="S131">
        <v>1</v>
      </c>
    </row>
    <row r="132" spans="1:19" x14ac:dyDescent="0.25">
      <c r="A132" t="s">
        <v>21</v>
      </c>
      <c r="B132" t="s">
        <v>68</v>
      </c>
      <c r="C132">
        <v>240</v>
      </c>
      <c r="D132" t="s">
        <v>340</v>
      </c>
      <c r="E132">
        <v>30.8</v>
      </c>
      <c r="F132">
        <v>20</v>
      </c>
      <c r="G132">
        <v>20</v>
      </c>
      <c r="H132">
        <v>40</v>
      </c>
      <c r="I132" t="s">
        <v>344</v>
      </c>
      <c r="J132">
        <v>72.56</v>
      </c>
      <c r="K132">
        <v>-2.61</v>
      </c>
      <c r="L132" t="s">
        <v>346</v>
      </c>
      <c r="M132" s="1">
        <v>2.6100000000000002E-2</v>
      </c>
      <c r="N132" t="s">
        <v>350</v>
      </c>
      <c r="O132">
        <v>-1.51</v>
      </c>
      <c r="P132" t="s">
        <v>343</v>
      </c>
      <c r="Q132">
        <v>5.19</v>
      </c>
      <c r="R132" t="s">
        <v>343</v>
      </c>
      <c r="S132">
        <v>1</v>
      </c>
    </row>
    <row r="133" spans="1:19" x14ac:dyDescent="0.25">
      <c r="A133" t="s">
        <v>21</v>
      </c>
      <c r="B133" t="s">
        <v>69</v>
      </c>
      <c r="C133">
        <v>260</v>
      </c>
      <c r="D133" t="s">
        <v>340</v>
      </c>
      <c r="E133">
        <v>30.8</v>
      </c>
      <c r="F133">
        <v>20</v>
      </c>
      <c r="G133">
        <v>20</v>
      </c>
      <c r="H133">
        <v>40</v>
      </c>
      <c r="I133" t="s">
        <v>344</v>
      </c>
      <c r="J133">
        <v>72.09</v>
      </c>
      <c r="K133">
        <v>-2.33</v>
      </c>
      <c r="L133" t="s">
        <v>346</v>
      </c>
      <c r="M133" s="1">
        <v>2.3300000000000001E-2</v>
      </c>
      <c r="N133" t="s">
        <v>350</v>
      </c>
      <c r="O133">
        <v>-0.94</v>
      </c>
      <c r="P133" t="s">
        <v>343</v>
      </c>
      <c r="Q133">
        <v>4.58</v>
      </c>
      <c r="R133" t="s">
        <v>343</v>
      </c>
      <c r="S133">
        <v>1</v>
      </c>
    </row>
    <row r="134" spans="1:19" x14ac:dyDescent="0.25">
      <c r="A134" t="s">
        <v>21</v>
      </c>
      <c r="B134" t="s">
        <v>70</v>
      </c>
      <c r="C134">
        <v>280</v>
      </c>
      <c r="D134" t="s">
        <v>340</v>
      </c>
      <c r="E134">
        <v>30.8</v>
      </c>
      <c r="F134">
        <v>18.41</v>
      </c>
      <c r="G134">
        <v>20</v>
      </c>
      <c r="H134">
        <v>38.409999999999997</v>
      </c>
      <c r="I134" t="s">
        <v>344</v>
      </c>
      <c r="J134">
        <v>71.709999999999994</v>
      </c>
      <c r="K134">
        <v>-1.9</v>
      </c>
      <c r="L134" t="s">
        <v>346</v>
      </c>
      <c r="M134" s="1">
        <v>1.9E-2</v>
      </c>
      <c r="N134" t="s">
        <v>349</v>
      </c>
      <c r="O134">
        <v>0.31</v>
      </c>
      <c r="P134" t="s">
        <v>343</v>
      </c>
      <c r="Q134">
        <v>4.95</v>
      </c>
      <c r="R134" t="s">
        <v>343</v>
      </c>
      <c r="S134">
        <v>1</v>
      </c>
    </row>
    <row r="135" spans="1:19" x14ac:dyDescent="0.25">
      <c r="A135" t="s">
        <v>21</v>
      </c>
      <c r="B135" t="s">
        <v>71</v>
      </c>
      <c r="C135">
        <v>300</v>
      </c>
      <c r="D135" t="s">
        <v>340</v>
      </c>
      <c r="E135">
        <v>30.8</v>
      </c>
      <c r="F135">
        <v>18.41</v>
      </c>
      <c r="G135">
        <v>20</v>
      </c>
      <c r="H135">
        <v>38.409999999999997</v>
      </c>
      <c r="I135" t="s">
        <v>344</v>
      </c>
      <c r="J135">
        <v>71.45</v>
      </c>
      <c r="K135">
        <v>-1.29</v>
      </c>
      <c r="L135" t="s">
        <v>346</v>
      </c>
      <c r="M135" s="1">
        <v>1.29E-2</v>
      </c>
      <c r="N135" t="s">
        <v>349</v>
      </c>
      <c r="O135">
        <v>0.51</v>
      </c>
      <c r="P135" t="s">
        <v>343</v>
      </c>
      <c r="Q135">
        <v>4.2</v>
      </c>
      <c r="R135" t="s">
        <v>343</v>
      </c>
      <c r="S135">
        <v>1</v>
      </c>
    </row>
    <row r="136" spans="1:19" x14ac:dyDescent="0.25">
      <c r="A136" t="s">
        <v>21</v>
      </c>
      <c r="B136" t="s">
        <v>72</v>
      </c>
      <c r="C136">
        <v>320</v>
      </c>
      <c r="D136" t="s">
        <v>340</v>
      </c>
      <c r="E136">
        <v>30.8</v>
      </c>
      <c r="F136">
        <v>17.88</v>
      </c>
      <c r="G136">
        <v>18.22</v>
      </c>
      <c r="H136">
        <v>36.1</v>
      </c>
      <c r="I136" t="s">
        <v>344</v>
      </c>
      <c r="J136">
        <v>71.38</v>
      </c>
      <c r="K136">
        <v>-0.36</v>
      </c>
      <c r="L136" t="s">
        <v>346</v>
      </c>
      <c r="M136" s="1">
        <v>3.5999999999999999E-3</v>
      </c>
      <c r="N136" t="s">
        <v>349</v>
      </c>
      <c r="O136">
        <v>-0.04</v>
      </c>
      <c r="P136" t="s">
        <v>343</v>
      </c>
      <c r="Q136">
        <v>5</v>
      </c>
      <c r="R136" t="s">
        <v>343</v>
      </c>
      <c r="S136">
        <v>1</v>
      </c>
    </row>
    <row r="137" spans="1:19" x14ac:dyDescent="0.25">
      <c r="A137" t="s">
        <v>21</v>
      </c>
      <c r="B137" t="s">
        <v>73</v>
      </c>
      <c r="C137">
        <v>340</v>
      </c>
      <c r="D137" t="s">
        <v>340</v>
      </c>
      <c r="E137">
        <v>30.8</v>
      </c>
      <c r="F137">
        <v>17.52</v>
      </c>
      <c r="G137">
        <v>17.34</v>
      </c>
      <c r="H137">
        <v>34.86</v>
      </c>
      <c r="I137" t="s">
        <v>344</v>
      </c>
      <c r="J137">
        <v>71.34</v>
      </c>
      <c r="K137">
        <v>-0.19</v>
      </c>
      <c r="L137" t="s">
        <v>346</v>
      </c>
      <c r="M137" s="1">
        <v>1.9E-3</v>
      </c>
      <c r="N137" t="s">
        <v>349</v>
      </c>
      <c r="O137">
        <v>0.18</v>
      </c>
      <c r="P137" t="s">
        <v>343</v>
      </c>
      <c r="Q137">
        <v>4.8899999999999997</v>
      </c>
      <c r="R137" t="s">
        <v>343</v>
      </c>
      <c r="S137">
        <v>1</v>
      </c>
    </row>
    <row r="138" spans="1:19" x14ac:dyDescent="0.25">
      <c r="A138" t="s">
        <v>21</v>
      </c>
      <c r="B138" t="s">
        <v>74</v>
      </c>
      <c r="C138">
        <v>360</v>
      </c>
      <c r="D138" t="s">
        <v>340</v>
      </c>
      <c r="E138">
        <v>30.8</v>
      </c>
      <c r="F138">
        <v>16.7</v>
      </c>
      <c r="G138">
        <v>16.3</v>
      </c>
      <c r="H138">
        <v>33.01</v>
      </c>
      <c r="I138" t="s">
        <v>344</v>
      </c>
      <c r="J138">
        <v>71.34</v>
      </c>
      <c r="K138">
        <v>-0.03</v>
      </c>
      <c r="L138" t="s">
        <v>346</v>
      </c>
      <c r="M138" s="1">
        <v>2.9999999999999997E-4</v>
      </c>
      <c r="N138" t="s">
        <v>349</v>
      </c>
      <c r="O138">
        <v>1.51</v>
      </c>
      <c r="P138" t="s">
        <v>343</v>
      </c>
      <c r="Q138">
        <v>4.4800000000000004</v>
      </c>
      <c r="R138" t="s">
        <v>343</v>
      </c>
      <c r="S138">
        <v>1</v>
      </c>
    </row>
    <row r="139" spans="1:19" x14ac:dyDescent="0.25">
      <c r="A139" t="s">
        <v>21</v>
      </c>
      <c r="B139" t="s">
        <v>75</v>
      </c>
      <c r="C139">
        <v>380</v>
      </c>
      <c r="D139" t="s">
        <v>340</v>
      </c>
      <c r="E139">
        <v>30.8</v>
      </c>
      <c r="F139">
        <v>16.170000000000002</v>
      </c>
      <c r="G139">
        <v>15.79</v>
      </c>
      <c r="H139">
        <v>31.96</v>
      </c>
      <c r="I139" t="s">
        <v>344</v>
      </c>
      <c r="J139">
        <v>71.14</v>
      </c>
      <c r="K139">
        <v>-0.98</v>
      </c>
      <c r="L139" t="s">
        <v>346</v>
      </c>
      <c r="M139" s="1">
        <v>9.7999999999999997E-3</v>
      </c>
      <c r="N139" t="s">
        <v>349</v>
      </c>
      <c r="O139">
        <v>1.63</v>
      </c>
      <c r="P139" t="s">
        <v>343</v>
      </c>
      <c r="Q139">
        <v>4.5199999999999996</v>
      </c>
      <c r="R139" t="s">
        <v>343</v>
      </c>
      <c r="S139">
        <v>1</v>
      </c>
    </row>
    <row r="140" spans="1:19" x14ac:dyDescent="0.25">
      <c r="A140" t="s">
        <v>21</v>
      </c>
      <c r="B140" t="s">
        <v>76</v>
      </c>
      <c r="C140">
        <v>400</v>
      </c>
      <c r="D140" t="s">
        <v>340</v>
      </c>
      <c r="E140">
        <v>30.8</v>
      </c>
      <c r="F140">
        <v>16.02</v>
      </c>
      <c r="G140">
        <v>14.7</v>
      </c>
      <c r="H140">
        <v>30.72</v>
      </c>
      <c r="I140" t="s">
        <v>343</v>
      </c>
      <c r="J140">
        <v>70.989999999999995</v>
      </c>
      <c r="K140">
        <v>-0.76</v>
      </c>
      <c r="L140" t="s">
        <v>346</v>
      </c>
      <c r="M140" s="1">
        <v>7.6E-3</v>
      </c>
      <c r="N140" t="s">
        <v>349</v>
      </c>
      <c r="O140">
        <v>0.08</v>
      </c>
      <c r="P140" t="s">
        <v>343</v>
      </c>
      <c r="Q140">
        <v>4.29</v>
      </c>
      <c r="R140" t="s">
        <v>343</v>
      </c>
      <c r="S140">
        <v>1</v>
      </c>
    </row>
    <row r="141" spans="1:19" x14ac:dyDescent="0.25">
      <c r="A141" t="s">
        <v>21</v>
      </c>
      <c r="B141" t="s">
        <v>77</v>
      </c>
      <c r="C141">
        <v>420</v>
      </c>
      <c r="D141" t="s">
        <v>340</v>
      </c>
      <c r="E141">
        <v>30.8</v>
      </c>
      <c r="F141">
        <v>16.47</v>
      </c>
      <c r="G141">
        <v>14.28</v>
      </c>
      <c r="H141">
        <v>30.74</v>
      </c>
      <c r="I141" t="s">
        <v>343</v>
      </c>
      <c r="J141">
        <v>70.89</v>
      </c>
      <c r="K141">
        <v>-0.49</v>
      </c>
      <c r="L141" t="s">
        <v>346</v>
      </c>
      <c r="M141" s="1">
        <v>4.8999999999999998E-3</v>
      </c>
      <c r="N141" t="s">
        <v>349</v>
      </c>
      <c r="O141">
        <v>0.06</v>
      </c>
      <c r="P141" t="s">
        <v>343</v>
      </c>
      <c r="Q141">
        <v>4.8</v>
      </c>
      <c r="R141" t="s">
        <v>343</v>
      </c>
      <c r="S141">
        <v>1</v>
      </c>
    </row>
    <row r="142" spans="1:19" x14ac:dyDescent="0.25">
      <c r="A142" t="s">
        <v>21</v>
      </c>
      <c r="B142" t="s">
        <v>78</v>
      </c>
      <c r="C142">
        <v>440</v>
      </c>
      <c r="D142" t="s">
        <v>340</v>
      </c>
      <c r="E142">
        <v>30.8</v>
      </c>
      <c r="F142">
        <v>16.57</v>
      </c>
      <c r="G142">
        <v>15.39</v>
      </c>
      <c r="H142">
        <v>31.96</v>
      </c>
      <c r="I142" t="s">
        <v>344</v>
      </c>
      <c r="J142">
        <v>70.81</v>
      </c>
      <c r="K142">
        <v>-0.42</v>
      </c>
      <c r="L142" t="s">
        <v>346</v>
      </c>
      <c r="M142" s="1">
        <v>4.1999999999999997E-3</v>
      </c>
      <c r="N142" t="s">
        <v>349</v>
      </c>
      <c r="O142">
        <v>0.14000000000000001</v>
      </c>
      <c r="P142" t="s">
        <v>343</v>
      </c>
      <c r="Q142">
        <v>4.58</v>
      </c>
      <c r="R142" t="s">
        <v>343</v>
      </c>
      <c r="S142">
        <v>1</v>
      </c>
    </row>
    <row r="143" spans="1:19" x14ac:dyDescent="0.25">
      <c r="A143" t="s">
        <v>21</v>
      </c>
      <c r="B143" t="s">
        <v>79</v>
      </c>
      <c r="C143">
        <v>460</v>
      </c>
      <c r="D143" t="s">
        <v>340</v>
      </c>
      <c r="E143">
        <v>30.8</v>
      </c>
      <c r="F143">
        <v>16.47</v>
      </c>
      <c r="G143">
        <v>16.43</v>
      </c>
      <c r="H143">
        <v>32.89</v>
      </c>
      <c r="I143" t="s">
        <v>344</v>
      </c>
      <c r="J143">
        <v>70.77</v>
      </c>
      <c r="K143">
        <v>-0.2</v>
      </c>
      <c r="L143" t="s">
        <v>346</v>
      </c>
      <c r="M143" s="1">
        <v>2E-3</v>
      </c>
      <c r="N143" t="s">
        <v>349</v>
      </c>
      <c r="O143">
        <v>0.08</v>
      </c>
      <c r="P143" t="s">
        <v>343</v>
      </c>
      <c r="Q143">
        <v>3.97</v>
      </c>
      <c r="R143" t="s">
        <v>344</v>
      </c>
      <c r="S143">
        <v>1</v>
      </c>
    </row>
    <row r="144" spans="1:19" x14ac:dyDescent="0.25">
      <c r="A144" t="s">
        <v>21</v>
      </c>
      <c r="B144" t="s">
        <v>80</v>
      </c>
      <c r="C144">
        <v>480</v>
      </c>
      <c r="D144" t="s">
        <v>340</v>
      </c>
      <c r="E144">
        <v>30.8</v>
      </c>
      <c r="F144">
        <v>15.56</v>
      </c>
      <c r="G144">
        <v>17.670000000000002</v>
      </c>
      <c r="H144">
        <v>33.229999999999997</v>
      </c>
      <c r="I144" t="s">
        <v>344</v>
      </c>
      <c r="J144">
        <v>70.63</v>
      </c>
      <c r="K144">
        <v>-0.68</v>
      </c>
      <c r="L144" t="s">
        <v>346</v>
      </c>
      <c r="M144" s="1">
        <v>6.7999999999999996E-3</v>
      </c>
      <c r="N144" t="s">
        <v>349</v>
      </c>
      <c r="O144">
        <v>-1.1599999999999999</v>
      </c>
      <c r="P144" t="s">
        <v>343</v>
      </c>
      <c r="Q144">
        <v>4.12</v>
      </c>
      <c r="R144" t="s">
        <v>343</v>
      </c>
      <c r="S144">
        <v>1</v>
      </c>
    </row>
    <row r="145" spans="1:19" x14ac:dyDescent="0.25">
      <c r="A145" t="s">
        <v>21</v>
      </c>
      <c r="B145" t="s">
        <v>81</v>
      </c>
      <c r="C145">
        <v>500</v>
      </c>
      <c r="D145" t="s">
        <v>340</v>
      </c>
      <c r="E145">
        <v>30.8</v>
      </c>
      <c r="F145">
        <v>16.47</v>
      </c>
      <c r="G145">
        <v>17.64</v>
      </c>
      <c r="H145">
        <v>34.11</v>
      </c>
      <c r="I145" t="s">
        <v>344</v>
      </c>
      <c r="J145">
        <v>71</v>
      </c>
      <c r="K145">
        <v>1.86</v>
      </c>
      <c r="L145" t="s">
        <v>346</v>
      </c>
      <c r="M145" s="1">
        <v>1.8599999999999998E-2</v>
      </c>
      <c r="N145" t="s">
        <v>349</v>
      </c>
      <c r="O145">
        <v>-0.2</v>
      </c>
      <c r="P145" t="s">
        <v>343</v>
      </c>
      <c r="Q145">
        <v>5.17</v>
      </c>
      <c r="R145" t="s">
        <v>343</v>
      </c>
      <c r="S145">
        <v>1</v>
      </c>
    </row>
    <row r="146" spans="1:19" x14ac:dyDescent="0.25">
      <c r="A146" t="s">
        <v>21</v>
      </c>
      <c r="B146" t="s">
        <v>82</v>
      </c>
      <c r="C146">
        <v>520</v>
      </c>
      <c r="D146" t="s">
        <v>340</v>
      </c>
      <c r="E146">
        <v>30.8</v>
      </c>
      <c r="F146">
        <v>15.56</v>
      </c>
      <c r="G146">
        <v>17.670000000000002</v>
      </c>
      <c r="H146">
        <v>33.229999999999997</v>
      </c>
      <c r="I146" t="s">
        <v>344</v>
      </c>
      <c r="J146">
        <v>70.83</v>
      </c>
      <c r="K146">
        <v>-0.88</v>
      </c>
      <c r="L146" t="s">
        <v>346</v>
      </c>
      <c r="M146" s="1">
        <v>8.8000000000000005E-3</v>
      </c>
      <c r="N146" t="s">
        <v>349</v>
      </c>
      <c r="O146">
        <v>-0.53</v>
      </c>
      <c r="P146" t="s">
        <v>343</v>
      </c>
      <c r="Q146">
        <v>5.77</v>
      </c>
      <c r="R146" t="s">
        <v>343</v>
      </c>
      <c r="S146">
        <v>1</v>
      </c>
    </row>
    <row r="147" spans="1:19" x14ac:dyDescent="0.25">
      <c r="A147" t="s">
        <v>21</v>
      </c>
      <c r="B147" t="s">
        <v>83</v>
      </c>
      <c r="C147">
        <v>540</v>
      </c>
      <c r="D147" t="s">
        <v>340</v>
      </c>
      <c r="E147">
        <v>30.8</v>
      </c>
      <c r="F147">
        <v>14.19</v>
      </c>
      <c r="G147">
        <v>17.03</v>
      </c>
      <c r="H147">
        <v>31.22</v>
      </c>
      <c r="I147" t="s">
        <v>344</v>
      </c>
      <c r="J147">
        <v>70.77</v>
      </c>
      <c r="K147">
        <v>-0.3</v>
      </c>
      <c r="L147" t="s">
        <v>346</v>
      </c>
      <c r="M147" s="1">
        <v>3.0000000000000001E-3</v>
      </c>
      <c r="N147" t="s">
        <v>349</v>
      </c>
      <c r="O147">
        <v>0.72</v>
      </c>
      <c r="P147" t="s">
        <v>343</v>
      </c>
      <c r="Q147">
        <v>5.93</v>
      </c>
      <c r="R147" t="s">
        <v>343</v>
      </c>
      <c r="S147">
        <v>1</v>
      </c>
    </row>
    <row r="148" spans="1:19" x14ac:dyDescent="0.25">
      <c r="A148" t="s">
        <v>21</v>
      </c>
      <c r="B148" t="s">
        <v>84</v>
      </c>
      <c r="C148">
        <v>560</v>
      </c>
      <c r="D148" t="s">
        <v>340</v>
      </c>
      <c r="E148">
        <v>30.8</v>
      </c>
      <c r="F148">
        <v>13.53</v>
      </c>
      <c r="G148">
        <v>17.03</v>
      </c>
      <c r="H148">
        <v>30.56</v>
      </c>
      <c r="I148" t="s">
        <v>343</v>
      </c>
      <c r="J148">
        <v>70.67</v>
      </c>
      <c r="K148">
        <v>-0.49</v>
      </c>
      <c r="L148" t="s">
        <v>346</v>
      </c>
      <c r="M148" s="1">
        <v>4.8999999999999998E-3</v>
      </c>
      <c r="N148" t="s">
        <v>349</v>
      </c>
      <c r="O148">
        <v>1.19</v>
      </c>
      <c r="P148" t="s">
        <v>343</v>
      </c>
      <c r="Q148">
        <v>5.97</v>
      </c>
      <c r="R148" t="s">
        <v>343</v>
      </c>
      <c r="S148">
        <v>1</v>
      </c>
    </row>
    <row r="149" spans="1:19" x14ac:dyDescent="0.25">
      <c r="A149" t="s">
        <v>21</v>
      </c>
      <c r="B149" t="s">
        <v>85</v>
      </c>
      <c r="C149">
        <v>580</v>
      </c>
      <c r="D149" t="s">
        <v>340</v>
      </c>
      <c r="E149">
        <v>30.8</v>
      </c>
      <c r="F149">
        <v>13.93</v>
      </c>
      <c r="G149">
        <v>15.82</v>
      </c>
      <c r="H149">
        <v>29.75</v>
      </c>
      <c r="I149" t="s">
        <v>343</v>
      </c>
      <c r="J149">
        <v>70.430000000000007</v>
      </c>
      <c r="K149">
        <v>-1.19</v>
      </c>
      <c r="L149" t="s">
        <v>346</v>
      </c>
      <c r="M149" s="1">
        <v>1.1900000000000001E-2</v>
      </c>
      <c r="N149" t="s">
        <v>349</v>
      </c>
      <c r="O149">
        <v>-36.74</v>
      </c>
      <c r="P149" t="s">
        <v>343</v>
      </c>
      <c r="Q149">
        <v>4.5199999999999996</v>
      </c>
      <c r="R149" t="s">
        <v>343</v>
      </c>
      <c r="S149">
        <v>1</v>
      </c>
    </row>
    <row r="150" spans="1:19" x14ac:dyDescent="0.25">
      <c r="A150" t="s">
        <v>21</v>
      </c>
      <c r="B150" t="s">
        <v>86</v>
      </c>
      <c r="C150">
        <v>600</v>
      </c>
      <c r="D150" t="s">
        <v>340</v>
      </c>
      <c r="E150">
        <v>30.8</v>
      </c>
      <c r="F150">
        <v>13.93</v>
      </c>
      <c r="G150">
        <v>15.54</v>
      </c>
      <c r="H150">
        <v>29.47</v>
      </c>
      <c r="I150" t="s">
        <v>343</v>
      </c>
      <c r="J150">
        <v>70.459999999999994</v>
      </c>
      <c r="K150">
        <v>0.15</v>
      </c>
      <c r="L150" t="s">
        <v>346</v>
      </c>
      <c r="M150" s="1">
        <v>1.5E-3</v>
      </c>
      <c r="N150" t="s">
        <v>349</v>
      </c>
      <c r="O150">
        <v>-0.39</v>
      </c>
      <c r="P150" t="s">
        <v>343</v>
      </c>
      <c r="Q150">
        <v>4.33</v>
      </c>
      <c r="R150" t="s">
        <v>343</v>
      </c>
      <c r="S150">
        <v>1</v>
      </c>
    </row>
    <row r="151" spans="1:19" x14ac:dyDescent="0.25">
      <c r="A151" t="s">
        <v>21</v>
      </c>
      <c r="B151" t="s">
        <v>87</v>
      </c>
      <c r="C151">
        <v>620</v>
      </c>
      <c r="D151" t="s">
        <v>340</v>
      </c>
      <c r="E151">
        <v>30.8</v>
      </c>
      <c r="F151">
        <v>14.75</v>
      </c>
      <c r="G151">
        <v>15.56</v>
      </c>
      <c r="H151">
        <v>30.3</v>
      </c>
      <c r="I151" t="s">
        <v>343</v>
      </c>
      <c r="J151">
        <v>70.48</v>
      </c>
      <c r="K151">
        <v>0.1</v>
      </c>
      <c r="L151" t="s">
        <v>346</v>
      </c>
      <c r="M151" s="1">
        <v>1E-3</v>
      </c>
      <c r="N151" t="s">
        <v>349</v>
      </c>
      <c r="O151">
        <v>0.06</v>
      </c>
      <c r="P151" t="s">
        <v>343</v>
      </c>
      <c r="Q151">
        <v>4.25</v>
      </c>
      <c r="R151" t="s">
        <v>343</v>
      </c>
      <c r="S151">
        <v>1</v>
      </c>
    </row>
    <row r="152" spans="1:19" x14ac:dyDescent="0.25">
      <c r="A152" t="s">
        <v>21</v>
      </c>
      <c r="B152" t="s">
        <v>88</v>
      </c>
      <c r="C152">
        <v>640</v>
      </c>
      <c r="D152" t="s">
        <v>340</v>
      </c>
      <c r="E152">
        <v>30.8</v>
      </c>
      <c r="F152">
        <v>16.059999999999999</v>
      </c>
      <c r="G152">
        <v>15.54</v>
      </c>
      <c r="H152">
        <v>31.6</v>
      </c>
      <c r="I152" t="s">
        <v>344</v>
      </c>
      <c r="J152">
        <v>70.44</v>
      </c>
      <c r="K152">
        <v>-0.19</v>
      </c>
      <c r="L152" t="s">
        <v>346</v>
      </c>
      <c r="M152" s="1">
        <v>1.9E-3</v>
      </c>
      <c r="N152" t="s">
        <v>349</v>
      </c>
      <c r="O152">
        <v>-0.03</v>
      </c>
      <c r="P152" t="s">
        <v>343</v>
      </c>
      <c r="Q152">
        <v>4.5999999999999996</v>
      </c>
      <c r="R152" t="s">
        <v>343</v>
      </c>
      <c r="S152">
        <v>1</v>
      </c>
    </row>
    <row r="153" spans="1:19" x14ac:dyDescent="0.25">
      <c r="A153" t="s">
        <v>21</v>
      </c>
      <c r="B153" t="s">
        <v>89</v>
      </c>
      <c r="C153">
        <v>660</v>
      </c>
      <c r="D153" t="s">
        <v>340</v>
      </c>
      <c r="E153">
        <v>30.8</v>
      </c>
      <c r="F153">
        <v>17.93</v>
      </c>
      <c r="G153">
        <v>14.02</v>
      </c>
      <c r="H153">
        <v>31.95</v>
      </c>
      <c r="I153" t="s">
        <v>344</v>
      </c>
      <c r="J153">
        <v>70.489999999999995</v>
      </c>
      <c r="K153">
        <v>0.22</v>
      </c>
      <c r="L153" t="s">
        <v>346</v>
      </c>
      <c r="M153" s="1">
        <v>2.2000000000000001E-3</v>
      </c>
      <c r="N153" t="s">
        <v>349</v>
      </c>
      <c r="O153">
        <v>0.82</v>
      </c>
      <c r="P153" t="s">
        <v>343</v>
      </c>
      <c r="Q153">
        <v>5.78</v>
      </c>
      <c r="R153" t="s">
        <v>343</v>
      </c>
      <c r="S153">
        <v>1</v>
      </c>
    </row>
    <row r="154" spans="1:19" x14ac:dyDescent="0.25">
      <c r="A154" t="s">
        <v>21</v>
      </c>
      <c r="B154" t="s">
        <v>90</v>
      </c>
      <c r="C154">
        <v>680</v>
      </c>
      <c r="D154" t="s">
        <v>340</v>
      </c>
      <c r="E154">
        <v>30.8</v>
      </c>
      <c r="F154">
        <v>20</v>
      </c>
      <c r="G154">
        <v>13.3</v>
      </c>
      <c r="H154">
        <v>33.299999999999997</v>
      </c>
      <c r="I154" t="s">
        <v>344</v>
      </c>
      <c r="J154">
        <v>70.5</v>
      </c>
      <c r="K154">
        <v>7.0000000000000007E-2</v>
      </c>
      <c r="L154" t="s">
        <v>346</v>
      </c>
      <c r="M154" s="1">
        <v>7.000000000000001E-4</v>
      </c>
      <c r="N154" t="s">
        <v>349</v>
      </c>
      <c r="O154">
        <v>0.78</v>
      </c>
      <c r="P154" t="s">
        <v>343</v>
      </c>
      <c r="Q154">
        <v>4.68</v>
      </c>
      <c r="R154" t="s">
        <v>343</v>
      </c>
      <c r="S154">
        <v>1</v>
      </c>
    </row>
    <row r="155" spans="1:19" x14ac:dyDescent="0.25">
      <c r="A155" t="s">
        <v>21</v>
      </c>
      <c r="B155" t="s">
        <v>91</v>
      </c>
      <c r="C155">
        <v>700</v>
      </c>
      <c r="D155" t="s">
        <v>340</v>
      </c>
      <c r="E155">
        <v>30.8</v>
      </c>
      <c r="F155">
        <v>20</v>
      </c>
      <c r="G155">
        <v>12.75</v>
      </c>
      <c r="H155">
        <v>32.75</v>
      </c>
      <c r="I155" t="s">
        <v>344</v>
      </c>
      <c r="J155">
        <v>72.099999999999994</v>
      </c>
      <c r="K155">
        <v>8</v>
      </c>
      <c r="L155" t="s">
        <v>347</v>
      </c>
      <c r="M155" s="1">
        <v>0.08</v>
      </c>
      <c r="N155" t="s">
        <v>350</v>
      </c>
      <c r="O155">
        <v>1.39</v>
      </c>
      <c r="P155" t="s">
        <v>343</v>
      </c>
      <c r="Q155">
        <v>5.19</v>
      </c>
      <c r="R155" t="s">
        <v>343</v>
      </c>
      <c r="S155">
        <v>1</v>
      </c>
    </row>
    <row r="156" spans="1:19" x14ac:dyDescent="0.25">
      <c r="A156" t="s">
        <v>21</v>
      </c>
      <c r="B156" t="s">
        <v>92</v>
      </c>
      <c r="C156">
        <v>720</v>
      </c>
      <c r="D156" t="s">
        <v>340</v>
      </c>
      <c r="E156">
        <v>30.8</v>
      </c>
      <c r="F156">
        <v>20</v>
      </c>
      <c r="G156">
        <v>12.75</v>
      </c>
      <c r="H156">
        <v>32.75</v>
      </c>
      <c r="I156" t="s">
        <v>344</v>
      </c>
      <c r="J156">
        <v>70.900000000000006</v>
      </c>
      <c r="K156">
        <v>-6</v>
      </c>
      <c r="L156" t="s">
        <v>346</v>
      </c>
      <c r="M156" s="1">
        <v>0.06</v>
      </c>
      <c r="N156" t="s">
        <v>350</v>
      </c>
      <c r="O156">
        <v>0.21</v>
      </c>
      <c r="P156" t="s">
        <v>343</v>
      </c>
      <c r="Q156">
        <v>3.75</v>
      </c>
      <c r="R156" t="s">
        <v>344</v>
      </c>
      <c r="S156">
        <v>1</v>
      </c>
    </row>
    <row r="157" spans="1:19" x14ac:dyDescent="0.25">
      <c r="A157" t="s">
        <v>21</v>
      </c>
      <c r="B157" t="s">
        <v>93</v>
      </c>
      <c r="C157">
        <v>740</v>
      </c>
      <c r="D157" t="s">
        <v>340</v>
      </c>
      <c r="E157">
        <v>30.8</v>
      </c>
      <c r="F157">
        <v>18.59</v>
      </c>
      <c r="G157">
        <v>12.75</v>
      </c>
      <c r="H157">
        <v>31.34</v>
      </c>
      <c r="I157" t="s">
        <v>344</v>
      </c>
      <c r="J157">
        <v>71.3</v>
      </c>
      <c r="K157">
        <v>2</v>
      </c>
      <c r="L157" t="s">
        <v>346</v>
      </c>
      <c r="M157" s="1">
        <v>0.02</v>
      </c>
      <c r="N157" t="s">
        <v>349</v>
      </c>
      <c r="O157">
        <v>1.58</v>
      </c>
      <c r="P157" t="s">
        <v>343</v>
      </c>
      <c r="Q157">
        <v>3.9</v>
      </c>
      <c r="R157" t="s">
        <v>344</v>
      </c>
      <c r="S157">
        <v>1</v>
      </c>
    </row>
    <row r="158" spans="1:19" x14ac:dyDescent="0.25">
      <c r="A158" t="s">
        <v>21</v>
      </c>
      <c r="B158" t="s">
        <v>94</v>
      </c>
      <c r="C158">
        <v>760</v>
      </c>
      <c r="D158" t="s">
        <v>340</v>
      </c>
      <c r="E158">
        <v>30.8</v>
      </c>
      <c r="F158">
        <v>17.829999999999998</v>
      </c>
      <c r="G158">
        <v>12.29</v>
      </c>
      <c r="H158">
        <v>30.12</v>
      </c>
      <c r="I158" t="s">
        <v>343</v>
      </c>
      <c r="J158">
        <v>71.680000000000007</v>
      </c>
      <c r="K158">
        <v>1.89</v>
      </c>
      <c r="L158" t="s">
        <v>346</v>
      </c>
      <c r="M158" s="1">
        <v>1.89E-2</v>
      </c>
      <c r="N158" t="s">
        <v>349</v>
      </c>
      <c r="O158">
        <v>1.86</v>
      </c>
      <c r="P158" t="s">
        <v>343</v>
      </c>
      <c r="Q158">
        <v>2.99</v>
      </c>
      <c r="R158" t="s">
        <v>344</v>
      </c>
      <c r="S158">
        <v>1</v>
      </c>
    </row>
    <row r="159" spans="1:19" x14ac:dyDescent="0.25">
      <c r="A159" t="s">
        <v>21</v>
      </c>
      <c r="B159" t="s">
        <v>95</v>
      </c>
      <c r="C159">
        <v>780</v>
      </c>
      <c r="D159" t="s">
        <v>340</v>
      </c>
      <c r="E159">
        <v>30.8</v>
      </c>
      <c r="F159">
        <v>17.27</v>
      </c>
      <c r="G159">
        <v>13.55</v>
      </c>
      <c r="H159">
        <v>30.81</v>
      </c>
      <c r="I159" t="s">
        <v>344</v>
      </c>
      <c r="J159">
        <v>72.05</v>
      </c>
      <c r="K159">
        <v>1.86</v>
      </c>
      <c r="L159" t="s">
        <v>346</v>
      </c>
      <c r="M159" s="1">
        <v>1.8599999999999998E-2</v>
      </c>
      <c r="N159" t="s">
        <v>349</v>
      </c>
      <c r="O159">
        <v>0.81</v>
      </c>
      <c r="P159" t="s">
        <v>343</v>
      </c>
      <c r="Q159">
        <v>1.75</v>
      </c>
      <c r="R159" t="s">
        <v>343</v>
      </c>
      <c r="S159">
        <v>1</v>
      </c>
    </row>
    <row r="160" spans="1:19" x14ac:dyDescent="0.25">
      <c r="A160" t="s">
        <v>21</v>
      </c>
      <c r="B160" t="s">
        <v>96</v>
      </c>
      <c r="C160">
        <v>800</v>
      </c>
      <c r="D160" t="s">
        <v>340</v>
      </c>
      <c r="E160">
        <v>30.8</v>
      </c>
      <c r="F160">
        <v>18.010000000000002</v>
      </c>
      <c r="G160">
        <v>14.79</v>
      </c>
      <c r="H160">
        <v>32.799999999999997</v>
      </c>
      <c r="I160" t="s">
        <v>344</v>
      </c>
      <c r="J160">
        <v>72.38</v>
      </c>
      <c r="K160">
        <v>1.66</v>
      </c>
      <c r="L160" t="s">
        <v>346</v>
      </c>
      <c r="M160" s="1">
        <v>1.66E-2</v>
      </c>
      <c r="N160" t="s">
        <v>349</v>
      </c>
      <c r="O160">
        <v>0.49</v>
      </c>
      <c r="P160" t="s">
        <v>343</v>
      </c>
      <c r="Q160">
        <v>4.4400000000000004</v>
      </c>
      <c r="R160" t="s">
        <v>343</v>
      </c>
      <c r="S160">
        <v>1</v>
      </c>
    </row>
    <row r="161" spans="1:19" x14ac:dyDescent="0.25">
      <c r="A161" t="s">
        <v>21</v>
      </c>
      <c r="B161" t="s">
        <v>97</v>
      </c>
      <c r="C161">
        <v>820</v>
      </c>
      <c r="D161" t="s">
        <v>340</v>
      </c>
      <c r="E161">
        <v>30.8</v>
      </c>
      <c r="F161">
        <v>17.22</v>
      </c>
      <c r="G161">
        <v>16.309999999999999</v>
      </c>
      <c r="H161">
        <v>33.53</v>
      </c>
      <c r="I161" t="s">
        <v>344</v>
      </c>
      <c r="J161">
        <v>72.64</v>
      </c>
      <c r="K161">
        <v>1.28</v>
      </c>
      <c r="L161" t="s">
        <v>346</v>
      </c>
      <c r="M161" s="1">
        <v>1.2800000000000001E-2</v>
      </c>
      <c r="N161" t="s">
        <v>349</v>
      </c>
      <c r="O161">
        <v>0.02</v>
      </c>
      <c r="P161" t="s">
        <v>343</v>
      </c>
      <c r="Q161">
        <v>3.74</v>
      </c>
      <c r="R161" t="s">
        <v>344</v>
      </c>
      <c r="S161">
        <v>1</v>
      </c>
    </row>
    <row r="162" spans="1:19" x14ac:dyDescent="0.25">
      <c r="A162" t="s">
        <v>21</v>
      </c>
      <c r="B162" t="s">
        <v>98</v>
      </c>
      <c r="C162">
        <v>840</v>
      </c>
      <c r="D162" t="s">
        <v>340</v>
      </c>
      <c r="E162">
        <v>30.8</v>
      </c>
      <c r="F162">
        <v>16.98</v>
      </c>
      <c r="G162">
        <v>16.59</v>
      </c>
      <c r="H162">
        <v>33.57</v>
      </c>
      <c r="I162" t="s">
        <v>344</v>
      </c>
      <c r="J162">
        <v>72.989999999999995</v>
      </c>
      <c r="K162">
        <v>1.77</v>
      </c>
      <c r="L162" t="s">
        <v>346</v>
      </c>
      <c r="M162" s="1">
        <v>1.77E-2</v>
      </c>
      <c r="N162" t="s">
        <v>349</v>
      </c>
      <c r="O162">
        <v>-0.94</v>
      </c>
      <c r="P162" t="s">
        <v>343</v>
      </c>
      <c r="Q162">
        <v>3.96</v>
      </c>
      <c r="R162" t="s">
        <v>344</v>
      </c>
      <c r="S162">
        <v>1</v>
      </c>
    </row>
    <row r="163" spans="1:19" x14ac:dyDescent="0.25">
      <c r="A163" t="s">
        <v>21</v>
      </c>
      <c r="B163" t="s">
        <v>99</v>
      </c>
      <c r="C163">
        <v>860</v>
      </c>
      <c r="D163" t="s">
        <v>340</v>
      </c>
      <c r="E163">
        <v>30.8</v>
      </c>
      <c r="F163">
        <v>17.989999999999998</v>
      </c>
      <c r="G163">
        <v>15.98</v>
      </c>
      <c r="H163">
        <v>33.97</v>
      </c>
      <c r="I163" t="s">
        <v>344</v>
      </c>
      <c r="J163">
        <v>73.52</v>
      </c>
      <c r="K163">
        <v>2.64</v>
      </c>
      <c r="L163" t="s">
        <v>346</v>
      </c>
      <c r="M163" s="1">
        <v>2.64E-2</v>
      </c>
      <c r="N163" t="s">
        <v>350</v>
      </c>
      <c r="O163">
        <v>4.28</v>
      </c>
      <c r="P163" t="s">
        <v>343</v>
      </c>
      <c r="Q163">
        <v>2.62</v>
      </c>
      <c r="R163" t="s">
        <v>344</v>
      </c>
      <c r="S163">
        <v>1</v>
      </c>
    </row>
    <row r="164" spans="1:19" x14ac:dyDescent="0.25">
      <c r="A164" t="s">
        <v>21</v>
      </c>
      <c r="B164" t="s">
        <v>100</v>
      </c>
      <c r="C164">
        <v>880</v>
      </c>
      <c r="D164" t="s">
        <v>340</v>
      </c>
      <c r="E164">
        <v>30.8</v>
      </c>
      <c r="F164">
        <v>17.71</v>
      </c>
      <c r="G164">
        <v>17.54</v>
      </c>
      <c r="H164">
        <v>35.24</v>
      </c>
      <c r="I164" t="s">
        <v>344</v>
      </c>
      <c r="J164">
        <v>73.430000000000007</v>
      </c>
      <c r="K164">
        <v>-0.45</v>
      </c>
      <c r="L164" t="s">
        <v>346</v>
      </c>
      <c r="M164" s="1">
        <v>4.5000000000000014E-3</v>
      </c>
      <c r="N164" t="s">
        <v>349</v>
      </c>
      <c r="O164">
        <v>0.44</v>
      </c>
      <c r="P164" t="s">
        <v>343</v>
      </c>
      <c r="Q164">
        <v>2.92</v>
      </c>
      <c r="R164" t="s">
        <v>344</v>
      </c>
      <c r="S164">
        <v>1</v>
      </c>
    </row>
    <row r="165" spans="1:19" x14ac:dyDescent="0.25">
      <c r="A165" t="s">
        <v>21</v>
      </c>
      <c r="B165" t="s">
        <v>101</v>
      </c>
      <c r="C165">
        <v>900</v>
      </c>
      <c r="D165" t="s">
        <v>340</v>
      </c>
      <c r="E165">
        <v>30.8</v>
      </c>
      <c r="F165">
        <v>17.739999999999998</v>
      </c>
      <c r="G165">
        <v>16.66</v>
      </c>
      <c r="H165">
        <v>34.4</v>
      </c>
      <c r="I165" t="s">
        <v>344</v>
      </c>
      <c r="J165">
        <v>74.319999999999993</v>
      </c>
      <c r="K165">
        <v>4.45</v>
      </c>
      <c r="L165" t="s">
        <v>346</v>
      </c>
      <c r="M165" s="1">
        <v>4.4499999999999998E-2</v>
      </c>
      <c r="N165" t="s">
        <v>350</v>
      </c>
      <c r="O165">
        <v>0.24</v>
      </c>
      <c r="P165" t="s">
        <v>343</v>
      </c>
      <c r="Q165">
        <v>3.01</v>
      </c>
      <c r="R165" t="s">
        <v>344</v>
      </c>
      <c r="S165">
        <v>1</v>
      </c>
    </row>
    <row r="166" spans="1:19" x14ac:dyDescent="0.25">
      <c r="A166" t="s">
        <v>21</v>
      </c>
      <c r="B166" t="s">
        <v>102</v>
      </c>
      <c r="C166">
        <v>920</v>
      </c>
      <c r="D166" t="s">
        <v>340</v>
      </c>
      <c r="E166">
        <v>30.8</v>
      </c>
      <c r="F166">
        <v>17.71</v>
      </c>
      <c r="G166">
        <v>15.51</v>
      </c>
      <c r="H166">
        <v>33.22</v>
      </c>
      <c r="I166" t="s">
        <v>344</v>
      </c>
      <c r="J166">
        <v>75.349999999999994</v>
      </c>
      <c r="K166">
        <v>5.14</v>
      </c>
      <c r="L166" t="s">
        <v>346</v>
      </c>
      <c r="M166" s="1">
        <v>5.1399999999999987E-2</v>
      </c>
      <c r="N166" t="s">
        <v>350</v>
      </c>
      <c r="O166">
        <v>-0.25</v>
      </c>
      <c r="P166" t="s">
        <v>343</v>
      </c>
      <c r="Q166">
        <v>3.9</v>
      </c>
      <c r="R166" t="s">
        <v>344</v>
      </c>
      <c r="S166">
        <v>1</v>
      </c>
    </row>
    <row r="167" spans="1:19" x14ac:dyDescent="0.25">
      <c r="A167" t="s">
        <v>21</v>
      </c>
      <c r="B167" t="s">
        <v>103</v>
      </c>
      <c r="C167">
        <v>940</v>
      </c>
      <c r="D167" t="s">
        <v>340</v>
      </c>
      <c r="E167">
        <v>30.8</v>
      </c>
      <c r="F167">
        <v>17.989999999999998</v>
      </c>
      <c r="G167">
        <v>14.62</v>
      </c>
      <c r="H167">
        <v>32.61</v>
      </c>
      <c r="I167" t="s">
        <v>344</v>
      </c>
      <c r="J167">
        <v>76.45</v>
      </c>
      <c r="K167">
        <v>5.49</v>
      </c>
      <c r="L167" t="s">
        <v>346</v>
      </c>
      <c r="M167" s="1">
        <v>5.4899999999999997E-2</v>
      </c>
      <c r="N167" t="s">
        <v>350</v>
      </c>
      <c r="O167">
        <v>1.46</v>
      </c>
      <c r="P167" t="s">
        <v>343</v>
      </c>
      <c r="Q167">
        <v>4.08</v>
      </c>
      <c r="R167" t="s">
        <v>343</v>
      </c>
      <c r="S167">
        <v>1</v>
      </c>
    </row>
    <row r="168" spans="1:19" x14ac:dyDescent="0.25">
      <c r="A168" t="s">
        <v>21</v>
      </c>
      <c r="B168" t="s">
        <v>104</v>
      </c>
      <c r="C168">
        <v>960</v>
      </c>
      <c r="D168" t="s">
        <v>340</v>
      </c>
      <c r="E168">
        <v>30.8</v>
      </c>
      <c r="F168">
        <v>17.37</v>
      </c>
      <c r="G168">
        <v>13.67</v>
      </c>
      <c r="H168">
        <v>31.04</v>
      </c>
      <c r="I168" t="s">
        <v>344</v>
      </c>
      <c r="J168">
        <v>77.510000000000005</v>
      </c>
      <c r="K168">
        <v>5.32</v>
      </c>
      <c r="L168" t="s">
        <v>346</v>
      </c>
      <c r="M168" s="1">
        <v>5.3199999999999997E-2</v>
      </c>
      <c r="N168" t="s">
        <v>350</v>
      </c>
      <c r="O168">
        <v>1.01</v>
      </c>
      <c r="P168" t="s">
        <v>343</v>
      </c>
      <c r="Q168">
        <v>1.0900000000000001</v>
      </c>
      <c r="R168" t="s">
        <v>343</v>
      </c>
      <c r="S168">
        <v>1</v>
      </c>
    </row>
    <row r="169" spans="1:19" x14ac:dyDescent="0.25">
      <c r="A169" t="s">
        <v>21</v>
      </c>
      <c r="B169" t="s">
        <v>105</v>
      </c>
      <c r="C169">
        <v>980</v>
      </c>
      <c r="D169" t="s">
        <v>340</v>
      </c>
      <c r="E169">
        <v>30.8</v>
      </c>
      <c r="F169">
        <v>16.29</v>
      </c>
      <c r="G169">
        <v>13.15</v>
      </c>
      <c r="H169">
        <v>29.44</v>
      </c>
      <c r="I169" t="s">
        <v>343</v>
      </c>
      <c r="J169">
        <v>78.66</v>
      </c>
      <c r="K169">
        <v>5.76</v>
      </c>
      <c r="L169" t="s">
        <v>346</v>
      </c>
      <c r="M169" s="1">
        <v>5.7599999999999998E-2</v>
      </c>
      <c r="N169" t="s">
        <v>350</v>
      </c>
      <c r="O169">
        <v>0</v>
      </c>
      <c r="P169" t="s">
        <v>343</v>
      </c>
      <c r="Q169">
        <v>3.36</v>
      </c>
      <c r="R169" t="s">
        <v>344</v>
      </c>
      <c r="S169">
        <v>1</v>
      </c>
    </row>
    <row r="170" spans="1:19" x14ac:dyDescent="0.25">
      <c r="A170" t="s">
        <v>21</v>
      </c>
      <c r="B170" t="s">
        <v>106</v>
      </c>
      <c r="C170">
        <v>1000</v>
      </c>
      <c r="D170" t="s">
        <v>340</v>
      </c>
      <c r="E170">
        <v>30.8</v>
      </c>
      <c r="F170">
        <v>15.45</v>
      </c>
      <c r="G170">
        <v>13.64</v>
      </c>
      <c r="H170">
        <v>29.1</v>
      </c>
      <c r="I170" t="s">
        <v>343</v>
      </c>
      <c r="J170">
        <v>79.81</v>
      </c>
      <c r="K170">
        <v>5.71</v>
      </c>
      <c r="L170" t="s">
        <v>346</v>
      </c>
      <c r="M170" s="1">
        <v>5.7099999999999998E-2</v>
      </c>
      <c r="N170" t="s">
        <v>350</v>
      </c>
      <c r="O170">
        <v>1.03</v>
      </c>
      <c r="P170" t="s">
        <v>343</v>
      </c>
      <c r="Q170">
        <v>5.43</v>
      </c>
      <c r="R170" t="s">
        <v>343</v>
      </c>
      <c r="S170">
        <v>1</v>
      </c>
    </row>
    <row r="171" spans="1:19" x14ac:dyDescent="0.25">
      <c r="A171" t="s">
        <v>21</v>
      </c>
      <c r="B171" t="s">
        <v>108</v>
      </c>
      <c r="C171">
        <v>1020</v>
      </c>
      <c r="D171" t="s">
        <v>340</v>
      </c>
      <c r="E171">
        <v>30.8</v>
      </c>
      <c r="F171">
        <v>14.85</v>
      </c>
      <c r="G171">
        <v>14.98</v>
      </c>
      <c r="H171">
        <v>29.83</v>
      </c>
      <c r="I171" t="s">
        <v>343</v>
      </c>
      <c r="J171">
        <v>80.650000000000006</v>
      </c>
      <c r="K171">
        <v>4.24</v>
      </c>
      <c r="L171" t="s">
        <v>346</v>
      </c>
      <c r="M171" s="1">
        <v>4.24E-2</v>
      </c>
      <c r="N171" t="s">
        <v>350</v>
      </c>
      <c r="O171">
        <v>-2.58</v>
      </c>
      <c r="P171" t="s">
        <v>344</v>
      </c>
      <c r="Q171">
        <v>5.0999999999999996</v>
      </c>
      <c r="R171" t="s">
        <v>343</v>
      </c>
      <c r="S171">
        <v>1</v>
      </c>
    </row>
    <row r="172" spans="1:19" x14ac:dyDescent="0.25">
      <c r="A172" t="s">
        <v>21</v>
      </c>
      <c r="B172" t="s">
        <v>109</v>
      </c>
      <c r="C172">
        <v>1040</v>
      </c>
      <c r="D172" t="s">
        <v>340</v>
      </c>
      <c r="E172">
        <v>30.8</v>
      </c>
      <c r="F172">
        <v>17.68</v>
      </c>
      <c r="G172">
        <v>15.46</v>
      </c>
      <c r="H172">
        <v>33.15</v>
      </c>
      <c r="I172" t="s">
        <v>344</v>
      </c>
      <c r="J172">
        <v>81.66</v>
      </c>
      <c r="K172">
        <v>5.04</v>
      </c>
      <c r="L172" t="s">
        <v>346</v>
      </c>
      <c r="M172" s="1">
        <v>5.04E-2</v>
      </c>
      <c r="N172" t="s">
        <v>350</v>
      </c>
      <c r="O172">
        <v>-2.79</v>
      </c>
      <c r="P172" t="s">
        <v>344</v>
      </c>
      <c r="Q172">
        <v>3.97</v>
      </c>
      <c r="R172" t="s">
        <v>344</v>
      </c>
      <c r="S172">
        <v>1</v>
      </c>
    </row>
    <row r="173" spans="1:19" x14ac:dyDescent="0.25">
      <c r="A173" t="s">
        <v>21</v>
      </c>
      <c r="B173" t="s">
        <v>110</v>
      </c>
      <c r="C173">
        <v>1060</v>
      </c>
      <c r="D173" t="s">
        <v>340</v>
      </c>
      <c r="E173">
        <v>30.8</v>
      </c>
      <c r="F173">
        <v>20</v>
      </c>
      <c r="G173">
        <v>14.43</v>
      </c>
      <c r="H173">
        <v>34.43</v>
      </c>
      <c r="I173" t="s">
        <v>344</v>
      </c>
      <c r="J173">
        <v>82.46</v>
      </c>
      <c r="K173">
        <v>4.01</v>
      </c>
      <c r="L173" t="s">
        <v>346</v>
      </c>
      <c r="M173" s="1">
        <v>4.0099999999999997E-2</v>
      </c>
      <c r="N173" t="s">
        <v>350</v>
      </c>
      <c r="O173">
        <v>-2.12</v>
      </c>
      <c r="P173" t="s">
        <v>344</v>
      </c>
      <c r="Q173">
        <v>3.76</v>
      </c>
      <c r="R173" t="s">
        <v>344</v>
      </c>
      <c r="S173">
        <v>1</v>
      </c>
    </row>
    <row r="174" spans="1:19" x14ac:dyDescent="0.25">
      <c r="A174" t="s">
        <v>21</v>
      </c>
      <c r="B174" t="s">
        <v>111</v>
      </c>
      <c r="C174">
        <v>1080</v>
      </c>
      <c r="D174" t="s">
        <v>340</v>
      </c>
      <c r="E174">
        <v>30.8</v>
      </c>
      <c r="F174">
        <v>20</v>
      </c>
      <c r="G174">
        <v>15.46</v>
      </c>
      <c r="H174">
        <v>35.46</v>
      </c>
      <c r="I174" t="s">
        <v>344</v>
      </c>
      <c r="J174">
        <v>83.13</v>
      </c>
      <c r="K174">
        <v>3.31</v>
      </c>
      <c r="L174" t="s">
        <v>346</v>
      </c>
      <c r="M174" s="1">
        <v>3.3099999999999997E-2</v>
      </c>
      <c r="N174" t="s">
        <v>350</v>
      </c>
      <c r="O174">
        <v>-2.61</v>
      </c>
      <c r="P174" t="s">
        <v>344</v>
      </c>
      <c r="Q174">
        <v>3.45</v>
      </c>
      <c r="R174" t="s">
        <v>344</v>
      </c>
      <c r="S174">
        <v>1</v>
      </c>
    </row>
    <row r="175" spans="1:19" x14ac:dyDescent="0.25">
      <c r="A175" t="s">
        <v>21</v>
      </c>
      <c r="B175" t="s">
        <v>112</v>
      </c>
      <c r="C175">
        <v>1100</v>
      </c>
      <c r="D175" t="s">
        <v>340</v>
      </c>
      <c r="E175">
        <v>30.8</v>
      </c>
      <c r="F175">
        <v>20</v>
      </c>
      <c r="G175">
        <v>16.170000000000002</v>
      </c>
      <c r="H175">
        <v>36.17</v>
      </c>
      <c r="I175" t="s">
        <v>344</v>
      </c>
      <c r="J175">
        <v>83.74</v>
      </c>
      <c r="K175">
        <v>3.09</v>
      </c>
      <c r="L175" t="s">
        <v>346</v>
      </c>
      <c r="M175" s="1">
        <v>3.09E-2</v>
      </c>
      <c r="N175" t="s">
        <v>350</v>
      </c>
      <c r="O175">
        <v>-0.87</v>
      </c>
      <c r="P175" t="s">
        <v>343</v>
      </c>
      <c r="Q175">
        <v>3.67</v>
      </c>
      <c r="R175" t="s">
        <v>344</v>
      </c>
      <c r="S175">
        <v>1</v>
      </c>
    </row>
    <row r="176" spans="1:19" x14ac:dyDescent="0.25">
      <c r="A176" t="s">
        <v>21</v>
      </c>
      <c r="B176" t="s">
        <v>113</v>
      </c>
      <c r="C176">
        <v>1120</v>
      </c>
      <c r="D176" t="s">
        <v>340</v>
      </c>
      <c r="E176">
        <v>30.8</v>
      </c>
      <c r="F176">
        <v>20</v>
      </c>
      <c r="G176">
        <v>16.28</v>
      </c>
      <c r="H176">
        <v>36.28</v>
      </c>
      <c r="I176" t="s">
        <v>344</v>
      </c>
      <c r="J176">
        <v>84.21</v>
      </c>
      <c r="K176">
        <v>2.31</v>
      </c>
      <c r="L176" t="s">
        <v>346</v>
      </c>
      <c r="M176" s="1">
        <v>2.3099999999999999E-2</v>
      </c>
      <c r="N176" t="s">
        <v>350</v>
      </c>
      <c r="O176">
        <v>-0.48</v>
      </c>
      <c r="P176" t="s">
        <v>343</v>
      </c>
      <c r="Q176">
        <v>2.5099999999999998</v>
      </c>
      <c r="R176" t="s">
        <v>344</v>
      </c>
      <c r="S176">
        <v>1</v>
      </c>
    </row>
    <row r="177" spans="1:19" x14ac:dyDescent="0.25">
      <c r="A177" t="s">
        <v>21</v>
      </c>
      <c r="B177" t="s">
        <v>114</v>
      </c>
      <c r="C177">
        <v>1140</v>
      </c>
      <c r="D177" t="s">
        <v>340</v>
      </c>
      <c r="E177">
        <v>30.8</v>
      </c>
      <c r="F177">
        <v>17.350000000000001</v>
      </c>
      <c r="G177">
        <v>15.13</v>
      </c>
      <c r="H177">
        <v>32.479999999999997</v>
      </c>
      <c r="I177" t="s">
        <v>344</v>
      </c>
      <c r="J177">
        <v>85.13</v>
      </c>
      <c r="K177">
        <v>4.6100000000000003</v>
      </c>
      <c r="L177" t="s">
        <v>346</v>
      </c>
      <c r="M177" s="1">
        <v>4.6100000000000002E-2</v>
      </c>
      <c r="N177" t="s">
        <v>350</v>
      </c>
      <c r="O177">
        <v>-0.17</v>
      </c>
      <c r="P177" t="s">
        <v>343</v>
      </c>
      <c r="Q177">
        <v>2.88</v>
      </c>
      <c r="R177" t="s">
        <v>344</v>
      </c>
      <c r="S177">
        <v>1</v>
      </c>
    </row>
    <row r="178" spans="1:19" x14ac:dyDescent="0.25">
      <c r="A178" t="s">
        <v>21</v>
      </c>
      <c r="B178" t="s">
        <v>115</v>
      </c>
      <c r="C178">
        <v>1160</v>
      </c>
      <c r="D178" t="s">
        <v>340</v>
      </c>
      <c r="E178">
        <v>30.8</v>
      </c>
      <c r="F178">
        <v>18.309999999999999</v>
      </c>
      <c r="G178">
        <v>14.12</v>
      </c>
      <c r="H178">
        <v>32.43</v>
      </c>
      <c r="I178" t="s">
        <v>344</v>
      </c>
      <c r="J178">
        <v>85.01</v>
      </c>
      <c r="K178">
        <v>-0.6</v>
      </c>
      <c r="L178" t="s">
        <v>346</v>
      </c>
      <c r="M178" s="1">
        <v>6.0000000000000001E-3</v>
      </c>
      <c r="N178" t="s">
        <v>349</v>
      </c>
      <c r="O178">
        <v>-0.39</v>
      </c>
      <c r="P178" t="s">
        <v>343</v>
      </c>
      <c r="Q178">
        <v>3.84</v>
      </c>
      <c r="R178" t="s">
        <v>344</v>
      </c>
      <c r="S178">
        <v>1</v>
      </c>
    </row>
    <row r="179" spans="1:19" x14ac:dyDescent="0.25">
      <c r="A179" t="s">
        <v>21</v>
      </c>
      <c r="B179" t="s">
        <v>116</v>
      </c>
      <c r="C179">
        <v>1180</v>
      </c>
      <c r="D179" t="s">
        <v>340</v>
      </c>
      <c r="E179">
        <v>30.8</v>
      </c>
      <c r="F179">
        <v>18.309999999999999</v>
      </c>
      <c r="G179">
        <v>12.48</v>
      </c>
      <c r="H179">
        <v>30.79</v>
      </c>
      <c r="I179" t="s">
        <v>343</v>
      </c>
      <c r="J179">
        <v>85.24</v>
      </c>
      <c r="K179">
        <v>1.1499999999999999</v>
      </c>
      <c r="L179" t="s">
        <v>346</v>
      </c>
      <c r="M179" s="1">
        <v>1.15E-2</v>
      </c>
      <c r="N179" t="s">
        <v>349</v>
      </c>
      <c r="O179">
        <v>-0.01</v>
      </c>
      <c r="P179" t="s">
        <v>343</v>
      </c>
      <c r="Q179">
        <v>3.91</v>
      </c>
      <c r="R179" t="s">
        <v>344</v>
      </c>
      <c r="S179">
        <v>1</v>
      </c>
    </row>
    <row r="180" spans="1:19" x14ac:dyDescent="0.25">
      <c r="A180" t="s">
        <v>21</v>
      </c>
      <c r="B180" t="s">
        <v>117</v>
      </c>
      <c r="C180">
        <v>1200</v>
      </c>
      <c r="D180" t="s">
        <v>340</v>
      </c>
      <c r="E180">
        <v>30.8</v>
      </c>
      <c r="F180">
        <v>20</v>
      </c>
      <c r="G180">
        <v>10.63</v>
      </c>
      <c r="H180">
        <v>30.63</v>
      </c>
      <c r="I180" t="s">
        <v>343</v>
      </c>
      <c r="J180">
        <v>85.22</v>
      </c>
      <c r="K180">
        <v>-0.1</v>
      </c>
      <c r="L180" t="s">
        <v>346</v>
      </c>
      <c r="M180" s="1">
        <v>1E-3</v>
      </c>
      <c r="N180" t="s">
        <v>349</v>
      </c>
      <c r="O180">
        <v>-1.1200000000000001</v>
      </c>
      <c r="P180" t="s">
        <v>343</v>
      </c>
      <c r="Q180">
        <v>6.64</v>
      </c>
      <c r="R180" t="s">
        <v>343</v>
      </c>
      <c r="S180">
        <v>1</v>
      </c>
    </row>
    <row r="181" spans="1:19" x14ac:dyDescent="0.25">
      <c r="A181" t="s">
        <v>21</v>
      </c>
      <c r="B181" t="s">
        <v>118</v>
      </c>
      <c r="C181">
        <v>1220</v>
      </c>
      <c r="D181" t="s">
        <v>340</v>
      </c>
      <c r="E181">
        <v>30.8</v>
      </c>
      <c r="F181">
        <v>20</v>
      </c>
      <c r="G181">
        <v>10.86</v>
      </c>
      <c r="H181">
        <v>30.86</v>
      </c>
      <c r="I181" t="s">
        <v>344</v>
      </c>
      <c r="J181">
        <v>84.99</v>
      </c>
      <c r="K181">
        <v>-1.1299999999999999</v>
      </c>
      <c r="L181" t="s">
        <v>346</v>
      </c>
      <c r="M181" s="1">
        <v>1.1299999999999999E-2</v>
      </c>
      <c r="N181" t="s">
        <v>349</v>
      </c>
      <c r="O181">
        <v>-7.03</v>
      </c>
      <c r="P181" t="s">
        <v>343</v>
      </c>
      <c r="Q181">
        <v>6.02</v>
      </c>
      <c r="R181" t="s">
        <v>343</v>
      </c>
      <c r="S181">
        <v>1</v>
      </c>
    </row>
    <row r="182" spans="1:19" x14ac:dyDescent="0.25">
      <c r="A182" t="s">
        <v>21</v>
      </c>
      <c r="B182" t="s">
        <v>119</v>
      </c>
      <c r="C182">
        <v>1240</v>
      </c>
      <c r="D182" t="s">
        <v>340</v>
      </c>
      <c r="E182">
        <v>30.8</v>
      </c>
      <c r="F182">
        <v>20</v>
      </c>
      <c r="G182">
        <v>11.28</v>
      </c>
      <c r="H182">
        <v>31.28</v>
      </c>
      <c r="I182" t="s">
        <v>344</v>
      </c>
      <c r="J182">
        <v>84.5</v>
      </c>
      <c r="K182">
        <v>-2.4700000000000002</v>
      </c>
      <c r="L182" t="s">
        <v>346</v>
      </c>
      <c r="M182" s="1">
        <v>2.47E-2</v>
      </c>
      <c r="N182" t="s">
        <v>350</v>
      </c>
      <c r="O182">
        <v>1.68</v>
      </c>
      <c r="P182" t="s">
        <v>343</v>
      </c>
      <c r="Q182">
        <v>3.2</v>
      </c>
      <c r="R182" t="s">
        <v>344</v>
      </c>
      <c r="S182">
        <v>1</v>
      </c>
    </row>
    <row r="183" spans="1:19" x14ac:dyDescent="0.25">
      <c r="A183" t="s">
        <v>21</v>
      </c>
      <c r="B183" t="s">
        <v>120</v>
      </c>
      <c r="C183">
        <v>1260</v>
      </c>
      <c r="D183" t="s">
        <v>340</v>
      </c>
      <c r="E183">
        <v>30.8</v>
      </c>
      <c r="F183">
        <v>18.489999999999998</v>
      </c>
      <c r="G183">
        <v>11.59</v>
      </c>
      <c r="H183">
        <v>30.08</v>
      </c>
      <c r="I183" t="s">
        <v>343</v>
      </c>
      <c r="J183">
        <v>83.98</v>
      </c>
      <c r="K183">
        <v>-2.58</v>
      </c>
      <c r="L183" t="s">
        <v>346</v>
      </c>
      <c r="M183" s="1">
        <v>2.58E-2</v>
      </c>
      <c r="N183" t="s">
        <v>350</v>
      </c>
      <c r="O183">
        <v>-2.35</v>
      </c>
      <c r="P183" t="s">
        <v>344</v>
      </c>
      <c r="Q183">
        <v>1.93</v>
      </c>
      <c r="R183" t="s">
        <v>343</v>
      </c>
      <c r="S183">
        <v>1</v>
      </c>
    </row>
    <row r="184" spans="1:19" x14ac:dyDescent="0.25">
      <c r="A184" t="s">
        <v>21</v>
      </c>
      <c r="B184" t="s">
        <v>121</v>
      </c>
      <c r="C184">
        <v>1280</v>
      </c>
      <c r="D184" t="s">
        <v>340</v>
      </c>
      <c r="E184">
        <v>30.8</v>
      </c>
      <c r="F184">
        <v>20</v>
      </c>
      <c r="G184">
        <v>12.14</v>
      </c>
      <c r="H184">
        <v>32.14</v>
      </c>
      <c r="I184" t="s">
        <v>344</v>
      </c>
      <c r="J184">
        <v>83.43</v>
      </c>
      <c r="K184">
        <v>-2.75</v>
      </c>
      <c r="L184" t="s">
        <v>346</v>
      </c>
      <c r="M184" s="1">
        <v>2.75E-2</v>
      </c>
      <c r="N184" t="s">
        <v>350</v>
      </c>
      <c r="O184">
        <v>-1.92</v>
      </c>
      <c r="P184" t="s">
        <v>343</v>
      </c>
      <c r="Q184">
        <v>2.2400000000000002</v>
      </c>
      <c r="R184" t="s">
        <v>344</v>
      </c>
      <c r="S184">
        <v>1</v>
      </c>
    </row>
    <row r="185" spans="1:19" x14ac:dyDescent="0.25">
      <c r="A185" t="s">
        <v>21</v>
      </c>
      <c r="B185" t="s">
        <v>123</v>
      </c>
      <c r="C185">
        <v>1300</v>
      </c>
      <c r="D185" t="s">
        <v>340</v>
      </c>
      <c r="E185">
        <v>30.8</v>
      </c>
      <c r="F185">
        <v>20</v>
      </c>
      <c r="G185">
        <v>12.76</v>
      </c>
      <c r="H185">
        <v>32.76</v>
      </c>
      <c r="I185" t="s">
        <v>344</v>
      </c>
      <c r="J185">
        <v>82.93</v>
      </c>
      <c r="K185">
        <v>-2.5099999999999998</v>
      </c>
      <c r="L185" t="s">
        <v>346</v>
      </c>
      <c r="M185" s="1">
        <v>2.5100000000000001E-2</v>
      </c>
      <c r="N185" t="s">
        <v>350</v>
      </c>
      <c r="O185">
        <v>-0.04</v>
      </c>
      <c r="P185" t="s">
        <v>343</v>
      </c>
      <c r="Q185">
        <v>3.57</v>
      </c>
      <c r="R185" t="s">
        <v>344</v>
      </c>
      <c r="S185">
        <v>1</v>
      </c>
    </row>
    <row r="186" spans="1:19" x14ac:dyDescent="0.25">
      <c r="A186" t="s">
        <v>21</v>
      </c>
      <c r="B186" t="s">
        <v>124</v>
      </c>
      <c r="C186">
        <v>1320</v>
      </c>
      <c r="D186" t="s">
        <v>340</v>
      </c>
      <c r="E186">
        <v>30.8</v>
      </c>
      <c r="F186">
        <v>20</v>
      </c>
      <c r="G186">
        <v>13.07</v>
      </c>
      <c r="H186">
        <v>33.07</v>
      </c>
      <c r="I186" t="s">
        <v>344</v>
      </c>
      <c r="J186">
        <v>82.51</v>
      </c>
      <c r="K186">
        <v>-2.1</v>
      </c>
      <c r="L186" t="s">
        <v>346</v>
      </c>
      <c r="M186" s="1">
        <v>2.1000000000000001E-2</v>
      </c>
      <c r="N186" t="s">
        <v>350</v>
      </c>
      <c r="O186">
        <v>0.99</v>
      </c>
      <c r="P186" t="s">
        <v>343</v>
      </c>
      <c r="Q186">
        <v>4.71</v>
      </c>
      <c r="R186" t="s">
        <v>343</v>
      </c>
      <c r="S186">
        <v>1</v>
      </c>
    </row>
    <row r="187" spans="1:19" x14ac:dyDescent="0.25">
      <c r="A187" t="s">
        <v>21</v>
      </c>
      <c r="B187" t="s">
        <v>125</v>
      </c>
      <c r="C187">
        <v>1340</v>
      </c>
      <c r="D187" t="s">
        <v>340</v>
      </c>
      <c r="E187">
        <v>30.8</v>
      </c>
      <c r="F187">
        <v>20</v>
      </c>
      <c r="G187">
        <v>14.16</v>
      </c>
      <c r="H187">
        <v>34.159999999999997</v>
      </c>
      <c r="I187" t="s">
        <v>344</v>
      </c>
      <c r="J187">
        <v>81.91</v>
      </c>
      <c r="K187">
        <v>-3.02</v>
      </c>
      <c r="L187" t="s">
        <v>346</v>
      </c>
      <c r="M187" s="1">
        <v>3.0200000000000001E-2</v>
      </c>
      <c r="N187" t="s">
        <v>350</v>
      </c>
      <c r="O187">
        <v>-0.47</v>
      </c>
      <c r="P187" t="s">
        <v>343</v>
      </c>
      <c r="Q187">
        <v>4.67</v>
      </c>
      <c r="R187" t="s">
        <v>343</v>
      </c>
      <c r="S187">
        <v>1</v>
      </c>
    </row>
    <row r="188" spans="1:19" x14ac:dyDescent="0.25">
      <c r="A188" t="s">
        <v>21</v>
      </c>
      <c r="B188" t="s">
        <v>126</v>
      </c>
      <c r="C188">
        <v>1360</v>
      </c>
      <c r="D188" t="s">
        <v>340</v>
      </c>
      <c r="E188">
        <v>30.8</v>
      </c>
      <c r="F188">
        <v>20</v>
      </c>
      <c r="G188">
        <v>14.93</v>
      </c>
      <c r="H188">
        <v>34.93</v>
      </c>
      <c r="I188" t="s">
        <v>344</v>
      </c>
      <c r="J188">
        <v>81.48</v>
      </c>
      <c r="K188">
        <v>-2.13</v>
      </c>
      <c r="L188" t="s">
        <v>346</v>
      </c>
      <c r="M188" s="1">
        <v>2.1299999999999999E-2</v>
      </c>
      <c r="N188" t="s">
        <v>350</v>
      </c>
      <c r="O188">
        <v>1.58</v>
      </c>
      <c r="P188" t="s">
        <v>343</v>
      </c>
      <c r="Q188">
        <v>3.9</v>
      </c>
      <c r="R188" t="s">
        <v>344</v>
      </c>
      <c r="S188">
        <v>1</v>
      </c>
    </row>
    <row r="189" spans="1:19" x14ac:dyDescent="0.25">
      <c r="A189" t="s">
        <v>21</v>
      </c>
      <c r="B189" t="s">
        <v>127</v>
      </c>
      <c r="C189">
        <v>1380</v>
      </c>
      <c r="D189" t="s">
        <v>340</v>
      </c>
      <c r="E189">
        <v>30.8</v>
      </c>
      <c r="F189">
        <v>20</v>
      </c>
      <c r="G189">
        <v>15.65</v>
      </c>
      <c r="H189">
        <v>35.65</v>
      </c>
      <c r="I189" t="s">
        <v>344</v>
      </c>
      <c r="J189">
        <v>81</v>
      </c>
      <c r="K189">
        <v>-2.42</v>
      </c>
      <c r="L189" t="s">
        <v>346</v>
      </c>
      <c r="M189" s="1">
        <v>2.4199999999999999E-2</v>
      </c>
      <c r="N189" t="s">
        <v>350</v>
      </c>
      <c r="O189">
        <v>-0.1</v>
      </c>
      <c r="P189" t="s">
        <v>343</v>
      </c>
      <c r="Q189">
        <v>3.44</v>
      </c>
      <c r="R189" t="s">
        <v>344</v>
      </c>
      <c r="S189">
        <v>1</v>
      </c>
    </row>
    <row r="190" spans="1:19" x14ac:dyDescent="0.25">
      <c r="A190" t="s">
        <v>21</v>
      </c>
      <c r="B190" t="s">
        <v>128</v>
      </c>
      <c r="C190">
        <v>1400</v>
      </c>
      <c r="D190" t="s">
        <v>340</v>
      </c>
      <c r="E190">
        <v>30.8</v>
      </c>
      <c r="F190">
        <v>20</v>
      </c>
      <c r="G190">
        <v>15.89</v>
      </c>
      <c r="H190">
        <v>35.89</v>
      </c>
      <c r="I190" t="s">
        <v>344</v>
      </c>
      <c r="J190">
        <v>80.75</v>
      </c>
      <c r="K190">
        <v>-1.24</v>
      </c>
      <c r="L190" t="s">
        <v>346</v>
      </c>
      <c r="M190" s="1">
        <v>1.24E-2</v>
      </c>
      <c r="N190" t="s">
        <v>349</v>
      </c>
      <c r="O190">
        <v>1.42</v>
      </c>
      <c r="P190" t="s">
        <v>343</v>
      </c>
      <c r="Q190">
        <v>3.33</v>
      </c>
      <c r="R190" t="s">
        <v>344</v>
      </c>
      <c r="S190">
        <v>1</v>
      </c>
    </row>
    <row r="191" spans="1:19" x14ac:dyDescent="0.25">
      <c r="A191" t="s">
        <v>21</v>
      </c>
      <c r="B191" t="s">
        <v>129</v>
      </c>
      <c r="C191">
        <v>1420</v>
      </c>
      <c r="D191" t="s">
        <v>340</v>
      </c>
      <c r="E191">
        <v>30.8</v>
      </c>
      <c r="F191">
        <v>20</v>
      </c>
      <c r="G191">
        <v>15.4</v>
      </c>
      <c r="H191">
        <v>35.4</v>
      </c>
      <c r="I191" t="s">
        <v>344</v>
      </c>
      <c r="J191">
        <v>80.44</v>
      </c>
      <c r="K191">
        <v>-1.55</v>
      </c>
      <c r="L191" t="s">
        <v>346</v>
      </c>
      <c r="M191" s="1">
        <v>1.55E-2</v>
      </c>
      <c r="N191" t="s">
        <v>349</v>
      </c>
      <c r="O191">
        <v>1.51</v>
      </c>
      <c r="P191" t="s">
        <v>343</v>
      </c>
      <c r="Q191">
        <v>3.36</v>
      </c>
      <c r="R191" t="s">
        <v>344</v>
      </c>
      <c r="S191">
        <v>1</v>
      </c>
    </row>
    <row r="192" spans="1:19" x14ac:dyDescent="0.25">
      <c r="A192" t="s">
        <v>21</v>
      </c>
      <c r="B192" t="s">
        <v>130</v>
      </c>
      <c r="C192">
        <v>1440</v>
      </c>
      <c r="D192" t="s">
        <v>340</v>
      </c>
      <c r="E192">
        <v>30.8</v>
      </c>
      <c r="F192">
        <v>20</v>
      </c>
      <c r="G192">
        <v>15.5</v>
      </c>
      <c r="H192">
        <v>35.5</v>
      </c>
      <c r="I192" t="s">
        <v>344</v>
      </c>
      <c r="J192">
        <v>80.23</v>
      </c>
      <c r="K192">
        <v>-1.05</v>
      </c>
      <c r="L192" t="s">
        <v>346</v>
      </c>
      <c r="M192" s="1">
        <v>1.0500000000000001E-2</v>
      </c>
      <c r="N192" t="s">
        <v>349</v>
      </c>
      <c r="O192">
        <v>2.13</v>
      </c>
      <c r="P192" t="s">
        <v>344</v>
      </c>
      <c r="Q192">
        <v>4.21</v>
      </c>
      <c r="R192" t="s">
        <v>343</v>
      </c>
      <c r="S192">
        <v>1</v>
      </c>
    </row>
    <row r="193" spans="1:19" x14ac:dyDescent="0.25">
      <c r="A193" t="s">
        <v>21</v>
      </c>
      <c r="B193" t="s">
        <v>131</v>
      </c>
      <c r="C193">
        <v>1460</v>
      </c>
      <c r="D193" t="s">
        <v>340</v>
      </c>
      <c r="E193">
        <v>30.8</v>
      </c>
      <c r="F193">
        <v>20</v>
      </c>
      <c r="G193">
        <v>15.25</v>
      </c>
      <c r="H193">
        <v>35.25</v>
      </c>
      <c r="I193" t="s">
        <v>344</v>
      </c>
      <c r="J193">
        <v>79.86</v>
      </c>
      <c r="K193">
        <v>-1.82</v>
      </c>
      <c r="L193" t="s">
        <v>346</v>
      </c>
      <c r="M193" s="1">
        <v>1.8200000000000001E-2</v>
      </c>
      <c r="N193" t="s">
        <v>349</v>
      </c>
      <c r="O193">
        <v>1.8</v>
      </c>
      <c r="P193" t="s">
        <v>343</v>
      </c>
      <c r="Q193">
        <v>3.53</v>
      </c>
      <c r="R193" t="s">
        <v>344</v>
      </c>
      <c r="S193">
        <v>1</v>
      </c>
    </row>
    <row r="194" spans="1:19" x14ac:dyDescent="0.25">
      <c r="A194" t="s">
        <v>21</v>
      </c>
      <c r="B194" t="s">
        <v>132</v>
      </c>
      <c r="C194">
        <v>1480</v>
      </c>
      <c r="D194" t="s">
        <v>340</v>
      </c>
      <c r="E194">
        <v>30.8</v>
      </c>
      <c r="F194">
        <v>20</v>
      </c>
      <c r="G194">
        <v>15.38</v>
      </c>
      <c r="H194">
        <v>35.380000000000003</v>
      </c>
      <c r="I194" t="s">
        <v>344</v>
      </c>
      <c r="J194">
        <v>79.510000000000005</v>
      </c>
      <c r="K194">
        <v>-1.79</v>
      </c>
      <c r="L194" t="s">
        <v>346</v>
      </c>
      <c r="M194" s="1">
        <v>1.7899999999999999E-2</v>
      </c>
      <c r="N194" t="s">
        <v>349</v>
      </c>
      <c r="O194">
        <v>0.74</v>
      </c>
      <c r="P194" t="s">
        <v>343</v>
      </c>
      <c r="Q194">
        <v>2.5</v>
      </c>
      <c r="R194" t="s">
        <v>344</v>
      </c>
      <c r="S194">
        <v>1</v>
      </c>
    </row>
    <row r="195" spans="1:19" x14ac:dyDescent="0.25">
      <c r="A195" t="s">
        <v>21</v>
      </c>
      <c r="B195" t="s">
        <v>133</v>
      </c>
      <c r="C195">
        <v>1500</v>
      </c>
      <c r="D195" t="s">
        <v>340</v>
      </c>
      <c r="E195">
        <v>30.8</v>
      </c>
      <c r="F195">
        <v>20</v>
      </c>
      <c r="G195">
        <v>15.09</v>
      </c>
      <c r="H195">
        <v>35.090000000000003</v>
      </c>
      <c r="I195" t="s">
        <v>344</v>
      </c>
      <c r="J195">
        <v>79.22</v>
      </c>
      <c r="K195">
        <v>-1.42</v>
      </c>
      <c r="L195" t="s">
        <v>346</v>
      </c>
      <c r="M195" s="1">
        <v>1.4200000000000001E-2</v>
      </c>
      <c r="N195" t="s">
        <v>349</v>
      </c>
      <c r="O195">
        <v>1.1100000000000001</v>
      </c>
      <c r="P195" t="s">
        <v>343</v>
      </c>
      <c r="Q195">
        <v>3.1</v>
      </c>
      <c r="R195" t="s">
        <v>344</v>
      </c>
      <c r="S195">
        <v>1</v>
      </c>
    </row>
    <row r="196" spans="1:19" x14ac:dyDescent="0.25">
      <c r="A196" t="s">
        <v>21</v>
      </c>
      <c r="B196" t="s">
        <v>134</v>
      </c>
      <c r="C196">
        <v>1520</v>
      </c>
      <c r="D196" t="s">
        <v>340</v>
      </c>
      <c r="E196">
        <v>30.8</v>
      </c>
      <c r="F196">
        <v>20</v>
      </c>
      <c r="G196">
        <v>14.99</v>
      </c>
      <c r="H196">
        <v>34.99</v>
      </c>
      <c r="I196" t="s">
        <v>344</v>
      </c>
      <c r="J196">
        <v>78.959999999999994</v>
      </c>
      <c r="K196">
        <v>-1.32</v>
      </c>
      <c r="L196" t="s">
        <v>346</v>
      </c>
      <c r="M196" s="1">
        <v>1.32E-2</v>
      </c>
      <c r="N196" t="s">
        <v>349</v>
      </c>
      <c r="O196">
        <v>1.17</v>
      </c>
      <c r="P196" t="s">
        <v>343</v>
      </c>
      <c r="Q196">
        <v>4.0199999999999996</v>
      </c>
      <c r="R196" t="s">
        <v>343</v>
      </c>
      <c r="S196">
        <v>1</v>
      </c>
    </row>
    <row r="197" spans="1:19" x14ac:dyDescent="0.25">
      <c r="A197" t="s">
        <v>21</v>
      </c>
      <c r="B197" t="s">
        <v>135</v>
      </c>
      <c r="C197">
        <v>1540</v>
      </c>
      <c r="D197" t="s">
        <v>340</v>
      </c>
      <c r="E197">
        <v>30.8</v>
      </c>
      <c r="F197">
        <v>20</v>
      </c>
      <c r="G197">
        <v>14.78</v>
      </c>
      <c r="H197">
        <v>34.78</v>
      </c>
      <c r="I197" t="s">
        <v>344</v>
      </c>
      <c r="J197">
        <v>78.459999999999994</v>
      </c>
      <c r="K197">
        <v>-2.4900000000000002</v>
      </c>
      <c r="L197" t="s">
        <v>346</v>
      </c>
      <c r="M197" s="1">
        <v>2.4899999999999999E-2</v>
      </c>
      <c r="N197" t="s">
        <v>350</v>
      </c>
      <c r="O197">
        <v>0.39</v>
      </c>
      <c r="P197" t="s">
        <v>343</v>
      </c>
      <c r="Q197">
        <v>3.21</v>
      </c>
      <c r="R197" t="s">
        <v>344</v>
      </c>
      <c r="S197">
        <v>1</v>
      </c>
    </row>
    <row r="198" spans="1:19" x14ac:dyDescent="0.25">
      <c r="A198" t="s">
        <v>21</v>
      </c>
      <c r="B198" t="s">
        <v>136</v>
      </c>
      <c r="C198">
        <v>1560</v>
      </c>
      <c r="D198" t="s">
        <v>340</v>
      </c>
      <c r="E198">
        <v>30.8</v>
      </c>
      <c r="F198">
        <v>20</v>
      </c>
      <c r="G198">
        <v>15.17</v>
      </c>
      <c r="H198">
        <v>35.17</v>
      </c>
      <c r="I198" t="s">
        <v>344</v>
      </c>
      <c r="J198">
        <v>77.95</v>
      </c>
      <c r="K198">
        <v>-2.57</v>
      </c>
      <c r="L198" t="s">
        <v>346</v>
      </c>
      <c r="M198" s="1">
        <v>2.5700000000000001E-2</v>
      </c>
      <c r="N198" t="s">
        <v>350</v>
      </c>
      <c r="O198">
        <v>0.27</v>
      </c>
      <c r="P198" t="s">
        <v>343</v>
      </c>
      <c r="Q198">
        <v>4.22</v>
      </c>
      <c r="R198" t="s">
        <v>343</v>
      </c>
      <c r="S198">
        <v>1</v>
      </c>
    </row>
    <row r="199" spans="1:19" x14ac:dyDescent="0.25">
      <c r="A199" t="s">
        <v>21</v>
      </c>
      <c r="B199" t="s">
        <v>137</v>
      </c>
      <c r="C199">
        <v>1580</v>
      </c>
      <c r="D199" t="s">
        <v>340</v>
      </c>
      <c r="E199">
        <v>30.8</v>
      </c>
      <c r="F199">
        <v>20</v>
      </c>
      <c r="G199">
        <v>15.35</v>
      </c>
      <c r="H199">
        <v>35.35</v>
      </c>
      <c r="I199" t="s">
        <v>344</v>
      </c>
      <c r="J199">
        <v>77.63</v>
      </c>
      <c r="K199">
        <v>-1.6</v>
      </c>
      <c r="L199" t="s">
        <v>346</v>
      </c>
      <c r="M199" s="1">
        <v>1.6E-2</v>
      </c>
      <c r="N199" t="s">
        <v>349</v>
      </c>
      <c r="O199">
        <v>0.27</v>
      </c>
      <c r="P199" t="s">
        <v>343</v>
      </c>
      <c r="Q199">
        <v>5.97</v>
      </c>
      <c r="R199" t="s">
        <v>343</v>
      </c>
      <c r="S199">
        <v>1</v>
      </c>
    </row>
    <row r="200" spans="1:19" x14ac:dyDescent="0.25">
      <c r="A200" t="s">
        <v>21</v>
      </c>
      <c r="B200" t="s">
        <v>138</v>
      </c>
      <c r="C200">
        <v>1600</v>
      </c>
      <c r="D200" t="s">
        <v>340</v>
      </c>
      <c r="E200">
        <v>30.8</v>
      </c>
      <c r="F200">
        <v>20</v>
      </c>
      <c r="G200">
        <v>16.02</v>
      </c>
      <c r="H200">
        <v>36.020000000000003</v>
      </c>
      <c r="I200" t="s">
        <v>344</v>
      </c>
      <c r="J200">
        <v>77.09</v>
      </c>
      <c r="K200">
        <v>-2.68</v>
      </c>
      <c r="L200" t="s">
        <v>346</v>
      </c>
      <c r="M200" s="1">
        <v>2.6800000000000001E-2</v>
      </c>
      <c r="N200" t="s">
        <v>350</v>
      </c>
      <c r="O200">
        <v>-1.82</v>
      </c>
      <c r="P200" t="s">
        <v>343</v>
      </c>
      <c r="Q200">
        <v>2.96</v>
      </c>
      <c r="R200" t="s">
        <v>344</v>
      </c>
      <c r="S200">
        <v>1</v>
      </c>
    </row>
    <row r="201" spans="1:19" x14ac:dyDescent="0.25">
      <c r="A201" t="s">
        <v>21</v>
      </c>
      <c r="B201" t="s">
        <v>139</v>
      </c>
      <c r="C201">
        <v>1620</v>
      </c>
      <c r="D201" t="s">
        <v>340</v>
      </c>
      <c r="E201">
        <v>30.8</v>
      </c>
      <c r="F201">
        <v>20</v>
      </c>
      <c r="G201">
        <v>17.23</v>
      </c>
      <c r="H201">
        <v>37.229999999999997</v>
      </c>
      <c r="I201" t="s">
        <v>344</v>
      </c>
      <c r="J201">
        <v>76.84</v>
      </c>
      <c r="K201">
        <v>-1.27</v>
      </c>
      <c r="L201" t="s">
        <v>346</v>
      </c>
      <c r="M201" s="1">
        <v>1.2699999999999999E-2</v>
      </c>
      <c r="N201" t="s">
        <v>349</v>
      </c>
      <c r="O201">
        <v>-0.08</v>
      </c>
      <c r="P201" t="s">
        <v>343</v>
      </c>
      <c r="Q201">
        <v>2.8</v>
      </c>
      <c r="R201" t="s">
        <v>344</v>
      </c>
      <c r="S201">
        <v>1</v>
      </c>
    </row>
    <row r="202" spans="1:19" x14ac:dyDescent="0.25">
      <c r="A202" t="s">
        <v>21</v>
      </c>
      <c r="B202" t="s">
        <v>140</v>
      </c>
      <c r="C202">
        <v>1640</v>
      </c>
      <c r="D202" t="s">
        <v>340</v>
      </c>
      <c r="E202">
        <v>30.8</v>
      </c>
      <c r="F202">
        <v>17.420000000000002</v>
      </c>
      <c r="G202">
        <v>17.96</v>
      </c>
      <c r="H202">
        <v>35.380000000000003</v>
      </c>
      <c r="I202" t="s">
        <v>344</v>
      </c>
      <c r="J202">
        <v>76.540000000000006</v>
      </c>
      <c r="K202">
        <v>-1.47</v>
      </c>
      <c r="L202" t="s">
        <v>346</v>
      </c>
      <c r="M202" s="1">
        <v>1.47E-2</v>
      </c>
      <c r="N202" t="s">
        <v>349</v>
      </c>
      <c r="O202">
        <v>-0.48</v>
      </c>
      <c r="P202" t="s">
        <v>343</v>
      </c>
      <c r="Q202">
        <v>2.4</v>
      </c>
      <c r="R202" t="s">
        <v>344</v>
      </c>
      <c r="S202">
        <v>1</v>
      </c>
    </row>
    <row r="203" spans="1:19" x14ac:dyDescent="0.25">
      <c r="A203" t="s">
        <v>21</v>
      </c>
      <c r="B203" t="s">
        <v>141</v>
      </c>
      <c r="C203">
        <v>1660</v>
      </c>
      <c r="D203" t="s">
        <v>340</v>
      </c>
      <c r="E203">
        <v>30.8</v>
      </c>
      <c r="F203">
        <v>15.77</v>
      </c>
      <c r="G203">
        <v>18.52</v>
      </c>
      <c r="H203">
        <v>34.29</v>
      </c>
      <c r="I203" t="s">
        <v>344</v>
      </c>
      <c r="J203">
        <v>76.34</v>
      </c>
      <c r="K203">
        <v>-1.03</v>
      </c>
      <c r="L203" t="s">
        <v>346</v>
      </c>
      <c r="M203" s="1">
        <v>1.03E-2</v>
      </c>
      <c r="N203" t="s">
        <v>349</v>
      </c>
      <c r="O203">
        <v>1.05</v>
      </c>
      <c r="P203" t="s">
        <v>343</v>
      </c>
      <c r="Q203">
        <v>2.66</v>
      </c>
      <c r="R203" t="s">
        <v>344</v>
      </c>
      <c r="S203">
        <v>1</v>
      </c>
    </row>
    <row r="204" spans="1:19" x14ac:dyDescent="0.25">
      <c r="A204" t="s">
        <v>21</v>
      </c>
      <c r="B204" t="s">
        <v>142</v>
      </c>
      <c r="C204">
        <v>1680</v>
      </c>
      <c r="D204" t="s">
        <v>340</v>
      </c>
      <c r="E204">
        <v>30.8</v>
      </c>
      <c r="F204">
        <v>16.27</v>
      </c>
      <c r="G204">
        <v>16.98</v>
      </c>
      <c r="H204">
        <v>33.24</v>
      </c>
      <c r="I204" t="s">
        <v>344</v>
      </c>
      <c r="J204">
        <v>76.14</v>
      </c>
      <c r="K204">
        <v>-0.98</v>
      </c>
      <c r="L204" t="s">
        <v>346</v>
      </c>
      <c r="M204" s="1">
        <v>9.7999999999999997E-3</v>
      </c>
      <c r="N204" t="s">
        <v>349</v>
      </c>
      <c r="O204">
        <v>1.1100000000000001</v>
      </c>
      <c r="P204" t="s">
        <v>343</v>
      </c>
      <c r="Q204">
        <v>3.1</v>
      </c>
      <c r="R204" t="s">
        <v>344</v>
      </c>
      <c r="S204">
        <v>1</v>
      </c>
    </row>
    <row r="205" spans="1:19" x14ac:dyDescent="0.25">
      <c r="A205" t="s">
        <v>21</v>
      </c>
      <c r="B205" t="s">
        <v>143</v>
      </c>
      <c r="C205">
        <v>1700</v>
      </c>
      <c r="D205" t="s">
        <v>340</v>
      </c>
      <c r="E205">
        <v>30.8</v>
      </c>
      <c r="F205">
        <v>17.14</v>
      </c>
      <c r="G205">
        <v>15.13</v>
      </c>
      <c r="H205">
        <v>32.270000000000003</v>
      </c>
      <c r="I205" t="s">
        <v>344</v>
      </c>
      <c r="J205">
        <v>75.8</v>
      </c>
      <c r="K205">
        <v>-1.72</v>
      </c>
      <c r="L205" t="s">
        <v>346</v>
      </c>
      <c r="M205" s="1">
        <v>1.72E-2</v>
      </c>
      <c r="N205" t="s">
        <v>349</v>
      </c>
      <c r="O205">
        <v>0.56999999999999995</v>
      </c>
      <c r="P205" t="s">
        <v>343</v>
      </c>
      <c r="Q205">
        <v>3.13</v>
      </c>
      <c r="R205" t="s">
        <v>344</v>
      </c>
      <c r="S205">
        <v>1</v>
      </c>
    </row>
    <row r="206" spans="1:19" x14ac:dyDescent="0.25">
      <c r="A206" t="s">
        <v>21</v>
      </c>
      <c r="B206" t="s">
        <v>144</v>
      </c>
      <c r="C206">
        <v>1720</v>
      </c>
      <c r="D206" t="s">
        <v>340</v>
      </c>
      <c r="E206">
        <v>30.8</v>
      </c>
      <c r="F206">
        <v>17.510000000000002</v>
      </c>
      <c r="G206">
        <v>14.88</v>
      </c>
      <c r="H206">
        <v>32.39</v>
      </c>
      <c r="I206" t="s">
        <v>344</v>
      </c>
      <c r="J206">
        <v>75.58</v>
      </c>
      <c r="K206">
        <v>-1.07</v>
      </c>
      <c r="L206" t="s">
        <v>346</v>
      </c>
      <c r="M206" s="1">
        <v>1.0699999999999999E-2</v>
      </c>
      <c r="N206" t="s">
        <v>349</v>
      </c>
      <c r="O206">
        <v>1.04</v>
      </c>
      <c r="P206" t="s">
        <v>343</v>
      </c>
      <c r="Q206">
        <v>3.35</v>
      </c>
      <c r="R206" t="s">
        <v>344</v>
      </c>
      <c r="S206">
        <v>1</v>
      </c>
    </row>
    <row r="207" spans="1:19" x14ac:dyDescent="0.25">
      <c r="A207" t="s">
        <v>21</v>
      </c>
      <c r="B207" t="s">
        <v>145</v>
      </c>
      <c r="C207">
        <v>1740</v>
      </c>
      <c r="D207" t="s">
        <v>340</v>
      </c>
      <c r="E207">
        <v>30.8</v>
      </c>
      <c r="F207">
        <v>16.7</v>
      </c>
      <c r="G207">
        <v>14.74</v>
      </c>
      <c r="H207">
        <v>31.44</v>
      </c>
      <c r="I207" t="s">
        <v>344</v>
      </c>
      <c r="J207">
        <v>75.25</v>
      </c>
      <c r="K207">
        <v>-1.65</v>
      </c>
      <c r="L207" t="s">
        <v>346</v>
      </c>
      <c r="M207" s="1">
        <v>1.6500000000000001E-2</v>
      </c>
      <c r="N207" t="s">
        <v>349</v>
      </c>
      <c r="O207">
        <v>0.44</v>
      </c>
      <c r="P207" t="s">
        <v>343</v>
      </c>
      <c r="Q207">
        <v>3.24</v>
      </c>
      <c r="R207" t="s">
        <v>344</v>
      </c>
      <c r="S207">
        <v>1</v>
      </c>
    </row>
    <row r="208" spans="1:19" x14ac:dyDescent="0.25">
      <c r="A208" t="s">
        <v>21</v>
      </c>
      <c r="B208" t="s">
        <v>146</v>
      </c>
      <c r="C208">
        <v>1760</v>
      </c>
      <c r="D208" t="s">
        <v>340</v>
      </c>
      <c r="E208">
        <v>30.8</v>
      </c>
      <c r="F208">
        <v>17.48</v>
      </c>
      <c r="G208">
        <v>14.28</v>
      </c>
      <c r="H208">
        <v>31.76</v>
      </c>
      <c r="I208" t="s">
        <v>344</v>
      </c>
      <c r="J208">
        <v>75.099999999999994</v>
      </c>
      <c r="K208">
        <v>-0.78</v>
      </c>
      <c r="L208" t="s">
        <v>346</v>
      </c>
      <c r="M208" s="1">
        <v>7.8000000000000014E-3</v>
      </c>
      <c r="N208" t="s">
        <v>349</v>
      </c>
      <c r="O208">
        <v>1.83</v>
      </c>
      <c r="P208" t="s">
        <v>343</v>
      </c>
      <c r="Q208">
        <v>3.97</v>
      </c>
      <c r="R208" t="s">
        <v>344</v>
      </c>
      <c r="S208">
        <v>1</v>
      </c>
    </row>
    <row r="209" spans="1:19" x14ac:dyDescent="0.25">
      <c r="A209" t="s">
        <v>21</v>
      </c>
      <c r="B209" t="s">
        <v>147</v>
      </c>
      <c r="C209">
        <v>1780</v>
      </c>
      <c r="D209" t="s">
        <v>340</v>
      </c>
      <c r="E209">
        <v>30.8</v>
      </c>
      <c r="F209">
        <v>17.75</v>
      </c>
      <c r="G209">
        <v>14.2</v>
      </c>
      <c r="H209">
        <v>31.96</v>
      </c>
      <c r="I209" t="s">
        <v>344</v>
      </c>
      <c r="J209">
        <v>74.790000000000006</v>
      </c>
      <c r="K209">
        <v>-1.51</v>
      </c>
      <c r="L209" t="s">
        <v>346</v>
      </c>
      <c r="M209" s="1">
        <v>1.5100000000000001E-2</v>
      </c>
      <c r="N209" t="s">
        <v>349</v>
      </c>
      <c r="O209">
        <v>0.64</v>
      </c>
      <c r="P209" t="s">
        <v>343</v>
      </c>
      <c r="Q209">
        <v>4.18</v>
      </c>
      <c r="R209" t="s">
        <v>343</v>
      </c>
      <c r="S209">
        <v>1</v>
      </c>
    </row>
    <row r="210" spans="1:19" x14ac:dyDescent="0.25">
      <c r="A210" t="s">
        <v>21</v>
      </c>
      <c r="B210" t="s">
        <v>148</v>
      </c>
      <c r="C210">
        <v>1800</v>
      </c>
      <c r="D210" t="s">
        <v>340</v>
      </c>
      <c r="E210">
        <v>30.8</v>
      </c>
      <c r="F210">
        <v>16.18</v>
      </c>
      <c r="G210">
        <v>14.22</v>
      </c>
      <c r="H210">
        <v>30.4</v>
      </c>
      <c r="I210" t="s">
        <v>343</v>
      </c>
      <c r="J210">
        <v>74.510000000000005</v>
      </c>
      <c r="K210">
        <v>-1.41</v>
      </c>
      <c r="L210" t="s">
        <v>346</v>
      </c>
      <c r="M210" s="1">
        <v>1.41E-2</v>
      </c>
      <c r="N210" t="s">
        <v>349</v>
      </c>
      <c r="O210">
        <v>1.01</v>
      </c>
      <c r="P210" t="s">
        <v>343</v>
      </c>
      <c r="Q210">
        <v>4.72</v>
      </c>
      <c r="R210" t="s">
        <v>343</v>
      </c>
      <c r="S210">
        <v>1</v>
      </c>
    </row>
    <row r="211" spans="1:19" x14ac:dyDescent="0.25">
      <c r="A211" t="s">
        <v>21</v>
      </c>
      <c r="B211" t="s">
        <v>149</v>
      </c>
      <c r="C211">
        <v>1820</v>
      </c>
      <c r="D211" t="s">
        <v>340</v>
      </c>
      <c r="E211">
        <v>30.8</v>
      </c>
      <c r="F211">
        <v>15.47</v>
      </c>
      <c r="G211">
        <v>14.1</v>
      </c>
      <c r="H211">
        <v>29.57</v>
      </c>
      <c r="I211" t="s">
        <v>343</v>
      </c>
      <c r="J211">
        <v>74.41</v>
      </c>
      <c r="K211">
        <v>-0.5</v>
      </c>
      <c r="L211" t="s">
        <v>346</v>
      </c>
      <c r="M211" s="1">
        <v>5.0000000000000001E-3</v>
      </c>
      <c r="N211" t="s">
        <v>349</v>
      </c>
      <c r="O211">
        <v>1.08</v>
      </c>
      <c r="P211" t="s">
        <v>343</v>
      </c>
      <c r="Q211">
        <v>4.53</v>
      </c>
      <c r="R211" t="s">
        <v>343</v>
      </c>
      <c r="S211">
        <v>1</v>
      </c>
    </row>
    <row r="212" spans="1:19" x14ac:dyDescent="0.25">
      <c r="A212" t="s">
        <v>21</v>
      </c>
      <c r="B212" t="s">
        <v>150</v>
      </c>
      <c r="C212">
        <v>1840</v>
      </c>
      <c r="D212" t="s">
        <v>340</v>
      </c>
      <c r="E212">
        <v>30.8</v>
      </c>
      <c r="F212">
        <v>16.02</v>
      </c>
      <c r="G212">
        <v>13.28</v>
      </c>
      <c r="H212">
        <v>29.3</v>
      </c>
      <c r="I212" t="s">
        <v>343</v>
      </c>
      <c r="J212">
        <v>74.319999999999993</v>
      </c>
      <c r="K212">
        <v>-0.46</v>
      </c>
      <c r="L212" t="s">
        <v>346</v>
      </c>
      <c r="M212" s="1">
        <v>4.5999999999999999E-3</v>
      </c>
      <c r="N212" t="s">
        <v>349</v>
      </c>
      <c r="O212">
        <v>0.08</v>
      </c>
      <c r="P212" t="s">
        <v>343</v>
      </c>
      <c r="Q212">
        <v>4.4400000000000004</v>
      </c>
      <c r="R212" t="s">
        <v>343</v>
      </c>
      <c r="S212">
        <v>1</v>
      </c>
    </row>
    <row r="213" spans="1:19" x14ac:dyDescent="0.25">
      <c r="A213" t="s">
        <v>21</v>
      </c>
      <c r="B213" t="s">
        <v>151</v>
      </c>
      <c r="C213">
        <v>1860</v>
      </c>
      <c r="D213" t="s">
        <v>340</v>
      </c>
      <c r="E213">
        <v>30.8</v>
      </c>
      <c r="F213">
        <v>14.11</v>
      </c>
      <c r="G213">
        <v>14.1</v>
      </c>
      <c r="H213">
        <v>28.21</v>
      </c>
      <c r="I213" t="s">
        <v>343</v>
      </c>
      <c r="J213">
        <v>74.209999999999994</v>
      </c>
      <c r="K213">
        <v>-0.54</v>
      </c>
      <c r="L213" t="s">
        <v>346</v>
      </c>
      <c r="M213" s="1">
        <v>5.4000000000000003E-3</v>
      </c>
      <c r="N213" t="s">
        <v>349</v>
      </c>
      <c r="O213">
        <v>-0.92</v>
      </c>
      <c r="P213" t="s">
        <v>343</v>
      </c>
      <c r="Q213">
        <v>3.16</v>
      </c>
      <c r="R213" t="s">
        <v>344</v>
      </c>
      <c r="S213">
        <v>1</v>
      </c>
    </row>
    <row r="214" spans="1:19" x14ac:dyDescent="0.25">
      <c r="A214" t="s">
        <v>21</v>
      </c>
      <c r="B214" t="s">
        <v>152</v>
      </c>
      <c r="C214">
        <v>1880</v>
      </c>
      <c r="D214" t="s">
        <v>340</v>
      </c>
      <c r="E214">
        <v>30.8</v>
      </c>
      <c r="F214">
        <v>14.06</v>
      </c>
      <c r="G214">
        <v>15.36</v>
      </c>
      <c r="H214">
        <v>29.42</v>
      </c>
      <c r="I214" t="s">
        <v>343</v>
      </c>
      <c r="J214">
        <v>73.989999999999995</v>
      </c>
      <c r="K214">
        <v>-1.1100000000000001</v>
      </c>
      <c r="L214" t="s">
        <v>346</v>
      </c>
      <c r="M214" s="1">
        <v>1.11E-2</v>
      </c>
      <c r="N214" t="s">
        <v>349</v>
      </c>
      <c r="O214">
        <v>-1.19</v>
      </c>
      <c r="P214" t="s">
        <v>343</v>
      </c>
      <c r="Q214">
        <v>3.56</v>
      </c>
      <c r="R214" t="s">
        <v>344</v>
      </c>
      <c r="S214">
        <v>1</v>
      </c>
    </row>
    <row r="215" spans="1:19" x14ac:dyDescent="0.25">
      <c r="A215" t="s">
        <v>21</v>
      </c>
      <c r="B215" t="s">
        <v>153</v>
      </c>
      <c r="C215">
        <v>1900</v>
      </c>
      <c r="D215" t="s">
        <v>340</v>
      </c>
      <c r="E215">
        <v>30.8</v>
      </c>
      <c r="F215">
        <v>13.24</v>
      </c>
      <c r="G215">
        <v>15.94</v>
      </c>
      <c r="H215">
        <v>29.18</v>
      </c>
      <c r="I215" t="s">
        <v>343</v>
      </c>
      <c r="J215">
        <v>73.73</v>
      </c>
      <c r="K215">
        <v>-1.31</v>
      </c>
      <c r="L215" t="s">
        <v>346</v>
      </c>
      <c r="M215" s="1">
        <v>1.3100000000000001E-2</v>
      </c>
      <c r="N215" t="s">
        <v>349</v>
      </c>
      <c r="O215">
        <v>-1</v>
      </c>
      <c r="P215" t="s">
        <v>343</v>
      </c>
      <c r="Q215">
        <v>5.96</v>
      </c>
      <c r="R215" t="s">
        <v>343</v>
      </c>
      <c r="S215">
        <v>1</v>
      </c>
    </row>
    <row r="216" spans="1:19" x14ac:dyDescent="0.25">
      <c r="A216" t="s">
        <v>21</v>
      </c>
      <c r="B216" t="s">
        <v>154</v>
      </c>
      <c r="C216">
        <v>1920</v>
      </c>
      <c r="D216" t="s">
        <v>340</v>
      </c>
      <c r="E216">
        <v>30.8</v>
      </c>
      <c r="F216">
        <v>14.41</v>
      </c>
      <c r="G216">
        <v>15.4</v>
      </c>
      <c r="H216">
        <v>29.81</v>
      </c>
      <c r="I216" t="s">
        <v>343</v>
      </c>
      <c r="J216">
        <v>73.69</v>
      </c>
      <c r="K216">
        <v>-0.18</v>
      </c>
      <c r="L216" t="s">
        <v>346</v>
      </c>
      <c r="M216" s="1">
        <v>1.8E-3</v>
      </c>
      <c r="N216" t="s">
        <v>349</v>
      </c>
      <c r="O216">
        <v>-2.48</v>
      </c>
      <c r="P216" t="s">
        <v>344</v>
      </c>
      <c r="Q216">
        <v>6.66</v>
      </c>
      <c r="R216" t="s">
        <v>343</v>
      </c>
      <c r="S216">
        <v>1</v>
      </c>
    </row>
    <row r="217" spans="1:19" x14ac:dyDescent="0.25">
      <c r="A217" t="s">
        <v>21</v>
      </c>
      <c r="B217" t="s">
        <v>155</v>
      </c>
      <c r="C217">
        <v>1940</v>
      </c>
      <c r="D217" t="s">
        <v>340</v>
      </c>
      <c r="E217">
        <v>30.8</v>
      </c>
      <c r="F217">
        <v>14.3</v>
      </c>
      <c r="G217">
        <v>15</v>
      </c>
      <c r="H217">
        <v>29.3</v>
      </c>
      <c r="I217" t="s">
        <v>343</v>
      </c>
      <c r="J217">
        <v>73.69</v>
      </c>
      <c r="K217">
        <v>-0.03</v>
      </c>
      <c r="L217" t="s">
        <v>346</v>
      </c>
      <c r="M217" s="1">
        <v>2.9999999999999997E-4</v>
      </c>
      <c r="N217" t="s">
        <v>349</v>
      </c>
      <c r="O217">
        <v>-3.34</v>
      </c>
      <c r="P217" t="s">
        <v>344</v>
      </c>
      <c r="Q217">
        <v>7.89</v>
      </c>
      <c r="R217" t="s">
        <v>343</v>
      </c>
      <c r="S217">
        <v>1</v>
      </c>
    </row>
    <row r="218" spans="1:19" x14ac:dyDescent="0.25">
      <c r="A218" t="s">
        <v>21</v>
      </c>
      <c r="B218" t="s">
        <v>156</v>
      </c>
      <c r="C218">
        <v>1960</v>
      </c>
      <c r="D218" t="s">
        <v>340</v>
      </c>
      <c r="E218">
        <v>30.8</v>
      </c>
      <c r="F218">
        <v>13.58</v>
      </c>
      <c r="G218">
        <v>15.85</v>
      </c>
      <c r="H218">
        <v>29.43</v>
      </c>
      <c r="I218" t="s">
        <v>343</v>
      </c>
      <c r="J218">
        <v>73.81</v>
      </c>
      <c r="K218">
        <v>0.64</v>
      </c>
      <c r="L218" t="s">
        <v>346</v>
      </c>
      <c r="M218" s="1">
        <v>6.4000000000000003E-3</v>
      </c>
      <c r="N218" t="s">
        <v>349</v>
      </c>
      <c r="O218">
        <v>-3.87</v>
      </c>
      <c r="P218" t="s">
        <v>344</v>
      </c>
      <c r="Q218">
        <v>8.11</v>
      </c>
      <c r="R218" t="s">
        <v>343</v>
      </c>
      <c r="S218">
        <v>1</v>
      </c>
    </row>
    <row r="219" spans="1:19" x14ac:dyDescent="0.25">
      <c r="A219" t="s">
        <v>21</v>
      </c>
      <c r="B219" t="s">
        <v>157</v>
      </c>
      <c r="C219">
        <v>1980</v>
      </c>
      <c r="D219" t="s">
        <v>340</v>
      </c>
      <c r="E219">
        <v>30.8</v>
      </c>
      <c r="F219">
        <v>14.12</v>
      </c>
      <c r="G219">
        <v>15.69</v>
      </c>
      <c r="H219">
        <v>29.81</v>
      </c>
      <c r="I219" t="s">
        <v>343</v>
      </c>
      <c r="J219">
        <v>74.75</v>
      </c>
      <c r="K219">
        <v>4.68</v>
      </c>
      <c r="L219" t="s">
        <v>346</v>
      </c>
      <c r="M219" s="1">
        <v>4.6799999999999987E-2</v>
      </c>
      <c r="N219" t="s">
        <v>350</v>
      </c>
      <c r="O219">
        <v>-2.64</v>
      </c>
      <c r="P219" t="s">
        <v>344</v>
      </c>
      <c r="Q219">
        <v>5.28</v>
      </c>
      <c r="R219" t="s">
        <v>343</v>
      </c>
      <c r="S219">
        <v>1</v>
      </c>
    </row>
    <row r="220" spans="1:19" x14ac:dyDescent="0.25">
      <c r="A220" t="s">
        <v>21</v>
      </c>
      <c r="B220" t="s">
        <v>158</v>
      </c>
      <c r="C220">
        <v>2000</v>
      </c>
      <c r="D220" t="s">
        <v>340</v>
      </c>
      <c r="E220">
        <v>30.8</v>
      </c>
      <c r="F220">
        <v>15.95</v>
      </c>
      <c r="G220">
        <v>15.89</v>
      </c>
      <c r="H220">
        <v>31.84</v>
      </c>
      <c r="I220" t="s">
        <v>344</v>
      </c>
      <c r="J220">
        <v>75.150000000000006</v>
      </c>
      <c r="K220">
        <v>2</v>
      </c>
      <c r="L220" t="s">
        <v>346</v>
      </c>
      <c r="M220" s="1">
        <v>0.02</v>
      </c>
      <c r="N220" t="s">
        <v>349</v>
      </c>
      <c r="O220">
        <v>1.4</v>
      </c>
      <c r="P220" t="s">
        <v>343</v>
      </c>
      <c r="Q220">
        <v>5.65</v>
      </c>
      <c r="R220" t="s">
        <v>343</v>
      </c>
      <c r="S220">
        <v>1</v>
      </c>
    </row>
    <row r="221" spans="1:19" x14ac:dyDescent="0.25">
      <c r="A221" t="s">
        <v>21</v>
      </c>
      <c r="B221" t="s">
        <v>159</v>
      </c>
      <c r="C221">
        <v>2020</v>
      </c>
      <c r="D221" t="s">
        <v>340</v>
      </c>
      <c r="E221">
        <v>30.8</v>
      </c>
      <c r="F221">
        <v>20</v>
      </c>
      <c r="G221">
        <v>16.010000000000002</v>
      </c>
      <c r="H221">
        <v>36.01</v>
      </c>
      <c r="I221" t="s">
        <v>344</v>
      </c>
      <c r="J221">
        <v>74.010000000000005</v>
      </c>
      <c r="K221">
        <v>-5.69</v>
      </c>
      <c r="L221" t="s">
        <v>346</v>
      </c>
      <c r="M221" s="1">
        <v>5.6900000000000013E-2</v>
      </c>
      <c r="N221" t="s">
        <v>350</v>
      </c>
      <c r="O221">
        <v>-2.4</v>
      </c>
      <c r="P221" t="s">
        <v>344</v>
      </c>
      <c r="Q221">
        <v>6.06</v>
      </c>
      <c r="R221" t="s">
        <v>343</v>
      </c>
      <c r="S221">
        <v>1</v>
      </c>
    </row>
    <row r="222" spans="1:19" x14ac:dyDescent="0.25">
      <c r="A222" t="s">
        <v>21</v>
      </c>
      <c r="B222" t="s">
        <v>160</v>
      </c>
      <c r="C222">
        <v>2040</v>
      </c>
      <c r="D222" t="s">
        <v>340</v>
      </c>
      <c r="E222">
        <v>30.8</v>
      </c>
      <c r="F222">
        <v>20</v>
      </c>
      <c r="G222">
        <v>16.28</v>
      </c>
      <c r="H222">
        <v>36.28</v>
      </c>
      <c r="I222" t="s">
        <v>344</v>
      </c>
      <c r="J222">
        <v>72.97</v>
      </c>
      <c r="K222">
        <v>-5.21</v>
      </c>
      <c r="L222" t="s">
        <v>346</v>
      </c>
      <c r="M222" s="1">
        <v>5.21E-2</v>
      </c>
      <c r="N222" t="s">
        <v>350</v>
      </c>
      <c r="O222">
        <v>-7.4</v>
      </c>
      <c r="P222" t="s">
        <v>343</v>
      </c>
      <c r="Q222">
        <v>5.84</v>
      </c>
      <c r="R222" t="s">
        <v>343</v>
      </c>
      <c r="S222">
        <v>1</v>
      </c>
    </row>
    <row r="223" spans="1:19" x14ac:dyDescent="0.25">
      <c r="A223" t="s">
        <v>21</v>
      </c>
      <c r="B223" t="s">
        <v>161</v>
      </c>
      <c r="C223">
        <v>2060</v>
      </c>
      <c r="D223" t="s">
        <v>340</v>
      </c>
      <c r="E223">
        <v>30.8</v>
      </c>
      <c r="F223">
        <v>20</v>
      </c>
      <c r="G223">
        <v>17.78</v>
      </c>
      <c r="H223">
        <v>37.78</v>
      </c>
      <c r="I223" t="s">
        <v>344</v>
      </c>
      <c r="J223">
        <v>73.900000000000006</v>
      </c>
      <c r="K223">
        <v>4.62</v>
      </c>
      <c r="L223" t="s">
        <v>346</v>
      </c>
      <c r="M223" s="1">
        <v>4.6199999999999998E-2</v>
      </c>
      <c r="N223" t="s">
        <v>350</v>
      </c>
      <c r="O223">
        <v>0.81</v>
      </c>
      <c r="P223" t="s">
        <v>343</v>
      </c>
      <c r="Q223">
        <v>3.55</v>
      </c>
      <c r="R223" t="s">
        <v>344</v>
      </c>
      <c r="S223">
        <v>1</v>
      </c>
    </row>
    <row r="224" spans="1:19" x14ac:dyDescent="0.25">
      <c r="A224" t="s">
        <v>21</v>
      </c>
      <c r="B224" t="s">
        <v>162</v>
      </c>
      <c r="C224">
        <v>2080</v>
      </c>
      <c r="D224" t="s">
        <v>340</v>
      </c>
      <c r="E224">
        <v>30.8</v>
      </c>
      <c r="F224">
        <v>20</v>
      </c>
      <c r="G224">
        <v>17.239999999999998</v>
      </c>
      <c r="H224">
        <v>37.24</v>
      </c>
      <c r="I224" t="s">
        <v>344</v>
      </c>
      <c r="J224">
        <v>73.05</v>
      </c>
      <c r="K224">
        <v>-4.22</v>
      </c>
      <c r="L224" t="s">
        <v>346</v>
      </c>
      <c r="M224" s="1">
        <v>4.2199999999999988E-2</v>
      </c>
      <c r="N224" t="s">
        <v>350</v>
      </c>
      <c r="O224">
        <v>-16.309999999999999</v>
      </c>
      <c r="P224" t="s">
        <v>343</v>
      </c>
      <c r="Q224">
        <v>5.5</v>
      </c>
      <c r="R224" t="s">
        <v>343</v>
      </c>
      <c r="S224">
        <v>1</v>
      </c>
    </row>
    <row r="225" spans="1:19" x14ac:dyDescent="0.25">
      <c r="A225" t="s">
        <v>21</v>
      </c>
      <c r="B225" t="s">
        <v>163</v>
      </c>
      <c r="C225">
        <v>2100</v>
      </c>
      <c r="D225" t="s">
        <v>340</v>
      </c>
      <c r="E225">
        <v>30.8</v>
      </c>
      <c r="F225">
        <v>20</v>
      </c>
      <c r="G225">
        <v>20</v>
      </c>
      <c r="H225">
        <v>40</v>
      </c>
      <c r="I225" t="s">
        <v>344</v>
      </c>
      <c r="J225">
        <v>71.39</v>
      </c>
      <c r="K225">
        <v>-8.2799999999999994</v>
      </c>
      <c r="L225" t="s">
        <v>347</v>
      </c>
      <c r="M225" s="1">
        <v>8.2799999999999999E-2</v>
      </c>
      <c r="N225" t="s">
        <v>350</v>
      </c>
      <c r="O225">
        <v>-11.31</v>
      </c>
      <c r="P225" t="s">
        <v>343</v>
      </c>
      <c r="Q225">
        <v>5.75</v>
      </c>
      <c r="R225" t="s">
        <v>343</v>
      </c>
      <c r="S225">
        <v>1</v>
      </c>
    </row>
    <row r="226" spans="1:19" x14ac:dyDescent="0.25">
      <c r="A226" t="s">
        <v>21</v>
      </c>
      <c r="B226" t="s">
        <v>164</v>
      </c>
      <c r="C226">
        <v>2120</v>
      </c>
      <c r="D226" t="s">
        <v>340</v>
      </c>
      <c r="E226">
        <v>30.8</v>
      </c>
      <c r="F226">
        <v>20</v>
      </c>
      <c r="G226">
        <v>20</v>
      </c>
      <c r="H226">
        <v>40</v>
      </c>
      <c r="I226" t="s">
        <v>344</v>
      </c>
      <c r="J226">
        <v>69.66</v>
      </c>
      <c r="K226">
        <v>-8.69</v>
      </c>
      <c r="L226" t="s">
        <v>347</v>
      </c>
      <c r="M226" s="1">
        <v>8.6899999999999991E-2</v>
      </c>
      <c r="N226" t="s">
        <v>350</v>
      </c>
      <c r="O226">
        <v>0.18</v>
      </c>
      <c r="P226" t="s">
        <v>343</v>
      </c>
      <c r="Q226">
        <v>3.57</v>
      </c>
      <c r="R226" t="s">
        <v>344</v>
      </c>
      <c r="S226">
        <v>1</v>
      </c>
    </row>
    <row r="227" spans="1:19" x14ac:dyDescent="0.25">
      <c r="A227" t="s">
        <v>21</v>
      </c>
      <c r="B227" t="s">
        <v>165</v>
      </c>
      <c r="C227">
        <v>2120.134</v>
      </c>
      <c r="D227" t="s">
        <v>340</v>
      </c>
      <c r="E227">
        <v>30.8</v>
      </c>
      <c r="F227">
        <v>20</v>
      </c>
      <c r="G227">
        <v>20</v>
      </c>
      <c r="H227">
        <v>40</v>
      </c>
      <c r="I227" t="s">
        <v>344</v>
      </c>
      <c r="J227">
        <v>69.64</v>
      </c>
      <c r="K227">
        <v>-9.48</v>
      </c>
      <c r="L227" t="s">
        <v>348</v>
      </c>
      <c r="M227" s="1">
        <v>9.4800000000000009E-2</v>
      </c>
      <c r="N227" t="s">
        <v>350</v>
      </c>
      <c r="O227">
        <v>0.12</v>
      </c>
      <c r="P227" t="s">
        <v>343</v>
      </c>
      <c r="Q227">
        <v>3.67</v>
      </c>
      <c r="R227" t="s">
        <v>344</v>
      </c>
      <c r="S227">
        <v>0</v>
      </c>
    </row>
    <row r="228" spans="1:19" x14ac:dyDescent="0.25">
      <c r="A228" t="s">
        <v>22</v>
      </c>
      <c r="B228" t="s">
        <v>56</v>
      </c>
      <c r="C228">
        <v>0</v>
      </c>
      <c r="D228" t="s">
        <v>340</v>
      </c>
      <c r="E228">
        <v>30.8</v>
      </c>
      <c r="F228">
        <v>20</v>
      </c>
      <c r="G228">
        <v>20</v>
      </c>
      <c r="H228">
        <v>40</v>
      </c>
      <c r="I228" t="s">
        <v>344</v>
      </c>
      <c r="J228">
        <v>69.22</v>
      </c>
      <c r="L228" t="s">
        <v>345</v>
      </c>
      <c r="N228" t="s">
        <v>345</v>
      </c>
      <c r="O228">
        <v>-1.52</v>
      </c>
      <c r="P228" t="s">
        <v>343</v>
      </c>
      <c r="Q228">
        <v>1.6</v>
      </c>
      <c r="R228" t="s">
        <v>343</v>
      </c>
      <c r="S228">
        <v>1</v>
      </c>
    </row>
    <row r="229" spans="1:19" x14ac:dyDescent="0.25">
      <c r="A229" t="s">
        <v>22</v>
      </c>
      <c r="B229" t="s">
        <v>57</v>
      </c>
      <c r="C229">
        <v>20</v>
      </c>
      <c r="D229" t="s">
        <v>340</v>
      </c>
      <c r="E229">
        <v>30.8</v>
      </c>
      <c r="F229">
        <v>20</v>
      </c>
      <c r="G229">
        <v>20</v>
      </c>
      <c r="H229">
        <v>40</v>
      </c>
      <c r="I229" t="s">
        <v>344</v>
      </c>
      <c r="J229">
        <v>70.59</v>
      </c>
      <c r="K229">
        <v>6.86</v>
      </c>
      <c r="L229" t="s">
        <v>346</v>
      </c>
      <c r="M229" s="1">
        <v>6.8600000000000008E-2</v>
      </c>
      <c r="N229" t="s">
        <v>350</v>
      </c>
      <c r="O229">
        <v>-0.72</v>
      </c>
      <c r="P229" t="s">
        <v>343</v>
      </c>
      <c r="Q229">
        <v>0.73</v>
      </c>
      <c r="R229" t="s">
        <v>343</v>
      </c>
      <c r="S229">
        <v>1</v>
      </c>
    </row>
    <row r="230" spans="1:19" x14ac:dyDescent="0.25">
      <c r="A230" t="s">
        <v>22</v>
      </c>
      <c r="B230" t="s">
        <v>58</v>
      </c>
      <c r="C230">
        <v>40</v>
      </c>
      <c r="D230" t="s">
        <v>340</v>
      </c>
      <c r="E230">
        <v>30.8</v>
      </c>
      <c r="F230">
        <v>18.3</v>
      </c>
      <c r="G230">
        <v>20</v>
      </c>
      <c r="H230">
        <v>38.299999999999997</v>
      </c>
      <c r="I230" t="s">
        <v>344</v>
      </c>
      <c r="J230">
        <v>70.55</v>
      </c>
      <c r="K230">
        <v>-0.18</v>
      </c>
      <c r="L230" t="s">
        <v>346</v>
      </c>
      <c r="M230" s="1">
        <v>1.8E-3</v>
      </c>
      <c r="N230" t="s">
        <v>349</v>
      </c>
      <c r="O230">
        <v>-2.0499999999999998</v>
      </c>
      <c r="P230" t="s">
        <v>344</v>
      </c>
      <c r="Q230">
        <v>0.28000000000000003</v>
      </c>
      <c r="R230" t="s">
        <v>343</v>
      </c>
      <c r="S230">
        <v>1</v>
      </c>
    </row>
    <row r="231" spans="1:19" x14ac:dyDescent="0.25">
      <c r="A231" t="s">
        <v>22</v>
      </c>
      <c r="B231" t="s">
        <v>59</v>
      </c>
      <c r="C231">
        <v>60</v>
      </c>
      <c r="D231" t="s">
        <v>340</v>
      </c>
      <c r="E231">
        <v>30.8</v>
      </c>
      <c r="F231">
        <v>17.84</v>
      </c>
      <c r="G231">
        <v>20</v>
      </c>
      <c r="H231">
        <v>37.840000000000003</v>
      </c>
      <c r="I231" t="s">
        <v>344</v>
      </c>
      <c r="J231">
        <v>71.33</v>
      </c>
      <c r="K231">
        <v>3.91</v>
      </c>
      <c r="L231" t="s">
        <v>346</v>
      </c>
      <c r="M231" s="1">
        <v>3.9100000000000003E-2</v>
      </c>
      <c r="N231" t="s">
        <v>350</v>
      </c>
      <c r="O231">
        <v>-1.91</v>
      </c>
      <c r="P231" t="s">
        <v>343</v>
      </c>
      <c r="Q231">
        <v>0.73</v>
      </c>
      <c r="R231" t="s">
        <v>343</v>
      </c>
      <c r="S231">
        <v>1</v>
      </c>
    </row>
    <row r="232" spans="1:19" x14ac:dyDescent="0.25">
      <c r="A232" t="s">
        <v>22</v>
      </c>
      <c r="B232" t="s">
        <v>60</v>
      </c>
      <c r="C232">
        <v>80</v>
      </c>
      <c r="D232" t="s">
        <v>340</v>
      </c>
      <c r="E232">
        <v>30.8</v>
      </c>
      <c r="F232">
        <v>17.54</v>
      </c>
      <c r="G232">
        <v>20</v>
      </c>
      <c r="H232">
        <v>37.54</v>
      </c>
      <c r="I232" t="s">
        <v>344</v>
      </c>
      <c r="J232">
        <v>72.39</v>
      </c>
      <c r="K232">
        <v>5.29</v>
      </c>
      <c r="L232" t="s">
        <v>346</v>
      </c>
      <c r="M232" s="1">
        <v>5.2900000000000003E-2</v>
      </c>
      <c r="N232" t="s">
        <v>350</v>
      </c>
      <c r="O232">
        <v>-1.65</v>
      </c>
      <c r="P232" t="s">
        <v>343</v>
      </c>
      <c r="Q232">
        <v>-0.81</v>
      </c>
      <c r="R232" t="s">
        <v>343</v>
      </c>
      <c r="S232">
        <v>1</v>
      </c>
    </row>
    <row r="233" spans="1:19" x14ac:dyDescent="0.25">
      <c r="A233" t="s">
        <v>22</v>
      </c>
      <c r="B233" t="s">
        <v>61</v>
      </c>
      <c r="C233">
        <v>100</v>
      </c>
      <c r="D233" t="s">
        <v>340</v>
      </c>
      <c r="E233">
        <v>30.8</v>
      </c>
      <c r="F233">
        <v>17.54</v>
      </c>
      <c r="G233">
        <v>15.89</v>
      </c>
      <c r="H233">
        <v>33.43</v>
      </c>
      <c r="I233" t="s">
        <v>344</v>
      </c>
      <c r="J233">
        <v>73.95</v>
      </c>
      <c r="K233">
        <v>7.77</v>
      </c>
      <c r="L233" t="s">
        <v>346</v>
      </c>
      <c r="M233" s="1">
        <v>7.7699999999999991E-2</v>
      </c>
      <c r="N233" t="s">
        <v>350</v>
      </c>
      <c r="O233">
        <v>-0.59</v>
      </c>
      <c r="P233" t="s">
        <v>343</v>
      </c>
      <c r="Q233">
        <v>2.23</v>
      </c>
      <c r="R233" t="s">
        <v>344</v>
      </c>
      <c r="S233">
        <v>1</v>
      </c>
    </row>
    <row r="234" spans="1:19" x14ac:dyDescent="0.25">
      <c r="A234" t="s">
        <v>22</v>
      </c>
      <c r="B234" t="s">
        <v>62</v>
      </c>
      <c r="C234">
        <v>120</v>
      </c>
      <c r="D234" t="s">
        <v>340</v>
      </c>
      <c r="E234">
        <v>30.8</v>
      </c>
      <c r="F234">
        <v>17.13</v>
      </c>
      <c r="G234">
        <v>16.260000000000002</v>
      </c>
      <c r="H234">
        <v>33.39</v>
      </c>
      <c r="I234" t="s">
        <v>344</v>
      </c>
      <c r="J234">
        <v>75.33</v>
      </c>
      <c r="K234">
        <v>6.92</v>
      </c>
      <c r="L234" t="s">
        <v>346</v>
      </c>
      <c r="M234" s="1">
        <v>6.9199999999999998E-2</v>
      </c>
      <c r="N234" t="s">
        <v>350</v>
      </c>
      <c r="O234">
        <v>-1.28</v>
      </c>
      <c r="P234" t="s">
        <v>343</v>
      </c>
      <c r="Q234">
        <v>3.1</v>
      </c>
      <c r="R234" t="s">
        <v>344</v>
      </c>
      <c r="S234">
        <v>1</v>
      </c>
    </row>
    <row r="235" spans="1:19" x14ac:dyDescent="0.25">
      <c r="A235" t="s">
        <v>22</v>
      </c>
      <c r="B235" t="s">
        <v>63</v>
      </c>
      <c r="C235">
        <v>140</v>
      </c>
      <c r="D235" t="s">
        <v>340</v>
      </c>
      <c r="E235">
        <v>30.8</v>
      </c>
      <c r="F235">
        <v>16.95</v>
      </c>
      <c r="G235">
        <v>15.63</v>
      </c>
      <c r="H235">
        <v>32.590000000000003</v>
      </c>
      <c r="I235" t="s">
        <v>344</v>
      </c>
      <c r="J235">
        <v>76.69</v>
      </c>
      <c r="K235">
        <v>6.78</v>
      </c>
      <c r="L235" t="s">
        <v>346</v>
      </c>
      <c r="M235" s="1">
        <v>6.7799999999999999E-2</v>
      </c>
      <c r="N235" t="s">
        <v>350</v>
      </c>
      <c r="O235">
        <v>-1.28</v>
      </c>
      <c r="P235" t="s">
        <v>343</v>
      </c>
      <c r="Q235">
        <v>3.61</v>
      </c>
      <c r="R235" t="s">
        <v>344</v>
      </c>
      <c r="S235">
        <v>1</v>
      </c>
    </row>
    <row r="236" spans="1:19" x14ac:dyDescent="0.25">
      <c r="A236" t="s">
        <v>22</v>
      </c>
      <c r="B236" t="s">
        <v>64</v>
      </c>
      <c r="C236">
        <v>160</v>
      </c>
      <c r="D236" t="s">
        <v>340</v>
      </c>
      <c r="E236">
        <v>30.8</v>
      </c>
      <c r="F236">
        <v>16.04</v>
      </c>
      <c r="G236">
        <v>15.4</v>
      </c>
      <c r="H236">
        <v>31.44</v>
      </c>
      <c r="I236" t="s">
        <v>344</v>
      </c>
      <c r="J236">
        <v>78.05</v>
      </c>
      <c r="K236">
        <v>6.81</v>
      </c>
      <c r="L236" t="s">
        <v>346</v>
      </c>
      <c r="M236" s="1">
        <v>6.8099999999999994E-2</v>
      </c>
      <c r="N236" t="s">
        <v>350</v>
      </c>
      <c r="O236">
        <v>-2.2999999999999998</v>
      </c>
      <c r="P236" t="s">
        <v>344</v>
      </c>
      <c r="Q236">
        <v>3.28</v>
      </c>
      <c r="R236" t="s">
        <v>344</v>
      </c>
      <c r="S236">
        <v>1</v>
      </c>
    </row>
    <row r="237" spans="1:19" x14ac:dyDescent="0.25">
      <c r="A237" t="s">
        <v>22</v>
      </c>
      <c r="B237" t="s">
        <v>65</v>
      </c>
      <c r="C237">
        <v>180</v>
      </c>
      <c r="D237" t="s">
        <v>340</v>
      </c>
      <c r="E237">
        <v>30.8</v>
      </c>
      <c r="F237">
        <v>16.13</v>
      </c>
      <c r="G237">
        <v>15.66</v>
      </c>
      <c r="H237">
        <v>31.79</v>
      </c>
      <c r="I237" t="s">
        <v>344</v>
      </c>
      <c r="J237">
        <v>79.45</v>
      </c>
      <c r="K237">
        <v>7.03</v>
      </c>
      <c r="L237" t="s">
        <v>346</v>
      </c>
      <c r="M237" s="1">
        <v>7.0300000000000001E-2</v>
      </c>
      <c r="N237" t="s">
        <v>350</v>
      </c>
      <c r="O237">
        <v>-0.4</v>
      </c>
      <c r="P237" t="s">
        <v>343</v>
      </c>
      <c r="Q237">
        <v>2.34</v>
      </c>
      <c r="R237" t="s">
        <v>344</v>
      </c>
      <c r="S237">
        <v>1</v>
      </c>
    </row>
    <row r="238" spans="1:19" x14ac:dyDescent="0.25">
      <c r="A238" t="s">
        <v>22</v>
      </c>
      <c r="B238" t="s">
        <v>66</v>
      </c>
      <c r="C238">
        <v>200</v>
      </c>
      <c r="D238" t="s">
        <v>340</v>
      </c>
      <c r="E238">
        <v>30.8</v>
      </c>
      <c r="F238">
        <v>15.74</v>
      </c>
      <c r="G238">
        <v>14.87</v>
      </c>
      <c r="H238">
        <v>30.61</v>
      </c>
      <c r="I238" t="s">
        <v>343</v>
      </c>
      <c r="J238">
        <v>80.709999999999994</v>
      </c>
      <c r="K238">
        <v>6.28</v>
      </c>
      <c r="L238" t="s">
        <v>346</v>
      </c>
      <c r="M238" s="1">
        <v>6.2800000000000009E-2</v>
      </c>
      <c r="N238" t="s">
        <v>350</v>
      </c>
      <c r="O238">
        <v>0.17</v>
      </c>
      <c r="P238" t="s">
        <v>343</v>
      </c>
      <c r="Q238">
        <v>2.2999999999999998</v>
      </c>
      <c r="R238" t="s">
        <v>344</v>
      </c>
      <c r="S238">
        <v>1</v>
      </c>
    </row>
    <row r="239" spans="1:19" x14ac:dyDescent="0.25">
      <c r="A239" t="s">
        <v>22</v>
      </c>
      <c r="B239" t="s">
        <v>67</v>
      </c>
      <c r="C239">
        <v>220</v>
      </c>
      <c r="D239" t="s">
        <v>340</v>
      </c>
      <c r="E239">
        <v>30.8</v>
      </c>
      <c r="F239">
        <v>15.79</v>
      </c>
      <c r="G239">
        <v>14.76</v>
      </c>
      <c r="H239">
        <v>30.55</v>
      </c>
      <c r="I239" t="s">
        <v>343</v>
      </c>
      <c r="J239">
        <v>81.819999999999993</v>
      </c>
      <c r="K239">
        <v>5.54</v>
      </c>
      <c r="L239" t="s">
        <v>346</v>
      </c>
      <c r="M239" s="1">
        <v>5.5399999999999998E-2</v>
      </c>
      <c r="N239" t="s">
        <v>350</v>
      </c>
      <c r="O239">
        <v>0.78</v>
      </c>
      <c r="P239" t="s">
        <v>343</v>
      </c>
      <c r="Q239">
        <v>2.8</v>
      </c>
      <c r="R239" t="s">
        <v>344</v>
      </c>
      <c r="S239">
        <v>1</v>
      </c>
    </row>
    <row r="240" spans="1:19" x14ac:dyDescent="0.25">
      <c r="A240" t="s">
        <v>22</v>
      </c>
      <c r="B240" t="s">
        <v>68</v>
      </c>
      <c r="C240">
        <v>240</v>
      </c>
      <c r="D240" t="s">
        <v>340</v>
      </c>
      <c r="E240">
        <v>30.8</v>
      </c>
      <c r="F240">
        <v>15.79</v>
      </c>
      <c r="G240">
        <v>14.97</v>
      </c>
      <c r="H240">
        <v>30.76</v>
      </c>
      <c r="I240" t="s">
        <v>343</v>
      </c>
      <c r="J240">
        <v>82.66</v>
      </c>
      <c r="K240">
        <v>4.1900000000000004</v>
      </c>
      <c r="L240" t="s">
        <v>346</v>
      </c>
      <c r="M240" s="1">
        <v>4.1900000000000007E-2</v>
      </c>
      <c r="N240" t="s">
        <v>350</v>
      </c>
      <c r="O240">
        <v>0.19</v>
      </c>
      <c r="P240" t="s">
        <v>343</v>
      </c>
      <c r="Q240">
        <v>0.83</v>
      </c>
      <c r="R240" t="s">
        <v>343</v>
      </c>
      <c r="S240">
        <v>1</v>
      </c>
    </row>
    <row r="241" spans="1:19" x14ac:dyDescent="0.25">
      <c r="A241" t="s">
        <v>22</v>
      </c>
      <c r="B241" t="s">
        <v>69</v>
      </c>
      <c r="C241">
        <v>260</v>
      </c>
      <c r="D241" t="s">
        <v>340</v>
      </c>
      <c r="E241">
        <v>30.8</v>
      </c>
      <c r="F241">
        <v>15.49</v>
      </c>
      <c r="G241">
        <v>16</v>
      </c>
      <c r="H241">
        <v>31.49</v>
      </c>
      <c r="I241" t="s">
        <v>344</v>
      </c>
      <c r="J241">
        <v>83.42</v>
      </c>
      <c r="K241">
        <v>3.8</v>
      </c>
      <c r="L241" t="s">
        <v>346</v>
      </c>
      <c r="M241" s="1">
        <v>3.7999999999999999E-2</v>
      </c>
      <c r="N241" t="s">
        <v>350</v>
      </c>
      <c r="O241">
        <v>1.39</v>
      </c>
      <c r="P241" t="s">
        <v>343</v>
      </c>
      <c r="Q241">
        <v>0.82</v>
      </c>
      <c r="R241" t="s">
        <v>343</v>
      </c>
      <c r="S241">
        <v>1</v>
      </c>
    </row>
    <row r="242" spans="1:19" x14ac:dyDescent="0.25">
      <c r="A242" t="s">
        <v>22</v>
      </c>
      <c r="B242" t="s">
        <v>70</v>
      </c>
      <c r="C242">
        <v>280</v>
      </c>
      <c r="D242" t="s">
        <v>340</v>
      </c>
      <c r="E242">
        <v>30.8</v>
      </c>
      <c r="F242">
        <v>15.29</v>
      </c>
      <c r="G242">
        <v>17.22</v>
      </c>
      <c r="H242">
        <v>32.51</v>
      </c>
      <c r="I242" t="s">
        <v>344</v>
      </c>
      <c r="J242">
        <v>83.93</v>
      </c>
      <c r="K242">
        <v>2.57</v>
      </c>
      <c r="L242" t="s">
        <v>346</v>
      </c>
      <c r="M242" s="1">
        <v>2.5700000000000001E-2</v>
      </c>
      <c r="N242" t="s">
        <v>350</v>
      </c>
      <c r="O242">
        <v>0.49</v>
      </c>
      <c r="P242" t="s">
        <v>343</v>
      </c>
      <c r="Q242">
        <v>1.23</v>
      </c>
      <c r="R242" t="s">
        <v>343</v>
      </c>
      <c r="S242">
        <v>1</v>
      </c>
    </row>
    <row r="243" spans="1:19" x14ac:dyDescent="0.25">
      <c r="A243" t="s">
        <v>22</v>
      </c>
      <c r="B243" t="s">
        <v>71</v>
      </c>
      <c r="C243">
        <v>300</v>
      </c>
      <c r="D243" t="s">
        <v>340</v>
      </c>
      <c r="E243">
        <v>30.8</v>
      </c>
      <c r="F243">
        <v>15.98</v>
      </c>
      <c r="G243">
        <v>17.77</v>
      </c>
      <c r="H243">
        <v>33.75</v>
      </c>
      <c r="I243" t="s">
        <v>344</v>
      </c>
      <c r="J243">
        <v>84.38</v>
      </c>
      <c r="K243">
        <v>2.2599999999999998</v>
      </c>
      <c r="L243" t="s">
        <v>346</v>
      </c>
      <c r="M243" s="1">
        <v>2.2599999999999999E-2</v>
      </c>
      <c r="N243" t="s">
        <v>350</v>
      </c>
      <c r="O243">
        <v>0.28999999999999998</v>
      </c>
      <c r="P243" t="s">
        <v>343</v>
      </c>
      <c r="Q243">
        <v>-0.02</v>
      </c>
      <c r="R243" t="s">
        <v>343</v>
      </c>
      <c r="S243">
        <v>1</v>
      </c>
    </row>
    <row r="244" spans="1:19" x14ac:dyDescent="0.25">
      <c r="A244" t="s">
        <v>22</v>
      </c>
      <c r="B244" t="s">
        <v>72</v>
      </c>
      <c r="C244">
        <v>320</v>
      </c>
      <c r="D244" t="s">
        <v>340</v>
      </c>
      <c r="E244">
        <v>30.8</v>
      </c>
      <c r="F244">
        <v>16.12</v>
      </c>
      <c r="G244">
        <v>20</v>
      </c>
      <c r="H244">
        <v>36.119999999999997</v>
      </c>
      <c r="I244" t="s">
        <v>344</v>
      </c>
      <c r="J244">
        <v>84.81</v>
      </c>
      <c r="K244">
        <v>2.15</v>
      </c>
      <c r="L244" t="s">
        <v>346</v>
      </c>
      <c r="M244" s="1">
        <v>2.1499999999999998E-2</v>
      </c>
      <c r="N244" t="s">
        <v>350</v>
      </c>
      <c r="O244">
        <v>-1.23</v>
      </c>
      <c r="P244" t="s">
        <v>343</v>
      </c>
      <c r="Q244">
        <v>0.02</v>
      </c>
      <c r="R244" t="s">
        <v>343</v>
      </c>
      <c r="S244">
        <v>1</v>
      </c>
    </row>
    <row r="245" spans="1:19" x14ac:dyDescent="0.25">
      <c r="A245" t="s">
        <v>22</v>
      </c>
      <c r="B245" t="s">
        <v>73</v>
      </c>
      <c r="C245">
        <v>340</v>
      </c>
      <c r="D245" t="s">
        <v>340</v>
      </c>
      <c r="E245">
        <v>30.8</v>
      </c>
      <c r="F245">
        <v>16.100000000000001</v>
      </c>
      <c r="G245">
        <v>20</v>
      </c>
      <c r="H245">
        <v>36.1</v>
      </c>
      <c r="I245" t="s">
        <v>344</v>
      </c>
      <c r="J245">
        <v>85.16</v>
      </c>
      <c r="K245">
        <v>1.73</v>
      </c>
      <c r="L245" t="s">
        <v>346</v>
      </c>
      <c r="M245" s="1">
        <v>1.7299999999999999E-2</v>
      </c>
      <c r="N245" t="s">
        <v>349</v>
      </c>
      <c r="O245">
        <v>-2.3199999999999998</v>
      </c>
      <c r="P245" t="s">
        <v>344</v>
      </c>
      <c r="Q245">
        <v>0.83</v>
      </c>
      <c r="R245" t="s">
        <v>343</v>
      </c>
      <c r="S245">
        <v>1</v>
      </c>
    </row>
    <row r="246" spans="1:19" x14ac:dyDescent="0.25">
      <c r="A246" t="s">
        <v>22</v>
      </c>
      <c r="B246" t="s">
        <v>74</v>
      </c>
      <c r="C246">
        <v>360</v>
      </c>
      <c r="D246" t="s">
        <v>340</v>
      </c>
      <c r="E246">
        <v>30.8</v>
      </c>
      <c r="F246">
        <v>16.350000000000001</v>
      </c>
      <c r="G246">
        <v>20</v>
      </c>
      <c r="H246">
        <v>36.35</v>
      </c>
      <c r="I246" t="s">
        <v>344</v>
      </c>
      <c r="J246">
        <v>85.67</v>
      </c>
      <c r="K246">
        <v>2.5499999999999998</v>
      </c>
      <c r="L246" t="s">
        <v>346</v>
      </c>
      <c r="M246" s="1">
        <v>2.5499999999999998E-2</v>
      </c>
      <c r="N246" t="s">
        <v>350</v>
      </c>
      <c r="O246">
        <v>-1.46</v>
      </c>
      <c r="P246" t="s">
        <v>343</v>
      </c>
      <c r="Q246">
        <v>0.61</v>
      </c>
      <c r="R246" t="s">
        <v>343</v>
      </c>
      <c r="S246">
        <v>1</v>
      </c>
    </row>
    <row r="247" spans="1:19" x14ac:dyDescent="0.25">
      <c r="A247" t="s">
        <v>22</v>
      </c>
      <c r="B247" t="s">
        <v>75</v>
      </c>
      <c r="C247">
        <v>380</v>
      </c>
      <c r="D247" t="s">
        <v>340</v>
      </c>
      <c r="E247">
        <v>30.8</v>
      </c>
      <c r="F247">
        <v>16.75</v>
      </c>
      <c r="G247">
        <v>20</v>
      </c>
      <c r="H247">
        <v>36.75</v>
      </c>
      <c r="I247" t="s">
        <v>344</v>
      </c>
      <c r="J247">
        <v>86.47</v>
      </c>
      <c r="K247">
        <v>3.97</v>
      </c>
      <c r="L247" t="s">
        <v>346</v>
      </c>
      <c r="M247" s="1">
        <v>3.9699999999999999E-2</v>
      </c>
      <c r="N247" t="s">
        <v>350</v>
      </c>
      <c r="O247">
        <v>-1.4</v>
      </c>
      <c r="P247" t="s">
        <v>343</v>
      </c>
      <c r="Q247">
        <v>0.06</v>
      </c>
      <c r="R247" t="s">
        <v>343</v>
      </c>
      <c r="S247">
        <v>1</v>
      </c>
    </row>
    <row r="248" spans="1:19" x14ac:dyDescent="0.25">
      <c r="A248" t="s">
        <v>22</v>
      </c>
      <c r="B248" t="s">
        <v>76</v>
      </c>
      <c r="C248">
        <v>400</v>
      </c>
      <c r="D248" t="s">
        <v>340</v>
      </c>
      <c r="E248">
        <v>30.8</v>
      </c>
      <c r="F248">
        <v>16.12</v>
      </c>
      <c r="G248">
        <v>20</v>
      </c>
      <c r="H248">
        <v>36.119999999999997</v>
      </c>
      <c r="I248" t="s">
        <v>344</v>
      </c>
      <c r="J248">
        <v>87.4</v>
      </c>
      <c r="K248">
        <v>4.7</v>
      </c>
      <c r="L248" t="s">
        <v>346</v>
      </c>
      <c r="M248" s="1">
        <v>4.7E-2</v>
      </c>
      <c r="N248" t="s">
        <v>350</v>
      </c>
      <c r="O248">
        <v>0.56999999999999995</v>
      </c>
      <c r="P248" t="s">
        <v>343</v>
      </c>
      <c r="Q248">
        <v>-0.19</v>
      </c>
      <c r="R248" t="s">
        <v>343</v>
      </c>
      <c r="S248">
        <v>1</v>
      </c>
    </row>
    <row r="249" spans="1:19" x14ac:dyDescent="0.25">
      <c r="A249" t="s">
        <v>22</v>
      </c>
      <c r="B249" t="s">
        <v>77</v>
      </c>
      <c r="C249">
        <v>420</v>
      </c>
      <c r="D249" t="s">
        <v>340</v>
      </c>
      <c r="E249">
        <v>30.8</v>
      </c>
      <c r="F249">
        <v>15.39</v>
      </c>
      <c r="G249">
        <v>17.920000000000002</v>
      </c>
      <c r="H249">
        <v>33.31</v>
      </c>
      <c r="I249" t="s">
        <v>344</v>
      </c>
      <c r="J249">
        <v>88.57</v>
      </c>
      <c r="K249">
        <v>5.85</v>
      </c>
      <c r="L249" t="s">
        <v>346</v>
      </c>
      <c r="M249" s="1">
        <v>5.8500000000000003E-2</v>
      </c>
      <c r="N249" t="s">
        <v>350</v>
      </c>
      <c r="O249">
        <v>0.63</v>
      </c>
      <c r="P249" t="s">
        <v>343</v>
      </c>
      <c r="Q249">
        <v>1.66</v>
      </c>
      <c r="R249" t="s">
        <v>343</v>
      </c>
      <c r="S249">
        <v>1</v>
      </c>
    </row>
    <row r="250" spans="1:19" x14ac:dyDescent="0.25">
      <c r="A250" t="s">
        <v>22</v>
      </c>
      <c r="B250" t="s">
        <v>78</v>
      </c>
      <c r="C250">
        <v>440</v>
      </c>
      <c r="D250" t="s">
        <v>340</v>
      </c>
      <c r="E250">
        <v>30.8</v>
      </c>
      <c r="F250">
        <v>14.97</v>
      </c>
      <c r="G250">
        <v>17.11</v>
      </c>
      <c r="H250">
        <v>32.08</v>
      </c>
      <c r="I250" t="s">
        <v>344</v>
      </c>
      <c r="J250">
        <v>89.95</v>
      </c>
      <c r="K250">
        <v>6.86</v>
      </c>
      <c r="L250" t="s">
        <v>346</v>
      </c>
      <c r="M250" s="1">
        <v>6.8600000000000008E-2</v>
      </c>
      <c r="N250" t="s">
        <v>350</v>
      </c>
      <c r="O250">
        <v>0.81</v>
      </c>
      <c r="P250" t="s">
        <v>343</v>
      </c>
      <c r="Q250">
        <v>2.66</v>
      </c>
      <c r="R250" t="s">
        <v>344</v>
      </c>
      <c r="S250">
        <v>1</v>
      </c>
    </row>
    <row r="251" spans="1:19" x14ac:dyDescent="0.25">
      <c r="A251" t="s">
        <v>22</v>
      </c>
      <c r="B251" t="s">
        <v>79</v>
      </c>
      <c r="C251">
        <v>460</v>
      </c>
      <c r="D251" t="s">
        <v>340</v>
      </c>
      <c r="E251">
        <v>30.8</v>
      </c>
      <c r="F251">
        <v>15.45</v>
      </c>
      <c r="G251">
        <v>17.350000000000001</v>
      </c>
      <c r="H251">
        <v>32.799999999999997</v>
      </c>
      <c r="I251" t="s">
        <v>344</v>
      </c>
      <c r="J251">
        <v>91.36</v>
      </c>
      <c r="K251">
        <v>7.08</v>
      </c>
      <c r="L251" t="s">
        <v>346</v>
      </c>
      <c r="M251" s="1">
        <v>7.0800000000000002E-2</v>
      </c>
      <c r="N251" t="s">
        <v>350</v>
      </c>
      <c r="O251">
        <v>-0.21</v>
      </c>
      <c r="P251" t="s">
        <v>343</v>
      </c>
      <c r="Q251">
        <v>2.23</v>
      </c>
      <c r="R251" t="s">
        <v>344</v>
      </c>
      <c r="S251">
        <v>1</v>
      </c>
    </row>
    <row r="252" spans="1:19" x14ac:dyDescent="0.25">
      <c r="A252" t="s">
        <v>22</v>
      </c>
      <c r="B252" t="s">
        <v>80</v>
      </c>
      <c r="C252">
        <v>480</v>
      </c>
      <c r="D252" t="s">
        <v>340</v>
      </c>
      <c r="E252">
        <v>30.8</v>
      </c>
      <c r="F252">
        <v>15.37</v>
      </c>
      <c r="G252">
        <v>17.47</v>
      </c>
      <c r="H252">
        <v>32.840000000000003</v>
      </c>
      <c r="I252" t="s">
        <v>344</v>
      </c>
      <c r="J252">
        <v>92.81</v>
      </c>
      <c r="K252">
        <v>7.23</v>
      </c>
      <c r="L252" t="s">
        <v>346</v>
      </c>
      <c r="M252" s="1">
        <v>7.2300000000000003E-2</v>
      </c>
      <c r="N252" t="s">
        <v>350</v>
      </c>
      <c r="O252">
        <v>0.98</v>
      </c>
      <c r="P252" t="s">
        <v>343</v>
      </c>
      <c r="Q252">
        <v>2.33</v>
      </c>
      <c r="R252" t="s">
        <v>344</v>
      </c>
      <c r="S252">
        <v>1</v>
      </c>
    </row>
    <row r="253" spans="1:19" x14ac:dyDescent="0.25">
      <c r="A253" t="s">
        <v>22</v>
      </c>
      <c r="B253" t="s">
        <v>81</v>
      </c>
      <c r="C253">
        <v>500</v>
      </c>
      <c r="D253" t="s">
        <v>340</v>
      </c>
      <c r="E253">
        <v>30.8</v>
      </c>
      <c r="F253">
        <v>14.88</v>
      </c>
      <c r="G253">
        <v>17.47</v>
      </c>
      <c r="H253">
        <v>32.35</v>
      </c>
      <c r="I253" t="s">
        <v>344</v>
      </c>
      <c r="J253">
        <v>93.95</v>
      </c>
      <c r="K253">
        <v>5.71</v>
      </c>
      <c r="L253" t="s">
        <v>346</v>
      </c>
      <c r="M253" s="1">
        <v>5.7099999999999998E-2</v>
      </c>
      <c r="N253" t="s">
        <v>350</v>
      </c>
      <c r="O253">
        <v>1.95</v>
      </c>
      <c r="P253" t="s">
        <v>343</v>
      </c>
      <c r="Q253">
        <v>-1.08</v>
      </c>
      <c r="R253" t="s">
        <v>343</v>
      </c>
      <c r="S253">
        <v>1</v>
      </c>
    </row>
    <row r="254" spans="1:19" x14ac:dyDescent="0.25">
      <c r="A254" t="s">
        <v>22</v>
      </c>
      <c r="B254" t="s">
        <v>82</v>
      </c>
      <c r="C254">
        <v>520</v>
      </c>
      <c r="D254" t="s">
        <v>340</v>
      </c>
      <c r="E254">
        <v>30.8</v>
      </c>
      <c r="F254">
        <v>15.74</v>
      </c>
      <c r="G254">
        <v>17.47</v>
      </c>
      <c r="H254">
        <v>33.21</v>
      </c>
      <c r="I254" t="s">
        <v>344</v>
      </c>
      <c r="J254">
        <v>94.9</v>
      </c>
      <c r="K254">
        <v>4.7300000000000004</v>
      </c>
      <c r="L254" t="s">
        <v>346</v>
      </c>
      <c r="M254" s="1">
        <v>4.7300000000000002E-2</v>
      </c>
      <c r="N254" t="s">
        <v>350</v>
      </c>
      <c r="O254">
        <v>1.37</v>
      </c>
      <c r="P254" t="s">
        <v>343</v>
      </c>
      <c r="Q254">
        <v>-1.46</v>
      </c>
      <c r="R254" t="s">
        <v>343</v>
      </c>
      <c r="S254">
        <v>1</v>
      </c>
    </row>
    <row r="255" spans="1:19" x14ac:dyDescent="0.25">
      <c r="A255" t="s">
        <v>22</v>
      </c>
      <c r="B255" t="s">
        <v>83</v>
      </c>
      <c r="C255">
        <v>540</v>
      </c>
      <c r="D255" t="s">
        <v>340</v>
      </c>
      <c r="E255">
        <v>30.8</v>
      </c>
      <c r="F255">
        <v>16.940000000000001</v>
      </c>
      <c r="G255">
        <v>14.97</v>
      </c>
      <c r="H255">
        <v>31.91</v>
      </c>
      <c r="I255" t="s">
        <v>344</v>
      </c>
      <c r="J255">
        <v>95.89</v>
      </c>
      <c r="K255">
        <v>4.97</v>
      </c>
      <c r="L255" t="s">
        <v>346</v>
      </c>
      <c r="M255" s="1">
        <v>4.9699999999999987E-2</v>
      </c>
      <c r="N255" t="s">
        <v>350</v>
      </c>
      <c r="O255">
        <v>1.04</v>
      </c>
      <c r="P255" t="s">
        <v>343</v>
      </c>
      <c r="Q255">
        <v>0.99</v>
      </c>
      <c r="R255" t="s">
        <v>343</v>
      </c>
      <c r="S255">
        <v>1</v>
      </c>
    </row>
    <row r="256" spans="1:19" x14ac:dyDescent="0.25">
      <c r="A256" t="s">
        <v>22</v>
      </c>
      <c r="B256" t="s">
        <v>84</v>
      </c>
      <c r="C256">
        <v>560</v>
      </c>
      <c r="D256" t="s">
        <v>340</v>
      </c>
      <c r="E256">
        <v>30.8</v>
      </c>
      <c r="F256">
        <v>17.2</v>
      </c>
      <c r="G256">
        <v>14.98</v>
      </c>
      <c r="H256">
        <v>32.18</v>
      </c>
      <c r="I256" t="s">
        <v>344</v>
      </c>
      <c r="J256">
        <v>96.94</v>
      </c>
      <c r="K256">
        <v>5.25</v>
      </c>
      <c r="L256" t="s">
        <v>346</v>
      </c>
      <c r="M256" s="1">
        <v>5.2499999999999998E-2</v>
      </c>
      <c r="N256" t="s">
        <v>350</v>
      </c>
      <c r="O256">
        <v>1.54</v>
      </c>
      <c r="P256" t="s">
        <v>343</v>
      </c>
      <c r="Q256">
        <v>1.8</v>
      </c>
      <c r="R256" t="s">
        <v>343</v>
      </c>
      <c r="S256">
        <v>1</v>
      </c>
    </row>
    <row r="257" spans="1:19" x14ac:dyDescent="0.25">
      <c r="A257" t="s">
        <v>22</v>
      </c>
      <c r="B257" t="s">
        <v>85</v>
      </c>
      <c r="C257">
        <v>580</v>
      </c>
      <c r="D257" t="s">
        <v>340</v>
      </c>
      <c r="E257">
        <v>30.8</v>
      </c>
      <c r="F257">
        <v>17.399999999999999</v>
      </c>
      <c r="G257">
        <v>14.59</v>
      </c>
      <c r="H257">
        <v>31.99</v>
      </c>
      <c r="I257" t="s">
        <v>344</v>
      </c>
      <c r="J257">
        <v>97.97</v>
      </c>
      <c r="K257">
        <v>5.16</v>
      </c>
      <c r="L257" t="s">
        <v>346</v>
      </c>
      <c r="M257" s="1">
        <v>5.16E-2</v>
      </c>
      <c r="N257" t="s">
        <v>350</v>
      </c>
      <c r="O257">
        <v>0.48</v>
      </c>
      <c r="P257" t="s">
        <v>343</v>
      </c>
      <c r="Q257">
        <v>1.81</v>
      </c>
      <c r="R257" t="s">
        <v>343</v>
      </c>
      <c r="S257">
        <v>1</v>
      </c>
    </row>
    <row r="258" spans="1:19" x14ac:dyDescent="0.25">
      <c r="A258" t="s">
        <v>22</v>
      </c>
      <c r="B258" t="s">
        <v>86</v>
      </c>
      <c r="C258">
        <v>600</v>
      </c>
      <c r="D258" t="s">
        <v>340</v>
      </c>
      <c r="E258">
        <v>30.8</v>
      </c>
      <c r="F258">
        <v>17.46</v>
      </c>
      <c r="G258">
        <v>15.11</v>
      </c>
      <c r="H258">
        <v>32.57</v>
      </c>
      <c r="I258" t="s">
        <v>344</v>
      </c>
      <c r="J258">
        <v>99.38</v>
      </c>
      <c r="K258">
        <v>7.06</v>
      </c>
      <c r="L258" t="s">
        <v>346</v>
      </c>
      <c r="M258" s="1">
        <v>7.0599999999999996E-2</v>
      </c>
      <c r="N258" t="s">
        <v>350</v>
      </c>
      <c r="O258">
        <v>0.99</v>
      </c>
      <c r="P258" t="s">
        <v>343</v>
      </c>
      <c r="Q258">
        <v>1.75</v>
      </c>
      <c r="R258" t="s">
        <v>343</v>
      </c>
      <c r="S258">
        <v>1</v>
      </c>
    </row>
    <row r="259" spans="1:19" x14ac:dyDescent="0.25">
      <c r="A259" t="s">
        <v>22</v>
      </c>
      <c r="B259" t="s">
        <v>87</v>
      </c>
      <c r="C259">
        <v>620</v>
      </c>
      <c r="D259" t="s">
        <v>340</v>
      </c>
      <c r="E259">
        <v>30.8</v>
      </c>
      <c r="F259">
        <v>17.27</v>
      </c>
      <c r="G259">
        <v>14.65</v>
      </c>
      <c r="H259">
        <v>31.92</v>
      </c>
      <c r="I259" t="s">
        <v>344</v>
      </c>
      <c r="J259">
        <v>100.44</v>
      </c>
      <c r="K259">
        <v>5.28</v>
      </c>
      <c r="L259" t="s">
        <v>346</v>
      </c>
      <c r="M259" s="1">
        <v>5.28E-2</v>
      </c>
      <c r="N259" t="s">
        <v>350</v>
      </c>
      <c r="O259">
        <v>0.18</v>
      </c>
      <c r="P259" t="s">
        <v>343</v>
      </c>
      <c r="Q259">
        <v>3.08</v>
      </c>
      <c r="R259" t="s">
        <v>344</v>
      </c>
      <c r="S259">
        <v>1</v>
      </c>
    </row>
    <row r="260" spans="1:19" x14ac:dyDescent="0.25">
      <c r="A260" t="s">
        <v>22</v>
      </c>
      <c r="B260" t="s">
        <v>88</v>
      </c>
      <c r="C260">
        <v>640</v>
      </c>
      <c r="D260" t="s">
        <v>340</v>
      </c>
      <c r="E260">
        <v>30.8</v>
      </c>
      <c r="F260">
        <v>17.02</v>
      </c>
      <c r="G260">
        <v>15.41</v>
      </c>
      <c r="H260">
        <v>32.42</v>
      </c>
      <c r="I260" t="s">
        <v>344</v>
      </c>
      <c r="J260">
        <v>101.43</v>
      </c>
      <c r="K260">
        <v>4.95</v>
      </c>
      <c r="L260" t="s">
        <v>346</v>
      </c>
      <c r="M260" s="1">
        <v>4.9500000000000002E-2</v>
      </c>
      <c r="N260" t="s">
        <v>350</v>
      </c>
      <c r="O260">
        <v>1.01</v>
      </c>
      <c r="P260" t="s">
        <v>343</v>
      </c>
      <c r="Q260">
        <v>2.3199999999999998</v>
      </c>
      <c r="R260" t="s">
        <v>344</v>
      </c>
      <c r="S260">
        <v>1</v>
      </c>
    </row>
    <row r="261" spans="1:19" x14ac:dyDescent="0.25">
      <c r="A261" t="s">
        <v>22</v>
      </c>
      <c r="B261" t="s">
        <v>89</v>
      </c>
      <c r="C261">
        <v>660</v>
      </c>
      <c r="D261" t="s">
        <v>340</v>
      </c>
      <c r="E261">
        <v>30.8</v>
      </c>
      <c r="F261">
        <v>17.149999999999999</v>
      </c>
      <c r="G261">
        <v>14.5</v>
      </c>
      <c r="H261">
        <v>31.65</v>
      </c>
      <c r="I261" t="s">
        <v>344</v>
      </c>
      <c r="J261">
        <v>102.38</v>
      </c>
      <c r="K261">
        <v>4.76</v>
      </c>
      <c r="L261" t="s">
        <v>346</v>
      </c>
      <c r="M261" s="1">
        <v>4.7600000000000003E-2</v>
      </c>
      <c r="N261" t="s">
        <v>350</v>
      </c>
      <c r="O261">
        <v>1.29</v>
      </c>
      <c r="P261" t="s">
        <v>343</v>
      </c>
      <c r="Q261">
        <v>1.68</v>
      </c>
      <c r="R261" t="s">
        <v>343</v>
      </c>
      <c r="S261">
        <v>1</v>
      </c>
    </row>
    <row r="262" spans="1:19" x14ac:dyDescent="0.25">
      <c r="A262" t="s">
        <v>22</v>
      </c>
      <c r="B262" t="s">
        <v>90</v>
      </c>
      <c r="C262">
        <v>680</v>
      </c>
      <c r="D262" t="s">
        <v>340</v>
      </c>
      <c r="E262">
        <v>30.8</v>
      </c>
      <c r="F262">
        <v>17.07</v>
      </c>
      <c r="G262">
        <v>14.25</v>
      </c>
      <c r="H262">
        <v>31.32</v>
      </c>
      <c r="I262" t="s">
        <v>344</v>
      </c>
      <c r="J262">
        <v>103.57</v>
      </c>
      <c r="K262">
        <v>5.93</v>
      </c>
      <c r="L262" t="s">
        <v>346</v>
      </c>
      <c r="M262" s="1">
        <v>5.9299999999999999E-2</v>
      </c>
      <c r="N262" t="s">
        <v>350</v>
      </c>
      <c r="O262">
        <v>1.49</v>
      </c>
      <c r="P262" t="s">
        <v>343</v>
      </c>
      <c r="Q262">
        <v>2.6</v>
      </c>
      <c r="R262" t="s">
        <v>344</v>
      </c>
      <c r="S262">
        <v>1</v>
      </c>
    </row>
    <row r="263" spans="1:19" x14ac:dyDescent="0.25">
      <c r="A263" t="s">
        <v>22</v>
      </c>
      <c r="B263" t="s">
        <v>91</v>
      </c>
      <c r="C263">
        <v>700</v>
      </c>
      <c r="D263" t="s">
        <v>340</v>
      </c>
      <c r="E263">
        <v>30.8</v>
      </c>
      <c r="F263">
        <v>17.16</v>
      </c>
      <c r="G263">
        <v>14.48</v>
      </c>
      <c r="H263">
        <v>31.64</v>
      </c>
      <c r="I263" t="s">
        <v>344</v>
      </c>
      <c r="J263">
        <v>104.91</v>
      </c>
      <c r="K263">
        <v>6.73</v>
      </c>
      <c r="L263" t="s">
        <v>346</v>
      </c>
      <c r="M263" s="1">
        <v>6.7299999999999999E-2</v>
      </c>
      <c r="N263" t="s">
        <v>350</v>
      </c>
      <c r="O263">
        <v>0.48</v>
      </c>
      <c r="P263" t="s">
        <v>343</v>
      </c>
      <c r="Q263">
        <v>2.54</v>
      </c>
      <c r="R263" t="s">
        <v>344</v>
      </c>
      <c r="S263">
        <v>1</v>
      </c>
    </row>
    <row r="264" spans="1:19" x14ac:dyDescent="0.25">
      <c r="A264" t="s">
        <v>22</v>
      </c>
      <c r="B264" t="s">
        <v>92</v>
      </c>
      <c r="C264">
        <v>720</v>
      </c>
      <c r="D264" t="s">
        <v>340</v>
      </c>
      <c r="E264">
        <v>30.8</v>
      </c>
      <c r="F264">
        <v>20</v>
      </c>
      <c r="G264">
        <v>20</v>
      </c>
      <c r="H264">
        <v>40</v>
      </c>
      <c r="I264" t="s">
        <v>344</v>
      </c>
      <c r="J264">
        <v>106.49</v>
      </c>
      <c r="K264">
        <v>7.86</v>
      </c>
      <c r="L264" t="s">
        <v>346</v>
      </c>
      <c r="M264" s="1">
        <v>7.8600000000000003E-2</v>
      </c>
      <c r="N264" t="s">
        <v>350</v>
      </c>
      <c r="O264">
        <v>0.14000000000000001</v>
      </c>
      <c r="P264" t="s">
        <v>343</v>
      </c>
      <c r="Q264">
        <v>-2</v>
      </c>
      <c r="R264" t="s">
        <v>344</v>
      </c>
      <c r="S264">
        <v>1</v>
      </c>
    </row>
    <row r="265" spans="1:19" x14ac:dyDescent="0.25">
      <c r="A265" t="s">
        <v>22</v>
      </c>
      <c r="B265" t="s">
        <v>93</v>
      </c>
      <c r="C265">
        <v>740</v>
      </c>
      <c r="D265" t="s">
        <v>340</v>
      </c>
      <c r="E265">
        <v>30.8</v>
      </c>
      <c r="F265">
        <v>20</v>
      </c>
      <c r="G265">
        <v>20</v>
      </c>
      <c r="H265">
        <v>40</v>
      </c>
      <c r="I265" t="s">
        <v>344</v>
      </c>
      <c r="J265">
        <v>107.95</v>
      </c>
      <c r="K265">
        <v>7.33</v>
      </c>
      <c r="L265" t="s">
        <v>346</v>
      </c>
      <c r="M265" s="1">
        <v>7.3300000000000004E-2</v>
      </c>
      <c r="N265" t="s">
        <v>350</v>
      </c>
      <c r="O265">
        <v>-0.52</v>
      </c>
      <c r="P265" t="s">
        <v>343</v>
      </c>
      <c r="Q265">
        <v>-1.45</v>
      </c>
      <c r="R265" t="s">
        <v>343</v>
      </c>
      <c r="S265">
        <v>1</v>
      </c>
    </row>
    <row r="266" spans="1:19" x14ac:dyDescent="0.25">
      <c r="A266" t="s">
        <v>22</v>
      </c>
      <c r="B266" t="s">
        <v>94</v>
      </c>
      <c r="C266">
        <v>760</v>
      </c>
      <c r="D266" t="s">
        <v>340</v>
      </c>
      <c r="E266">
        <v>30.8</v>
      </c>
      <c r="F266">
        <v>20</v>
      </c>
      <c r="G266">
        <v>20</v>
      </c>
      <c r="H266">
        <v>40</v>
      </c>
      <c r="I266" t="s">
        <v>344</v>
      </c>
      <c r="J266">
        <v>108.78</v>
      </c>
      <c r="K266">
        <v>4.13</v>
      </c>
      <c r="L266" t="s">
        <v>346</v>
      </c>
      <c r="M266" s="1">
        <v>4.1300000000000003E-2</v>
      </c>
      <c r="N266" t="s">
        <v>350</v>
      </c>
      <c r="O266">
        <v>6.22</v>
      </c>
      <c r="P266" t="s">
        <v>343</v>
      </c>
      <c r="Q266">
        <v>-2.09</v>
      </c>
      <c r="R266" t="s">
        <v>344</v>
      </c>
      <c r="S266">
        <v>1</v>
      </c>
    </row>
    <row r="267" spans="1:19" x14ac:dyDescent="0.25">
      <c r="A267" t="s">
        <v>22</v>
      </c>
      <c r="B267" t="s">
        <v>95</v>
      </c>
      <c r="C267">
        <v>780</v>
      </c>
      <c r="D267" t="s">
        <v>340</v>
      </c>
      <c r="E267">
        <v>30.8</v>
      </c>
      <c r="F267">
        <v>20</v>
      </c>
      <c r="G267">
        <v>18.45</v>
      </c>
      <c r="H267">
        <v>38.450000000000003</v>
      </c>
      <c r="I267" t="s">
        <v>344</v>
      </c>
      <c r="J267">
        <v>109.25</v>
      </c>
      <c r="K267">
        <v>2.35</v>
      </c>
      <c r="L267" t="s">
        <v>346</v>
      </c>
      <c r="M267" s="1">
        <v>2.35E-2</v>
      </c>
      <c r="N267" t="s">
        <v>350</v>
      </c>
      <c r="O267">
        <v>5.38</v>
      </c>
      <c r="P267" t="s">
        <v>343</v>
      </c>
      <c r="Q267">
        <v>-1.67</v>
      </c>
      <c r="R267" t="s">
        <v>343</v>
      </c>
      <c r="S267">
        <v>1</v>
      </c>
    </row>
    <row r="268" spans="1:19" x14ac:dyDescent="0.25">
      <c r="A268" t="s">
        <v>22</v>
      </c>
      <c r="B268" t="s">
        <v>96</v>
      </c>
      <c r="C268">
        <v>800</v>
      </c>
      <c r="D268" t="s">
        <v>340</v>
      </c>
      <c r="E268">
        <v>30.8</v>
      </c>
      <c r="F268">
        <v>20</v>
      </c>
      <c r="G268">
        <v>17.829999999999998</v>
      </c>
      <c r="H268">
        <v>37.83</v>
      </c>
      <c r="I268" t="s">
        <v>344</v>
      </c>
      <c r="J268">
        <v>109.82</v>
      </c>
      <c r="K268">
        <v>2.84</v>
      </c>
      <c r="L268" t="s">
        <v>346</v>
      </c>
      <c r="M268" s="1">
        <v>2.8400000000000002E-2</v>
      </c>
      <c r="N268" t="s">
        <v>350</v>
      </c>
      <c r="O268">
        <v>0.3</v>
      </c>
      <c r="P268" t="s">
        <v>343</v>
      </c>
      <c r="Q268">
        <v>-1.81</v>
      </c>
      <c r="R268" t="s">
        <v>343</v>
      </c>
      <c r="S268">
        <v>1</v>
      </c>
    </row>
    <row r="269" spans="1:19" x14ac:dyDescent="0.25">
      <c r="A269" t="s">
        <v>22</v>
      </c>
      <c r="B269" t="s">
        <v>97</v>
      </c>
      <c r="C269">
        <v>820</v>
      </c>
      <c r="D269" t="s">
        <v>340</v>
      </c>
      <c r="E269">
        <v>30.8</v>
      </c>
      <c r="F269">
        <v>17.84</v>
      </c>
      <c r="G269">
        <v>17.7</v>
      </c>
      <c r="H269">
        <v>35.54</v>
      </c>
      <c r="I269" t="s">
        <v>344</v>
      </c>
      <c r="J269">
        <v>110.83</v>
      </c>
      <c r="K269">
        <v>5.08</v>
      </c>
      <c r="L269" t="s">
        <v>346</v>
      </c>
      <c r="M269" s="1">
        <v>5.0799999999999998E-2</v>
      </c>
      <c r="N269" t="s">
        <v>350</v>
      </c>
      <c r="O269">
        <v>0.85</v>
      </c>
      <c r="P269" t="s">
        <v>343</v>
      </c>
      <c r="Q269">
        <v>-1.01</v>
      </c>
      <c r="R269" t="s">
        <v>343</v>
      </c>
      <c r="S269">
        <v>1</v>
      </c>
    </row>
    <row r="270" spans="1:19" x14ac:dyDescent="0.25">
      <c r="A270" t="s">
        <v>22</v>
      </c>
      <c r="B270" t="s">
        <v>98</v>
      </c>
      <c r="C270">
        <v>840</v>
      </c>
      <c r="D270" t="s">
        <v>340</v>
      </c>
      <c r="E270">
        <v>30.8</v>
      </c>
      <c r="F270">
        <v>17.84</v>
      </c>
      <c r="G270">
        <v>16.52</v>
      </c>
      <c r="H270">
        <v>34.36</v>
      </c>
      <c r="I270" t="s">
        <v>344</v>
      </c>
      <c r="J270">
        <v>111.82</v>
      </c>
      <c r="K270">
        <v>4.95</v>
      </c>
      <c r="L270" t="s">
        <v>346</v>
      </c>
      <c r="M270" s="1">
        <v>4.9500000000000002E-2</v>
      </c>
      <c r="N270" t="s">
        <v>350</v>
      </c>
      <c r="O270">
        <v>1.93</v>
      </c>
      <c r="P270" t="s">
        <v>343</v>
      </c>
      <c r="Q270">
        <v>-0.39</v>
      </c>
      <c r="R270" t="s">
        <v>343</v>
      </c>
      <c r="S270">
        <v>1</v>
      </c>
    </row>
    <row r="271" spans="1:19" x14ac:dyDescent="0.25">
      <c r="A271" t="s">
        <v>22</v>
      </c>
      <c r="B271" t="s">
        <v>99</v>
      </c>
      <c r="C271">
        <v>860</v>
      </c>
      <c r="D271" t="s">
        <v>340</v>
      </c>
      <c r="E271">
        <v>30.8</v>
      </c>
      <c r="F271">
        <v>17.84</v>
      </c>
      <c r="G271">
        <v>17.7</v>
      </c>
      <c r="H271">
        <v>35.54</v>
      </c>
      <c r="I271" t="s">
        <v>344</v>
      </c>
      <c r="J271">
        <v>113</v>
      </c>
      <c r="K271">
        <v>5.88</v>
      </c>
      <c r="L271" t="s">
        <v>346</v>
      </c>
      <c r="M271" s="1">
        <v>5.8799999999999998E-2</v>
      </c>
      <c r="N271" t="s">
        <v>350</v>
      </c>
      <c r="O271">
        <v>-1.64</v>
      </c>
      <c r="P271" t="s">
        <v>343</v>
      </c>
      <c r="Q271">
        <v>0.56999999999999995</v>
      </c>
      <c r="R271" t="s">
        <v>343</v>
      </c>
      <c r="S271">
        <v>1</v>
      </c>
    </row>
    <row r="272" spans="1:19" x14ac:dyDescent="0.25">
      <c r="A272" t="s">
        <v>22</v>
      </c>
      <c r="B272" t="s">
        <v>166</v>
      </c>
      <c r="C272">
        <v>873.56600000000003</v>
      </c>
      <c r="D272" t="s">
        <v>340</v>
      </c>
      <c r="E272">
        <v>30.8</v>
      </c>
      <c r="F272">
        <v>14.36</v>
      </c>
      <c r="G272">
        <v>16.52</v>
      </c>
      <c r="H272">
        <v>30.88</v>
      </c>
      <c r="I272" t="s">
        <v>344</v>
      </c>
      <c r="J272">
        <v>113.86</v>
      </c>
      <c r="K272">
        <v>6.34</v>
      </c>
      <c r="L272" t="s">
        <v>346</v>
      </c>
      <c r="M272" s="1">
        <v>6.3399999999999998E-2</v>
      </c>
      <c r="N272" t="s">
        <v>350</v>
      </c>
      <c r="O272">
        <v>-2.5</v>
      </c>
      <c r="P272" t="s">
        <v>344</v>
      </c>
      <c r="Q272">
        <v>-1.72</v>
      </c>
      <c r="R272" t="s">
        <v>343</v>
      </c>
      <c r="S272">
        <v>0</v>
      </c>
    </row>
    <row r="273" spans="1:19" x14ac:dyDescent="0.25">
      <c r="A273" t="s">
        <v>23</v>
      </c>
      <c r="B273" t="s">
        <v>56</v>
      </c>
      <c r="C273">
        <v>0</v>
      </c>
      <c r="D273" t="s">
        <v>340</v>
      </c>
      <c r="E273">
        <v>30.8</v>
      </c>
      <c r="F273">
        <v>14.36</v>
      </c>
      <c r="G273">
        <v>15.47</v>
      </c>
      <c r="H273">
        <v>29.84</v>
      </c>
      <c r="I273" t="s">
        <v>343</v>
      </c>
      <c r="J273">
        <v>115.24</v>
      </c>
      <c r="L273" t="s">
        <v>345</v>
      </c>
      <c r="N273" t="s">
        <v>345</v>
      </c>
      <c r="O273">
        <v>-1.52</v>
      </c>
      <c r="P273" t="s">
        <v>343</v>
      </c>
      <c r="Q273">
        <v>6.33</v>
      </c>
      <c r="R273" t="s">
        <v>343</v>
      </c>
      <c r="S273">
        <v>1</v>
      </c>
    </row>
    <row r="274" spans="1:19" x14ac:dyDescent="0.25">
      <c r="A274" t="s">
        <v>23</v>
      </c>
      <c r="B274" t="s">
        <v>57</v>
      </c>
      <c r="C274">
        <v>20</v>
      </c>
      <c r="D274" t="s">
        <v>340</v>
      </c>
      <c r="E274">
        <v>30.8</v>
      </c>
      <c r="F274">
        <v>12.85</v>
      </c>
      <c r="G274">
        <v>15.47</v>
      </c>
      <c r="H274">
        <v>28.33</v>
      </c>
      <c r="I274" t="s">
        <v>343</v>
      </c>
      <c r="J274">
        <v>114.45</v>
      </c>
      <c r="K274">
        <v>-3.97</v>
      </c>
      <c r="L274" t="s">
        <v>346</v>
      </c>
      <c r="M274" s="1">
        <v>3.9699999999999999E-2</v>
      </c>
      <c r="N274" t="s">
        <v>350</v>
      </c>
      <c r="O274">
        <v>-0.54</v>
      </c>
      <c r="P274" t="s">
        <v>343</v>
      </c>
      <c r="Q274">
        <v>1.07</v>
      </c>
      <c r="R274" t="s">
        <v>343</v>
      </c>
      <c r="S274">
        <v>1</v>
      </c>
    </row>
    <row r="275" spans="1:19" x14ac:dyDescent="0.25">
      <c r="A275" t="s">
        <v>23</v>
      </c>
      <c r="B275" t="s">
        <v>58</v>
      </c>
      <c r="C275">
        <v>40</v>
      </c>
      <c r="D275" t="s">
        <v>340</v>
      </c>
      <c r="E275">
        <v>30.8</v>
      </c>
      <c r="F275">
        <v>14.25</v>
      </c>
      <c r="G275">
        <v>12</v>
      </c>
      <c r="H275">
        <v>26.25</v>
      </c>
      <c r="I275" t="s">
        <v>343</v>
      </c>
      <c r="J275">
        <v>114.45</v>
      </c>
      <c r="K275">
        <v>-0.02</v>
      </c>
      <c r="L275" t="s">
        <v>346</v>
      </c>
      <c r="M275" s="1">
        <v>2.0000000000000001E-4</v>
      </c>
      <c r="N275" t="s">
        <v>349</v>
      </c>
      <c r="O275">
        <v>-0.13</v>
      </c>
      <c r="P275" t="s">
        <v>343</v>
      </c>
      <c r="Q275">
        <v>1.74</v>
      </c>
      <c r="R275" t="s">
        <v>343</v>
      </c>
      <c r="S275">
        <v>1</v>
      </c>
    </row>
    <row r="276" spans="1:19" x14ac:dyDescent="0.25">
      <c r="A276" t="s">
        <v>23</v>
      </c>
      <c r="B276" t="s">
        <v>59</v>
      </c>
      <c r="C276">
        <v>60</v>
      </c>
      <c r="D276" t="s">
        <v>340</v>
      </c>
      <c r="E276">
        <v>30.8</v>
      </c>
      <c r="F276">
        <v>14.25</v>
      </c>
      <c r="G276">
        <v>6.75</v>
      </c>
      <c r="H276">
        <v>21</v>
      </c>
      <c r="I276" t="s">
        <v>343</v>
      </c>
      <c r="J276">
        <v>114.57</v>
      </c>
      <c r="K276">
        <v>0.63</v>
      </c>
      <c r="L276" t="s">
        <v>346</v>
      </c>
      <c r="M276" s="1">
        <v>6.3E-3</v>
      </c>
      <c r="N276" t="s">
        <v>349</v>
      </c>
      <c r="O276">
        <v>3.81</v>
      </c>
      <c r="P276" t="s">
        <v>344</v>
      </c>
      <c r="Q276">
        <v>-2.89</v>
      </c>
      <c r="R276" t="s">
        <v>344</v>
      </c>
      <c r="S276">
        <v>1</v>
      </c>
    </row>
    <row r="277" spans="1:19" x14ac:dyDescent="0.25">
      <c r="A277" t="s">
        <v>23</v>
      </c>
      <c r="B277" t="s">
        <v>60</v>
      </c>
      <c r="C277">
        <v>80</v>
      </c>
      <c r="D277" t="s">
        <v>340</v>
      </c>
      <c r="E277">
        <v>30.8</v>
      </c>
      <c r="F277">
        <v>14.41</v>
      </c>
      <c r="G277">
        <v>12</v>
      </c>
      <c r="H277">
        <v>26.41</v>
      </c>
      <c r="I277" t="s">
        <v>343</v>
      </c>
      <c r="J277">
        <v>114.66</v>
      </c>
      <c r="K277">
        <v>0.45</v>
      </c>
      <c r="L277" t="s">
        <v>346</v>
      </c>
      <c r="M277" s="1">
        <v>4.5000000000000014E-3</v>
      </c>
      <c r="N277" t="s">
        <v>349</v>
      </c>
      <c r="O277">
        <v>2.13</v>
      </c>
      <c r="P277" t="s">
        <v>344</v>
      </c>
      <c r="Q277">
        <v>-2.15</v>
      </c>
      <c r="R277" t="s">
        <v>344</v>
      </c>
      <c r="S277">
        <v>1</v>
      </c>
    </row>
    <row r="278" spans="1:19" x14ac:dyDescent="0.25">
      <c r="A278" t="s">
        <v>23</v>
      </c>
      <c r="B278" t="s">
        <v>61</v>
      </c>
      <c r="C278">
        <v>100</v>
      </c>
      <c r="D278" t="s">
        <v>340</v>
      </c>
      <c r="E278">
        <v>30.8</v>
      </c>
      <c r="F278">
        <v>15.45</v>
      </c>
      <c r="G278">
        <v>14.86</v>
      </c>
      <c r="H278">
        <v>30.31</v>
      </c>
      <c r="I278" t="s">
        <v>343</v>
      </c>
      <c r="J278">
        <v>114.62</v>
      </c>
      <c r="K278">
        <v>-0.22</v>
      </c>
      <c r="L278" t="s">
        <v>346</v>
      </c>
      <c r="M278" s="1">
        <v>2.2000000000000001E-3</v>
      </c>
      <c r="N278" t="s">
        <v>349</v>
      </c>
      <c r="O278">
        <v>1.83</v>
      </c>
      <c r="P278" t="s">
        <v>343</v>
      </c>
      <c r="Q278">
        <v>-2.62</v>
      </c>
      <c r="R278" t="s">
        <v>344</v>
      </c>
      <c r="S278">
        <v>1</v>
      </c>
    </row>
    <row r="279" spans="1:19" x14ac:dyDescent="0.25">
      <c r="A279" t="s">
        <v>23</v>
      </c>
      <c r="B279" t="s">
        <v>62</v>
      </c>
      <c r="C279">
        <v>120</v>
      </c>
      <c r="D279" t="s">
        <v>340</v>
      </c>
      <c r="E279">
        <v>30.8</v>
      </c>
      <c r="F279">
        <v>16.63</v>
      </c>
      <c r="G279">
        <v>14.86</v>
      </c>
      <c r="H279">
        <v>31.49</v>
      </c>
      <c r="I279" t="s">
        <v>344</v>
      </c>
      <c r="J279">
        <v>115.42</v>
      </c>
      <c r="K279">
        <v>3.99</v>
      </c>
      <c r="L279" t="s">
        <v>346</v>
      </c>
      <c r="M279" s="1">
        <v>3.9899999999999998E-2</v>
      </c>
      <c r="N279" t="s">
        <v>350</v>
      </c>
      <c r="O279">
        <v>1.64</v>
      </c>
      <c r="P279" t="s">
        <v>343</v>
      </c>
      <c r="Q279">
        <v>-0.94</v>
      </c>
      <c r="R279" t="s">
        <v>343</v>
      </c>
      <c r="S279">
        <v>1</v>
      </c>
    </row>
    <row r="280" spans="1:19" x14ac:dyDescent="0.25">
      <c r="A280" t="s">
        <v>23</v>
      </c>
      <c r="B280" t="s">
        <v>63</v>
      </c>
      <c r="C280">
        <v>140</v>
      </c>
      <c r="D280" t="s">
        <v>340</v>
      </c>
      <c r="E280">
        <v>30.8</v>
      </c>
      <c r="F280">
        <v>16.54</v>
      </c>
      <c r="G280">
        <v>17.100000000000001</v>
      </c>
      <c r="H280">
        <v>33.64</v>
      </c>
      <c r="I280" t="s">
        <v>344</v>
      </c>
      <c r="J280">
        <v>114.57</v>
      </c>
      <c r="K280">
        <v>-4.26</v>
      </c>
      <c r="L280" t="s">
        <v>346</v>
      </c>
      <c r="M280" s="1">
        <v>4.2599999999999999E-2</v>
      </c>
      <c r="N280" t="s">
        <v>350</v>
      </c>
      <c r="O280">
        <v>2.0299999999999998</v>
      </c>
      <c r="P280" t="s">
        <v>344</v>
      </c>
      <c r="Q280">
        <v>-1.1000000000000001</v>
      </c>
      <c r="R280" t="s">
        <v>343</v>
      </c>
      <c r="S280">
        <v>1</v>
      </c>
    </row>
    <row r="281" spans="1:19" x14ac:dyDescent="0.25">
      <c r="A281" t="s">
        <v>23</v>
      </c>
      <c r="B281" t="s">
        <v>64</v>
      </c>
      <c r="C281">
        <v>160</v>
      </c>
      <c r="D281" t="s">
        <v>340</v>
      </c>
      <c r="E281">
        <v>30.8</v>
      </c>
      <c r="F281">
        <v>16.45</v>
      </c>
      <c r="G281">
        <v>17.100000000000001</v>
      </c>
      <c r="H281">
        <v>33.549999999999997</v>
      </c>
      <c r="I281" t="s">
        <v>344</v>
      </c>
      <c r="J281">
        <v>114.4</v>
      </c>
      <c r="K281">
        <v>-0.84</v>
      </c>
      <c r="L281" t="s">
        <v>346</v>
      </c>
      <c r="M281" s="1">
        <v>8.3999999999999995E-3</v>
      </c>
      <c r="N281" t="s">
        <v>349</v>
      </c>
      <c r="O281">
        <v>-0.64</v>
      </c>
      <c r="P281" t="s">
        <v>343</v>
      </c>
      <c r="Q281">
        <v>-1.18</v>
      </c>
      <c r="R281" t="s">
        <v>343</v>
      </c>
      <c r="S281">
        <v>1</v>
      </c>
    </row>
    <row r="282" spans="1:19" x14ac:dyDescent="0.25">
      <c r="A282" t="s">
        <v>23</v>
      </c>
      <c r="B282" t="s">
        <v>65</v>
      </c>
      <c r="C282">
        <v>180</v>
      </c>
      <c r="D282" t="s">
        <v>340</v>
      </c>
      <c r="E282">
        <v>30.8</v>
      </c>
      <c r="F282">
        <v>17.329999999999998</v>
      </c>
      <c r="G282">
        <v>17.100000000000001</v>
      </c>
      <c r="H282">
        <v>34.43</v>
      </c>
      <c r="I282" t="s">
        <v>344</v>
      </c>
      <c r="J282">
        <v>115.81</v>
      </c>
      <c r="K282">
        <v>7.04</v>
      </c>
      <c r="L282" t="s">
        <v>346</v>
      </c>
      <c r="M282" s="1">
        <v>7.0400000000000004E-2</v>
      </c>
      <c r="N282" t="s">
        <v>350</v>
      </c>
      <c r="O282">
        <v>0.12</v>
      </c>
      <c r="P282" t="s">
        <v>343</v>
      </c>
      <c r="Q282">
        <v>-1.87</v>
      </c>
      <c r="R282" t="s">
        <v>343</v>
      </c>
      <c r="S282">
        <v>1</v>
      </c>
    </row>
    <row r="283" spans="1:19" x14ac:dyDescent="0.25">
      <c r="A283" t="s">
        <v>23</v>
      </c>
      <c r="B283" t="s">
        <v>66</v>
      </c>
      <c r="C283">
        <v>200</v>
      </c>
      <c r="D283" t="s">
        <v>340</v>
      </c>
      <c r="E283">
        <v>30.8</v>
      </c>
      <c r="F283">
        <v>17.329999999999998</v>
      </c>
      <c r="G283">
        <v>17.079999999999998</v>
      </c>
      <c r="H283">
        <v>34.409999999999997</v>
      </c>
      <c r="I283" t="s">
        <v>344</v>
      </c>
      <c r="J283">
        <v>114.62</v>
      </c>
      <c r="K283">
        <v>-5.92</v>
      </c>
      <c r="L283" t="s">
        <v>346</v>
      </c>
      <c r="M283" s="1">
        <v>5.9200000000000003E-2</v>
      </c>
      <c r="N283" t="s">
        <v>350</v>
      </c>
      <c r="O283">
        <v>1.04</v>
      </c>
      <c r="P283" t="s">
        <v>343</v>
      </c>
      <c r="Q283">
        <v>-1.69</v>
      </c>
      <c r="R283" t="s">
        <v>343</v>
      </c>
      <c r="S283">
        <v>1</v>
      </c>
    </row>
    <row r="284" spans="1:19" x14ac:dyDescent="0.25">
      <c r="A284" t="s">
        <v>23</v>
      </c>
      <c r="B284" t="s">
        <v>67</v>
      </c>
      <c r="C284">
        <v>220</v>
      </c>
      <c r="D284" t="s">
        <v>340</v>
      </c>
      <c r="E284">
        <v>30.8</v>
      </c>
      <c r="F284">
        <v>17.690000000000001</v>
      </c>
      <c r="G284">
        <v>17</v>
      </c>
      <c r="H284">
        <v>34.69</v>
      </c>
      <c r="I284" t="s">
        <v>344</v>
      </c>
      <c r="J284">
        <v>114.57</v>
      </c>
      <c r="K284">
        <v>-0.28000000000000003</v>
      </c>
      <c r="L284" t="s">
        <v>346</v>
      </c>
      <c r="M284" s="1">
        <v>2.8E-3</v>
      </c>
      <c r="N284" t="s">
        <v>349</v>
      </c>
      <c r="O284">
        <v>-0.04</v>
      </c>
      <c r="P284" t="s">
        <v>343</v>
      </c>
      <c r="Q284">
        <v>-2.54</v>
      </c>
      <c r="R284" t="s">
        <v>344</v>
      </c>
      <c r="S284">
        <v>1</v>
      </c>
    </row>
    <row r="285" spans="1:19" x14ac:dyDescent="0.25">
      <c r="A285" t="s">
        <v>23</v>
      </c>
      <c r="B285" t="s">
        <v>68</v>
      </c>
      <c r="C285">
        <v>240</v>
      </c>
      <c r="D285" t="s">
        <v>340</v>
      </c>
      <c r="E285">
        <v>30.8</v>
      </c>
      <c r="F285">
        <v>17.72</v>
      </c>
      <c r="G285">
        <v>16.18</v>
      </c>
      <c r="H285">
        <v>33.89</v>
      </c>
      <c r="I285" t="s">
        <v>344</v>
      </c>
      <c r="J285">
        <v>114.78</v>
      </c>
      <c r="K285">
        <v>1.1000000000000001</v>
      </c>
      <c r="L285" t="s">
        <v>346</v>
      </c>
      <c r="M285" s="1">
        <v>1.0999999999999999E-2</v>
      </c>
      <c r="N285" t="s">
        <v>349</v>
      </c>
      <c r="O285">
        <v>0.86</v>
      </c>
      <c r="P285" t="s">
        <v>343</v>
      </c>
      <c r="Q285">
        <v>-2.29</v>
      </c>
      <c r="R285" t="s">
        <v>344</v>
      </c>
      <c r="S285">
        <v>1</v>
      </c>
    </row>
    <row r="286" spans="1:19" x14ac:dyDescent="0.25">
      <c r="A286" t="s">
        <v>23</v>
      </c>
      <c r="B286" t="s">
        <v>69</v>
      </c>
      <c r="C286">
        <v>260</v>
      </c>
      <c r="D286" t="s">
        <v>340</v>
      </c>
      <c r="E286">
        <v>30.8</v>
      </c>
      <c r="F286">
        <v>17.72</v>
      </c>
      <c r="G286">
        <v>15.63</v>
      </c>
      <c r="H286">
        <v>33.35</v>
      </c>
      <c r="I286" t="s">
        <v>344</v>
      </c>
      <c r="J286">
        <v>114.98</v>
      </c>
      <c r="K286">
        <v>0.97</v>
      </c>
      <c r="L286" t="s">
        <v>346</v>
      </c>
      <c r="M286" s="1">
        <v>9.7000000000000003E-3</v>
      </c>
      <c r="N286" t="s">
        <v>349</v>
      </c>
      <c r="O286">
        <v>2.04</v>
      </c>
      <c r="P286" t="s">
        <v>344</v>
      </c>
      <c r="Q286">
        <v>-2.39</v>
      </c>
      <c r="R286" t="s">
        <v>344</v>
      </c>
      <c r="S286">
        <v>1</v>
      </c>
    </row>
    <row r="287" spans="1:19" x14ac:dyDescent="0.25">
      <c r="A287" t="s">
        <v>23</v>
      </c>
      <c r="B287" t="s">
        <v>70</v>
      </c>
      <c r="C287">
        <v>280</v>
      </c>
      <c r="D287" t="s">
        <v>340</v>
      </c>
      <c r="E287">
        <v>30.8</v>
      </c>
      <c r="F287">
        <v>17.95</v>
      </c>
      <c r="G287">
        <v>15.16</v>
      </c>
      <c r="H287">
        <v>33.11</v>
      </c>
      <c r="I287" t="s">
        <v>344</v>
      </c>
      <c r="J287">
        <v>115.21</v>
      </c>
      <c r="K287">
        <v>1.1399999999999999</v>
      </c>
      <c r="L287" t="s">
        <v>346</v>
      </c>
      <c r="M287" s="1">
        <v>1.14E-2</v>
      </c>
      <c r="N287" t="s">
        <v>349</v>
      </c>
      <c r="O287">
        <v>2.8</v>
      </c>
      <c r="P287" t="s">
        <v>344</v>
      </c>
      <c r="Q287">
        <v>-2.13</v>
      </c>
      <c r="R287" t="s">
        <v>344</v>
      </c>
      <c r="S287">
        <v>1</v>
      </c>
    </row>
    <row r="288" spans="1:19" x14ac:dyDescent="0.25">
      <c r="A288" t="s">
        <v>23</v>
      </c>
      <c r="B288" t="s">
        <v>71</v>
      </c>
      <c r="C288">
        <v>300</v>
      </c>
      <c r="D288" t="s">
        <v>340</v>
      </c>
      <c r="E288">
        <v>30.8</v>
      </c>
      <c r="F288">
        <v>16.239999999999998</v>
      </c>
      <c r="G288">
        <v>15.6</v>
      </c>
      <c r="H288">
        <v>31.84</v>
      </c>
      <c r="I288" t="s">
        <v>344</v>
      </c>
      <c r="J288">
        <v>115.42</v>
      </c>
      <c r="K288">
        <v>1.0900000000000001</v>
      </c>
      <c r="L288" t="s">
        <v>346</v>
      </c>
      <c r="M288" s="1">
        <v>1.09E-2</v>
      </c>
      <c r="N288" t="s">
        <v>349</v>
      </c>
      <c r="O288">
        <v>3.37</v>
      </c>
      <c r="P288" t="s">
        <v>344</v>
      </c>
      <c r="Q288">
        <v>-1.76</v>
      </c>
      <c r="R288" t="s">
        <v>343</v>
      </c>
      <c r="S288">
        <v>1</v>
      </c>
    </row>
    <row r="289" spans="1:19" x14ac:dyDescent="0.25">
      <c r="A289" t="s">
        <v>23</v>
      </c>
      <c r="B289" t="s">
        <v>72</v>
      </c>
      <c r="C289">
        <v>320</v>
      </c>
      <c r="D289" t="s">
        <v>340</v>
      </c>
      <c r="E289">
        <v>30.8</v>
      </c>
      <c r="F289">
        <v>16.239999999999998</v>
      </c>
      <c r="G289">
        <v>16.079999999999998</v>
      </c>
      <c r="H289">
        <v>32.32</v>
      </c>
      <c r="I289" t="s">
        <v>344</v>
      </c>
      <c r="J289">
        <v>115.69</v>
      </c>
      <c r="K289">
        <v>1.31</v>
      </c>
      <c r="L289" t="s">
        <v>346</v>
      </c>
      <c r="M289" s="1">
        <v>1.3100000000000001E-2</v>
      </c>
      <c r="N289" t="s">
        <v>349</v>
      </c>
      <c r="O289">
        <v>0.42</v>
      </c>
      <c r="P289" t="s">
        <v>343</v>
      </c>
      <c r="Q289">
        <v>-0.76</v>
      </c>
      <c r="R289" t="s">
        <v>343</v>
      </c>
      <c r="S289">
        <v>1</v>
      </c>
    </row>
    <row r="290" spans="1:19" x14ac:dyDescent="0.25">
      <c r="A290" t="s">
        <v>23</v>
      </c>
      <c r="B290" t="s">
        <v>73</v>
      </c>
      <c r="C290">
        <v>340</v>
      </c>
      <c r="D290" t="s">
        <v>340</v>
      </c>
      <c r="E290">
        <v>30.8</v>
      </c>
      <c r="F290">
        <v>16.239999999999998</v>
      </c>
      <c r="G290">
        <v>16.579999999999998</v>
      </c>
      <c r="H290">
        <v>32.82</v>
      </c>
      <c r="I290" t="s">
        <v>344</v>
      </c>
      <c r="J290">
        <v>115.63</v>
      </c>
      <c r="K290">
        <v>-0.28999999999999998</v>
      </c>
      <c r="L290" t="s">
        <v>346</v>
      </c>
      <c r="M290" s="1">
        <v>2.8999999999999998E-3</v>
      </c>
      <c r="N290" t="s">
        <v>349</v>
      </c>
      <c r="O290">
        <v>-1.23</v>
      </c>
      <c r="P290" t="s">
        <v>343</v>
      </c>
      <c r="Q290">
        <v>-0.39</v>
      </c>
      <c r="R290" t="s">
        <v>343</v>
      </c>
      <c r="S290">
        <v>1</v>
      </c>
    </row>
    <row r="291" spans="1:19" x14ac:dyDescent="0.25">
      <c r="A291" t="s">
        <v>23</v>
      </c>
      <c r="B291" t="s">
        <v>74</v>
      </c>
      <c r="C291">
        <v>360</v>
      </c>
      <c r="D291" t="s">
        <v>340</v>
      </c>
      <c r="E291">
        <v>30.8</v>
      </c>
      <c r="F291">
        <v>17.79</v>
      </c>
      <c r="G291">
        <v>17.260000000000002</v>
      </c>
      <c r="H291">
        <v>35.06</v>
      </c>
      <c r="I291" t="s">
        <v>344</v>
      </c>
      <c r="J291">
        <v>117.06</v>
      </c>
      <c r="K291">
        <v>7.14</v>
      </c>
      <c r="L291" t="s">
        <v>346</v>
      </c>
      <c r="M291" s="1">
        <v>7.1399999999999991E-2</v>
      </c>
      <c r="N291" t="s">
        <v>350</v>
      </c>
      <c r="O291">
        <v>1.23</v>
      </c>
      <c r="P291" t="s">
        <v>343</v>
      </c>
      <c r="Q291">
        <v>-0.36</v>
      </c>
      <c r="R291" t="s">
        <v>343</v>
      </c>
      <c r="S291">
        <v>1</v>
      </c>
    </row>
    <row r="292" spans="1:19" x14ac:dyDescent="0.25">
      <c r="A292" t="s">
        <v>23</v>
      </c>
      <c r="B292" t="s">
        <v>75</v>
      </c>
      <c r="C292">
        <v>380</v>
      </c>
      <c r="D292" t="s">
        <v>340</v>
      </c>
      <c r="E292">
        <v>30.8</v>
      </c>
      <c r="F292">
        <v>17.79</v>
      </c>
      <c r="G292">
        <v>16.12</v>
      </c>
      <c r="H292">
        <v>33.909999999999997</v>
      </c>
      <c r="I292" t="s">
        <v>344</v>
      </c>
      <c r="J292">
        <v>115.78</v>
      </c>
      <c r="K292">
        <v>-6.38</v>
      </c>
      <c r="L292" t="s">
        <v>346</v>
      </c>
      <c r="M292" s="1">
        <v>6.3799999999999996E-2</v>
      </c>
      <c r="N292" t="s">
        <v>350</v>
      </c>
      <c r="O292">
        <v>1.1200000000000001</v>
      </c>
      <c r="P292" t="s">
        <v>343</v>
      </c>
      <c r="Q292">
        <v>-1.91</v>
      </c>
      <c r="R292" t="s">
        <v>343</v>
      </c>
      <c r="S292">
        <v>1</v>
      </c>
    </row>
    <row r="293" spans="1:19" x14ac:dyDescent="0.25">
      <c r="A293" t="s">
        <v>23</v>
      </c>
      <c r="B293" t="s">
        <v>76</v>
      </c>
      <c r="C293">
        <v>400</v>
      </c>
      <c r="D293" t="s">
        <v>340</v>
      </c>
      <c r="E293">
        <v>30.8</v>
      </c>
      <c r="F293">
        <v>17.79</v>
      </c>
      <c r="G293">
        <v>16</v>
      </c>
      <c r="H293">
        <v>33.79</v>
      </c>
      <c r="I293" t="s">
        <v>344</v>
      </c>
      <c r="J293">
        <v>117.26</v>
      </c>
      <c r="K293">
        <v>7.39</v>
      </c>
      <c r="L293" t="s">
        <v>346</v>
      </c>
      <c r="M293" s="1">
        <v>7.3899999999999993E-2</v>
      </c>
      <c r="N293" t="s">
        <v>350</v>
      </c>
      <c r="O293">
        <v>0.61</v>
      </c>
      <c r="P293" t="s">
        <v>343</v>
      </c>
      <c r="Q293">
        <v>-0.63</v>
      </c>
      <c r="R293" t="s">
        <v>343</v>
      </c>
      <c r="S293">
        <v>1</v>
      </c>
    </row>
    <row r="294" spans="1:19" x14ac:dyDescent="0.25">
      <c r="A294" t="s">
        <v>23</v>
      </c>
      <c r="B294" t="s">
        <v>77</v>
      </c>
      <c r="C294">
        <v>420</v>
      </c>
      <c r="D294" t="s">
        <v>340</v>
      </c>
      <c r="E294">
        <v>30.8</v>
      </c>
      <c r="F294">
        <v>17.420000000000002</v>
      </c>
      <c r="G294">
        <v>15.18</v>
      </c>
      <c r="H294">
        <v>32.6</v>
      </c>
      <c r="I294" t="s">
        <v>344</v>
      </c>
      <c r="J294">
        <v>116.13</v>
      </c>
      <c r="K294">
        <v>-5.66</v>
      </c>
      <c r="L294" t="s">
        <v>346</v>
      </c>
      <c r="M294" s="1">
        <v>5.6599999999999998E-2</v>
      </c>
      <c r="N294" t="s">
        <v>350</v>
      </c>
      <c r="O294">
        <v>0.85</v>
      </c>
      <c r="P294" t="s">
        <v>343</v>
      </c>
      <c r="Q294">
        <v>0.11</v>
      </c>
      <c r="R294" t="s">
        <v>343</v>
      </c>
      <c r="S294">
        <v>1</v>
      </c>
    </row>
    <row r="295" spans="1:19" x14ac:dyDescent="0.25">
      <c r="A295" t="s">
        <v>23</v>
      </c>
      <c r="B295" t="s">
        <v>78</v>
      </c>
      <c r="C295">
        <v>440</v>
      </c>
      <c r="D295" t="s">
        <v>340</v>
      </c>
      <c r="E295">
        <v>30.8</v>
      </c>
      <c r="F295">
        <v>17.05</v>
      </c>
      <c r="G295">
        <v>15.02</v>
      </c>
      <c r="H295">
        <v>32.07</v>
      </c>
      <c r="I295" t="s">
        <v>344</v>
      </c>
      <c r="J295">
        <v>116.27</v>
      </c>
      <c r="K295">
        <v>0.74</v>
      </c>
      <c r="L295" t="s">
        <v>346</v>
      </c>
      <c r="M295" s="1">
        <v>7.4000000000000003E-3</v>
      </c>
      <c r="N295" t="s">
        <v>349</v>
      </c>
      <c r="O295">
        <v>1.1000000000000001</v>
      </c>
      <c r="P295" t="s">
        <v>343</v>
      </c>
      <c r="Q295">
        <v>-0.98</v>
      </c>
      <c r="R295" t="s">
        <v>343</v>
      </c>
      <c r="S295">
        <v>1</v>
      </c>
    </row>
    <row r="296" spans="1:19" x14ac:dyDescent="0.25">
      <c r="A296" t="s">
        <v>23</v>
      </c>
      <c r="B296" t="s">
        <v>79</v>
      </c>
      <c r="C296">
        <v>460</v>
      </c>
      <c r="D296" t="s">
        <v>340</v>
      </c>
      <c r="E296">
        <v>30.8</v>
      </c>
      <c r="F296">
        <v>17.010000000000002</v>
      </c>
      <c r="G296">
        <v>15.58</v>
      </c>
      <c r="H296">
        <v>32.590000000000003</v>
      </c>
      <c r="I296" t="s">
        <v>344</v>
      </c>
      <c r="J296">
        <v>116.33</v>
      </c>
      <c r="K296">
        <v>0.27</v>
      </c>
      <c r="L296" t="s">
        <v>346</v>
      </c>
      <c r="M296" s="1">
        <v>2.7000000000000001E-3</v>
      </c>
      <c r="N296" t="s">
        <v>349</v>
      </c>
      <c r="O296">
        <v>1.29</v>
      </c>
      <c r="P296" t="s">
        <v>343</v>
      </c>
      <c r="Q296">
        <v>-0.74</v>
      </c>
      <c r="R296" t="s">
        <v>343</v>
      </c>
      <c r="S296">
        <v>1</v>
      </c>
    </row>
    <row r="297" spans="1:19" x14ac:dyDescent="0.25">
      <c r="A297" t="s">
        <v>23</v>
      </c>
      <c r="B297" t="s">
        <v>80</v>
      </c>
      <c r="C297">
        <v>480</v>
      </c>
      <c r="D297" t="s">
        <v>340</v>
      </c>
      <c r="E297">
        <v>30.8</v>
      </c>
      <c r="F297">
        <v>17.190000000000001</v>
      </c>
      <c r="G297">
        <v>16.559999999999999</v>
      </c>
      <c r="H297">
        <v>33.75</v>
      </c>
      <c r="I297" t="s">
        <v>344</v>
      </c>
      <c r="J297">
        <v>116.34</v>
      </c>
      <c r="K297">
        <v>0.06</v>
      </c>
      <c r="L297" t="s">
        <v>346</v>
      </c>
      <c r="M297" s="1">
        <v>5.9999999999999995E-4</v>
      </c>
      <c r="N297" t="s">
        <v>349</v>
      </c>
      <c r="O297">
        <v>0.88</v>
      </c>
      <c r="P297" t="s">
        <v>343</v>
      </c>
      <c r="Q297">
        <v>-0.48</v>
      </c>
      <c r="R297" t="s">
        <v>343</v>
      </c>
      <c r="S297">
        <v>1</v>
      </c>
    </row>
    <row r="298" spans="1:19" x14ac:dyDescent="0.25">
      <c r="A298" t="s">
        <v>23</v>
      </c>
      <c r="B298" t="s">
        <v>81</v>
      </c>
      <c r="C298">
        <v>500</v>
      </c>
      <c r="D298" t="s">
        <v>340</v>
      </c>
      <c r="E298">
        <v>30.8</v>
      </c>
      <c r="F298">
        <v>16.739999999999998</v>
      </c>
      <c r="G298">
        <v>17.7</v>
      </c>
      <c r="H298">
        <v>34.44</v>
      </c>
      <c r="I298" t="s">
        <v>344</v>
      </c>
      <c r="J298">
        <v>116.18</v>
      </c>
      <c r="K298">
        <v>-0.82</v>
      </c>
      <c r="L298" t="s">
        <v>346</v>
      </c>
      <c r="M298" s="1">
        <v>8.199999999999999E-3</v>
      </c>
      <c r="N298" t="s">
        <v>349</v>
      </c>
      <c r="O298">
        <v>-0.26</v>
      </c>
      <c r="P298" t="s">
        <v>343</v>
      </c>
      <c r="Q298">
        <v>-1.1000000000000001</v>
      </c>
      <c r="R298" t="s">
        <v>343</v>
      </c>
      <c r="S298">
        <v>1</v>
      </c>
    </row>
    <row r="299" spans="1:19" x14ac:dyDescent="0.25">
      <c r="A299" t="s">
        <v>23</v>
      </c>
      <c r="B299" t="s">
        <v>82</v>
      </c>
      <c r="C299">
        <v>520</v>
      </c>
      <c r="D299" t="s">
        <v>340</v>
      </c>
      <c r="E299">
        <v>30.8</v>
      </c>
      <c r="F299">
        <v>17.600000000000001</v>
      </c>
      <c r="G299">
        <v>17.22</v>
      </c>
      <c r="H299">
        <v>34.82</v>
      </c>
      <c r="I299" t="s">
        <v>344</v>
      </c>
      <c r="J299">
        <v>116.03</v>
      </c>
      <c r="K299">
        <v>-0.73</v>
      </c>
      <c r="L299" t="s">
        <v>346</v>
      </c>
      <c r="M299" s="1">
        <v>7.3000000000000001E-3</v>
      </c>
      <c r="N299" t="s">
        <v>349</v>
      </c>
      <c r="O299">
        <v>2.1</v>
      </c>
      <c r="P299" t="s">
        <v>344</v>
      </c>
      <c r="Q299">
        <v>-1.75</v>
      </c>
      <c r="R299" t="s">
        <v>343</v>
      </c>
      <c r="S299">
        <v>1</v>
      </c>
    </row>
    <row r="300" spans="1:19" x14ac:dyDescent="0.25">
      <c r="A300" t="s">
        <v>23</v>
      </c>
      <c r="B300" t="s">
        <v>83</v>
      </c>
      <c r="C300">
        <v>540</v>
      </c>
      <c r="D300" t="s">
        <v>340</v>
      </c>
      <c r="E300">
        <v>30.8</v>
      </c>
      <c r="F300">
        <v>17.78</v>
      </c>
      <c r="G300">
        <v>17.329999999999998</v>
      </c>
      <c r="H300">
        <v>35.11</v>
      </c>
      <c r="I300" t="s">
        <v>344</v>
      </c>
      <c r="J300">
        <v>115.97</v>
      </c>
      <c r="K300">
        <v>-0.33</v>
      </c>
      <c r="L300" t="s">
        <v>346</v>
      </c>
      <c r="M300" s="1">
        <v>3.3E-3</v>
      </c>
      <c r="N300" t="s">
        <v>349</v>
      </c>
      <c r="O300">
        <v>3.92</v>
      </c>
      <c r="P300" t="s">
        <v>344</v>
      </c>
      <c r="Q300">
        <v>-0.35</v>
      </c>
      <c r="R300" t="s">
        <v>343</v>
      </c>
      <c r="S300">
        <v>1</v>
      </c>
    </row>
    <row r="301" spans="1:19" x14ac:dyDescent="0.25">
      <c r="A301" t="s">
        <v>23</v>
      </c>
      <c r="B301" t="s">
        <v>84</v>
      </c>
      <c r="C301">
        <v>560</v>
      </c>
      <c r="D301" t="s">
        <v>340</v>
      </c>
      <c r="E301">
        <v>30.8</v>
      </c>
      <c r="F301">
        <v>17.78</v>
      </c>
      <c r="G301">
        <v>17.5</v>
      </c>
      <c r="H301">
        <v>35.28</v>
      </c>
      <c r="I301" t="s">
        <v>344</v>
      </c>
      <c r="J301">
        <v>115.6</v>
      </c>
      <c r="K301">
        <v>-1.84</v>
      </c>
      <c r="L301" t="s">
        <v>346</v>
      </c>
      <c r="M301" s="1">
        <v>1.84E-2</v>
      </c>
      <c r="N301" t="s">
        <v>349</v>
      </c>
      <c r="O301">
        <v>2.99</v>
      </c>
      <c r="P301" t="s">
        <v>344</v>
      </c>
      <c r="Q301">
        <v>0.82</v>
      </c>
      <c r="R301" t="s">
        <v>343</v>
      </c>
      <c r="S301">
        <v>1</v>
      </c>
    </row>
    <row r="302" spans="1:19" x14ac:dyDescent="0.25">
      <c r="A302" t="s">
        <v>23</v>
      </c>
      <c r="B302" t="s">
        <v>85</v>
      </c>
      <c r="C302">
        <v>580</v>
      </c>
      <c r="D302" t="s">
        <v>340</v>
      </c>
      <c r="E302">
        <v>30.8</v>
      </c>
      <c r="F302">
        <v>18</v>
      </c>
      <c r="G302">
        <v>16.420000000000002</v>
      </c>
      <c r="H302">
        <v>34.42</v>
      </c>
      <c r="I302" t="s">
        <v>344</v>
      </c>
      <c r="J302">
        <v>115.18</v>
      </c>
      <c r="K302">
        <v>-2.0699999999999998</v>
      </c>
      <c r="L302" t="s">
        <v>346</v>
      </c>
      <c r="M302" s="1">
        <v>2.07E-2</v>
      </c>
      <c r="N302" t="s">
        <v>350</v>
      </c>
      <c r="O302">
        <v>2.2999999999999998</v>
      </c>
      <c r="P302" t="s">
        <v>344</v>
      </c>
      <c r="Q302">
        <v>0.82</v>
      </c>
      <c r="R302" t="s">
        <v>343</v>
      </c>
      <c r="S302">
        <v>1</v>
      </c>
    </row>
    <row r="303" spans="1:19" x14ac:dyDescent="0.25">
      <c r="A303" t="s">
        <v>23</v>
      </c>
      <c r="B303" t="s">
        <v>86</v>
      </c>
      <c r="C303">
        <v>600</v>
      </c>
      <c r="D303" t="s">
        <v>340</v>
      </c>
      <c r="E303">
        <v>30.8</v>
      </c>
      <c r="F303">
        <v>17.420000000000002</v>
      </c>
      <c r="G303">
        <v>15.4</v>
      </c>
      <c r="H303">
        <v>32.82</v>
      </c>
      <c r="I303" t="s">
        <v>344</v>
      </c>
      <c r="J303">
        <v>114.79</v>
      </c>
      <c r="K303">
        <v>-1.94</v>
      </c>
      <c r="L303" t="s">
        <v>346</v>
      </c>
      <c r="M303" s="1">
        <v>1.9400000000000001E-2</v>
      </c>
      <c r="N303" t="s">
        <v>349</v>
      </c>
      <c r="O303">
        <v>1.63</v>
      </c>
      <c r="P303" t="s">
        <v>343</v>
      </c>
      <c r="Q303">
        <v>0.35</v>
      </c>
      <c r="R303" t="s">
        <v>343</v>
      </c>
      <c r="S303">
        <v>1</v>
      </c>
    </row>
    <row r="304" spans="1:19" x14ac:dyDescent="0.25">
      <c r="A304" t="s">
        <v>23</v>
      </c>
      <c r="B304" t="s">
        <v>87</v>
      </c>
      <c r="C304">
        <v>620</v>
      </c>
      <c r="D304" t="s">
        <v>340</v>
      </c>
      <c r="E304">
        <v>30.8</v>
      </c>
      <c r="F304">
        <v>20</v>
      </c>
      <c r="G304">
        <v>15.09</v>
      </c>
      <c r="H304">
        <v>35.090000000000003</v>
      </c>
      <c r="I304" t="s">
        <v>344</v>
      </c>
      <c r="J304">
        <v>114.32</v>
      </c>
      <c r="K304">
        <v>-2.35</v>
      </c>
      <c r="L304" t="s">
        <v>346</v>
      </c>
      <c r="M304" s="1">
        <v>2.35E-2</v>
      </c>
      <c r="N304" t="s">
        <v>350</v>
      </c>
      <c r="O304">
        <v>0.32</v>
      </c>
      <c r="P304" t="s">
        <v>343</v>
      </c>
      <c r="Q304">
        <v>-0.05</v>
      </c>
      <c r="R304" t="s">
        <v>343</v>
      </c>
      <c r="S304">
        <v>1</v>
      </c>
    </row>
    <row r="305" spans="1:19" x14ac:dyDescent="0.25">
      <c r="A305" t="s">
        <v>23</v>
      </c>
      <c r="B305" t="s">
        <v>88</v>
      </c>
      <c r="C305">
        <v>640</v>
      </c>
      <c r="D305" t="s">
        <v>340</v>
      </c>
      <c r="E305">
        <v>30.8</v>
      </c>
      <c r="F305">
        <v>18.559999999999999</v>
      </c>
      <c r="G305">
        <v>14.9</v>
      </c>
      <c r="H305">
        <v>33.47</v>
      </c>
      <c r="I305" t="s">
        <v>344</v>
      </c>
      <c r="J305">
        <v>113.87</v>
      </c>
      <c r="K305">
        <v>-2.25</v>
      </c>
      <c r="L305" t="s">
        <v>346</v>
      </c>
      <c r="M305" s="1">
        <v>2.2499999999999999E-2</v>
      </c>
      <c r="N305" t="s">
        <v>350</v>
      </c>
      <c r="O305">
        <v>0.82</v>
      </c>
      <c r="P305" t="s">
        <v>343</v>
      </c>
      <c r="Q305">
        <v>1.08</v>
      </c>
      <c r="R305" t="s">
        <v>343</v>
      </c>
      <c r="S305">
        <v>1</v>
      </c>
    </row>
    <row r="306" spans="1:19" x14ac:dyDescent="0.25">
      <c r="A306" t="s">
        <v>23</v>
      </c>
      <c r="B306" t="s">
        <v>89</v>
      </c>
      <c r="C306">
        <v>660</v>
      </c>
      <c r="D306" t="s">
        <v>340</v>
      </c>
      <c r="E306">
        <v>30.8</v>
      </c>
      <c r="F306">
        <v>20</v>
      </c>
      <c r="G306">
        <v>15.51</v>
      </c>
      <c r="H306">
        <v>35.51</v>
      </c>
      <c r="I306" t="s">
        <v>344</v>
      </c>
      <c r="J306">
        <v>113.43</v>
      </c>
      <c r="K306">
        <v>-2.2000000000000002</v>
      </c>
      <c r="L306" t="s">
        <v>346</v>
      </c>
      <c r="M306" s="1">
        <v>2.1999999999999999E-2</v>
      </c>
      <c r="N306" t="s">
        <v>350</v>
      </c>
      <c r="O306">
        <v>-0.28000000000000003</v>
      </c>
      <c r="P306" t="s">
        <v>343</v>
      </c>
      <c r="Q306">
        <v>1.59</v>
      </c>
      <c r="R306" t="s">
        <v>343</v>
      </c>
      <c r="S306">
        <v>1</v>
      </c>
    </row>
    <row r="307" spans="1:19" x14ac:dyDescent="0.25">
      <c r="A307" t="s">
        <v>23</v>
      </c>
      <c r="B307" t="s">
        <v>90</v>
      </c>
      <c r="C307">
        <v>680</v>
      </c>
      <c r="D307" t="s">
        <v>340</v>
      </c>
      <c r="E307">
        <v>30.8</v>
      </c>
      <c r="F307">
        <v>20</v>
      </c>
      <c r="G307">
        <v>15.68</v>
      </c>
      <c r="H307">
        <v>35.68</v>
      </c>
      <c r="I307" t="s">
        <v>344</v>
      </c>
      <c r="J307">
        <v>112.91</v>
      </c>
      <c r="K307">
        <v>-2.63</v>
      </c>
      <c r="L307" t="s">
        <v>346</v>
      </c>
      <c r="M307" s="1">
        <v>2.63E-2</v>
      </c>
      <c r="N307" t="s">
        <v>350</v>
      </c>
      <c r="O307">
        <v>-0.47</v>
      </c>
      <c r="P307" t="s">
        <v>343</v>
      </c>
      <c r="Q307">
        <v>0.99</v>
      </c>
      <c r="R307" t="s">
        <v>343</v>
      </c>
      <c r="S307">
        <v>1</v>
      </c>
    </row>
    <row r="308" spans="1:19" x14ac:dyDescent="0.25">
      <c r="A308" t="s">
        <v>23</v>
      </c>
      <c r="B308" t="s">
        <v>91</v>
      </c>
      <c r="C308">
        <v>700</v>
      </c>
      <c r="D308" t="s">
        <v>340</v>
      </c>
      <c r="E308">
        <v>30.8</v>
      </c>
      <c r="F308">
        <v>18.38</v>
      </c>
      <c r="G308">
        <v>15.99</v>
      </c>
      <c r="H308">
        <v>34.369999999999997</v>
      </c>
      <c r="I308" t="s">
        <v>344</v>
      </c>
      <c r="J308">
        <v>112.22</v>
      </c>
      <c r="K308">
        <v>-3.41</v>
      </c>
      <c r="L308" t="s">
        <v>346</v>
      </c>
      <c r="M308" s="1">
        <v>3.4099999999999998E-2</v>
      </c>
      <c r="N308" t="s">
        <v>350</v>
      </c>
      <c r="O308">
        <v>0.14000000000000001</v>
      </c>
      <c r="P308" t="s">
        <v>343</v>
      </c>
      <c r="Q308">
        <v>0.93</v>
      </c>
      <c r="R308" t="s">
        <v>343</v>
      </c>
      <c r="S308">
        <v>1</v>
      </c>
    </row>
    <row r="309" spans="1:19" x14ac:dyDescent="0.25">
      <c r="A309" t="s">
        <v>23</v>
      </c>
      <c r="B309" t="s">
        <v>92</v>
      </c>
      <c r="C309">
        <v>720</v>
      </c>
      <c r="D309" t="s">
        <v>340</v>
      </c>
      <c r="E309">
        <v>30.8</v>
      </c>
      <c r="F309">
        <v>17.510000000000002</v>
      </c>
      <c r="G309">
        <v>15.88</v>
      </c>
      <c r="H309">
        <v>33.380000000000003</v>
      </c>
      <c r="I309" t="s">
        <v>344</v>
      </c>
      <c r="J309">
        <v>111.01</v>
      </c>
      <c r="K309">
        <v>-6.05</v>
      </c>
      <c r="L309" t="s">
        <v>346</v>
      </c>
      <c r="M309" s="1">
        <v>6.0499999999999998E-2</v>
      </c>
      <c r="N309" t="s">
        <v>350</v>
      </c>
      <c r="O309">
        <v>-0.63</v>
      </c>
      <c r="P309" t="s">
        <v>343</v>
      </c>
      <c r="Q309">
        <v>-0.18</v>
      </c>
      <c r="R309" t="s">
        <v>343</v>
      </c>
      <c r="S309">
        <v>1</v>
      </c>
    </row>
    <row r="310" spans="1:19" x14ac:dyDescent="0.25">
      <c r="A310" t="s">
        <v>23</v>
      </c>
      <c r="B310" t="s">
        <v>93</v>
      </c>
      <c r="C310">
        <v>740</v>
      </c>
      <c r="D310" t="s">
        <v>340</v>
      </c>
      <c r="E310">
        <v>30.8</v>
      </c>
      <c r="F310">
        <v>15.91</v>
      </c>
      <c r="G310">
        <v>16.059999999999999</v>
      </c>
      <c r="H310">
        <v>31.98</v>
      </c>
      <c r="I310" t="s">
        <v>344</v>
      </c>
      <c r="J310">
        <v>109.99</v>
      </c>
      <c r="K310">
        <v>-5.12</v>
      </c>
      <c r="L310" t="s">
        <v>346</v>
      </c>
      <c r="M310" s="1">
        <v>5.1200000000000002E-2</v>
      </c>
      <c r="N310" t="s">
        <v>350</v>
      </c>
      <c r="O310">
        <v>0.5</v>
      </c>
      <c r="P310" t="s">
        <v>343</v>
      </c>
      <c r="Q310">
        <v>0.63</v>
      </c>
      <c r="R310" t="s">
        <v>343</v>
      </c>
      <c r="S310">
        <v>1</v>
      </c>
    </row>
    <row r="311" spans="1:19" x14ac:dyDescent="0.25">
      <c r="A311" t="s">
        <v>23</v>
      </c>
      <c r="B311" t="s">
        <v>94</v>
      </c>
      <c r="C311">
        <v>760</v>
      </c>
      <c r="D311" t="s">
        <v>340</v>
      </c>
      <c r="E311">
        <v>30.8</v>
      </c>
      <c r="F311">
        <v>15.49</v>
      </c>
      <c r="G311">
        <v>14.64</v>
      </c>
      <c r="H311">
        <v>30.13</v>
      </c>
      <c r="I311" t="s">
        <v>343</v>
      </c>
      <c r="J311">
        <v>108.99</v>
      </c>
      <c r="K311">
        <v>-4.9800000000000004</v>
      </c>
      <c r="L311" t="s">
        <v>346</v>
      </c>
      <c r="M311" s="1">
        <v>4.9799999999999997E-2</v>
      </c>
      <c r="N311" t="s">
        <v>350</v>
      </c>
      <c r="O311">
        <v>-0.18</v>
      </c>
      <c r="P311" t="s">
        <v>343</v>
      </c>
      <c r="Q311">
        <v>1.74</v>
      </c>
      <c r="R311" t="s">
        <v>343</v>
      </c>
      <c r="S311">
        <v>1</v>
      </c>
    </row>
    <row r="312" spans="1:19" x14ac:dyDescent="0.25">
      <c r="A312" t="s">
        <v>23</v>
      </c>
      <c r="B312" t="s">
        <v>95</v>
      </c>
      <c r="C312">
        <v>780</v>
      </c>
      <c r="D312" t="s">
        <v>340</v>
      </c>
      <c r="E312">
        <v>30.8</v>
      </c>
      <c r="F312">
        <v>16.32</v>
      </c>
      <c r="G312">
        <v>14.76</v>
      </c>
      <c r="H312">
        <v>31.08</v>
      </c>
      <c r="I312" t="s">
        <v>344</v>
      </c>
      <c r="J312">
        <v>108.35</v>
      </c>
      <c r="K312">
        <v>-3.21</v>
      </c>
      <c r="L312" t="s">
        <v>346</v>
      </c>
      <c r="M312" s="1">
        <v>3.2099999999999997E-2</v>
      </c>
      <c r="N312" t="s">
        <v>350</v>
      </c>
      <c r="O312">
        <v>-2.88</v>
      </c>
      <c r="P312" t="s">
        <v>344</v>
      </c>
      <c r="Q312">
        <v>2.44</v>
      </c>
      <c r="R312" t="s">
        <v>344</v>
      </c>
      <c r="S312">
        <v>1</v>
      </c>
    </row>
    <row r="313" spans="1:19" x14ac:dyDescent="0.25">
      <c r="A313" t="s">
        <v>23</v>
      </c>
      <c r="B313" t="s">
        <v>96</v>
      </c>
      <c r="C313">
        <v>800</v>
      </c>
      <c r="D313" t="s">
        <v>340</v>
      </c>
      <c r="E313">
        <v>30.8</v>
      </c>
      <c r="F313">
        <v>17.45</v>
      </c>
      <c r="G313">
        <v>18.18</v>
      </c>
      <c r="H313">
        <v>35.630000000000003</v>
      </c>
      <c r="I313" t="s">
        <v>344</v>
      </c>
      <c r="J313">
        <v>108.18</v>
      </c>
      <c r="K313">
        <v>-0.84</v>
      </c>
      <c r="L313" t="s">
        <v>346</v>
      </c>
      <c r="M313" s="1">
        <v>8.3999999999999995E-3</v>
      </c>
      <c r="N313" t="s">
        <v>349</v>
      </c>
      <c r="O313">
        <v>-2.5499999999999998</v>
      </c>
      <c r="P313" t="s">
        <v>344</v>
      </c>
      <c r="Q313">
        <v>1.47</v>
      </c>
      <c r="R313" t="s">
        <v>343</v>
      </c>
      <c r="S313">
        <v>1</v>
      </c>
    </row>
    <row r="314" spans="1:19" x14ac:dyDescent="0.25">
      <c r="A314" t="s">
        <v>23</v>
      </c>
      <c r="B314" t="s">
        <v>97</v>
      </c>
      <c r="C314">
        <v>820</v>
      </c>
      <c r="D314" t="s">
        <v>340</v>
      </c>
      <c r="E314">
        <v>30.8</v>
      </c>
      <c r="F314">
        <v>16.96</v>
      </c>
      <c r="G314">
        <v>18.18</v>
      </c>
      <c r="H314">
        <v>35.15</v>
      </c>
      <c r="I314" t="s">
        <v>344</v>
      </c>
      <c r="J314">
        <v>108.31</v>
      </c>
      <c r="K314">
        <v>0.64</v>
      </c>
      <c r="L314" t="s">
        <v>346</v>
      </c>
      <c r="M314" s="1">
        <v>6.4000000000000003E-3</v>
      </c>
      <c r="N314" t="s">
        <v>349</v>
      </c>
      <c r="O314">
        <v>-1.38</v>
      </c>
      <c r="P314" t="s">
        <v>343</v>
      </c>
      <c r="Q314">
        <v>1.21</v>
      </c>
      <c r="R314" t="s">
        <v>343</v>
      </c>
      <c r="S314">
        <v>1</v>
      </c>
    </row>
    <row r="315" spans="1:19" x14ac:dyDescent="0.25">
      <c r="A315" t="s">
        <v>23</v>
      </c>
      <c r="B315" t="s">
        <v>98</v>
      </c>
      <c r="C315">
        <v>840</v>
      </c>
      <c r="D315" t="s">
        <v>340</v>
      </c>
      <c r="E315">
        <v>30.8</v>
      </c>
      <c r="F315">
        <v>16.09</v>
      </c>
      <c r="G315">
        <v>18.18</v>
      </c>
      <c r="H315">
        <v>34.270000000000003</v>
      </c>
      <c r="I315" t="s">
        <v>344</v>
      </c>
      <c r="J315">
        <v>108.43</v>
      </c>
      <c r="K315">
        <v>0.59</v>
      </c>
      <c r="L315" t="s">
        <v>346</v>
      </c>
      <c r="M315" s="1">
        <v>5.8999999999999999E-3</v>
      </c>
      <c r="N315" t="s">
        <v>349</v>
      </c>
      <c r="O315">
        <v>-1.27</v>
      </c>
      <c r="P315" t="s">
        <v>343</v>
      </c>
      <c r="Q315">
        <v>1.19</v>
      </c>
      <c r="R315" t="s">
        <v>343</v>
      </c>
      <c r="S315">
        <v>1</v>
      </c>
    </row>
    <row r="316" spans="1:19" x14ac:dyDescent="0.25">
      <c r="A316" t="s">
        <v>23</v>
      </c>
      <c r="B316" t="s">
        <v>99</v>
      </c>
      <c r="C316">
        <v>860</v>
      </c>
      <c r="D316" t="s">
        <v>340</v>
      </c>
      <c r="E316">
        <v>30.8</v>
      </c>
      <c r="F316">
        <v>16.12</v>
      </c>
      <c r="G316">
        <v>17.29</v>
      </c>
      <c r="H316">
        <v>33.409999999999997</v>
      </c>
      <c r="I316" t="s">
        <v>344</v>
      </c>
      <c r="J316">
        <v>108.6</v>
      </c>
      <c r="K316">
        <v>0.84</v>
      </c>
      <c r="L316" t="s">
        <v>346</v>
      </c>
      <c r="M316" s="1">
        <v>8.3999999999999995E-3</v>
      </c>
      <c r="N316" t="s">
        <v>349</v>
      </c>
      <c r="O316">
        <v>-1.03</v>
      </c>
      <c r="P316" t="s">
        <v>343</v>
      </c>
      <c r="Q316">
        <v>0.6</v>
      </c>
      <c r="R316" t="s">
        <v>343</v>
      </c>
      <c r="S316">
        <v>1</v>
      </c>
    </row>
    <row r="317" spans="1:19" x14ac:dyDescent="0.25">
      <c r="A317" t="s">
        <v>23</v>
      </c>
      <c r="B317" t="s">
        <v>100</v>
      </c>
      <c r="C317">
        <v>880</v>
      </c>
      <c r="D317" t="s">
        <v>340</v>
      </c>
      <c r="E317">
        <v>30.8</v>
      </c>
      <c r="F317">
        <v>15.99</v>
      </c>
      <c r="G317">
        <v>18.18</v>
      </c>
      <c r="H317">
        <v>34.17</v>
      </c>
      <c r="I317" t="s">
        <v>344</v>
      </c>
      <c r="J317">
        <v>108.75</v>
      </c>
      <c r="K317">
        <v>0.76</v>
      </c>
      <c r="L317" t="s">
        <v>346</v>
      </c>
      <c r="M317" s="1">
        <v>7.6E-3</v>
      </c>
      <c r="N317" t="s">
        <v>349</v>
      </c>
      <c r="O317">
        <v>-0.81</v>
      </c>
      <c r="P317" t="s">
        <v>343</v>
      </c>
      <c r="Q317">
        <v>0.37</v>
      </c>
      <c r="R317" t="s">
        <v>343</v>
      </c>
      <c r="S317">
        <v>1</v>
      </c>
    </row>
    <row r="318" spans="1:19" x14ac:dyDescent="0.25">
      <c r="A318" t="s">
        <v>23</v>
      </c>
      <c r="B318" t="s">
        <v>101</v>
      </c>
      <c r="C318">
        <v>900</v>
      </c>
      <c r="D318" t="s">
        <v>340</v>
      </c>
      <c r="E318">
        <v>30.8</v>
      </c>
      <c r="F318">
        <v>16</v>
      </c>
      <c r="G318">
        <v>20</v>
      </c>
      <c r="H318">
        <v>36</v>
      </c>
      <c r="I318" t="s">
        <v>344</v>
      </c>
      <c r="J318">
        <v>108.84</v>
      </c>
      <c r="K318">
        <v>0.46</v>
      </c>
      <c r="L318" t="s">
        <v>346</v>
      </c>
      <c r="M318" s="1">
        <v>4.5999999999999999E-3</v>
      </c>
      <c r="N318" t="s">
        <v>349</v>
      </c>
      <c r="O318">
        <v>-1</v>
      </c>
      <c r="P318" t="s">
        <v>343</v>
      </c>
      <c r="Q318">
        <v>-0.77</v>
      </c>
      <c r="R318" t="s">
        <v>343</v>
      </c>
      <c r="S318">
        <v>1</v>
      </c>
    </row>
    <row r="319" spans="1:19" x14ac:dyDescent="0.25">
      <c r="A319" t="s">
        <v>23</v>
      </c>
      <c r="B319" t="s">
        <v>102</v>
      </c>
      <c r="C319">
        <v>920</v>
      </c>
      <c r="D319" t="s">
        <v>340</v>
      </c>
      <c r="E319">
        <v>30.8</v>
      </c>
      <c r="F319">
        <v>15.58</v>
      </c>
      <c r="G319">
        <v>20</v>
      </c>
      <c r="H319">
        <v>35.58</v>
      </c>
      <c r="I319" t="s">
        <v>344</v>
      </c>
      <c r="J319">
        <v>108.99</v>
      </c>
      <c r="K319">
        <v>0.72</v>
      </c>
      <c r="L319" t="s">
        <v>346</v>
      </c>
      <c r="M319" s="1">
        <v>7.1999999999999998E-3</v>
      </c>
      <c r="N319" t="s">
        <v>349</v>
      </c>
      <c r="O319">
        <v>-1.69</v>
      </c>
      <c r="P319" t="s">
        <v>343</v>
      </c>
      <c r="Q319">
        <v>-0.77</v>
      </c>
      <c r="R319" t="s">
        <v>343</v>
      </c>
      <c r="S319">
        <v>1</v>
      </c>
    </row>
    <row r="320" spans="1:19" x14ac:dyDescent="0.25">
      <c r="A320" t="s">
        <v>23</v>
      </c>
      <c r="B320" t="s">
        <v>103</v>
      </c>
      <c r="C320">
        <v>940</v>
      </c>
      <c r="D320" t="s">
        <v>340</v>
      </c>
      <c r="E320">
        <v>30.8</v>
      </c>
      <c r="F320">
        <v>15.52</v>
      </c>
      <c r="G320">
        <v>20</v>
      </c>
      <c r="H320">
        <v>35.520000000000003</v>
      </c>
      <c r="I320" t="s">
        <v>344</v>
      </c>
      <c r="J320">
        <v>109.2</v>
      </c>
      <c r="K320">
        <v>1.05</v>
      </c>
      <c r="L320" t="s">
        <v>346</v>
      </c>
      <c r="M320" s="1">
        <v>1.0500000000000001E-2</v>
      </c>
      <c r="N320" t="s">
        <v>349</v>
      </c>
      <c r="O320">
        <v>-1.48</v>
      </c>
      <c r="P320" t="s">
        <v>343</v>
      </c>
      <c r="Q320">
        <v>0.9</v>
      </c>
      <c r="R320" t="s">
        <v>343</v>
      </c>
      <c r="S320">
        <v>1</v>
      </c>
    </row>
    <row r="321" spans="1:19" x14ac:dyDescent="0.25">
      <c r="A321" t="s">
        <v>23</v>
      </c>
      <c r="B321" t="s">
        <v>104</v>
      </c>
      <c r="C321">
        <v>960</v>
      </c>
      <c r="D321" t="s">
        <v>340</v>
      </c>
      <c r="E321">
        <v>30.8</v>
      </c>
      <c r="F321">
        <v>14.82</v>
      </c>
      <c r="G321">
        <v>20</v>
      </c>
      <c r="H321">
        <v>34.82</v>
      </c>
      <c r="I321" t="s">
        <v>344</v>
      </c>
      <c r="J321">
        <v>109.34</v>
      </c>
      <c r="K321">
        <v>0.71</v>
      </c>
      <c r="L321" t="s">
        <v>346</v>
      </c>
      <c r="M321" s="1">
        <v>7.1000000000000004E-3</v>
      </c>
      <c r="N321" t="s">
        <v>349</v>
      </c>
      <c r="O321">
        <v>-0.67</v>
      </c>
      <c r="P321" t="s">
        <v>343</v>
      </c>
      <c r="Q321">
        <v>-0.57999999999999996</v>
      </c>
      <c r="R321" t="s">
        <v>343</v>
      </c>
      <c r="S321">
        <v>1</v>
      </c>
    </row>
    <row r="322" spans="1:19" x14ac:dyDescent="0.25">
      <c r="A322" t="s">
        <v>23</v>
      </c>
      <c r="B322" t="s">
        <v>105</v>
      </c>
      <c r="C322">
        <v>980</v>
      </c>
      <c r="D322" t="s">
        <v>340</v>
      </c>
      <c r="E322">
        <v>30.8</v>
      </c>
      <c r="F322">
        <v>13.2</v>
      </c>
      <c r="G322">
        <v>20</v>
      </c>
      <c r="H322">
        <v>33.200000000000003</v>
      </c>
      <c r="I322" t="s">
        <v>344</v>
      </c>
      <c r="J322">
        <v>109.57</v>
      </c>
      <c r="K322">
        <v>1.1399999999999999</v>
      </c>
      <c r="L322" t="s">
        <v>346</v>
      </c>
      <c r="M322" s="1">
        <v>1.14E-2</v>
      </c>
      <c r="N322" t="s">
        <v>349</v>
      </c>
      <c r="O322">
        <v>1.44</v>
      </c>
      <c r="P322" t="s">
        <v>343</v>
      </c>
      <c r="Q322">
        <v>-1.36</v>
      </c>
      <c r="R322" t="s">
        <v>343</v>
      </c>
      <c r="S322">
        <v>1</v>
      </c>
    </row>
    <row r="323" spans="1:19" x14ac:dyDescent="0.25">
      <c r="A323" t="s">
        <v>23</v>
      </c>
      <c r="B323" t="s">
        <v>106</v>
      </c>
      <c r="C323">
        <v>1000</v>
      </c>
      <c r="D323" t="s">
        <v>340</v>
      </c>
      <c r="E323">
        <v>30.8</v>
      </c>
      <c r="F323">
        <v>14.16</v>
      </c>
      <c r="G323">
        <v>20</v>
      </c>
      <c r="H323">
        <v>34.159999999999997</v>
      </c>
      <c r="I323" t="s">
        <v>344</v>
      </c>
      <c r="J323">
        <v>109.74</v>
      </c>
      <c r="K323">
        <v>0.87</v>
      </c>
      <c r="L323" t="s">
        <v>346</v>
      </c>
      <c r="M323" s="1">
        <v>8.6999999999999994E-3</v>
      </c>
      <c r="N323" t="s">
        <v>349</v>
      </c>
      <c r="O323">
        <v>3.28</v>
      </c>
      <c r="P323" t="s">
        <v>344</v>
      </c>
      <c r="Q323">
        <v>-4.91</v>
      </c>
      <c r="R323" t="s">
        <v>343</v>
      </c>
      <c r="S323">
        <v>1</v>
      </c>
    </row>
    <row r="324" spans="1:19" x14ac:dyDescent="0.25">
      <c r="A324" t="s">
        <v>23</v>
      </c>
      <c r="B324" t="s">
        <v>108</v>
      </c>
      <c r="C324">
        <v>1020</v>
      </c>
      <c r="D324" t="s">
        <v>340</v>
      </c>
      <c r="E324">
        <v>30.8</v>
      </c>
      <c r="F324">
        <v>14.57</v>
      </c>
      <c r="G324">
        <v>17.27</v>
      </c>
      <c r="H324">
        <v>31.84</v>
      </c>
      <c r="I324" t="s">
        <v>344</v>
      </c>
      <c r="J324">
        <v>109.75</v>
      </c>
      <c r="K324">
        <v>0.03</v>
      </c>
      <c r="L324" t="s">
        <v>346</v>
      </c>
      <c r="M324" s="1">
        <v>2.9999999999999997E-4</v>
      </c>
      <c r="N324" t="s">
        <v>349</v>
      </c>
      <c r="O324">
        <v>1.85</v>
      </c>
      <c r="P324" t="s">
        <v>343</v>
      </c>
      <c r="Q324">
        <v>-0.48</v>
      </c>
      <c r="R324" t="s">
        <v>343</v>
      </c>
      <c r="S324">
        <v>1</v>
      </c>
    </row>
    <row r="325" spans="1:19" x14ac:dyDescent="0.25">
      <c r="A325" t="s">
        <v>23</v>
      </c>
      <c r="B325" t="s">
        <v>109</v>
      </c>
      <c r="C325">
        <v>1040</v>
      </c>
      <c r="D325" t="s">
        <v>340</v>
      </c>
      <c r="E325">
        <v>30.8</v>
      </c>
      <c r="F325">
        <v>14.42</v>
      </c>
      <c r="G325">
        <v>16.63</v>
      </c>
      <c r="H325">
        <v>31.05</v>
      </c>
      <c r="I325" t="s">
        <v>344</v>
      </c>
      <c r="J325">
        <v>109.83</v>
      </c>
      <c r="K325">
        <v>0.43</v>
      </c>
      <c r="L325" t="s">
        <v>346</v>
      </c>
      <c r="M325" s="1">
        <v>4.3E-3</v>
      </c>
      <c r="N325" t="s">
        <v>349</v>
      </c>
      <c r="O325">
        <v>1.67</v>
      </c>
      <c r="P325" t="s">
        <v>343</v>
      </c>
      <c r="Q325">
        <v>0.04</v>
      </c>
      <c r="R325" t="s">
        <v>343</v>
      </c>
      <c r="S325">
        <v>1</v>
      </c>
    </row>
    <row r="326" spans="1:19" x14ac:dyDescent="0.25">
      <c r="A326" t="s">
        <v>23</v>
      </c>
      <c r="B326" t="s">
        <v>110</v>
      </c>
      <c r="C326">
        <v>1060</v>
      </c>
      <c r="D326" t="s">
        <v>340</v>
      </c>
      <c r="E326">
        <v>30.8</v>
      </c>
      <c r="F326">
        <v>13.94</v>
      </c>
      <c r="G326">
        <v>15.64</v>
      </c>
      <c r="H326">
        <v>29.58</v>
      </c>
      <c r="I326" t="s">
        <v>343</v>
      </c>
      <c r="J326">
        <v>109.79</v>
      </c>
      <c r="K326">
        <v>-0.19</v>
      </c>
      <c r="L326" t="s">
        <v>346</v>
      </c>
      <c r="M326" s="1">
        <v>1.9E-3</v>
      </c>
      <c r="N326" t="s">
        <v>349</v>
      </c>
      <c r="O326">
        <v>2.36</v>
      </c>
      <c r="P326" t="s">
        <v>344</v>
      </c>
      <c r="Q326">
        <v>-1.23</v>
      </c>
      <c r="R326" t="s">
        <v>343</v>
      </c>
      <c r="S326">
        <v>1</v>
      </c>
    </row>
    <row r="327" spans="1:19" x14ac:dyDescent="0.25">
      <c r="A327" t="s">
        <v>23</v>
      </c>
      <c r="B327" t="s">
        <v>111</v>
      </c>
      <c r="C327">
        <v>1080</v>
      </c>
      <c r="D327" t="s">
        <v>340</v>
      </c>
      <c r="E327">
        <v>30.8</v>
      </c>
      <c r="F327">
        <v>14.07</v>
      </c>
      <c r="G327">
        <v>16.18</v>
      </c>
      <c r="H327">
        <v>30.26</v>
      </c>
      <c r="I327" t="s">
        <v>343</v>
      </c>
      <c r="J327">
        <v>109.74</v>
      </c>
      <c r="K327">
        <v>-0.28999999999999998</v>
      </c>
      <c r="L327" t="s">
        <v>346</v>
      </c>
      <c r="M327" s="1">
        <v>2.8999999999999998E-3</v>
      </c>
      <c r="N327" t="s">
        <v>349</v>
      </c>
      <c r="O327">
        <v>3.09</v>
      </c>
      <c r="P327" t="s">
        <v>344</v>
      </c>
      <c r="Q327">
        <v>-2.63</v>
      </c>
      <c r="R327" t="s">
        <v>344</v>
      </c>
      <c r="S327">
        <v>1</v>
      </c>
    </row>
    <row r="328" spans="1:19" x14ac:dyDescent="0.25">
      <c r="A328" t="s">
        <v>23</v>
      </c>
      <c r="B328" t="s">
        <v>112</v>
      </c>
      <c r="C328">
        <v>1100</v>
      </c>
      <c r="D328" t="s">
        <v>340</v>
      </c>
      <c r="E328">
        <v>30.8</v>
      </c>
      <c r="F328">
        <v>14.58</v>
      </c>
      <c r="G328">
        <v>16.93</v>
      </c>
      <c r="H328">
        <v>31.51</v>
      </c>
      <c r="I328" t="s">
        <v>344</v>
      </c>
      <c r="J328">
        <v>109.77</v>
      </c>
      <c r="K328">
        <v>0.18</v>
      </c>
      <c r="L328" t="s">
        <v>346</v>
      </c>
      <c r="M328" s="1">
        <v>1.8E-3</v>
      </c>
      <c r="N328" t="s">
        <v>349</v>
      </c>
      <c r="O328">
        <v>1.55</v>
      </c>
      <c r="P328" t="s">
        <v>343</v>
      </c>
      <c r="Q328">
        <v>-2.2799999999999998</v>
      </c>
      <c r="R328" t="s">
        <v>344</v>
      </c>
      <c r="S328">
        <v>1</v>
      </c>
    </row>
    <row r="329" spans="1:19" x14ac:dyDescent="0.25">
      <c r="A329" t="s">
        <v>23</v>
      </c>
      <c r="B329" t="s">
        <v>113</v>
      </c>
      <c r="C329">
        <v>1120</v>
      </c>
      <c r="D329" t="s">
        <v>340</v>
      </c>
      <c r="E329">
        <v>30.8</v>
      </c>
      <c r="F329">
        <v>14.5</v>
      </c>
      <c r="G329">
        <v>17.25</v>
      </c>
      <c r="H329">
        <v>31.75</v>
      </c>
      <c r="I329" t="s">
        <v>344</v>
      </c>
      <c r="J329">
        <v>109.87</v>
      </c>
      <c r="K329">
        <v>0.5</v>
      </c>
      <c r="L329" t="s">
        <v>346</v>
      </c>
      <c r="M329" s="1">
        <v>5.0000000000000001E-3</v>
      </c>
      <c r="N329" t="s">
        <v>349</v>
      </c>
      <c r="O329">
        <v>0.88</v>
      </c>
      <c r="P329" t="s">
        <v>343</v>
      </c>
      <c r="Q329">
        <v>-1.73</v>
      </c>
      <c r="R329" t="s">
        <v>343</v>
      </c>
      <c r="S329">
        <v>1</v>
      </c>
    </row>
    <row r="330" spans="1:19" x14ac:dyDescent="0.25">
      <c r="A330" t="s">
        <v>23</v>
      </c>
      <c r="B330" t="s">
        <v>114</v>
      </c>
      <c r="C330">
        <v>1140</v>
      </c>
      <c r="D330" t="s">
        <v>340</v>
      </c>
      <c r="E330">
        <v>30.8</v>
      </c>
      <c r="F330">
        <v>14.81</v>
      </c>
      <c r="G330">
        <v>17.25</v>
      </c>
      <c r="H330">
        <v>32.06</v>
      </c>
      <c r="I330" t="s">
        <v>344</v>
      </c>
      <c r="J330">
        <v>110.13</v>
      </c>
      <c r="K330">
        <v>1.32</v>
      </c>
      <c r="L330" t="s">
        <v>346</v>
      </c>
      <c r="M330" s="1">
        <v>1.32E-2</v>
      </c>
      <c r="N330" t="s">
        <v>349</v>
      </c>
      <c r="O330">
        <v>1.91</v>
      </c>
      <c r="P330" t="s">
        <v>343</v>
      </c>
      <c r="Q330">
        <v>-1</v>
      </c>
      <c r="R330" t="s">
        <v>343</v>
      </c>
      <c r="S330">
        <v>1</v>
      </c>
    </row>
    <row r="331" spans="1:19" x14ac:dyDescent="0.25">
      <c r="A331" t="s">
        <v>23</v>
      </c>
      <c r="B331" t="s">
        <v>115</v>
      </c>
      <c r="C331">
        <v>1160</v>
      </c>
      <c r="D331" t="s">
        <v>340</v>
      </c>
      <c r="E331">
        <v>30.8</v>
      </c>
      <c r="F331">
        <v>14.98</v>
      </c>
      <c r="G331">
        <v>17.25</v>
      </c>
      <c r="H331">
        <v>32.229999999999997</v>
      </c>
      <c r="I331" t="s">
        <v>344</v>
      </c>
      <c r="J331">
        <v>110.31</v>
      </c>
      <c r="K331">
        <v>0.89</v>
      </c>
      <c r="L331" t="s">
        <v>346</v>
      </c>
      <c r="M331" s="1">
        <v>8.8999999999999999E-3</v>
      </c>
      <c r="N331" t="s">
        <v>349</v>
      </c>
      <c r="O331">
        <v>1.1100000000000001</v>
      </c>
      <c r="P331" t="s">
        <v>343</v>
      </c>
      <c r="Q331">
        <v>-0.62</v>
      </c>
      <c r="R331" t="s">
        <v>343</v>
      </c>
      <c r="S331">
        <v>1</v>
      </c>
    </row>
    <row r="332" spans="1:19" x14ac:dyDescent="0.25">
      <c r="A332" t="s">
        <v>23</v>
      </c>
      <c r="B332" t="s">
        <v>116</v>
      </c>
      <c r="C332">
        <v>1180</v>
      </c>
      <c r="D332" t="s">
        <v>340</v>
      </c>
      <c r="E332">
        <v>30.8</v>
      </c>
      <c r="F332">
        <v>16.2</v>
      </c>
      <c r="G332">
        <v>15.73</v>
      </c>
      <c r="H332">
        <v>31.92</v>
      </c>
      <c r="I332" t="s">
        <v>344</v>
      </c>
      <c r="J332">
        <v>110.44</v>
      </c>
      <c r="K332">
        <v>0.64</v>
      </c>
      <c r="L332" t="s">
        <v>346</v>
      </c>
      <c r="M332" s="1">
        <v>6.4000000000000003E-3</v>
      </c>
      <c r="N332" t="s">
        <v>349</v>
      </c>
      <c r="O332">
        <v>1.17</v>
      </c>
      <c r="P332" t="s">
        <v>343</v>
      </c>
      <c r="Q332">
        <v>-0.11</v>
      </c>
      <c r="R332" t="s">
        <v>343</v>
      </c>
      <c r="S332">
        <v>1</v>
      </c>
    </row>
    <row r="333" spans="1:19" x14ac:dyDescent="0.25">
      <c r="A333" t="s">
        <v>23</v>
      </c>
      <c r="B333" t="s">
        <v>117</v>
      </c>
      <c r="C333">
        <v>1200</v>
      </c>
      <c r="D333" t="s">
        <v>340</v>
      </c>
      <c r="E333">
        <v>30.8</v>
      </c>
      <c r="F333">
        <v>15.56</v>
      </c>
      <c r="G333">
        <v>15.73</v>
      </c>
      <c r="H333">
        <v>31.29</v>
      </c>
      <c r="I333" t="s">
        <v>344</v>
      </c>
      <c r="J333">
        <v>110.66</v>
      </c>
      <c r="K333">
        <v>1.1100000000000001</v>
      </c>
      <c r="L333" t="s">
        <v>346</v>
      </c>
      <c r="M333" s="1">
        <v>1.11E-2</v>
      </c>
      <c r="N333" t="s">
        <v>349</v>
      </c>
      <c r="O333">
        <v>1.98</v>
      </c>
      <c r="P333" t="s">
        <v>343</v>
      </c>
      <c r="Q333">
        <v>0.53</v>
      </c>
      <c r="R333" t="s">
        <v>343</v>
      </c>
      <c r="S333">
        <v>1</v>
      </c>
    </row>
    <row r="334" spans="1:19" x14ac:dyDescent="0.25">
      <c r="A334" t="s">
        <v>23</v>
      </c>
      <c r="B334" t="s">
        <v>118</v>
      </c>
      <c r="C334">
        <v>1220</v>
      </c>
      <c r="D334" t="s">
        <v>340</v>
      </c>
      <c r="E334">
        <v>30.8</v>
      </c>
      <c r="F334">
        <v>16.239999999999998</v>
      </c>
      <c r="G334">
        <v>15.02</v>
      </c>
      <c r="H334">
        <v>31.26</v>
      </c>
      <c r="I334" t="s">
        <v>344</v>
      </c>
      <c r="J334">
        <v>110.78</v>
      </c>
      <c r="K334">
        <v>0.57999999999999996</v>
      </c>
      <c r="L334" t="s">
        <v>346</v>
      </c>
      <c r="M334" s="1">
        <v>5.7999999999999996E-3</v>
      </c>
      <c r="N334" t="s">
        <v>349</v>
      </c>
      <c r="O334">
        <v>0.79</v>
      </c>
      <c r="P334" t="s">
        <v>343</v>
      </c>
      <c r="Q334">
        <v>0.15</v>
      </c>
      <c r="R334" t="s">
        <v>343</v>
      </c>
      <c r="S334">
        <v>1</v>
      </c>
    </row>
    <row r="335" spans="1:19" x14ac:dyDescent="0.25">
      <c r="A335" t="s">
        <v>23</v>
      </c>
      <c r="B335" t="s">
        <v>119</v>
      </c>
      <c r="C335">
        <v>1240</v>
      </c>
      <c r="D335" t="s">
        <v>340</v>
      </c>
      <c r="E335">
        <v>30.8</v>
      </c>
      <c r="F335">
        <v>16.41</v>
      </c>
      <c r="G335">
        <v>16.440000000000001</v>
      </c>
      <c r="H335">
        <v>32.85</v>
      </c>
      <c r="I335" t="s">
        <v>344</v>
      </c>
      <c r="J335">
        <v>110.69</v>
      </c>
      <c r="K335">
        <v>-0.44</v>
      </c>
      <c r="L335" t="s">
        <v>346</v>
      </c>
      <c r="M335" s="1">
        <v>4.4000000000000003E-3</v>
      </c>
      <c r="N335" t="s">
        <v>349</v>
      </c>
      <c r="O335">
        <v>0.6</v>
      </c>
      <c r="P335" t="s">
        <v>343</v>
      </c>
      <c r="Q335">
        <v>-1.22</v>
      </c>
      <c r="R335" t="s">
        <v>343</v>
      </c>
      <c r="S335">
        <v>1</v>
      </c>
    </row>
    <row r="336" spans="1:19" x14ac:dyDescent="0.25">
      <c r="A336" t="s">
        <v>23</v>
      </c>
      <c r="B336" t="s">
        <v>120</v>
      </c>
      <c r="C336">
        <v>1260</v>
      </c>
      <c r="D336" t="s">
        <v>340</v>
      </c>
      <c r="E336">
        <v>30.8</v>
      </c>
      <c r="F336">
        <v>16.37</v>
      </c>
      <c r="G336">
        <v>16.399999999999999</v>
      </c>
      <c r="H336">
        <v>32.76</v>
      </c>
      <c r="I336" t="s">
        <v>344</v>
      </c>
      <c r="J336">
        <v>110.53</v>
      </c>
      <c r="K336">
        <v>-0.83</v>
      </c>
      <c r="L336" t="s">
        <v>346</v>
      </c>
      <c r="M336" s="1">
        <v>8.3000000000000001E-3</v>
      </c>
      <c r="N336" t="s">
        <v>349</v>
      </c>
      <c r="O336">
        <v>0.86</v>
      </c>
      <c r="P336" t="s">
        <v>343</v>
      </c>
      <c r="Q336">
        <v>-0.31</v>
      </c>
      <c r="R336" t="s">
        <v>343</v>
      </c>
      <c r="S336">
        <v>1</v>
      </c>
    </row>
    <row r="337" spans="1:19" x14ac:dyDescent="0.25">
      <c r="A337" t="s">
        <v>23</v>
      </c>
      <c r="B337" t="s">
        <v>121</v>
      </c>
      <c r="C337">
        <v>1280</v>
      </c>
      <c r="D337" t="s">
        <v>340</v>
      </c>
      <c r="E337">
        <v>30.8</v>
      </c>
      <c r="F337">
        <v>17.309999999999999</v>
      </c>
      <c r="G337">
        <v>16.989999999999998</v>
      </c>
      <c r="H337">
        <v>34.299999999999997</v>
      </c>
      <c r="I337" t="s">
        <v>344</v>
      </c>
      <c r="J337">
        <v>110.55</v>
      </c>
      <c r="K337">
        <v>0.11</v>
      </c>
      <c r="L337" t="s">
        <v>346</v>
      </c>
      <c r="M337" s="1">
        <v>1.1000000000000001E-3</v>
      </c>
      <c r="N337" t="s">
        <v>349</v>
      </c>
      <c r="O337">
        <v>1.84</v>
      </c>
      <c r="P337" t="s">
        <v>343</v>
      </c>
      <c r="Q337">
        <v>0.89</v>
      </c>
      <c r="R337" t="s">
        <v>343</v>
      </c>
      <c r="S337">
        <v>1</v>
      </c>
    </row>
    <row r="338" spans="1:19" x14ac:dyDescent="0.25">
      <c r="A338" t="s">
        <v>23</v>
      </c>
      <c r="B338" t="s">
        <v>123</v>
      </c>
      <c r="C338">
        <v>1300</v>
      </c>
      <c r="D338" t="s">
        <v>340</v>
      </c>
      <c r="E338">
        <v>30.8</v>
      </c>
      <c r="F338">
        <v>17.309999999999999</v>
      </c>
      <c r="G338">
        <v>20</v>
      </c>
      <c r="H338">
        <v>37.31</v>
      </c>
      <c r="I338" t="s">
        <v>344</v>
      </c>
      <c r="J338">
        <v>110.42</v>
      </c>
      <c r="K338">
        <v>-0.62</v>
      </c>
      <c r="L338" t="s">
        <v>346</v>
      </c>
      <c r="M338" s="1">
        <v>6.1999999999999998E-3</v>
      </c>
      <c r="N338" t="s">
        <v>349</v>
      </c>
      <c r="O338">
        <v>0.55000000000000004</v>
      </c>
      <c r="P338" t="s">
        <v>343</v>
      </c>
      <c r="Q338">
        <v>0.89</v>
      </c>
      <c r="R338" t="s">
        <v>343</v>
      </c>
      <c r="S338">
        <v>1</v>
      </c>
    </row>
    <row r="339" spans="1:19" x14ac:dyDescent="0.25">
      <c r="A339" t="s">
        <v>23</v>
      </c>
      <c r="B339" t="s">
        <v>167</v>
      </c>
      <c r="C339">
        <v>1301.3810000000001</v>
      </c>
      <c r="D339" t="s">
        <v>340</v>
      </c>
      <c r="E339">
        <v>30.8</v>
      </c>
      <c r="F339">
        <v>20</v>
      </c>
      <c r="G339">
        <v>20</v>
      </c>
      <c r="H339">
        <v>40</v>
      </c>
      <c r="I339" t="s">
        <v>344</v>
      </c>
      <c r="J339">
        <v>110.41</v>
      </c>
      <c r="K339">
        <v>-0.83</v>
      </c>
      <c r="L339" t="s">
        <v>346</v>
      </c>
      <c r="M339" s="1">
        <v>8.3000000000000001E-3</v>
      </c>
      <c r="N339" t="s">
        <v>349</v>
      </c>
      <c r="O339">
        <v>-1.59</v>
      </c>
      <c r="P339" t="s">
        <v>343</v>
      </c>
      <c r="Q339">
        <v>1.36</v>
      </c>
      <c r="R339" t="s">
        <v>343</v>
      </c>
      <c r="S339">
        <v>0</v>
      </c>
    </row>
    <row r="340" spans="1:19" x14ac:dyDescent="0.25">
      <c r="A340" t="s">
        <v>24</v>
      </c>
      <c r="B340" t="s">
        <v>56</v>
      </c>
      <c r="C340">
        <v>0</v>
      </c>
      <c r="D340" t="s">
        <v>341</v>
      </c>
      <c r="E340">
        <v>29.23</v>
      </c>
      <c r="F340">
        <v>20</v>
      </c>
      <c r="G340">
        <v>20</v>
      </c>
      <c r="H340">
        <v>40</v>
      </c>
      <c r="I340" t="s">
        <v>344</v>
      </c>
      <c r="J340">
        <v>100.51</v>
      </c>
      <c r="L340" t="s">
        <v>345</v>
      </c>
      <c r="N340" t="s">
        <v>345</v>
      </c>
      <c r="O340">
        <v>4.6100000000000003</v>
      </c>
      <c r="P340" t="s">
        <v>343</v>
      </c>
      <c r="Q340">
        <v>-2.5</v>
      </c>
      <c r="R340" t="s">
        <v>344</v>
      </c>
      <c r="S340">
        <v>1</v>
      </c>
    </row>
    <row r="341" spans="1:19" x14ac:dyDescent="0.25">
      <c r="A341" t="s">
        <v>24</v>
      </c>
      <c r="B341" t="s">
        <v>57</v>
      </c>
      <c r="C341">
        <v>20</v>
      </c>
      <c r="D341" t="s">
        <v>341</v>
      </c>
      <c r="E341">
        <v>29.23</v>
      </c>
      <c r="F341">
        <v>20</v>
      </c>
      <c r="G341">
        <v>20</v>
      </c>
      <c r="H341">
        <v>40</v>
      </c>
      <c r="I341" t="s">
        <v>344</v>
      </c>
      <c r="J341">
        <v>99.4</v>
      </c>
      <c r="K341">
        <v>-5.57</v>
      </c>
      <c r="L341" t="s">
        <v>346</v>
      </c>
      <c r="M341" s="1">
        <v>5.57E-2</v>
      </c>
      <c r="N341" t="s">
        <v>350</v>
      </c>
      <c r="O341">
        <v>3.83</v>
      </c>
      <c r="P341" t="s">
        <v>344</v>
      </c>
      <c r="Q341">
        <v>-1.52</v>
      </c>
      <c r="R341" t="s">
        <v>343</v>
      </c>
      <c r="S341">
        <v>1</v>
      </c>
    </row>
    <row r="342" spans="1:19" x14ac:dyDescent="0.25">
      <c r="A342" t="s">
        <v>24</v>
      </c>
      <c r="B342" t="s">
        <v>58</v>
      </c>
      <c r="C342">
        <v>40</v>
      </c>
      <c r="D342" t="s">
        <v>341</v>
      </c>
      <c r="E342">
        <v>29.23</v>
      </c>
      <c r="F342">
        <v>20</v>
      </c>
      <c r="G342">
        <v>20</v>
      </c>
      <c r="H342">
        <v>40</v>
      </c>
      <c r="I342" t="s">
        <v>344</v>
      </c>
      <c r="J342">
        <v>98.43</v>
      </c>
      <c r="K342">
        <v>-4.8099999999999996</v>
      </c>
      <c r="L342" t="s">
        <v>346</v>
      </c>
      <c r="M342" s="1">
        <v>4.8099999999999997E-2</v>
      </c>
      <c r="N342" t="s">
        <v>350</v>
      </c>
      <c r="O342">
        <v>1.85</v>
      </c>
      <c r="P342" t="s">
        <v>343</v>
      </c>
      <c r="Q342">
        <v>-1.88</v>
      </c>
      <c r="R342" t="s">
        <v>343</v>
      </c>
      <c r="S342">
        <v>1</v>
      </c>
    </row>
    <row r="343" spans="1:19" x14ac:dyDescent="0.25">
      <c r="A343" t="s">
        <v>24</v>
      </c>
      <c r="B343" t="s">
        <v>59</v>
      </c>
      <c r="C343">
        <v>60</v>
      </c>
      <c r="D343" t="s">
        <v>341</v>
      </c>
      <c r="E343">
        <v>29.23</v>
      </c>
      <c r="F343">
        <v>20</v>
      </c>
      <c r="G343">
        <v>20</v>
      </c>
      <c r="H343">
        <v>40</v>
      </c>
      <c r="I343" t="s">
        <v>344</v>
      </c>
      <c r="J343">
        <v>97.93</v>
      </c>
      <c r="K343">
        <v>-2.54</v>
      </c>
      <c r="L343" t="s">
        <v>346</v>
      </c>
      <c r="M343" s="1">
        <v>2.5399999999999999E-2</v>
      </c>
      <c r="N343" t="s">
        <v>350</v>
      </c>
      <c r="O343">
        <v>1.57</v>
      </c>
      <c r="P343" t="s">
        <v>343</v>
      </c>
      <c r="Q343">
        <v>0.04</v>
      </c>
      <c r="R343" t="s">
        <v>343</v>
      </c>
      <c r="S343">
        <v>1</v>
      </c>
    </row>
    <row r="344" spans="1:19" x14ac:dyDescent="0.25">
      <c r="A344" t="s">
        <v>24</v>
      </c>
      <c r="B344" t="s">
        <v>60</v>
      </c>
      <c r="C344">
        <v>80</v>
      </c>
      <c r="D344" t="s">
        <v>341</v>
      </c>
      <c r="E344">
        <v>29.23</v>
      </c>
      <c r="F344">
        <v>20</v>
      </c>
      <c r="G344">
        <v>20</v>
      </c>
      <c r="H344">
        <v>40</v>
      </c>
      <c r="I344" t="s">
        <v>344</v>
      </c>
      <c r="J344">
        <v>97.68</v>
      </c>
      <c r="K344">
        <v>-1.21</v>
      </c>
      <c r="L344" t="s">
        <v>346</v>
      </c>
      <c r="M344" s="1">
        <v>1.21E-2</v>
      </c>
      <c r="N344" t="s">
        <v>349</v>
      </c>
      <c r="O344">
        <v>-0.88</v>
      </c>
      <c r="P344" t="s">
        <v>343</v>
      </c>
      <c r="Q344">
        <v>-0.56999999999999995</v>
      </c>
      <c r="R344" t="s">
        <v>343</v>
      </c>
      <c r="S344">
        <v>1</v>
      </c>
    </row>
    <row r="345" spans="1:19" x14ac:dyDescent="0.25">
      <c r="A345" t="s">
        <v>24</v>
      </c>
      <c r="B345" t="s">
        <v>61</v>
      </c>
      <c r="C345">
        <v>100</v>
      </c>
      <c r="D345" t="s">
        <v>341</v>
      </c>
      <c r="E345">
        <v>29.23</v>
      </c>
      <c r="F345">
        <v>20</v>
      </c>
      <c r="G345">
        <v>17.27</v>
      </c>
      <c r="H345">
        <v>37.270000000000003</v>
      </c>
      <c r="I345" t="s">
        <v>344</v>
      </c>
      <c r="J345">
        <v>99.45</v>
      </c>
      <c r="K345">
        <v>8.83</v>
      </c>
      <c r="L345" t="s">
        <v>347</v>
      </c>
      <c r="M345" s="1">
        <v>8.8300000000000003E-2</v>
      </c>
      <c r="N345" t="s">
        <v>350</v>
      </c>
      <c r="O345">
        <v>-1.28</v>
      </c>
      <c r="P345" t="s">
        <v>343</v>
      </c>
      <c r="Q345">
        <v>1.7</v>
      </c>
      <c r="R345" t="s">
        <v>343</v>
      </c>
      <c r="S345">
        <v>1</v>
      </c>
    </row>
    <row r="346" spans="1:19" x14ac:dyDescent="0.25">
      <c r="A346" t="s">
        <v>24</v>
      </c>
      <c r="B346" t="s">
        <v>62</v>
      </c>
      <c r="C346">
        <v>120</v>
      </c>
      <c r="D346" t="s">
        <v>341</v>
      </c>
      <c r="E346">
        <v>29.23</v>
      </c>
      <c r="F346">
        <v>20</v>
      </c>
      <c r="G346">
        <v>17.28</v>
      </c>
      <c r="H346">
        <v>37.28</v>
      </c>
      <c r="I346" t="s">
        <v>344</v>
      </c>
      <c r="J346">
        <v>98.97</v>
      </c>
      <c r="K346">
        <v>-2.39</v>
      </c>
      <c r="L346" t="s">
        <v>346</v>
      </c>
      <c r="M346" s="1">
        <v>2.3900000000000001E-2</v>
      </c>
      <c r="N346" t="s">
        <v>350</v>
      </c>
      <c r="O346">
        <v>-1.41</v>
      </c>
      <c r="P346" t="s">
        <v>343</v>
      </c>
      <c r="Q346">
        <v>2.4300000000000002</v>
      </c>
      <c r="R346" t="s">
        <v>344</v>
      </c>
      <c r="S346">
        <v>1</v>
      </c>
    </row>
    <row r="347" spans="1:19" x14ac:dyDescent="0.25">
      <c r="A347" t="s">
        <v>24</v>
      </c>
      <c r="B347" t="s">
        <v>63</v>
      </c>
      <c r="C347">
        <v>140</v>
      </c>
      <c r="D347" t="s">
        <v>341</v>
      </c>
      <c r="E347">
        <v>29.23</v>
      </c>
      <c r="F347">
        <v>16.55</v>
      </c>
      <c r="G347">
        <v>15.67</v>
      </c>
      <c r="H347">
        <v>32.22</v>
      </c>
      <c r="I347" t="s">
        <v>344</v>
      </c>
      <c r="J347">
        <v>98.88</v>
      </c>
      <c r="K347">
        <v>-0.45</v>
      </c>
      <c r="L347" t="s">
        <v>346</v>
      </c>
      <c r="M347" s="1">
        <v>4.5000000000000014E-3</v>
      </c>
      <c r="N347" t="s">
        <v>349</v>
      </c>
      <c r="O347">
        <v>-7.13</v>
      </c>
      <c r="P347" t="s">
        <v>343</v>
      </c>
      <c r="Q347">
        <v>1.19</v>
      </c>
      <c r="R347" t="s">
        <v>343</v>
      </c>
      <c r="S347">
        <v>1</v>
      </c>
    </row>
    <row r="348" spans="1:19" x14ac:dyDescent="0.25">
      <c r="A348" t="s">
        <v>24</v>
      </c>
      <c r="B348" t="s">
        <v>64</v>
      </c>
      <c r="C348">
        <v>160</v>
      </c>
      <c r="D348" t="s">
        <v>341</v>
      </c>
      <c r="E348">
        <v>29.23</v>
      </c>
      <c r="F348">
        <v>16.55</v>
      </c>
      <c r="G348">
        <v>15.67</v>
      </c>
      <c r="H348">
        <v>32.22</v>
      </c>
      <c r="I348" t="s">
        <v>344</v>
      </c>
      <c r="J348">
        <v>97.82</v>
      </c>
      <c r="K348">
        <v>-5.29</v>
      </c>
      <c r="L348" t="s">
        <v>346</v>
      </c>
      <c r="M348" s="1">
        <v>5.2900000000000003E-2</v>
      </c>
      <c r="N348" t="s">
        <v>350</v>
      </c>
      <c r="O348">
        <v>-2.14</v>
      </c>
      <c r="P348" t="s">
        <v>344</v>
      </c>
      <c r="Q348">
        <v>-1.08</v>
      </c>
      <c r="R348" t="s">
        <v>343</v>
      </c>
      <c r="S348">
        <v>1</v>
      </c>
    </row>
    <row r="349" spans="1:19" x14ac:dyDescent="0.25">
      <c r="A349" t="s">
        <v>24</v>
      </c>
      <c r="B349" t="s">
        <v>65</v>
      </c>
      <c r="C349">
        <v>180</v>
      </c>
      <c r="D349" t="s">
        <v>341</v>
      </c>
      <c r="E349">
        <v>29.23</v>
      </c>
      <c r="F349">
        <v>16.55</v>
      </c>
      <c r="G349">
        <v>14.67</v>
      </c>
      <c r="H349">
        <v>31.22</v>
      </c>
      <c r="I349" t="s">
        <v>344</v>
      </c>
      <c r="J349">
        <v>98.02</v>
      </c>
      <c r="K349">
        <v>0.97</v>
      </c>
      <c r="L349" t="s">
        <v>346</v>
      </c>
      <c r="M349" s="1">
        <v>9.7000000000000003E-3</v>
      </c>
      <c r="N349" t="s">
        <v>349</v>
      </c>
      <c r="O349">
        <v>-1.1599999999999999</v>
      </c>
      <c r="P349" t="s">
        <v>343</v>
      </c>
      <c r="Q349">
        <v>0.85</v>
      </c>
      <c r="R349" t="s">
        <v>343</v>
      </c>
      <c r="S349">
        <v>1</v>
      </c>
    </row>
    <row r="350" spans="1:19" x14ac:dyDescent="0.25">
      <c r="A350" t="s">
        <v>24</v>
      </c>
      <c r="B350" t="s">
        <v>66</v>
      </c>
      <c r="C350">
        <v>200</v>
      </c>
      <c r="D350" t="s">
        <v>341</v>
      </c>
      <c r="E350">
        <v>29.23</v>
      </c>
      <c r="F350">
        <v>16.89</v>
      </c>
      <c r="G350">
        <v>15.79</v>
      </c>
      <c r="H350">
        <v>32.67</v>
      </c>
      <c r="I350" t="s">
        <v>344</v>
      </c>
      <c r="J350">
        <v>98.15</v>
      </c>
      <c r="K350">
        <v>0.67</v>
      </c>
      <c r="L350" t="s">
        <v>346</v>
      </c>
      <c r="M350" s="1">
        <v>6.7000000000000002E-3</v>
      </c>
      <c r="N350" t="s">
        <v>349</v>
      </c>
      <c r="O350">
        <v>-0.85</v>
      </c>
      <c r="P350" t="s">
        <v>343</v>
      </c>
      <c r="Q350">
        <v>0.85</v>
      </c>
      <c r="R350" t="s">
        <v>343</v>
      </c>
      <c r="S350">
        <v>1</v>
      </c>
    </row>
    <row r="351" spans="1:19" x14ac:dyDescent="0.25">
      <c r="A351" t="s">
        <v>24</v>
      </c>
      <c r="B351" t="s">
        <v>67</v>
      </c>
      <c r="C351">
        <v>220</v>
      </c>
      <c r="D351" t="s">
        <v>341</v>
      </c>
      <c r="E351">
        <v>29.23</v>
      </c>
      <c r="F351">
        <v>16.940000000000001</v>
      </c>
      <c r="G351">
        <v>17.32</v>
      </c>
      <c r="H351">
        <v>34.25</v>
      </c>
      <c r="I351" t="s">
        <v>344</v>
      </c>
      <c r="J351">
        <v>98.18</v>
      </c>
      <c r="K351">
        <v>0.11</v>
      </c>
      <c r="L351" t="s">
        <v>346</v>
      </c>
      <c r="M351" s="1">
        <v>1.1000000000000001E-3</v>
      </c>
      <c r="N351" t="s">
        <v>349</v>
      </c>
      <c r="O351">
        <v>-1.57</v>
      </c>
      <c r="P351" t="s">
        <v>343</v>
      </c>
      <c r="Q351">
        <v>-0.54</v>
      </c>
      <c r="R351" t="s">
        <v>343</v>
      </c>
      <c r="S351">
        <v>1</v>
      </c>
    </row>
    <row r="352" spans="1:19" x14ac:dyDescent="0.25">
      <c r="A352" t="s">
        <v>24</v>
      </c>
      <c r="B352" t="s">
        <v>68</v>
      </c>
      <c r="C352">
        <v>240</v>
      </c>
      <c r="D352" t="s">
        <v>341</v>
      </c>
      <c r="E352">
        <v>29.23</v>
      </c>
      <c r="F352">
        <v>17.149999999999999</v>
      </c>
      <c r="G352">
        <v>17.32</v>
      </c>
      <c r="H352">
        <v>34.47</v>
      </c>
      <c r="I352" t="s">
        <v>344</v>
      </c>
      <c r="J352">
        <v>98.44</v>
      </c>
      <c r="K352">
        <v>1.34</v>
      </c>
      <c r="L352" t="s">
        <v>346</v>
      </c>
      <c r="M352" s="1">
        <v>1.34E-2</v>
      </c>
      <c r="N352" t="s">
        <v>349</v>
      </c>
      <c r="O352">
        <v>0.63</v>
      </c>
      <c r="P352" t="s">
        <v>343</v>
      </c>
      <c r="Q352">
        <v>-0.56000000000000005</v>
      </c>
      <c r="R352" t="s">
        <v>343</v>
      </c>
      <c r="S352">
        <v>1</v>
      </c>
    </row>
    <row r="353" spans="1:19" x14ac:dyDescent="0.25">
      <c r="A353" t="s">
        <v>24</v>
      </c>
      <c r="B353" t="s">
        <v>69</v>
      </c>
      <c r="C353">
        <v>260</v>
      </c>
      <c r="D353" t="s">
        <v>341</v>
      </c>
      <c r="E353">
        <v>29.23</v>
      </c>
      <c r="F353">
        <v>20</v>
      </c>
      <c r="G353">
        <v>17.600000000000001</v>
      </c>
      <c r="H353">
        <v>37.6</v>
      </c>
      <c r="I353" t="s">
        <v>344</v>
      </c>
      <c r="J353">
        <v>98.46</v>
      </c>
      <c r="K353">
        <v>0.09</v>
      </c>
      <c r="L353" t="s">
        <v>346</v>
      </c>
      <c r="M353" s="1">
        <v>8.9999999999999998E-4</v>
      </c>
      <c r="N353" t="s">
        <v>349</v>
      </c>
      <c r="O353">
        <v>2.04</v>
      </c>
      <c r="P353" t="s">
        <v>344</v>
      </c>
      <c r="Q353">
        <v>-0.89</v>
      </c>
      <c r="R353" t="s">
        <v>343</v>
      </c>
      <c r="S353">
        <v>1</v>
      </c>
    </row>
    <row r="354" spans="1:19" x14ac:dyDescent="0.25">
      <c r="A354" t="s">
        <v>24</v>
      </c>
      <c r="B354" t="s">
        <v>70</v>
      </c>
      <c r="C354">
        <v>280</v>
      </c>
      <c r="D354" t="s">
        <v>341</v>
      </c>
      <c r="E354">
        <v>29.23</v>
      </c>
      <c r="F354">
        <v>20</v>
      </c>
      <c r="G354">
        <v>17.82</v>
      </c>
      <c r="H354">
        <v>37.82</v>
      </c>
      <c r="I354" t="s">
        <v>344</v>
      </c>
      <c r="J354">
        <v>98.41</v>
      </c>
      <c r="K354">
        <v>-0.24</v>
      </c>
      <c r="L354" t="s">
        <v>346</v>
      </c>
      <c r="M354" s="1">
        <v>2.3999999999999998E-3</v>
      </c>
      <c r="N354" t="s">
        <v>349</v>
      </c>
      <c r="O354">
        <v>2.29</v>
      </c>
      <c r="P354" t="s">
        <v>344</v>
      </c>
      <c r="Q354">
        <v>-1.51</v>
      </c>
      <c r="R354" t="s">
        <v>343</v>
      </c>
      <c r="S354">
        <v>1</v>
      </c>
    </row>
    <row r="355" spans="1:19" x14ac:dyDescent="0.25">
      <c r="A355" t="s">
        <v>24</v>
      </c>
      <c r="B355" t="s">
        <v>71</v>
      </c>
      <c r="C355">
        <v>300</v>
      </c>
      <c r="D355" t="s">
        <v>341</v>
      </c>
      <c r="E355">
        <v>29.23</v>
      </c>
      <c r="F355">
        <v>20</v>
      </c>
      <c r="G355">
        <v>17.71</v>
      </c>
      <c r="H355">
        <v>37.71</v>
      </c>
      <c r="I355" t="s">
        <v>344</v>
      </c>
      <c r="J355">
        <v>98.25</v>
      </c>
      <c r="K355">
        <v>-0.81</v>
      </c>
      <c r="L355" t="s">
        <v>346</v>
      </c>
      <c r="M355" s="1">
        <v>8.1000000000000013E-3</v>
      </c>
      <c r="N355" t="s">
        <v>349</v>
      </c>
      <c r="O355">
        <v>3.28</v>
      </c>
      <c r="P355" t="s">
        <v>344</v>
      </c>
      <c r="Q355">
        <v>-1.67</v>
      </c>
      <c r="R355" t="s">
        <v>343</v>
      </c>
      <c r="S355">
        <v>1</v>
      </c>
    </row>
    <row r="356" spans="1:19" x14ac:dyDescent="0.25">
      <c r="A356" t="s">
        <v>24</v>
      </c>
      <c r="B356" t="s">
        <v>72</v>
      </c>
      <c r="C356">
        <v>320</v>
      </c>
      <c r="D356" t="s">
        <v>341</v>
      </c>
      <c r="E356">
        <v>29.23</v>
      </c>
      <c r="F356">
        <v>20</v>
      </c>
      <c r="G356">
        <v>20</v>
      </c>
      <c r="H356">
        <v>40</v>
      </c>
      <c r="I356" t="s">
        <v>344</v>
      </c>
      <c r="J356">
        <v>98.02</v>
      </c>
      <c r="K356">
        <v>-1.17</v>
      </c>
      <c r="L356" t="s">
        <v>346</v>
      </c>
      <c r="M356" s="1">
        <v>1.17E-2</v>
      </c>
      <c r="N356" t="s">
        <v>349</v>
      </c>
      <c r="O356">
        <v>2.85</v>
      </c>
      <c r="P356" t="s">
        <v>344</v>
      </c>
      <c r="Q356">
        <v>-1.59</v>
      </c>
      <c r="R356" t="s">
        <v>343</v>
      </c>
      <c r="S356">
        <v>1</v>
      </c>
    </row>
    <row r="357" spans="1:19" x14ac:dyDescent="0.25">
      <c r="A357" t="s">
        <v>24</v>
      </c>
      <c r="B357" t="s">
        <v>73</v>
      </c>
      <c r="C357">
        <v>340</v>
      </c>
      <c r="D357" t="s">
        <v>341</v>
      </c>
      <c r="E357">
        <v>29.23</v>
      </c>
      <c r="F357">
        <v>20</v>
      </c>
      <c r="G357">
        <v>20</v>
      </c>
      <c r="H357">
        <v>40</v>
      </c>
      <c r="I357" t="s">
        <v>344</v>
      </c>
      <c r="J357">
        <v>97.98</v>
      </c>
      <c r="K357">
        <v>-0.19</v>
      </c>
      <c r="L357" t="s">
        <v>346</v>
      </c>
      <c r="M357" s="1">
        <v>1.9E-3</v>
      </c>
      <c r="N357" t="s">
        <v>349</v>
      </c>
      <c r="O357">
        <v>3.41</v>
      </c>
      <c r="P357" t="s">
        <v>344</v>
      </c>
      <c r="Q357">
        <v>-1.41</v>
      </c>
      <c r="R357" t="s">
        <v>343</v>
      </c>
      <c r="S357">
        <v>1</v>
      </c>
    </row>
    <row r="358" spans="1:19" x14ac:dyDescent="0.25">
      <c r="A358" t="s">
        <v>24</v>
      </c>
      <c r="B358" t="s">
        <v>74</v>
      </c>
      <c r="C358">
        <v>360</v>
      </c>
      <c r="D358" t="s">
        <v>341</v>
      </c>
      <c r="E358">
        <v>29.23</v>
      </c>
      <c r="F358">
        <v>20</v>
      </c>
      <c r="G358">
        <v>20</v>
      </c>
      <c r="H358">
        <v>40</v>
      </c>
      <c r="I358" t="s">
        <v>344</v>
      </c>
      <c r="J358">
        <v>97.79</v>
      </c>
      <c r="K358">
        <v>-0.94</v>
      </c>
      <c r="L358" t="s">
        <v>346</v>
      </c>
      <c r="M358" s="1">
        <v>9.3999999999999986E-3</v>
      </c>
      <c r="N358" t="s">
        <v>349</v>
      </c>
      <c r="O358">
        <v>1.85</v>
      </c>
      <c r="P358" t="s">
        <v>343</v>
      </c>
      <c r="Q358">
        <v>-1.07</v>
      </c>
      <c r="R358" t="s">
        <v>343</v>
      </c>
      <c r="S358">
        <v>1</v>
      </c>
    </row>
    <row r="359" spans="1:19" x14ac:dyDescent="0.25">
      <c r="A359" t="s">
        <v>24</v>
      </c>
      <c r="B359" t="s">
        <v>75</v>
      </c>
      <c r="C359">
        <v>380</v>
      </c>
      <c r="D359" t="s">
        <v>341</v>
      </c>
      <c r="E359">
        <v>29.23</v>
      </c>
      <c r="F359">
        <v>20</v>
      </c>
      <c r="G359">
        <v>20</v>
      </c>
      <c r="H359">
        <v>40</v>
      </c>
      <c r="I359" t="s">
        <v>344</v>
      </c>
      <c r="J359">
        <v>97.64</v>
      </c>
      <c r="K359">
        <v>-0.74</v>
      </c>
      <c r="L359" t="s">
        <v>346</v>
      </c>
      <c r="M359" s="1">
        <v>7.4000000000000003E-3</v>
      </c>
      <c r="N359" t="s">
        <v>349</v>
      </c>
      <c r="O359">
        <v>1.1599999999999999</v>
      </c>
      <c r="P359" t="s">
        <v>343</v>
      </c>
      <c r="Q359">
        <v>-1.22</v>
      </c>
      <c r="R359" t="s">
        <v>343</v>
      </c>
      <c r="S359">
        <v>1</v>
      </c>
    </row>
    <row r="360" spans="1:19" x14ac:dyDescent="0.25">
      <c r="A360" t="s">
        <v>24</v>
      </c>
      <c r="B360" t="s">
        <v>76</v>
      </c>
      <c r="C360">
        <v>400</v>
      </c>
      <c r="D360" t="s">
        <v>341</v>
      </c>
      <c r="E360">
        <v>29.23</v>
      </c>
      <c r="F360">
        <v>20</v>
      </c>
      <c r="G360">
        <v>20</v>
      </c>
      <c r="H360">
        <v>40</v>
      </c>
      <c r="I360" t="s">
        <v>344</v>
      </c>
      <c r="J360">
        <v>97.67</v>
      </c>
      <c r="K360">
        <v>0.16</v>
      </c>
      <c r="L360" t="s">
        <v>346</v>
      </c>
      <c r="M360" s="1">
        <v>1.6000000000000001E-3</v>
      </c>
      <c r="N360" t="s">
        <v>349</v>
      </c>
      <c r="O360">
        <v>1.71</v>
      </c>
      <c r="P360" t="s">
        <v>343</v>
      </c>
      <c r="Q360">
        <v>-1.99</v>
      </c>
      <c r="R360" t="s">
        <v>343</v>
      </c>
      <c r="S360">
        <v>1</v>
      </c>
    </row>
    <row r="361" spans="1:19" x14ac:dyDescent="0.25">
      <c r="A361" t="s">
        <v>24</v>
      </c>
      <c r="B361" t="s">
        <v>77</v>
      </c>
      <c r="C361">
        <v>420</v>
      </c>
      <c r="D361" t="s">
        <v>341</v>
      </c>
      <c r="E361">
        <v>29.23</v>
      </c>
      <c r="F361">
        <v>18.11</v>
      </c>
      <c r="G361">
        <v>20</v>
      </c>
      <c r="H361">
        <v>38.11</v>
      </c>
      <c r="I361" t="s">
        <v>344</v>
      </c>
      <c r="J361">
        <v>97.68</v>
      </c>
      <c r="K361">
        <v>0.02</v>
      </c>
      <c r="L361" t="s">
        <v>346</v>
      </c>
      <c r="M361" s="1">
        <v>2.0000000000000001E-4</v>
      </c>
      <c r="N361" t="s">
        <v>349</v>
      </c>
      <c r="O361">
        <v>1.9</v>
      </c>
      <c r="P361" t="s">
        <v>343</v>
      </c>
      <c r="Q361">
        <v>-0.63</v>
      </c>
      <c r="R361" t="s">
        <v>343</v>
      </c>
      <c r="S361">
        <v>1</v>
      </c>
    </row>
    <row r="362" spans="1:19" x14ac:dyDescent="0.25">
      <c r="A362" t="s">
        <v>24</v>
      </c>
      <c r="B362" t="s">
        <v>78</v>
      </c>
      <c r="C362">
        <v>440</v>
      </c>
      <c r="D362" t="s">
        <v>341</v>
      </c>
      <c r="E362">
        <v>29.23</v>
      </c>
      <c r="F362">
        <v>16.28</v>
      </c>
      <c r="G362">
        <v>20</v>
      </c>
      <c r="H362">
        <v>36.28</v>
      </c>
      <c r="I362" t="s">
        <v>344</v>
      </c>
      <c r="J362">
        <v>97.6</v>
      </c>
      <c r="K362">
        <v>-0.4</v>
      </c>
      <c r="L362" t="s">
        <v>346</v>
      </c>
      <c r="M362" s="1">
        <v>4.0000000000000001E-3</v>
      </c>
      <c r="N362" t="s">
        <v>349</v>
      </c>
      <c r="O362">
        <v>2.06</v>
      </c>
      <c r="P362" t="s">
        <v>344</v>
      </c>
      <c r="Q362">
        <v>-0.43</v>
      </c>
      <c r="R362" t="s">
        <v>343</v>
      </c>
      <c r="S362">
        <v>1</v>
      </c>
    </row>
    <row r="363" spans="1:19" x14ac:dyDescent="0.25">
      <c r="A363" t="s">
        <v>24</v>
      </c>
      <c r="B363" t="s">
        <v>79</v>
      </c>
      <c r="C363">
        <v>460</v>
      </c>
      <c r="D363" t="s">
        <v>341</v>
      </c>
      <c r="E363">
        <v>29.23</v>
      </c>
      <c r="F363">
        <v>16.079999999999998</v>
      </c>
      <c r="G363">
        <v>20</v>
      </c>
      <c r="H363">
        <v>36.08</v>
      </c>
      <c r="I363" t="s">
        <v>344</v>
      </c>
      <c r="J363">
        <v>97.5</v>
      </c>
      <c r="K363">
        <v>-0.51</v>
      </c>
      <c r="L363" t="s">
        <v>346</v>
      </c>
      <c r="M363" s="1">
        <v>5.1000000000000004E-3</v>
      </c>
      <c r="N363" t="s">
        <v>349</v>
      </c>
      <c r="O363">
        <v>2.33</v>
      </c>
      <c r="P363" t="s">
        <v>344</v>
      </c>
      <c r="Q363">
        <v>-0.79</v>
      </c>
      <c r="R363" t="s">
        <v>343</v>
      </c>
      <c r="S363">
        <v>1</v>
      </c>
    </row>
    <row r="364" spans="1:19" x14ac:dyDescent="0.25">
      <c r="A364" t="s">
        <v>24</v>
      </c>
      <c r="B364" t="s">
        <v>80</v>
      </c>
      <c r="C364">
        <v>480</v>
      </c>
      <c r="D364" t="s">
        <v>341</v>
      </c>
      <c r="E364">
        <v>29.23</v>
      </c>
      <c r="F364">
        <v>16.61</v>
      </c>
      <c r="G364">
        <v>20</v>
      </c>
      <c r="H364">
        <v>36.61</v>
      </c>
      <c r="I364" t="s">
        <v>344</v>
      </c>
      <c r="J364">
        <v>97.35</v>
      </c>
      <c r="K364">
        <v>-0.74</v>
      </c>
      <c r="L364" t="s">
        <v>346</v>
      </c>
      <c r="M364" s="1">
        <v>7.4000000000000003E-3</v>
      </c>
      <c r="N364" t="s">
        <v>349</v>
      </c>
      <c r="O364">
        <v>3.73</v>
      </c>
      <c r="P364" t="s">
        <v>344</v>
      </c>
      <c r="Q364">
        <v>-1.26</v>
      </c>
      <c r="R364" t="s">
        <v>343</v>
      </c>
      <c r="S364">
        <v>1</v>
      </c>
    </row>
    <row r="365" spans="1:19" x14ac:dyDescent="0.25">
      <c r="A365" t="s">
        <v>24</v>
      </c>
      <c r="B365" t="s">
        <v>81</v>
      </c>
      <c r="C365">
        <v>500</v>
      </c>
      <c r="D365" t="s">
        <v>341</v>
      </c>
      <c r="E365">
        <v>29.23</v>
      </c>
      <c r="F365">
        <v>17.98</v>
      </c>
      <c r="G365">
        <v>20</v>
      </c>
      <c r="H365">
        <v>37.979999999999997</v>
      </c>
      <c r="I365" t="s">
        <v>344</v>
      </c>
      <c r="J365">
        <v>97.25</v>
      </c>
      <c r="K365">
        <v>-0.51</v>
      </c>
      <c r="L365" t="s">
        <v>346</v>
      </c>
      <c r="M365" s="1">
        <v>5.1000000000000004E-3</v>
      </c>
      <c r="N365" t="s">
        <v>349</v>
      </c>
      <c r="O365">
        <v>3.5</v>
      </c>
      <c r="P365" t="s">
        <v>344</v>
      </c>
      <c r="Q365">
        <v>-0.92</v>
      </c>
      <c r="R365" t="s">
        <v>343</v>
      </c>
      <c r="S365">
        <v>1</v>
      </c>
    </row>
    <row r="366" spans="1:19" x14ac:dyDescent="0.25">
      <c r="A366" t="s">
        <v>24</v>
      </c>
      <c r="B366" t="s">
        <v>82</v>
      </c>
      <c r="C366">
        <v>520</v>
      </c>
      <c r="D366" t="s">
        <v>341</v>
      </c>
      <c r="E366">
        <v>29.23</v>
      </c>
      <c r="F366">
        <v>20</v>
      </c>
      <c r="G366">
        <v>20</v>
      </c>
      <c r="H366">
        <v>40</v>
      </c>
      <c r="I366" t="s">
        <v>344</v>
      </c>
      <c r="J366">
        <v>97.01</v>
      </c>
      <c r="K366">
        <v>-1.18</v>
      </c>
      <c r="L366" t="s">
        <v>346</v>
      </c>
      <c r="M366" s="1">
        <v>1.18E-2</v>
      </c>
      <c r="N366" t="s">
        <v>349</v>
      </c>
      <c r="O366">
        <v>2.34</v>
      </c>
      <c r="P366" t="s">
        <v>344</v>
      </c>
      <c r="Q366">
        <v>-0.43</v>
      </c>
      <c r="R366" t="s">
        <v>343</v>
      </c>
      <c r="S366">
        <v>1</v>
      </c>
    </row>
    <row r="367" spans="1:19" x14ac:dyDescent="0.25">
      <c r="A367" t="s">
        <v>24</v>
      </c>
      <c r="B367" t="s">
        <v>83</v>
      </c>
      <c r="C367">
        <v>540</v>
      </c>
      <c r="D367" t="s">
        <v>341</v>
      </c>
      <c r="E367">
        <v>29.23</v>
      </c>
      <c r="F367">
        <v>20</v>
      </c>
      <c r="G367">
        <v>17.23</v>
      </c>
      <c r="H367">
        <v>37.229999999999997</v>
      </c>
      <c r="I367" t="s">
        <v>344</v>
      </c>
      <c r="J367">
        <v>96.96</v>
      </c>
      <c r="K367">
        <v>-0.25</v>
      </c>
      <c r="L367" t="s">
        <v>346</v>
      </c>
      <c r="M367" s="1">
        <v>2.5000000000000001E-3</v>
      </c>
      <c r="N367" t="s">
        <v>349</v>
      </c>
      <c r="O367">
        <v>3</v>
      </c>
      <c r="P367" t="s">
        <v>344</v>
      </c>
      <c r="Q367">
        <v>0.25</v>
      </c>
      <c r="R367" t="s">
        <v>343</v>
      </c>
      <c r="S367">
        <v>1</v>
      </c>
    </row>
    <row r="368" spans="1:19" x14ac:dyDescent="0.25">
      <c r="A368" t="s">
        <v>24</v>
      </c>
      <c r="B368" t="s">
        <v>84</v>
      </c>
      <c r="C368">
        <v>560</v>
      </c>
      <c r="D368" t="s">
        <v>341</v>
      </c>
      <c r="E368">
        <v>29.23</v>
      </c>
      <c r="F368">
        <v>20</v>
      </c>
      <c r="G368">
        <v>13.56</v>
      </c>
      <c r="H368">
        <v>33.56</v>
      </c>
      <c r="I368" t="s">
        <v>344</v>
      </c>
      <c r="J368">
        <v>96.91</v>
      </c>
      <c r="K368">
        <v>-0.24</v>
      </c>
      <c r="L368" t="s">
        <v>346</v>
      </c>
      <c r="M368" s="1">
        <v>2.3999999999999998E-3</v>
      </c>
      <c r="N368" t="s">
        <v>349</v>
      </c>
      <c r="O368">
        <v>2.62</v>
      </c>
      <c r="P368" t="s">
        <v>344</v>
      </c>
      <c r="Q368">
        <v>-0.54</v>
      </c>
      <c r="R368" t="s">
        <v>343</v>
      </c>
      <c r="S368">
        <v>1</v>
      </c>
    </row>
    <row r="369" spans="1:19" x14ac:dyDescent="0.25">
      <c r="A369" t="s">
        <v>24</v>
      </c>
      <c r="B369" t="s">
        <v>85</v>
      </c>
      <c r="C369">
        <v>580</v>
      </c>
      <c r="D369" t="s">
        <v>341</v>
      </c>
      <c r="E369">
        <v>29.23</v>
      </c>
      <c r="F369">
        <v>20</v>
      </c>
      <c r="G369">
        <v>11.84</v>
      </c>
      <c r="H369">
        <v>31.84</v>
      </c>
      <c r="I369" t="s">
        <v>344</v>
      </c>
      <c r="J369">
        <v>96.7</v>
      </c>
      <c r="K369">
        <v>-1.07</v>
      </c>
      <c r="L369" t="s">
        <v>346</v>
      </c>
      <c r="M369" s="1">
        <v>1.0699999999999999E-2</v>
      </c>
      <c r="N369" t="s">
        <v>349</v>
      </c>
      <c r="O369">
        <v>1.25</v>
      </c>
      <c r="P369" t="s">
        <v>343</v>
      </c>
      <c r="Q369">
        <v>-3.4</v>
      </c>
      <c r="R369" t="s">
        <v>344</v>
      </c>
      <c r="S369">
        <v>1</v>
      </c>
    </row>
    <row r="370" spans="1:19" x14ac:dyDescent="0.25">
      <c r="A370" t="s">
        <v>24</v>
      </c>
      <c r="B370" t="s">
        <v>86</v>
      </c>
      <c r="C370">
        <v>600</v>
      </c>
      <c r="D370" t="s">
        <v>341</v>
      </c>
      <c r="E370">
        <v>29.23</v>
      </c>
      <c r="F370">
        <v>20</v>
      </c>
      <c r="G370">
        <v>11.75</v>
      </c>
      <c r="H370">
        <v>31.75</v>
      </c>
      <c r="I370" t="s">
        <v>344</v>
      </c>
      <c r="J370">
        <v>96.71</v>
      </c>
      <c r="K370">
        <v>0.05</v>
      </c>
      <c r="L370" t="s">
        <v>346</v>
      </c>
      <c r="M370" s="1">
        <v>5.0000000000000001E-4</v>
      </c>
      <c r="N370" t="s">
        <v>349</v>
      </c>
      <c r="O370">
        <v>1.53</v>
      </c>
      <c r="P370" t="s">
        <v>343</v>
      </c>
      <c r="Q370">
        <v>-3.08</v>
      </c>
      <c r="R370" t="s">
        <v>344</v>
      </c>
      <c r="S370">
        <v>1</v>
      </c>
    </row>
    <row r="371" spans="1:19" x14ac:dyDescent="0.25">
      <c r="A371" t="s">
        <v>24</v>
      </c>
      <c r="B371" t="s">
        <v>87</v>
      </c>
      <c r="C371">
        <v>620</v>
      </c>
      <c r="D371" t="s">
        <v>341</v>
      </c>
      <c r="E371">
        <v>29.23</v>
      </c>
      <c r="F371">
        <v>18.48</v>
      </c>
      <c r="G371">
        <v>11</v>
      </c>
      <c r="H371">
        <v>29.49</v>
      </c>
      <c r="I371" t="s">
        <v>344</v>
      </c>
      <c r="J371">
        <v>96.76</v>
      </c>
      <c r="K371">
        <v>0.27</v>
      </c>
      <c r="L371" t="s">
        <v>346</v>
      </c>
      <c r="M371" s="1">
        <v>2.7000000000000001E-3</v>
      </c>
      <c r="N371" t="s">
        <v>349</v>
      </c>
      <c r="O371">
        <v>2.4300000000000002</v>
      </c>
      <c r="P371" t="s">
        <v>344</v>
      </c>
      <c r="Q371">
        <v>-2.33</v>
      </c>
      <c r="R371" t="s">
        <v>344</v>
      </c>
      <c r="S371">
        <v>1</v>
      </c>
    </row>
    <row r="372" spans="1:19" x14ac:dyDescent="0.25">
      <c r="A372" t="s">
        <v>24</v>
      </c>
      <c r="B372" t="s">
        <v>88</v>
      </c>
      <c r="C372">
        <v>640</v>
      </c>
      <c r="D372" t="s">
        <v>341</v>
      </c>
      <c r="E372">
        <v>29.23</v>
      </c>
      <c r="F372">
        <v>18.38</v>
      </c>
      <c r="G372">
        <v>10.98</v>
      </c>
      <c r="H372">
        <v>29.36</v>
      </c>
      <c r="I372" t="s">
        <v>344</v>
      </c>
      <c r="J372">
        <v>96.93</v>
      </c>
      <c r="K372">
        <v>0.84</v>
      </c>
      <c r="L372" t="s">
        <v>346</v>
      </c>
      <c r="M372" s="1">
        <v>8.3999999999999995E-3</v>
      </c>
      <c r="N372" t="s">
        <v>349</v>
      </c>
      <c r="O372">
        <v>2.39</v>
      </c>
      <c r="P372" t="s">
        <v>344</v>
      </c>
      <c r="Q372">
        <v>-0.75</v>
      </c>
      <c r="R372" t="s">
        <v>343</v>
      </c>
      <c r="S372">
        <v>1</v>
      </c>
    </row>
    <row r="373" spans="1:19" x14ac:dyDescent="0.25">
      <c r="A373" t="s">
        <v>24</v>
      </c>
      <c r="B373" t="s">
        <v>89</v>
      </c>
      <c r="C373">
        <v>660</v>
      </c>
      <c r="D373" t="s">
        <v>341</v>
      </c>
      <c r="E373">
        <v>29.23</v>
      </c>
      <c r="F373">
        <v>17.89</v>
      </c>
      <c r="G373">
        <v>11.49</v>
      </c>
      <c r="H373">
        <v>29.38</v>
      </c>
      <c r="I373" t="s">
        <v>344</v>
      </c>
      <c r="J373">
        <v>96.91</v>
      </c>
      <c r="K373">
        <v>-0.1</v>
      </c>
      <c r="L373" t="s">
        <v>346</v>
      </c>
      <c r="M373" s="1">
        <v>1E-3</v>
      </c>
      <c r="N373" t="s">
        <v>349</v>
      </c>
      <c r="O373">
        <v>1.68</v>
      </c>
      <c r="P373" t="s">
        <v>343</v>
      </c>
      <c r="Q373">
        <v>-0.65</v>
      </c>
      <c r="R373" t="s">
        <v>343</v>
      </c>
      <c r="S373">
        <v>1</v>
      </c>
    </row>
    <row r="374" spans="1:19" x14ac:dyDescent="0.25">
      <c r="A374" t="s">
        <v>24</v>
      </c>
      <c r="B374" t="s">
        <v>90</v>
      </c>
      <c r="C374">
        <v>680</v>
      </c>
      <c r="D374" t="s">
        <v>341</v>
      </c>
      <c r="E374">
        <v>29.23</v>
      </c>
      <c r="F374">
        <v>17.61</v>
      </c>
      <c r="G374">
        <v>11.94</v>
      </c>
      <c r="H374">
        <v>29.56</v>
      </c>
      <c r="I374" t="s">
        <v>344</v>
      </c>
      <c r="J374">
        <v>96.86</v>
      </c>
      <c r="K374">
        <v>-0.26</v>
      </c>
      <c r="L374" t="s">
        <v>346</v>
      </c>
      <c r="M374" s="1">
        <v>2.5999999999999999E-3</v>
      </c>
      <c r="N374" t="s">
        <v>349</v>
      </c>
      <c r="O374">
        <v>1.65</v>
      </c>
      <c r="P374" t="s">
        <v>343</v>
      </c>
      <c r="Q374">
        <v>-0.87</v>
      </c>
      <c r="R374" t="s">
        <v>343</v>
      </c>
      <c r="S374">
        <v>1</v>
      </c>
    </row>
    <row r="375" spans="1:19" x14ac:dyDescent="0.25">
      <c r="A375" t="s">
        <v>24</v>
      </c>
      <c r="B375" t="s">
        <v>91</v>
      </c>
      <c r="C375">
        <v>700</v>
      </c>
      <c r="D375" t="s">
        <v>341</v>
      </c>
      <c r="E375">
        <v>29.23</v>
      </c>
      <c r="F375">
        <v>17.170000000000002</v>
      </c>
      <c r="G375">
        <v>12.37</v>
      </c>
      <c r="H375">
        <v>29.54</v>
      </c>
      <c r="I375" t="s">
        <v>344</v>
      </c>
      <c r="J375">
        <v>96.98</v>
      </c>
      <c r="K375">
        <v>0.62</v>
      </c>
      <c r="L375" t="s">
        <v>346</v>
      </c>
      <c r="M375" s="1">
        <v>6.1999999999999998E-3</v>
      </c>
      <c r="N375" t="s">
        <v>349</v>
      </c>
      <c r="O375">
        <v>2.5099999999999998</v>
      </c>
      <c r="P375" t="s">
        <v>344</v>
      </c>
      <c r="Q375">
        <v>0.13</v>
      </c>
      <c r="R375" t="s">
        <v>343</v>
      </c>
      <c r="S375">
        <v>1</v>
      </c>
    </row>
    <row r="376" spans="1:19" x14ac:dyDescent="0.25">
      <c r="A376" t="s">
        <v>24</v>
      </c>
      <c r="B376" t="s">
        <v>92</v>
      </c>
      <c r="C376">
        <v>720</v>
      </c>
      <c r="D376" t="s">
        <v>341</v>
      </c>
      <c r="E376">
        <v>29.23</v>
      </c>
      <c r="F376">
        <v>17.18</v>
      </c>
      <c r="G376">
        <v>12.81</v>
      </c>
      <c r="H376">
        <v>29.99</v>
      </c>
      <c r="I376" t="s">
        <v>344</v>
      </c>
      <c r="J376">
        <v>96.85</v>
      </c>
      <c r="K376">
        <v>-0.66</v>
      </c>
      <c r="L376" t="s">
        <v>346</v>
      </c>
      <c r="M376" s="1">
        <v>6.6E-3</v>
      </c>
      <c r="N376" t="s">
        <v>349</v>
      </c>
      <c r="O376">
        <v>2.39</v>
      </c>
      <c r="P376" t="s">
        <v>344</v>
      </c>
      <c r="Q376">
        <v>-2.16</v>
      </c>
      <c r="R376" t="s">
        <v>344</v>
      </c>
      <c r="S376">
        <v>1</v>
      </c>
    </row>
    <row r="377" spans="1:19" x14ac:dyDescent="0.25">
      <c r="A377" t="s">
        <v>24</v>
      </c>
      <c r="B377" t="s">
        <v>93</v>
      </c>
      <c r="C377">
        <v>740</v>
      </c>
      <c r="D377" t="s">
        <v>341</v>
      </c>
      <c r="E377">
        <v>29.23</v>
      </c>
      <c r="F377">
        <v>17.489999999999998</v>
      </c>
      <c r="G377">
        <v>13.62</v>
      </c>
      <c r="H377">
        <v>31.11</v>
      </c>
      <c r="I377" t="s">
        <v>344</v>
      </c>
      <c r="J377">
        <v>97.14</v>
      </c>
      <c r="K377">
        <v>1.45</v>
      </c>
      <c r="L377" t="s">
        <v>346</v>
      </c>
      <c r="M377" s="1">
        <v>1.4500000000000001E-2</v>
      </c>
      <c r="N377" t="s">
        <v>349</v>
      </c>
      <c r="O377">
        <v>4.04</v>
      </c>
      <c r="P377" t="s">
        <v>343</v>
      </c>
      <c r="Q377">
        <v>-2.71</v>
      </c>
      <c r="R377" t="s">
        <v>344</v>
      </c>
      <c r="S377">
        <v>1</v>
      </c>
    </row>
    <row r="378" spans="1:19" x14ac:dyDescent="0.25">
      <c r="A378" t="s">
        <v>24</v>
      </c>
      <c r="B378" t="s">
        <v>94</v>
      </c>
      <c r="C378">
        <v>760</v>
      </c>
      <c r="D378" t="s">
        <v>341</v>
      </c>
      <c r="E378">
        <v>29.23</v>
      </c>
      <c r="F378">
        <v>17.059999999999999</v>
      </c>
      <c r="G378">
        <v>12.39</v>
      </c>
      <c r="H378">
        <v>29.45</v>
      </c>
      <c r="I378" t="s">
        <v>344</v>
      </c>
      <c r="J378">
        <v>97.17</v>
      </c>
      <c r="K378">
        <v>0.13</v>
      </c>
      <c r="L378" t="s">
        <v>346</v>
      </c>
      <c r="M378" s="1">
        <v>1.2999999999999999E-3</v>
      </c>
      <c r="N378" t="s">
        <v>349</v>
      </c>
      <c r="O378">
        <v>2.81</v>
      </c>
      <c r="P378" t="s">
        <v>344</v>
      </c>
      <c r="Q378">
        <v>0.56999999999999995</v>
      </c>
      <c r="R378" t="s">
        <v>343</v>
      </c>
      <c r="S378">
        <v>1</v>
      </c>
    </row>
    <row r="379" spans="1:19" x14ac:dyDescent="0.25">
      <c r="A379" t="s">
        <v>24</v>
      </c>
      <c r="B379" t="s">
        <v>95</v>
      </c>
      <c r="C379">
        <v>780</v>
      </c>
      <c r="D379" t="s">
        <v>341</v>
      </c>
      <c r="E379">
        <v>29.23</v>
      </c>
      <c r="F379">
        <v>17.48</v>
      </c>
      <c r="G379">
        <v>12.38</v>
      </c>
      <c r="H379">
        <v>29.86</v>
      </c>
      <c r="I379" t="s">
        <v>344</v>
      </c>
      <c r="J379">
        <v>97.01</v>
      </c>
      <c r="K379">
        <v>-0.78</v>
      </c>
      <c r="L379" t="s">
        <v>346</v>
      </c>
      <c r="M379" s="1">
        <v>7.8000000000000014E-3</v>
      </c>
      <c r="N379" t="s">
        <v>349</v>
      </c>
      <c r="O379">
        <v>2.76</v>
      </c>
      <c r="P379" t="s">
        <v>344</v>
      </c>
      <c r="Q379">
        <v>-2.31</v>
      </c>
      <c r="R379" t="s">
        <v>344</v>
      </c>
      <c r="S379">
        <v>1</v>
      </c>
    </row>
    <row r="380" spans="1:19" x14ac:dyDescent="0.25">
      <c r="A380" t="s">
        <v>24</v>
      </c>
      <c r="B380" t="s">
        <v>96</v>
      </c>
      <c r="C380">
        <v>800</v>
      </c>
      <c r="D380" t="s">
        <v>341</v>
      </c>
      <c r="E380">
        <v>29.23</v>
      </c>
      <c r="F380">
        <v>17.2</v>
      </c>
      <c r="G380">
        <v>11.56</v>
      </c>
      <c r="H380">
        <v>28.76</v>
      </c>
      <c r="I380" t="s">
        <v>343</v>
      </c>
      <c r="J380">
        <v>96.97</v>
      </c>
      <c r="K380">
        <v>-0.21</v>
      </c>
      <c r="L380" t="s">
        <v>346</v>
      </c>
      <c r="M380" s="1">
        <v>2.0999999999999999E-3</v>
      </c>
      <c r="N380" t="s">
        <v>349</v>
      </c>
      <c r="O380">
        <v>3.64</v>
      </c>
      <c r="P380" t="s">
        <v>344</v>
      </c>
      <c r="Q380">
        <v>-3.56</v>
      </c>
      <c r="R380" t="s">
        <v>344</v>
      </c>
      <c r="S380">
        <v>1</v>
      </c>
    </row>
    <row r="381" spans="1:19" x14ac:dyDescent="0.25">
      <c r="A381" t="s">
        <v>24</v>
      </c>
      <c r="B381" t="s">
        <v>97</v>
      </c>
      <c r="C381">
        <v>820</v>
      </c>
      <c r="D381" t="s">
        <v>341</v>
      </c>
      <c r="E381">
        <v>29.23</v>
      </c>
      <c r="F381">
        <v>16.079999999999998</v>
      </c>
      <c r="G381">
        <v>12.35</v>
      </c>
      <c r="H381">
        <v>28.43</v>
      </c>
      <c r="I381" t="s">
        <v>343</v>
      </c>
      <c r="J381">
        <v>96.96</v>
      </c>
      <c r="K381">
        <v>-0.03</v>
      </c>
      <c r="L381" t="s">
        <v>346</v>
      </c>
      <c r="M381" s="1">
        <v>2.9999999999999997E-4</v>
      </c>
      <c r="N381" t="s">
        <v>349</v>
      </c>
      <c r="O381">
        <v>4.1100000000000003</v>
      </c>
      <c r="P381" t="s">
        <v>343</v>
      </c>
      <c r="Q381">
        <v>-6.47</v>
      </c>
      <c r="R381" t="s">
        <v>343</v>
      </c>
      <c r="S381">
        <v>1</v>
      </c>
    </row>
    <row r="382" spans="1:19" x14ac:dyDescent="0.25">
      <c r="A382" t="s">
        <v>24</v>
      </c>
      <c r="B382" t="s">
        <v>98</v>
      </c>
      <c r="C382">
        <v>840</v>
      </c>
      <c r="D382" t="s">
        <v>341</v>
      </c>
      <c r="E382">
        <v>29.23</v>
      </c>
      <c r="F382">
        <v>16.46</v>
      </c>
      <c r="G382">
        <v>12.56</v>
      </c>
      <c r="H382">
        <v>29.01</v>
      </c>
      <c r="I382" t="s">
        <v>343</v>
      </c>
      <c r="J382">
        <v>97.02</v>
      </c>
      <c r="K382">
        <v>0.27</v>
      </c>
      <c r="L382" t="s">
        <v>346</v>
      </c>
      <c r="M382" s="1">
        <v>2.7000000000000001E-3</v>
      </c>
      <c r="N382" t="s">
        <v>349</v>
      </c>
      <c r="O382">
        <v>3.72</v>
      </c>
      <c r="P382" t="s">
        <v>344</v>
      </c>
      <c r="Q382">
        <v>-3.3</v>
      </c>
      <c r="R382" t="s">
        <v>344</v>
      </c>
      <c r="S382">
        <v>1</v>
      </c>
    </row>
    <row r="383" spans="1:19" x14ac:dyDescent="0.25">
      <c r="A383" t="s">
        <v>24</v>
      </c>
      <c r="B383" t="s">
        <v>99</v>
      </c>
      <c r="C383">
        <v>860</v>
      </c>
      <c r="D383" t="s">
        <v>341</v>
      </c>
      <c r="E383">
        <v>29.23</v>
      </c>
      <c r="F383">
        <v>17.7</v>
      </c>
      <c r="G383">
        <v>12.85</v>
      </c>
      <c r="H383">
        <v>30.54</v>
      </c>
      <c r="I383" t="s">
        <v>344</v>
      </c>
      <c r="J383">
        <v>97.18</v>
      </c>
      <c r="K383">
        <v>0.79</v>
      </c>
      <c r="L383" t="s">
        <v>346</v>
      </c>
      <c r="M383" s="1">
        <v>7.9000000000000008E-3</v>
      </c>
      <c r="N383" t="s">
        <v>349</v>
      </c>
      <c r="O383">
        <v>3.78</v>
      </c>
      <c r="P383" t="s">
        <v>344</v>
      </c>
      <c r="Q383">
        <v>-2.2799999999999998</v>
      </c>
      <c r="R383" t="s">
        <v>344</v>
      </c>
      <c r="S383">
        <v>1</v>
      </c>
    </row>
    <row r="384" spans="1:19" x14ac:dyDescent="0.25">
      <c r="A384" t="s">
        <v>24</v>
      </c>
      <c r="B384" t="s">
        <v>100</v>
      </c>
      <c r="C384">
        <v>880</v>
      </c>
      <c r="D384" t="s">
        <v>341</v>
      </c>
      <c r="E384">
        <v>29.23</v>
      </c>
      <c r="F384">
        <v>20</v>
      </c>
      <c r="G384">
        <v>13.66</v>
      </c>
      <c r="H384">
        <v>33.659999999999997</v>
      </c>
      <c r="I384" t="s">
        <v>344</v>
      </c>
      <c r="J384">
        <v>97.44</v>
      </c>
      <c r="K384">
        <v>1.32</v>
      </c>
      <c r="L384" t="s">
        <v>346</v>
      </c>
      <c r="M384" s="1">
        <v>1.32E-2</v>
      </c>
      <c r="N384" t="s">
        <v>349</v>
      </c>
      <c r="O384">
        <v>3.56</v>
      </c>
      <c r="P384" t="s">
        <v>344</v>
      </c>
      <c r="Q384">
        <v>0.08</v>
      </c>
      <c r="R384" t="s">
        <v>343</v>
      </c>
      <c r="S384">
        <v>1</v>
      </c>
    </row>
    <row r="385" spans="1:19" x14ac:dyDescent="0.25">
      <c r="A385" t="s">
        <v>24</v>
      </c>
      <c r="B385" t="s">
        <v>101</v>
      </c>
      <c r="C385">
        <v>900</v>
      </c>
      <c r="D385" t="s">
        <v>341</v>
      </c>
      <c r="E385">
        <v>29.23</v>
      </c>
      <c r="F385">
        <v>20</v>
      </c>
      <c r="G385">
        <v>14.47</v>
      </c>
      <c r="H385">
        <v>34.47</v>
      </c>
      <c r="I385" t="s">
        <v>344</v>
      </c>
      <c r="J385">
        <v>97.67</v>
      </c>
      <c r="K385">
        <v>1.1599999999999999</v>
      </c>
      <c r="L385" t="s">
        <v>346</v>
      </c>
      <c r="M385" s="1">
        <v>1.1599999999999999E-2</v>
      </c>
      <c r="N385" t="s">
        <v>349</v>
      </c>
      <c r="O385">
        <v>3.1</v>
      </c>
      <c r="P385" t="s">
        <v>344</v>
      </c>
      <c r="Q385">
        <v>-0.85</v>
      </c>
      <c r="R385" t="s">
        <v>343</v>
      </c>
      <c r="S385">
        <v>1</v>
      </c>
    </row>
    <row r="386" spans="1:19" x14ac:dyDescent="0.25">
      <c r="A386" t="s">
        <v>24</v>
      </c>
      <c r="B386" t="s">
        <v>102</v>
      </c>
      <c r="C386">
        <v>920</v>
      </c>
      <c r="D386" t="s">
        <v>341</v>
      </c>
      <c r="E386">
        <v>29.23</v>
      </c>
      <c r="F386">
        <v>20</v>
      </c>
      <c r="G386">
        <v>14.99</v>
      </c>
      <c r="H386">
        <v>34.99</v>
      </c>
      <c r="I386" t="s">
        <v>344</v>
      </c>
      <c r="J386">
        <v>97.96</v>
      </c>
      <c r="K386">
        <v>1.42</v>
      </c>
      <c r="L386" t="s">
        <v>346</v>
      </c>
      <c r="M386" s="1">
        <v>1.4200000000000001E-2</v>
      </c>
      <c r="N386" t="s">
        <v>349</v>
      </c>
      <c r="O386">
        <v>3.93</v>
      </c>
      <c r="P386" t="s">
        <v>344</v>
      </c>
      <c r="Q386">
        <v>-0.79</v>
      </c>
      <c r="R386" t="s">
        <v>343</v>
      </c>
      <c r="S386">
        <v>1</v>
      </c>
    </row>
    <row r="387" spans="1:19" x14ac:dyDescent="0.25">
      <c r="A387" t="s">
        <v>24</v>
      </c>
      <c r="B387" t="s">
        <v>103</v>
      </c>
      <c r="C387">
        <v>940</v>
      </c>
      <c r="D387" t="s">
        <v>341</v>
      </c>
      <c r="E387">
        <v>29.23</v>
      </c>
      <c r="F387">
        <v>20</v>
      </c>
      <c r="G387">
        <v>13.25</v>
      </c>
      <c r="H387">
        <v>33.25</v>
      </c>
      <c r="I387" t="s">
        <v>344</v>
      </c>
      <c r="J387">
        <v>98.21</v>
      </c>
      <c r="K387">
        <v>1.25</v>
      </c>
      <c r="L387" t="s">
        <v>346</v>
      </c>
      <c r="M387" s="1">
        <v>1.2500000000000001E-2</v>
      </c>
      <c r="N387" t="s">
        <v>349</v>
      </c>
      <c r="O387">
        <v>4.97</v>
      </c>
      <c r="P387" t="s">
        <v>343</v>
      </c>
      <c r="Q387">
        <v>-2.14</v>
      </c>
      <c r="R387" t="s">
        <v>344</v>
      </c>
      <c r="S387">
        <v>1</v>
      </c>
    </row>
    <row r="388" spans="1:19" x14ac:dyDescent="0.25">
      <c r="A388" t="s">
        <v>24</v>
      </c>
      <c r="B388" t="s">
        <v>104</v>
      </c>
      <c r="C388">
        <v>960</v>
      </c>
      <c r="D388" t="s">
        <v>341</v>
      </c>
      <c r="E388">
        <v>29.23</v>
      </c>
      <c r="F388">
        <v>20</v>
      </c>
      <c r="G388">
        <v>14.54</v>
      </c>
      <c r="H388">
        <v>34.54</v>
      </c>
      <c r="I388" t="s">
        <v>344</v>
      </c>
      <c r="J388">
        <v>98.37</v>
      </c>
      <c r="K388">
        <v>0.83</v>
      </c>
      <c r="L388" t="s">
        <v>346</v>
      </c>
      <c r="M388" s="1">
        <v>8.3000000000000001E-3</v>
      </c>
      <c r="N388" t="s">
        <v>349</v>
      </c>
      <c r="O388">
        <v>5.26</v>
      </c>
      <c r="P388" t="s">
        <v>343</v>
      </c>
      <c r="Q388">
        <v>-2.63</v>
      </c>
      <c r="R388" t="s">
        <v>344</v>
      </c>
      <c r="S388">
        <v>1</v>
      </c>
    </row>
    <row r="389" spans="1:19" x14ac:dyDescent="0.25">
      <c r="A389" t="s">
        <v>24</v>
      </c>
      <c r="B389" t="s">
        <v>105</v>
      </c>
      <c r="C389">
        <v>980</v>
      </c>
      <c r="D389" t="s">
        <v>341</v>
      </c>
      <c r="E389">
        <v>29.23</v>
      </c>
      <c r="F389">
        <v>20</v>
      </c>
      <c r="G389">
        <v>14.37</v>
      </c>
      <c r="H389">
        <v>34.369999999999997</v>
      </c>
      <c r="I389" t="s">
        <v>344</v>
      </c>
      <c r="J389">
        <v>98.7</v>
      </c>
      <c r="K389">
        <v>1.62</v>
      </c>
      <c r="L389" t="s">
        <v>346</v>
      </c>
      <c r="M389" s="1">
        <v>1.6199999999999999E-2</v>
      </c>
      <c r="N389" t="s">
        <v>349</v>
      </c>
      <c r="O389">
        <v>5.2</v>
      </c>
      <c r="P389" t="s">
        <v>343</v>
      </c>
      <c r="Q389">
        <v>-2.5499999999999998</v>
      </c>
      <c r="R389" t="s">
        <v>344</v>
      </c>
      <c r="S389">
        <v>1</v>
      </c>
    </row>
    <row r="390" spans="1:19" x14ac:dyDescent="0.25">
      <c r="A390" t="s">
        <v>24</v>
      </c>
      <c r="B390" t="s">
        <v>106</v>
      </c>
      <c r="C390">
        <v>1000</v>
      </c>
      <c r="D390" t="s">
        <v>341</v>
      </c>
      <c r="E390">
        <v>29.23</v>
      </c>
      <c r="F390">
        <v>20</v>
      </c>
      <c r="G390">
        <v>14.37</v>
      </c>
      <c r="H390">
        <v>34.369999999999997</v>
      </c>
      <c r="I390" t="s">
        <v>344</v>
      </c>
      <c r="J390">
        <v>99.01</v>
      </c>
      <c r="K390">
        <v>1.59</v>
      </c>
      <c r="L390" t="s">
        <v>346</v>
      </c>
      <c r="M390" s="1">
        <v>1.5900000000000001E-2</v>
      </c>
      <c r="N390" t="s">
        <v>349</v>
      </c>
      <c r="O390">
        <v>4.8600000000000003</v>
      </c>
      <c r="P390" t="s">
        <v>343</v>
      </c>
      <c r="Q390">
        <v>-2.2400000000000002</v>
      </c>
      <c r="R390" t="s">
        <v>344</v>
      </c>
      <c r="S390">
        <v>1</v>
      </c>
    </row>
    <row r="391" spans="1:19" x14ac:dyDescent="0.25">
      <c r="A391" t="s">
        <v>24</v>
      </c>
      <c r="B391" t="s">
        <v>108</v>
      </c>
      <c r="C391">
        <v>1020</v>
      </c>
      <c r="D391" t="s">
        <v>341</v>
      </c>
      <c r="E391">
        <v>29.23</v>
      </c>
      <c r="F391">
        <v>20</v>
      </c>
      <c r="G391">
        <v>16.899999999999999</v>
      </c>
      <c r="H391">
        <v>36.9</v>
      </c>
      <c r="I391" t="s">
        <v>344</v>
      </c>
      <c r="J391">
        <v>99.11</v>
      </c>
      <c r="K391">
        <v>0.49</v>
      </c>
      <c r="L391" t="s">
        <v>346</v>
      </c>
      <c r="M391" s="1">
        <v>4.8999999999999998E-3</v>
      </c>
      <c r="N391" t="s">
        <v>349</v>
      </c>
      <c r="O391">
        <v>2.84</v>
      </c>
      <c r="P391" t="s">
        <v>344</v>
      </c>
      <c r="Q391">
        <v>-6.82</v>
      </c>
      <c r="R391" t="s">
        <v>343</v>
      </c>
      <c r="S391">
        <v>1</v>
      </c>
    </row>
    <row r="392" spans="1:19" x14ac:dyDescent="0.25">
      <c r="A392" t="s">
        <v>24</v>
      </c>
      <c r="B392" t="s">
        <v>109</v>
      </c>
      <c r="C392">
        <v>1040</v>
      </c>
      <c r="D392" t="s">
        <v>341</v>
      </c>
      <c r="E392">
        <v>29.23</v>
      </c>
      <c r="F392">
        <v>20</v>
      </c>
      <c r="G392">
        <v>16.899999999999999</v>
      </c>
      <c r="H392">
        <v>36.9</v>
      </c>
      <c r="I392" t="s">
        <v>344</v>
      </c>
      <c r="J392">
        <v>99.04</v>
      </c>
      <c r="K392">
        <v>-0.33</v>
      </c>
      <c r="L392" t="s">
        <v>346</v>
      </c>
      <c r="M392" s="1">
        <v>3.3E-3</v>
      </c>
      <c r="N392" t="s">
        <v>349</v>
      </c>
      <c r="O392">
        <v>4.58</v>
      </c>
      <c r="P392" t="s">
        <v>343</v>
      </c>
      <c r="Q392">
        <v>-2.82</v>
      </c>
      <c r="R392" t="s">
        <v>344</v>
      </c>
      <c r="S392">
        <v>1</v>
      </c>
    </row>
    <row r="393" spans="1:19" x14ac:dyDescent="0.25">
      <c r="A393" t="s">
        <v>24</v>
      </c>
      <c r="B393" t="s">
        <v>110</v>
      </c>
      <c r="C393">
        <v>1060</v>
      </c>
      <c r="D393" t="s">
        <v>341</v>
      </c>
      <c r="E393">
        <v>29.23</v>
      </c>
      <c r="F393">
        <v>17.53</v>
      </c>
      <c r="G393">
        <v>20</v>
      </c>
      <c r="H393">
        <v>37.53</v>
      </c>
      <c r="I393" t="s">
        <v>344</v>
      </c>
      <c r="J393">
        <v>98.89</v>
      </c>
      <c r="K393">
        <v>-0.76</v>
      </c>
      <c r="L393" t="s">
        <v>346</v>
      </c>
      <c r="M393" s="1">
        <v>7.6E-3</v>
      </c>
      <c r="N393" t="s">
        <v>349</v>
      </c>
      <c r="O393">
        <v>4.22</v>
      </c>
      <c r="P393" t="s">
        <v>343</v>
      </c>
      <c r="Q393">
        <v>-3.49</v>
      </c>
      <c r="R393" t="s">
        <v>344</v>
      </c>
      <c r="S393">
        <v>1</v>
      </c>
    </row>
    <row r="394" spans="1:19" x14ac:dyDescent="0.25">
      <c r="A394" t="s">
        <v>24</v>
      </c>
      <c r="B394" t="s">
        <v>111</v>
      </c>
      <c r="C394">
        <v>1080</v>
      </c>
      <c r="D394" t="s">
        <v>341</v>
      </c>
      <c r="E394">
        <v>29.23</v>
      </c>
      <c r="F394">
        <v>16.34</v>
      </c>
      <c r="G394">
        <v>20</v>
      </c>
      <c r="H394">
        <v>36.340000000000003</v>
      </c>
      <c r="I394" t="s">
        <v>344</v>
      </c>
      <c r="J394">
        <v>98.77</v>
      </c>
      <c r="K394">
        <v>-0.6</v>
      </c>
      <c r="L394" t="s">
        <v>346</v>
      </c>
      <c r="M394" s="1">
        <v>6.0000000000000001E-3</v>
      </c>
      <c r="N394" t="s">
        <v>349</v>
      </c>
      <c r="O394">
        <v>4.46</v>
      </c>
      <c r="P394" t="s">
        <v>343</v>
      </c>
      <c r="Q394">
        <v>-3.55</v>
      </c>
      <c r="R394" t="s">
        <v>344</v>
      </c>
      <c r="S394">
        <v>1</v>
      </c>
    </row>
    <row r="395" spans="1:19" x14ac:dyDescent="0.25">
      <c r="A395" t="s">
        <v>24</v>
      </c>
      <c r="B395" t="s">
        <v>112</v>
      </c>
      <c r="C395">
        <v>1100</v>
      </c>
      <c r="D395" t="s">
        <v>341</v>
      </c>
      <c r="E395">
        <v>29.23</v>
      </c>
      <c r="F395">
        <v>15.43</v>
      </c>
      <c r="G395">
        <v>20</v>
      </c>
      <c r="H395">
        <v>35.43</v>
      </c>
      <c r="I395" t="s">
        <v>344</v>
      </c>
      <c r="J395">
        <v>98.73</v>
      </c>
      <c r="K395">
        <v>-0.21</v>
      </c>
      <c r="L395" t="s">
        <v>346</v>
      </c>
      <c r="M395" s="1">
        <v>2.0999999999999999E-3</v>
      </c>
      <c r="N395" t="s">
        <v>349</v>
      </c>
      <c r="O395">
        <v>4.7699999999999996</v>
      </c>
      <c r="P395" t="s">
        <v>343</v>
      </c>
      <c r="Q395">
        <v>-4.28</v>
      </c>
      <c r="R395" t="s">
        <v>343</v>
      </c>
      <c r="S395">
        <v>1</v>
      </c>
    </row>
    <row r="396" spans="1:19" x14ac:dyDescent="0.25">
      <c r="A396" t="s">
        <v>24</v>
      </c>
      <c r="B396" t="s">
        <v>113</v>
      </c>
      <c r="C396">
        <v>1120</v>
      </c>
      <c r="D396" t="s">
        <v>341</v>
      </c>
      <c r="E396">
        <v>29.23</v>
      </c>
      <c r="F396">
        <v>15.63</v>
      </c>
      <c r="G396">
        <v>20</v>
      </c>
      <c r="H396">
        <v>35.630000000000003</v>
      </c>
      <c r="I396" t="s">
        <v>344</v>
      </c>
      <c r="J396">
        <v>98.97</v>
      </c>
      <c r="K396">
        <v>1.22</v>
      </c>
      <c r="L396" t="s">
        <v>346</v>
      </c>
      <c r="M396" s="1">
        <v>1.2200000000000001E-2</v>
      </c>
      <c r="N396" t="s">
        <v>349</v>
      </c>
      <c r="O396">
        <v>3.26</v>
      </c>
      <c r="P396" t="s">
        <v>344</v>
      </c>
      <c r="Q396">
        <v>-2.58</v>
      </c>
      <c r="R396" t="s">
        <v>344</v>
      </c>
      <c r="S396">
        <v>1</v>
      </c>
    </row>
    <row r="397" spans="1:19" x14ac:dyDescent="0.25">
      <c r="A397" t="s">
        <v>24</v>
      </c>
      <c r="B397" t="s">
        <v>114</v>
      </c>
      <c r="C397">
        <v>1140</v>
      </c>
      <c r="D397" t="s">
        <v>341</v>
      </c>
      <c r="E397">
        <v>29.23</v>
      </c>
      <c r="F397">
        <v>15.37</v>
      </c>
      <c r="G397">
        <v>20</v>
      </c>
      <c r="H397">
        <v>35.369999999999997</v>
      </c>
      <c r="I397" t="s">
        <v>344</v>
      </c>
      <c r="J397">
        <v>100.65</v>
      </c>
      <c r="K397">
        <v>8.3800000000000008</v>
      </c>
      <c r="L397" t="s">
        <v>347</v>
      </c>
      <c r="M397" s="1">
        <v>8.3800000000000013E-2</v>
      </c>
      <c r="N397" t="s">
        <v>350</v>
      </c>
      <c r="O397">
        <v>3.35</v>
      </c>
      <c r="P397" t="s">
        <v>344</v>
      </c>
      <c r="Q397">
        <v>-2.52</v>
      </c>
      <c r="R397" t="s">
        <v>344</v>
      </c>
      <c r="S397">
        <v>1</v>
      </c>
    </row>
    <row r="398" spans="1:19" x14ac:dyDescent="0.25">
      <c r="A398" t="s">
        <v>24</v>
      </c>
      <c r="B398" t="s">
        <v>115</v>
      </c>
      <c r="C398">
        <v>1160</v>
      </c>
      <c r="D398" t="s">
        <v>341</v>
      </c>
      <c r="E398">
        <v>29.23</v>
      </c>
      <c r="F398">
        <v>15.52</v>
      </c>
      <c r="G398">
        <v>20</v>
      </c>
      <c r="H398">
        <v>35.520000000000003</v>
      </c>
      <c r="I398" t="s">
        <v>344</v>
      </c>
      <c r="J398">
        <v>100.52</v>
      </c>
      <c r="K398">
        <v>-0.63</v>
      </c>
      <c r="L398" t="s">
        <v>346</v>
      </c>
      <c r="M398" s="1">
        <v>6.3E-3</v>
      </c>
      <c r="N398" t="s">
        <v>349</v>
      </c>
      <c r="O398">
        <v>4.2699999999999996</v>
      </c>
      <c r="P398" t="s">
        <v>343</v>
      </c>
      <c r="Q398">
        <v>-10.63</v>
      </c>
      <c r="R398" t="s">
        <v>343</v>
      </c>
      <c r="S398">
        <v>1</v>
      </c>
    </row>
    <row r="399" spans="1:19" x14ac:dyDescent="0.25">
      <c r="A399" t="s">
        <v>24</v>
      </c>
      <c r="B399" t="s">
        <v>116</v>
      </c>
      <c r="C399">
        <v>1180</v>
      </c>
      <c r="D399" t="s">
        <v>341</v>
      </c>
      <c r="E399">
        <v>29.23</v>
      </c>
      <c r="F399">
        <v>15.37</v>
      </c>
      <c r="G399">
        <v>15.18</v>
      </c>
      <c r="H399">
        <v>30.55</v>
      </c>
      <c r="I399" t="s">
        <v>344</v>
      </c>
      <c r="J399">
        <v>98.63</v>
      </c>
      <c r="K399">
        <v>-9.4600000000000009</v>
      </c>
      <c r="L399" t="s">
        <v>348</v>
      </c>
      <c r="M399" s="1">
        <v>9.4600000000000004E-2</v>
      </c>
      <c r="N399" t="s">
        <v>350</v>
      </c>
      <c r="O399">
        <v>4.09</v>
      </c>
      <c r="P399" t="s">
        <v>343</v>
      </c>
      <c r="Q399">
        <v>-1.89</v>
      </c>
      <c r="R399" t="s">
        <v>343</v>
      </c>
      <c r="S399">
        <v>1</v>
      </c>
    </row>
    <row r="400" spans="1:19" x14ac:dyDescent="0.25">
      <c r="A400" t="s">
        <v>24</v>
      </c>
      <c r="B400" t="s">
        <v>117</v>
      </c>
      <c r="C400">
        <v>1200</v>
      </c>
      <c r="D400" t="s">
        <v>341</v>
      </c>
      <c r="E400">
        <v>29.23</v>
      </c>
      <c r="F400">
        <v>13.99</v>
      </c>
      <c r="G400">
        <v>15.23</v>
      </c>
      <c r="H400">
        <v>29.21</v>
      </c>
      <c r="I400" t="s">
        <v>343</v>
      </c>
      <c r="J400">
        <v>98.43</v>
      </c>
      <c r="K400">
        <v>-1</v>
      </c>
      <c r="L400" t="s">
        <v>346</v>
      </c>
      <c r="M400" s="1">
        <v>0.01</v>
      </c>
      <c r="N400" t="s">
        <v>349</v>
      </c>
      <c r="O400">
        <v>5.8</v>
      </c>
      <c r="P400" t="s">
        <v>343</v>
      </c>
      <c r="Q400">
        <v>-1.63</v>
      </c>
      <c r="R400" t="s">
        <v>343</v>
      </c>
      <c r="S400">
        <v>1</v>
      </c>
    </row>
    <row r="401" spans="1:19" x14ac:dyDescent="0.25">
      <c r="A401" t="s">
        <v>24</v>
      </c>
      <c r="B401" t="s">
        <v>118</v>
      </c>
      <c r="C401">
        <v>1220</v>
      </c>
      <c r="D401" t="s">
        <v>341</v>
      </c>
      <c r="E401">
        <v>29.23</v>
      </c>
      <c r="F401">
        <v>14.74</v>
      </c>
      <c r="G401">
        <v>15.23</v>
      </c>
      <c r="H401">
        <v>29.96</v>
      </c>
      <c r="I401" t="s">
        <v>344</v>
      </c>
      <c r="J401">
        <v>98.09</v>
      </c>
      <c r="K401">
        <v>-1.69</v>
      </c>
      <c r="L401" t="s">
        <v>346</v>
      </c>
      <c r="M401" s="1">
        <v>1.6899999999999998E-2</v>
      </c>
      <c r="N401" t="s">
        <v>349</v>
      </c>
      <c r="O401">
        <v>4.95</v>
      </c>
      <c r="P401" t="s">
        <v>343</v>
      </c>
      <c r="Q401">
        <v>-2.65</v>
      </c>
      <c r="R401" t="s">
        <v>344</v>
      </c>
      <c r="S401">
        <v>1</v>
      </c>
    </row>
    <row r="402" spans="1:19" x14ac:dyDescent="0.25">
      <c r="A402" t="s">
        <v>24</v>
      </c>
      <c r="B402" t="s">
        <v>119</v>
      </c>
      <c r="C402">
        <v>1240</v>
      </c>
      <c r="D402" t="s">
        <v>341</v>
      </c>
      <c r="E402">
        <v>29.23</v>
      </c>
      <c r="F402">
        <v>15.07</v>
      </c>
      <c r="G402">
        <v>15.1</v>
      </c>
      <c r="H402">
        <v>30.17</v>
      </c>
      <c r="I402" t="s">
        <v>344</v>
      </c>
      <c r="J402">
        <v>97.84</v>
      </c>
      <c r="K402">
        <v>-1.26</v>
      </c>
      <c r="L402" t="s">
        <v>346</v>
      </c>
      <c r="M402" s="1">
        <v>1.26E-2</v>
      </c>
      <c r="N402" t="s">
        <v>349</v>
      </c>
      <c r="O402">
        <v>3.51</v>
      </c>
      <c r="P402" t="s">
        <v>344</v>
      </c>
      <c r="Q402">
        <v>-2.15</v>
      </c>
      <c r="R402" t="s">
        <v>344</v>
      </c>
      <c r="S402">
        <v>1</v>
      </c>
    </row>
    <row r="403" spans="1:19" x14ac:dyDescent="0.25">
      <c r="A403" t="s">
        <v>24</v>
      </c>
      <c r="B403" t="s">
        <v>120</v>
      </c>
      <c r="C403">
        <v>1260</v>
      </c>
      <c r="D403" t="s">
        <v>341</v>
      </c>
      <c r="E403">
        <v>29.23</v>
      </c>
      <c r="F403">
        <v>16.57</v>
      </c>
      <c r="G403">
        <v>15.58</v>
      </c>
      <c r="H403">
        <v>32.15</v>
      </c>
      <c r="I403" t="s">
        <v>344</v>
      </c>
      <c r="J403">
        <v>97.62</v>
      </c>
      <c r="K403">
        <v>-1.0900000000000001</v>
      </c>
      <c r="L403" t="s">
        <v>346</v>
      </c>
      <c r="M403" s="1">
        <v>1.09E-2</v>
      </c>
      <c r="N403" t="s">
        <v>349</v>
      </c>
      <c r="O403">
        <v>2.09</v>
      </c>
      <c r="P403" t="s">
        <v>344</v>
      </c>
      <c r="Q403">
        <v>-2.08</v>
      </c>
      <c r="R403" t="s">
        <v>344</v>
      </c>
      <c r="S403">
        <v>1</v>
      </c>
    </row>
    <row r="404" spans="1:19" x14ac:dyDescent="0.25">
      <c r="A404" t="s">
        <v>24</v>
      </c>
      <c r="B404" t="s">
        <v>121</v>
      </c>
      <c r="C404">
        <v>1280</v>
      </c>
      <c r="D404" t="s">
        <v>341</v>
      </c>
      <c r="E404">
        <v>29.23</v>
      </c>
      <c r="F404">
        <v>17.989999999999998</v>
      </c>
      <c r="G404">
        <v>16.149999999999999</v>
      </c>
      <c r="H404">
        <v>34.14</v>
      </c>
      <c r="I404" t="s">
        <v>344</v>
      </c>
      <c r="J404">
        <v>97.44</v>
      </c>
      <c r="K404">
        <v>-0.9</v>
      </c>
      <c r="L404" t="s">
        <v>346</v>
      </c>
      <c r="M404" s="1">
        <v>9.0000000000000011E-3</v>
      </c>
      <c r="N404" t="s">
        <v>349</v>
      </c>
      <c r="O404">
        <v>2.79</v>
      </c>
      <c r="P404" t="s">
        <v>344</v>
      </c>
      <c r="Q404">
        <v>-2.69</v>
      </c>
      <c r="R404" t="s">
        <v>344</v>
      </c>
      <c r="S404">
        <v>1</v>
      </c>
    </row>
    <row r="405" spans="1:19" x14ac:dyDescent="0.25">
      <c r="A405" t="s">
        <v>24</v>
      </c>
      <c r="B405" t="s">
        <v>123</v>
      </c>
      <c r="C405">
        <v>1300</v>
      </c>
      <c r="D405" t="s">
        <v>341</v>
      </c>
      <c r="E405">
        <v>29.23</v>
      </c>
      <c r="F405">
        <v>18.02</v>
      </c>
      <c r="G405">
        <v>15.28</v>
      </c>
      <c r="H405">
        <v>33.299999999999997</v>
      </c>
      <c r="I405" t="s">
        <v>344</v>
      </c>
      <c r="J405">
        <v>97.33</v>
      </c>
      <c r="K405">
        <v>-0.57999999999999996</v>
      </c>
      <c r="L405" t="s">
        <v>346</v>
      </c>
      <c r="M405" s="1">
        <v>5.7999999999999996E-3</v>
      </c>
      <c r="N405" t="s">
        <v>349</v>
      </c>
      <c r="O405">
        <v>3.64</v>
      </c>
      <c r="P405" t="s">
        <v>344</v>
      </c>
      <c r="Q405">
        <v>-3.35</v>
      </c>
      <c r="R405" t="s">
        <v>344</v>
      </c>
      <c r="S405">
        <v>1</v>
      </c>
    </row>
    <row r="406" spans="1:19" x14ac:dyDescent="0.25">
      <c r="A406" t="s">
        <v>24</v>
      </c>
      <c r="B406" t="s">
        <v>124</v>
      </c>
      <c r="C406">
        <v>1320</v>
      </c>
      <c r="D406" t="s">
        <v>341</v>
      </c>
      <c r="E406">
        <v>29.23</v>
      </c>
      <c r="F406">
        <v>18.54</v>
      </c>
      <c r="G406">
        <v>14.45</v>
      </c>
      <c r="H406">
        <v>32.99</v>
      </c>
      <c r="I406" t="s">
        <v>344</v>
      </c>
      <c r="J406">
        <v>97.13</v>
      </c>
      <c r="K406">
        <v>-1</v>
      </c>
      <c r="L406" t="s">
        <v>346</v>
      </c>
      <c r="M406" s="1">
        <v>0.01</v>
      </c>
      <c r="N406" t="s">
        <v>349</v>
      </c>
      <c r="O406">
        <v>3.05</v>
      </c>
      <c r="P406" t="s">
        <v>344</v>
      </c>
      <c r="Q406">
        <v>-4.96</v>
      </c>
      <c r="R406" t="s">
        <v>343</v>
      </c>
      <c r="S406">
        <v>1</v>
      </c>
    </row>
    <row r="407" spans="1:19" x14ac:dyDescent="0.25">
      <c r="A407" t="s">
        <v>24</v>
      </c>
      <c r="B407" t="s">
        <v>125</v>
      </c>
      <c r="C407">
        <v>1340</v>
      </c>
      <c r="D407" t="s">
        <v>341</v>
      </c>
      <c r="E407">
        <v>29.23</v>
      </c>
      <c r="F407">
        <v>18.27</v>
      </c>
      <c r="G407">
        <v>13.99</v>
      </c>
      <c r="H407">
        <v>32.25</v>
      </c>
      <c r="I407" t="s">
        <v>344</v>
      </c>
      <c r="J407">
        <v>97.03</v>
      </c>
      <c r="K407">
        <v>-0.46</v>
      </c>
      <c r="L407" t="s">
        <v>346</v>
      </c>
      <c r="M407" s="1">
        <v>4.5999999999999999E-3</v>
      </c>
      <c r="N407" t="s">
        <v>349</v>
      </c>
      <c r="O407">
        <v>3.56</v>
      </c>
      <c r="P407" t="s">
        <v>344</v>
      </c>
      <c r="Q407">
        <v>-5.18</v>
      </c>
      <c r="R407" t="s">
        <v>343</v>
      </c>
      <c r="S407">
        <v>1</v>
      </c>
    </row>
    <row r="408" spans="1:19" x14ac:dyDescent="0.25">
      <c r="A408" t="s">
        <v>24</v>
      </c>
      <c r="B408" t="s">
        <v>126</v>
      </c>
      <c r="C408">
        <v>1360</v>
      </c>
      <c r="D408" t="s">
        <v>341</v>
      </c>
      <c r="E408">
        <v>29.23</v>
      </c>
      <c r="F408">
        <v>16.96</v>
      </c>
      <c r="G408">
        <v>13.12</v>
      </c>
      <c r="H408">
        <v>30.08</v>
      </c>
      <c r="I408" t="s">
        <v>344</v>
      </c>
      <c r="J408">
        <v>96.98</v>
      </c>
      <c r="K408">
        <v>-0.27</v>
      </c>
      <c r="L408" t="s">
        <v>346</v>
      </c>
      <c r="M408" s="1">
        <v>2.7000000000000001E-3</v>
      </c>
      <c r="N408" t="s">
        <v>349</v>
      </c>
      <c r="O408">
        <v>2.78</v>
      </c>
      <c r="P408" t="s">
        <v>344</v>
      </c>
      <c r="Q408">
        <v>-4.55</v>
      </c>
      <c r="R408" t="s">
        <v>343</v>
      </c>
      <c r="S408">
        <v>1</v>
      </c>
    </row>
    <row r="409" spans="1:19" x14ac:dyDescent="0.25">
      <c r="A409" t="s">
        <v>24</v>
      </c>
      <c r="B409" t="s">
        <v>127</v>
      </c>
      <c r="C409">
        <v>1380</v>
      </c>
      <c r="D409" t="s">
        <v>341</v>
      </c>
      <c r="E409">
        <v>29.23</v>
      </c>
      <c r="F409">
        <v>16.16</v>
      </c>
      <c r="G409">
        <v>12.67</v>
      </c>
      <c r="H409">
        <v>28.84</v>
      </c>
      <c r="I409" t="s">
        <v>343</v>
      </c>
      <c r="J409">
        <v>96.89</v>
      </c>
      <c r="K409">
        <v>-0.47</v>
      </c>
      <c r="L409" t="s">
        <v>346</v>
      </c>
      <c r="M409" s="1">
        <v>4.6999999999999993E-3</v>
      </c>
      <c r="N409" t="s">
        <v>349</v>
      </c>
      <c r="O409">
        <v>3.75</v>
      </c>
      <c r="P409" t="s">
        <v>344</v>
      </c>
      <c r="Q409">
        <v>-3.87</v>
      </c>
      <c r="R409" t="s">
        <v>344</v>
      </c>
      <c r="S409">
        <v>1</v>
      </c>
    </row>
    <row r="410" spans="1:19" x14ac:dyDescent="0.25">
      <c r="A410" t="s">
        <v>24</v>
      </c>
      <c r="B410" t="s">
        <v>128</v>
      </c>
      <c r="C410">
        <v>1400</v>
      </c>
      <c r="D410" t="s">
        <v>341</v>
      </c>
      <c r="E410">
        <v>29.23</v>
      </c>
      <c r="F410">
        <v>15.25</v>
      </c>
      <c r="G410">
        <v>11.68</v>
      </c>
      <c r="H410">
        <v>26.94</v>
      </c>
      <c r="I410" t="s">
        <v>343</v>
      </c>
      <c r="J410">
        <v>96.9</v>
      </c>
      <c r="K410">
        <v>7.0000000000000007E-2</v>
      </c>
      <c r="L410" t="s">
        <v>346</v>
      </c>
      <c r="M410" s="1">
        <v>7.000000000000001E-4</v>
      </c>
      <c r="N410" t="s">
        <v>349</v>
      </c>
      <c r="O410">
        <v>3.44</v>
      </c>
      <c r="P410" t="s">
        <v>344</v>
      </c>
      <c r="Q410">
        <v>-2.75</v>
      </c>
      <c r="R410" t="s">
        <v>344</v>
      </c>
      <c r="S410">
        <v>1</v>
      </c>
    </row>
    <row r="411" spans="1:19" x14ac:dyDescent="0.25">
      <c r="A411" t="s">
        <v>24</v>
      </c>
      <c r="B411" t="s">
        <v>129</v>
      </c>
      <c r="C411">
        <v>1420</v>
      </c>
      <c r="D411" t="s">
        <v>341</v>
      </c>
      <c r="E411">
        <v>29.23</v>
      </c>
      <c r="F411">
        <v>14.48</v>
      </c>
      <c r="G411">
        <v>11.93</v>
      </c>
      <c r="H411">
        <v>26.41</v>
      </c>
      <c r="I411" t="s">
        <v>343</v>
      </c>
      <c r="J411">
        <v>97.07</v>
      </c>
      <c r="K411">
        <v>0.85</v>
      </c>
      <c r="L411" t="s">
        <v>346</v>
      </c>
      <c r="M411" s="1">
        <v>8.5000000000000006E-3</v>
      </c>
      <c r="N411" t="s">
        <v>349</v>
      </c>
      <c r="O411">
        <v>4.67</v>
      </c>
      <c r="P411" t="s">
        <v>343</v>
      </c>
      <c r="Q411">
        <v>-3.77</v>
      </c>
      <c r="R411" t="s">
        <v>344</v>
      </c>
      <c r="S411">
        <v>1</v>
      </c>
    </row>
    <row r="412" spans="1:19" x14ac:dyDescent="0.25">
      <c r="A412" t="s">
        <v>24</v>
      </c>
      <c r="B412" t="s">
        <v>130</v>
      </c>
      <c r="C412">
        <v>1440</v>
      </c>
      <c r="D412" t="s">
        <v>341</v>
      </c>
      <c r="E412">
        <v>29.23</v>
      </c>
      <c r="F412">
        <v>15.3</v>
      </c>
      <c r="G412">
        <v>14.11</v>
      </c>
      <c r="H412">
        <v>29.4</v>
      </c>
      <c r="I412" t="s">
        <v>344</v>
      </c>
      <c r="J412">
        <v>99.02</v>
      </c>
      <c r="K412">
        <v>9.76</v>
      </c>
      <c r="L412" t="s">
        <v>348</v>
      </c>
      <c r="M412" s="1">
        <v>9.7599999999999992E-2</v>
      </c>
      <c r="N412" t="s">
        <v>350</v>
      </c>
      <c r="O412">
        <v>3.31</v>
      </c>
      <c r="P412" t="s">
        <v>344</v>
      </c>
      <c r="Q412">
        <v>-6.96</v>
      </c>
      <c r="R412" t="s">
        <v>343</v>
      </c>
      <c r="S412">
        <v>1</v>
      </c>
    </row>
    <row r="413" spans="1:19" x14ac:dyDescent="0.25">
      <c r="A413" t="s">
        <v>24</v>
      </c>
      <c r="B413" t="s">
        <v>131</v>
      </c>
      <c r="C413">
        <v>1460</v>
      </c>
      <c r="D413" t="s">
        <v>341</v>
      </c>
      <c r="E413">
        <v>29.23</v>
      </c>
      <c r="F413">
        <v>16.989999999999998</v>
      </c>
      <c r="G413">
        <v>20</v>
      </c>
      <c r="H413">
        <v>36.99</v>
      </c>
      <c r="I413" t="s">
        <v>344</v>
      </c>
      <c r="J413">
        <v>99.58</v>
      </c>
      <c r="K413">
        <v>2.78</v>
      </c>
      <c r="L413" t="s">
        <v>346</v>
      </c>
      <c r="M413" s="1">
        <v>2.7799999999999998E-2</v>
      </c>
      <c r="N413" t="s">
        <v>350</v>
      </c>
      <c r="O413">
        <v>5.39</v>
      </c>
      <c r="P413" t="s">
        <v>343</v>
      </c>
      <c r="Q413">
        <v>-9.3699999999999992</v>
      </c>
      <c r="R413" t="s">
        <v>343</v>
      </c>
      <c r="S413">
        <v>1</v>
      </c>
    </row>
    <row r="414" spans="1:19" x14ac:dyDescent="0.25">
      <c r="A414" t="s">
        <v>24</v>
      </c>
      <c r="B414" t="s">
        <v>168</v>
      </c>
      <c r="C414">
        <v>1465.2940000000001</v>
      </c>
      <c r="D414" t="s">
        <v>341</v>
      </c>
      <c r="E414">
        <v>29.23</v>
      </c>
      <c r="F414">
        <v>15.59</v>
      </c>
      <c r="G414">
        <v>20</v>
      </c>
      <c r="H414">
        <v>35.590000000000003</v>
      </c>
      <c r="I414" t="s">
        <v>344</v>
      </c>
      <c r="J414">
        <v>99.09</v>
      </c>
      <c r="K414">
        <v>-9.2899999999999991</v>
      </c>
      <c r="L414" t="s">
        <v>348</v>
      </c>
      <c r="M414" s="1">
        <v>9.2899999999999996E-2</v>
      </c>
      <c r="N414" t="s">
        <v>350</v>
      </c>
      <c r="O414">
        <v>5.48</v>
      </c>
      <c r="P414" t="s">
        <v>343</v>
      </c>
      <c r="Q414">
        <v>-4.5999999999999996</v>
      </c>
      <c r="R414" t="s">
        <v>343</v>
      </c>
      <c r="S414">
        <v>0</v>
      </c>
    </row>
    <row r="415" spans="1:19" x14ac:dyDescent="0.25">
      <c r="A415" t="s">
        <v>25</v>
      </c>
      <c r="B415" t="s">
        <v>56</v>
      </c>
      <c r="C415">
        <v>0</v>
      </c>
      <c r="D415" t="s">
        <v>341</v>
      </c>
      <c r="E415">
        <v>29.23</v>
      </c>
      <c r="F415">
        <v>15.59</v>
      </c>
      <c r="G415">
        <v>20</v>
      </c>
      <c r="H415">
        <v>35.590000000000003</v>
      </c>
      <c r="I415" t="s">
        <v>344</v>
      </c>
      <c r="J415">
        <v>154.38999999999999</v>
      </c>
      <c r="L415" t="s">
        <v>345</v>
      </c>
      <c r="N415" t="s">
        <v>345</v>
      </c>
      <c r="O415">
        <v>2.92</v>
      </c>
      <c r="P415" t="s">
        <v>344</v>
      </c>
      <c r="Q415">
        <v>-2.19</v>
      </c>
      <c r="R415" t="s">
        <v>344</v>
      </c>
      <c r="S415">
        <v>1</v>
      </c>
    </row>
    <row r="416" spans="1:19" x14ac:dyDescent="0.25">
      <c r="A416" t="s">
        <v>25</v>
      </c>
      <c r="B416" t="s">
        <v>57</v>
      </c>
      <c r="C416">
        <v>20</v>
      </c>
      <c r="D416" t="s">
        <v>341</v>
      </c>
      <c r="E416">
        <v>29.23</v>
      </c>
      <c r="F416">
        <v>15.58</v>
      </c>
      <c r="G416">
        <v>17.850000000000001</v>
      </c>
      <c r="H416">
        <v>33.43</v>
      </c>
      <c r="I416" t="s">
        <v>344</v>
      </c>
      <c r="J416">
        <v>153.09</v>
      </c>
      <c r="K416">
        <v>-6.51</v>
      </c>
      <c r="L416" t="s">
        <v>346</v>
      </c>
      <c r="M416" s="1">
        <v>6.5099999999999991E-2</v>
      </c>
      <c r="N416" t="s">
        <v>350</v>
      </c>
      <c r="O416">
        <v>3.44</v>
      </c>
      <c r="P416" t="s">
        <v>344</v>
      </c>
      <c r="Q416">
        <v>-0.46</v>
      </c>
      <c r="R416" t="s">
        <v>343</v>
      </c>
      <c r="S416">
        <v>1</v>
      </c>
    </row>
    <row r="417" spans="1:19" x14ac:dyDescent="0.25">
      <c r="A417" t="s">
        <v>25</v>
      </c>
      <c r="B417" t="s">
        <v>58</v>
      </c>
      <c r="C417">
        <v>40</v>
      </c>
      <c r="D417" t="s">
        <v>341</v>
      </c>
      <c r="E417">
        <v>29.23</v>
      </c>
      <c r="F417">
        <v>14.21</v>
      </c>
      <c r="G417">
        <v>16.989999999999998</v>
      </c>
      <c r="H417">
        <v>31.2</v>
      </c>
      <c r="I417" t="s">
        <v>344</v>
      </c>
      <c r="J417">
        <v>152.15</v>
      </c>
      <c r="K417">
        <v>-4.72</v>
      </c>
      <c r="L417" t="s">
        <v>346</v>
      </c>
      <c r="M417" s="1">
        <v>4.7199999999999999E-2</v>
      </c>
      <c r="N417" t="s">
        <v>350</v>
      </c>
      <c r="O417">
        <v>3.32</v>
      </c>
      <c r="P417" t="s">
        <v>344</v>
      </c>
      <c r="Q417">
        <v>-1</v>
      </c>
      <c r="R417" t="s">
        <v>343</v>
      </c>
      <c r="S417">
        <v>1</v>
      </c>
    </row>
    <row r="418" spans="1:19" x14ac:dyDescent="0.25">
      <c r="A418" t="s">
        <v>25</v>
      </c>
      <c r="B418" t="s">
        <v>59</v>
      </c>
      <c r="C418">
        <v>60</v>
      </c>
      <c r="D418" t="s">
        <v>341</v>
      </c>
      <c r="E418">
        <v>29.23</v>
      </c>
      <c r="F418">
        <v>13.75</v>
      </c>
      <c r="G418">
        <v>17.850000000000001</v>
      </c>
      <c r="H418">
        <v>31.6</v>
      </c>
      <c r="I418" t="s">
        <v>344</v>
      </c>
      <c r="J418">
        <v>151.62</v>
      </c>
      <c r="K418">
        <v>-2.62</v>
      </c>
      <c r="L418" t="s">
        <v>346</v>
      </c>
      <c r="M418" s="1">
        <v>2.6200000000000001E-2</v>
      </c>
      <c r="N418" t="s">
        <v>350</v>
      </c>
      <c r="O418">
        <v>1.51</v>
      </c>
      <c r="P418" t="s">
        <v>343</v>
      </c>
      <c r="Q418">
        <v>-0.72</v>
      </c>
      <c r="R418" t="s">
        <v>343</v>
      </c>
      <c r="S418">
        <v>1</v>
      </c>
    </row>
    <row r="419" spans="1:19" x14ac:dyDescent="0.25">
      <c r="A419" t="s">
        <v>25</v>
      </c>
      <c r="B419" t="s">
        <v>60</v>
      </c>
      <c r="C419">
        <v>80</v>
      </c>
      <c r="D419" t="s">
        <v>341</v>
      </c>
      <c r="E419">
        <v>29.23</v>
      </c>
      <c r="F419">
        <v>14</v>
      </c>
      <c r="G419">
        <v>17.850000000000001</v>
      </c>
      <c r="H419">
        <v>31.85</v>
      </c>
      <c r="I419" t="s">
        <v>344</v>
      </c>
      <c r="J419">
        <v>151.07</v>
      </c>
      <c r="K419">
        <v>-2.74</v>
      </c>
      <c r="L419" t="s">
        <v>346</v>
      </c>
      <c r="M419" s="1">
        <v>2.7400000000000001E-2</v>
      </c>
      <c r="N419" t="s">
        <v>350</v>
      </c>
      <c r="O419">
        <v>1.5</v>
      </c>
      <c r="P419" t="s">
        <v>343</v>
      </c>
      <c r="Q419">
        <v>-0.9</v>
      </c>
      <c r="R419" t="s">
        <v>343</v>
      </c>
      <c r="S419">
        <v>1</v>
      </c>
    </row>
    <row r="420" spans="1:19" x14ac:dyDescent="0.25">
      <c r="A420" t="s">
        <v>25</v>
      </c>
      <c r="B420" t="s">
        <v>61</v>
      </c>
      <c r="C420">
        <v>100</v>
      </c>
      <c r="D420" t="s">
        <v>341</v>
      </c>
      <c r="E420">
        <v>29.23</v>
      </c>
      <c r="F420">
        <v>14.5</v>
      </c>
      <c r="G420">
        <v>18.059999999999999</v>
      </c>
      <c r="H420">
        <v>32.56</v>
      </c>
      <c r="I420" t="s">
        <v>344</v>
      </c>
      <c r="J420">
        <v>150.6</v>
      </c>
      <c r="K420">
        <v>-2.35</v>
      </c>
      <c r="L420" t="s">
        <v>346</v>
      </c>
      <c r="M420" s="1">
        <v>2.35E-2</v>
      </c>
      <c r="N420" t="s">
        <v>350</v>
      </c>
      <c r="O420">
        <v>3.34</v>
      </c>
      <c r="P420" t="s">
        <v>344</v>
      </c>
      <c r="Q420">
        <v>-1.25</v>
      </c>
      <c r="R420" t="s">
        <v>343</v>
      </c>
      <c r="S420">
        <v>1</v>
      </c>
    </row>
    <row r="421" spans="1:19" x14ac:dyDescent="0.25">
      <c r="A421" t="s">
        <v>25</v>
      </c>
      <c r="B421" t="s">
        <v>62</v>
      </c>
      <c r="C421">
        <v>120</v>
      </c>
      <c r="D421" t="s">
        <v>341</v>
      </c>
      <c r="E421">
        <v>29.23</v>
      </c>
      <c r="F421">
        <v>14.59</v>
      </c>
      <c r="G421">
        <v>20</v>
      </c>
      <c r="H421">
        <v>34.590000000000003</v>
      </c>
      <c r="I421" t="s">
        <v>344</v>
      </c>
      <c r="J421">
        <v>149.96</v>
      </c>
      <c r="K421">
        <v>-3.19</v>
      </c>
      <c r="L421" t="s">
        <v>346</v>
      </c>
      <c r="M421" s="1">
        <v>3.1899999999999998E-2</v>
      </c>
      <c r="N421" t="s">
        <v>350</v>
      </c>
      <c r="O421">
        <v>2.38</v>
      </c>
      <c r="P421" t="s">
        <v>344</v>
      </c>
      <c r="Q421">
        <v>-2.2999999999999998</v>
      </c>
      <c r="R421" t="s">
        <v>344</v>
      </c>
      <c r="S421">
        <v>1</v>
      </c>
    </row>
    <row r="422" spans="1:19" x14ac:dyDescent="0.25">
      <c r="A422" t="s">
        <v>25</v>
      </c>
      <c r="B422" t="s">
        <v>63</v>
      </c>
      <c r="C422">
        <v>140</v>
      </c>
      <c r="D422" t="s">
        <v>341</v>
      </c>
      <c r="E422">
        <v>29.23</v>
      </c>
      <c r="F422">
        <v>13.89</v>
      </c>
      <c r="G422">
        <v>18.059999999999999</v>
      </c>
      <c r="H422">
        <v>31.96</v>
      </c>
      <c r="I422" t="s">
        <v>344</v>
      </c>
      <c r="J422">
        <v>149.16</v>
      </c>
      <c r="K422">
        <v>-4.03</v>
      </c>
      <c r="L422" t="s">
        <v>346</v>
      </c>
      <c r="M422" s="1">
        <v>4.0300000000000002E-2</v>
      </c>
      <c r="N422" t="s">
        <v>350</v>
      </c>
      <c r="O422">
        <v>2.37</v>
      </c>
      <c r="P422" t="s">
        <v>344</v>
      </c>
      <c r="Q422">
        <v>-1.1599999999999999</v>
      </c>
      <c r="R422" t="s">
        <v>343</v>
      </c>
      <c r="S422">
        <v>1</v>
      </c>
    </row>
    <row r="423" spans="1:19" x14ac:dyDescent="0.25">
      <c r="A423" t="s">
        <v>25</v>
      </c>
      <c r="B423" t="s">
        <v>64</v>
      </c>
      <c r="C423">
        <v>160</v>
      </c>
      <c r="D423" t="s">
        <v>341</v>
      </c>
      <c r="E423">
        <v>29.23</v>
      </c>
      <c r="F423">
        <v>13.25</v>
      </c>
      <c r="G423">
        <v>17.670000000000002</v>
      </c>
      <c r="H423">
        <v>30.92</v>
      </c>
      <c r="I423" t="s">
        <v>344</v>
      </c>
      <c r="J423">
        <v>148.6</v>
      </c>
      <c r="K423">
        <v>-2.77</v>
      </c>
      <c r="L423" t="s">
        <v>346</v>
      </c>
      <c r="M423" s="1">
        <v>2.7699999999999999E-2</v>
      </c>
      <c r="N423" t="s">
        <v>350</v>
      </c>
      <c r="O423">
        <v>1.72</v>
      </c>
      <c r="P423" t="s">
        <v>343</v>
      </c>
      <c r="Q423">
        <v>-0.83</v>
      </c>
      <c r="R423" t="s">
        <v>343</v>
      </c>
      <c r="S423">
        <v>1</v>
      </c>
    </row>
    <row r="424" spans="1:19" x14ac:dyDescent="0.25">
      <c r="A424" t="s">
        <v>25</v>
      </c>
      <c r="B424" t="s">
        <v>65</v>
      </c>
      <c r="C424">
        <v>180</v>
      </c>
      <c r="D424" t="s">
        <v>341</v>
      </c>
      <c r="E424">
        <v>29.23</v>
      </c>
      <c r="F424">
        <v>12.56</v>
      </c>
      <c r="G424">
        <v>17.670000000000002</v>
      </c>
      <c r="H424">
        <v>30.23</v>
      </c>
      <c r="I424" t="s">
        <v>344</v>
      </c>
      <c r="J424">
        <v>148.16</v>
      </c>
      <c r="K424">
        <v>-2.2200000000000002</v>
      </c>
      <c r="L424" t="s">
        <v>346</v>
      </c>
      <c r="M424" s="1">
        <v>2.2200000000000001E-2</v>
      </c>
      <c r="N424" t="s">
        <v>350</v>
      </c>
      <c r="O424">
        <v>5.0199999999999996</v>
      </c>
      <c r="P424" t="s">
        <v>343</v>
      </c>
      <c r="Q424">
        <v>-0.86</v>
      </c>
      <c r="R424" t="s">
        <v>343</v>
      </c>
      <c r="S424">
        <v>1</v>
      </c>
    </row>
    <row r="425" spans="1:19" x14ac:dyDescent="0.25">
      <c r="A425" t="s">
        <v>25</v>
      </c>
      <c r="B425" t="s">
        <v>66</v>
      </c>
      <c r="C425">
        <v>200</v>
      </c>
      <c r="D425" t="s">
        <v>341</v>
      </c>
      <c r="E425">
        <v>29.23</v>
      </c>
      <c r="F425">
        <v>12.5</v>
      </c>
      <c r="G425">
        <v>14.75</v>
      </c>
      <c r="H425">
        <v>27.25</v>
      </c>
      <c r="I425" t="s">
        <v>343</v>
      </c>
      <c r="J425">
        <v>147.79</v>
      </c>
      <c r="K425">
        <v>-1.85</v>
      </c>
      <c r="L425" t="s">
        <v>346</v>
      </c>
      <c r="M425" s="1">
        <v>1.8499999999999999E-2</v>
      </c>
      <c r="N425" t="s">
        <v>349</v>
      </c>
      <c r="O425">
        <v>5.25</v>
      </c>
      <c r="P425" t="s">
        <v>343</v>
      </c>
      <c r="Q425">
        <v>2.2799999999999998</v>
      </c>
      <c r="R425" t="s">
        <v>344</v>
      </c>
      <c r="S425">
        <v>1</v>
      </c>
    </row>
    <row r="426" spans="1:19" x14ac:dyDescent="0.25">
      <c r="A426" t="s">
        <v>25</v>
      </c>
      <c r="B426" t="s">
        <v>67</v>
      </c>
      <c r="C426">
        <v>220</v>
      </c>
      <c r="D426" t="s">
        <v>341</v>
      </c>
      <c r="E426">
        <v>29.23</v>
      </c>
      <c r="F426">
        <v>12.25</v>
      </c>
      <c r="G426">
        <v>13.17</v>
      </c>
      <c r="H426">
        <v>25.42</v>
      </c>
      <c r="I426" t="s">
        <v>343</v>
      </c>
      <c r="J426">
        <v>147.47999999999999</v>
      </c>
      <c r="K426">
        <v>-1.52</v>
      </c>
      <c r="L426" t="s">
        <v>346</v>
      </c>
      <c r="M426" s="1">
        <v>1.52E-2</v>
      </c>
      <c r="N426" t="s">
        <v>349</v>
      </c>
      <c r="O426">
        <v>6.29</v>
      </c>
      <c r="P426" t="s">
        <v>343</v>
      </c>
      <c r="Q426">
        <v>2.69</v>
      </c>
      <c r="R426" t="s">
        <v>344</v>
      </c>
      <c r="S426">
        <v>1</v>
      </c>
    </row>
    <row r="427" spans="1:19" x14ac:dyDescent="0.25">
      <c r="A427" t="s">
        <v>25</v>
      </c>
      <c r="B427" t="s">
        <v>68</v>
      </c>
      <c r="C427">
        <v>240</v>
      </c>
      <c r="D427" t="s">
        <v>341</v>
      </c>
      <c r="E427">
        <v>29.23</v>
      </c>
      <c r="F427">
        <v>11.96</v>
      </c>
      <c r="G427">
        <v>13.09</v>
      </c>
      <c r="H427">
        <v>25.05</v>
      </c>
      <c r="I427" t="s">
        <v>343</v>
      </c>
      <c r="J427">
        <v>147.04</v>
      </c>
      <c r="K427">
        <v>-2.2200000000000002</v>
      </c>
      <c r="L427" t="s">
        <v>346</v>
      </c>
      <c r="M427" s="1">
        <v>2.2200000000000001E-2</v>
      </c>
      <c r="N427" t="s">
        <v>350</v>
      </c>
      <c r="O427">
        <v>6.15</v>
      </c>
      <c r="P427" t="s">
        <v>343</v>
      </c>
      <c r="Q427">
        <v>3.47</v>
      </c>
      <c r="R427" t="s">
        <v>344</v>
      </c>
      <c r="S427">
        <v>1</v>
      </c>
    </row>
    <row r="428" spans="1:19" x14ac:dyDescent="0.25">
      <c r="A428" t="s">
        <v>25</v>
      </c>
      <c r="B428" t="s">
        <v>69</v>
      </c>
      <c r="C428">
        <v>260</v>
      </c>
      <c r="D428" t="s">
        <v>341</v>
      </c>
      <c r="E428">
        <v>29.23</v>
      </c>
      <c r="F428">
        <v>11.65</v>
      </c>
      <c r="G428">
        <v>12.69</v>
      </c>
      <c r="H428">
        <v>24.34</v>
      </c>
      <c r="I428" t="s">
        <v>343</v>
      </c>
      <c r="J428">
        <v>146.68</v>
      </c>
      <c r="K428">
        <v>-1.78</v>
      </c>
      <c r="L428" t="s">
        <v>346</v>
      </c>
      <c r="M428" s="1">
        <v>1.78E-2</v>
      </c>
      <c r="N428" t="s">
        <v>349</v>
      </c>
      <c r="O428">
        <v>6.73</v>
      </c>
      <c r="P428" t="s">
        <v>343</v>
      </c>
      <c r="Q428">
        <v>0.79</v>
      </c>
      <c r="R428" t="s">
        <v>343</v>
      </c>
      <c r="S428">
        <v>1</v>
      </c>
    </row>
    <row r="429" spans="1:19" x14ac:dyDescent="0.25">
      <c r="A429" t="s">
        <v>25</v>
      </c>
      <c r="B429" t="s">
        <v>70</v>
      </c>
      <c r="C429">
        <v>280</v>
      </c>
      <c r="D429" t="s">
        <v>341</v>
      </c>
      <c r="E429">
        <v>29.23</v>
      </c>
      <c r="F429">
        <v>12.47</v>
      </c>
      <c r="G429">
        <v>14.47</v>
      </c>
      <c r="H429">
        <v>26.93</v>
      </c>
      <c r="I429" t="s">
        <v>343</v>
      </c>
      <c r="J429">
        <v>146.37</v>
      </c>
      <c r="K429">
        <v>-1.59</v>
      </c>
      <c r="L429" t="s">
        <v>346</v>
      </c>
      <c r="M429" s="1">
        <v>1.5900000000000001E-2</v>
      </c>
      <c r="N429" t="s">
        <v>349</v>
      </c>
      <c r="O429">
        <v>5.88</v>
      </c>
      <c r="P429" t="s">
        <v>343</v>
      </c>
      <c r="Q429">
        <v>1.36</v>
      </c>
      <c r="R429" t="s">
        <v>343</v>
      </c>
      <c r="S429">
        <v>1</v>
      </c>
    </row>
    <row r="430" spans="1:19" x14ac:dyDescent="0.25">
      <c r="A430" t="s">
        <v>25</v>
      </c>
      <c r="B430" t="s">
        <v>71</v>
      </c>
      <c r="C430">
        <v>300</v>
      </c>
      <c r="D430" t="s">
        <v>341</v>
      </c>
      <c r="E430">
        <v>29.23</v>
      </c>
      <c r="F430">
        <v>13.75</v>
      </c>
      <c r="G430">
        <v>15.44</v>
      </c>
      <c r="H430">
        <v>29.19</v>
      </c>
      <c r="I430" t="s">
        <v>343</v>
      </c>
      <c r="J430">
        <v>146.01</v>
      </c>
      <c r="K430">
        <v>-1.78</v>
      </c>
      <c r="L430" t="s">
        <v>346</v>
      </c>
      <c r="M430" s="1">
        <v>1.78E-2</v>
      </c>
      <c r="N430" t="s">
        <v>349</v>
      </c>
      <c r="O430">
        <v>3.73</v>
      </c>
      <c r="P430" t="s">
        <v>344</v>
      </c>
      <c r="Q430">
        <v>2.0499999999999998</v>
      </c>
      <c r="R430" t="s">
        <v>344</v>
      </c>
      <c r="S430">
        <v>1</v>
      </c>
    </row>
    <row r="431" spans="1:19" x14ac:dyDescent="0.25">
      <c r="A431" t="s">
        <v>25</v>
      </c>
      <c r="B431" t="s">
        <v>72</v>
      </c>
      <c r="C431">
        <v>320</v>
      </c>
      <c r="D431" t="s">
        <v>341</v>
      </c>
      <c r="E431">
        <v>29.23</v>
      </c>
      <c r="F431">
        <v>14.3</v>
      </c>
      <c r="G431">
        <v>16.03</v>
      </c>
      <c r="H431">
        <v>30.33</v>
      </c>
      <c r="I431" t="s">
        <v>344</v>
      </c>
      <c r="J431">
        <v>145.59</v>
      </c>
      <c r="K431">
        <v>-2.1</v>
      </c>
      <c r="L431" t="s">
        <v>346</v>
      </c>
      <c r="M431" s="1">
        <v>2.1000000000000001E-2</v>
      </c>
      <c r="N431" t="s">
        <v>350</v>
      </c>
      <c r="O431">
        <v>3.25</v>
      </c>
      <c r="P431" t="s">
        <v>344</v>
      </c>
      <c r="Q431">
        <v>0.64</v>
      </c>
      <c r="R431" t="s">
        <v>343</v>
      </c>
      <c r="S431">
        <v>1</v>
      </c>
    </row>
    <row r="432" spans="1:19" x14ac:dyDescent="0.25">
      <c r="A432" t="s">
        <v>25</v>
      </c>
      <c r="B432" t="s">
        <v>73</v>
      </c>
      <c r="C432">
        <v>340</v>
      </c>
      <c r="D432" t="s">
        <v>341</v>
      </c>
      <c r="E432">
        <v>29.23</v>
      </c>
      <c r="F432">
        <v>15.83</v>
      </c>
      <c r="G432">
        <v>15.75</v>
      </c>
      <c r="H432">
        <v>31.58</v>
      </c>
      <c r="I432" t="s">
        <v>344</v>
      </c>
      <c r="J432">
        <v>144.84</v>
      </c>
      <c r="K432">
        <v>-3.75</v>
      </c>
      <c r="L432" t="s">
        <v>346</v>
      </c>
      <c r="M432" s="1">
        <v>3.7499999999999999E-2</v>
      </c>
      <c r="N432" t="s">
        <v>350</v>
      </c>
      <c r="O432">
        <v>2.4300000000000002</v>
      </c>
      <c r="P432" t="s">
        <v>344</v>
      </c>
      <c r="Q432">
        <v>2.12</v>
      </c>
      <c r="R432" t="s">
        <v>344</v>
      </c>
      <c r="S432">
        <v>1</v>
      </c>
    </row>
    <row r="433" spans="1:19" x14ac:dyDescent="0.25">
      <c r="A433" t="s">
        <v>25</v>
      </c>
      <c r="B433" t="s">
        <v>74</v>
      </c>
      <c r="C433">
        <v>360</v>
      </c>
      <c r="D433" t="s">
        <v>341</v>
      </c>
      <c r="E433">
        <v>29.23</v>
      </c>
      <c r="F433">
        <v>15.67</v>
      </c>
      <c r="G433">
        <v>20</v>
      </c>
      <c r="H433">
        <v>35.67</v>
      </c>
      <c r="I433" t="s">
        <v>344</v>
      </c>
      <c r="J433">
        <v>144.02000000000001</v>
      </c>
      <c r="K433">
        <v>-4.0999999999999996</v>
      </c>
      <c r="L433" t="s">
        <v>346</v>
      </c>
      <c r="M433" s="1">
        <v>4.0999999999999988E-2</v>
      </c>
      <c r="N433" t="s">
        <v>350</v>
      </c>
      <c r="O433">
        <v>2.14</v>
      </c>
      <c r="P433" t="s">
        <v>344</v>
      </c>
      <c r="Q433">
        <v>-0.6</v>
      </c>
      <c r="R433" t="s">
        <v>343</v>
      </c>
      <c r="S433">
        <v>1</v>
      </c>
    </row>
    <row r="434" spans="1:19" x14ac:dyDescent="0.25">
      <c r="A434" t="s">
        <v>25</v>
      </c>
      <c r="B434" t="s">
        <v>75</v>
      </c>
      <c r="C434">
        <v>380</v>
      </c>
      <c r="D434" t="s">
        <v>341</v>
      </c>
      <c r="E434">
        <v>29.23</v>
      </c>
      <c r="F434">
        <v>16.59</v>
      </c>
      <c r="G434">
        <v>20</v>
      </c>
      <c r="H434">
        <v>36.590000000000003</v>
      </c>
      <c r="I434" t="s">
        <v>344</v>
      </c>
      <c r="J434">
        <v>143.26</v>
      </c>
      <c r="K434">
        <v>-3.82</v>
      </c>
      <c r="L434" t="s">
        <v>346</v>
      </c>
      <c r="M434" s="1">
        <v>3.8199999999999998E-2</v>
      </c>
      <c r="N434" t="s">
        <v>350</v>
      </c>
      <c r="O434">
        <v>0.69</v>
      </c>
      <c r="P434" t="s">
        <v>343</v>
      </c>
      <c r="Q434">
        <v>0.64</v>
      </c>
      <c r="R434" t="s">
        <v>343</v>
      </c>
      <c r="S434">
        <v>1</v>
      </c>
    </row>
    <row r="435" spans="1:19" x14ac:dyDescent="0.25">
      <c r="A435" t="s">
        <v>25</v>
      </c>
      <c r="B435" t="s">
        <v>76</v>
      </c>
      <c r="C435">
        <v>400</v>
      </c>
      <c r="D435" t="s">
        <v>341</v>
      </c>
      <c r="E435">
        <v>29.23</v>
      </c>
      <c r="F435">
        <v>16.71</v>
      </c>
      <c r="G435">
        <v>20</v>
      </c>
      <c r="H435">
        <v>36.71</v>
      </c>
      <c r="I435" t="s">
        <v>344</v>
      </c>
      <c r="J435">
        <v>142.61000000000001</v>
      </c>
      <c r="K435">
        <v>-3.23</v>
      </c>
      <c r="L435" t="s">
        <v>346</v>
      </c>
      <c r="M435" s="1">
        <v>3.2300000000000002E-2</v>
      </c>
      <c r="N435" t="s">
        <v>350</v>
      </c>
      <c r="O435">
        <v>1.8</v>
      </c>
      <c r="P435" t="s">
        <v>343</v>
      </c>
      <c r="Q435">
        <v>7.0000000000000007E-2</v>
      </c>
      <c r="R435" t="s">
        <v>343</v>
      </c>
      <c r="S435">
        <v>1</v>
      </c>
    </row>
    <row r="436" spans="1:19" x14ac:dyDescent="0.25">
      <c r="A436" t="s">
        <v>25</v>
      </c>
      <c r="B436" t="s">
        <v>77</v>
      </c>
      <c r="C436">
        <v>420</v>
      </c>
      <c r="D436" t="s">
        <v>341</v>
      </c>
      <c r="E436">
        <v>29.23</v>
      </c>
      <c r="F436">
        <v>15</v>
      </c>
      <c r="G436">
        <v>20</v>
      </c>
      <c r="H436">
        <v>35</v>
      </c>
      <c r="I436" t="s">
        <v>344</v>
      </c>
      <c r="J436">
        <v>142.15</v>
      </c>
      <c r="K436">
        <v>-2.2999999999999998</v>
      </c>
      <c r="L436" t="s">
        <v>346</v>
      </c>
      <c r="M436" s="1">
        <v>2.3E-2</v>
      </c>
      <c r="N436" t="s">
        <v>350</v>
      </c>
      <c r="O436">
        <v>2.12</v>
      </c>
      <c r="P436" t="s">
        <v>344</v>
      </c>
      <c r="Q436">
        <v>0.47</v>
      </c>
      <c r="R436" t="s">
        <v>343</v>
      </c>
      <c r="S436">
        <v>1</v>
      </c>
    </row>
    <row r="437" spans="1:19" x14ac:dyDescent="0.25">
      <c r="A437" t="s">
        <v>25</v>
      </c>
      <c r="B437" t="s">
        <v>78</v>
      </c>
      <c r="C437">
        <v>440</v>
      </c>
      <c r="D437" t="s">
        <v>341</v>
      </c>
      <c r="E437">
        <v>29.23</v>
      </c>
      <c r="F437">
        <v>14.08</v>
      </c>
      <c r="G437">
        <v>20</v>
      </c>
      <c r="H437">
        <v>34.08</v>
      </c>
      <c r="I437" t="s">
        <v>344</v>
      </c>
      <c r="J437">
        <v>141.79</v>
      </c>
      <c r="K437">
        <v>-1.82</v>
      </c>
      <c r="L437" t="s">
        <v>346</v>
      </c>
      <c r="M437" s="1">
        <v>1.8200000000000001E-2</v>
      </c>
      <c r="N437" t="s">
        <v>349</v>
      </c>
      <c r="O437">
        <v>1.66</v>
      </c>
      <c r="P437" t="s">
        <v>343</v>
      </c>
      <c r="Q437">
        <v>0.2</v>
      </c>
      <c r="R437" t="s">
        <v>343</v>
      </c>
      <c r="S437">
        <v>1</v>
      </c>
    </row>
    <row r="438" spans="1:19" x14ac:dyDescent="0.25">
      <c r="A438" t="s">
        <v>25</v>
      </c>
      <c r="B438" t="s">
        <v>79</v>
      </c>
      <c r="C438">
        <v>460</v>
      </c>
      <c r="D438" t="s">
        <v>341</v>
      </c>
      <c r="E438">
        <v>29.23</v>
      </c>
      <c r="F438">
        <v>15</v>
      </c>
      <c r="G438">
        <v>20</v>
      </c>
      <c r="H438">
        <v>35</v>
      </c>
      <c r="I438" t="s">
        <v>344</v>
      </c>
      <c r="J438">
        <v>141.38</v>
      </c>
      <c r="K438">
        <v>-2.04</v>
      </c>
      <c r="L438" t="s">
        <v>346</v>
      </c>
      <c r="M438" s="1">
        <v>2.0400000000000001E-2</v>
      </c>
      <c r="N438" t="s">
        <v>350</v>
      </c>
      <c r="O438">
        <v>0.46</v>
      </c>
      <c r="P438" t="s">
        <v>343</v>
      </c>
      <c r="Q438">
        <v>0.54</v>
      </c>
      <c r="R438" t="s">
        <v>343</v>
      </c>
      <c r="S438">
        <v>1</v>
      </c>
    </row>
    <row r="439" spans="1:19" x14ac:dyDescent="0.25">
      <c r="A439" t="s">
        <v>25</v>
      </c>
      <c r="B439" t="s">
        <v>80</v>
      </c>
      <c r="C439">
        <v>480</v>
      </c>
      <c r="D439" t="s">
        <v>341</v>
      </c>
      <c r="E439">
        <v>29.23</v>
      </c>
      <c r="F439">
        <v>16.25</v>
      </c>
      <c r="G439">
        <v>20</v>
      </c>
      <c r="H439">
        <v>36.25</v>
      </c>
      <c r="I439" t="s">
        <v>344</v>
      </c>
      <c r="J439">
        <v>140.96</v>
      </c>
      <c r="K439">
        <v>-2.09</v>
      </c>
      <c r="L439" t="s">
        <v>346</v>
      </c>
      <c r="M439" s="1">
        <v>2.0899999999999998E-2</v>
      </c>
      <c r="N439" t="s">
        <v>350</v>
      </c>
      <c r="O439">
        <v>-2.0299999999999998</v>
      </c>
      <c r="P439" t="s">
        <v>344</v>
      </c>
      <c r="Q439">
        <v>0.11</v>
      </c>
      <c r="R439" t="s">
        <v>343</v>
      </c>
      <c r="S439">
        <v>1</v>
      </c>
    </row>
    <row r="440" spans="1:19" x14ac:dyDescent="0.25">
      <c r="A440" t="s">
        <v>25</v>
      </c>
      <c r="B440" t="s">
        <v>81</v>
      </c>
      <c r="C440">
        <v>500</v>
      </c>
      <c r="D440" t="s">
        <v>341</v>
      </c>
      <c r="E440">
        <v>29.23</v>
      </c>
      <c r="F440">
        <v>16.73</v>
      </c>
      <c r="G440">
        <v>20</v>
      </c>
      <c r="H440">
        <v>36.729999999999997</v>
      </c>
      <c r="I440" t="s">
        <v>344</v>
      </c>
      <c r="J440">
        <v>140.52000000000001</v>
      </c>
      <c r="K440">
        <v>-2.2000000000000002</v>
      </c>
      <c r="L440" t="s">
        <v>346</v>
      </c>
      <c r="M440" s="1">
        <v>2.1999999999999999E-2</v>
      </c>
      <c r="N440" t="s">
        <v>350</v>
      </c>
      <c r="O440">
        <v>-2.02</v>
      </c>
      <c r="P440" t="s">
        <v>344</v>
      </c>
      <c r="Q440">
        <v>-1.49</v>
      </c>
      <c r="R440" t="s">
        <v>343</v>
      </c>
      <c r="S440">
        <v>1</v>
      </c>
    </row>
    <row r="441" spans="1:19" x14ac:dyDescent="0.25">
      <c r="A441" t="s">
        <v>25</v>
      </c>
      <c r="B441" t="s">
        <v>82</v>
      </c>
      <c r="C441">
        <v>520</v>
      </c>
      <c r="D441" t="s">
        <v>341</v>
      </c>
      <c r="E441">
        <v>29.23</v>
      </c>
      <c r="F441">
        <v>16.73</v>
      </c>
      <c r="G441">
        <v>18.100000000000001</v>
      </c>
      <c r="H441">
        <v>34.83</v>
      </c>
      <c r="I441" t="s">
        <v>344</v>
      </c>
      <c r="J441">
        <v>140.22999999999999</v>
      </c>
      <c r="K441">
        <v>-1.43</v>
      </c>
      <c r="L441" t="s">
        <v>346</v>
      </c>
      <c r="M441" s="1">
        <v>1.43E-2</v>
      </c>
      <c r="N441" t="s">
        <v>349</v>
      </c>
      <c r="O441">
        <v>1.34</v>
      </c>
      <c r="P441" t="s">
        <v>343</v>
      </c>
      <c r="Q441">
        <v>-0.51</v>
      </c>
      <c r="R441" t="s">
        <v>343</v>
      </c>
      <c r="S441">
        <v>1</v>
      </c>
    </row>
    <row r="442" spans="1:19" x14ac:dyDescent="0.25">
      <c r="A442" t="s">
        <v>25</v>
      </c>
      <c r="B442" t="s">
        <v>83</v>
      </c>
      <c r="C442">
        <v>540</v>
      </c>
      <c r="D442" t="s">
        <v>341</v>
      </c>
      <c r="E442">
        <v>29.23</v>
      </c>
      <c r="F442">
        <v>16.73</v>
      </c>
      <c r="G442">
        <v>17.489999999999998</v>
      </c>
      <c r="H442">
        <v>34.22</v>
      </c>
      <c r="I442" t="s">
        <v>344</v>
      </c>
      <c r="J442">
        <v>139.88999999999999</v>
      </c>
      <c r="K442">
        <v>-1.74</v>
      </c>
      <c r="L442" t="s">
        <v>346</v>
      </c>
      <c r="M442" s="1">
        <v>1.7399999999999999E-2</v>
      </c>
      <c r="N442" t="s">
        <v>349</v>
      </c>
      <c r="O442">
        <v>-0.42</v>
      </c>
      <c r="P442" t="s">
        <v>343</v>
      </c>
      <c r="Q442">
        <v>0.98</v>
      </c>
      <c r="R442" t="s">
        <v>343</v>
      </c>
      <c r="S442">
        <v>1</v>
      </c>
    </row>
    <row r="443" spans="1:19" x14ac:dyDescent="0.25">
      <c r="A443" t="s">
        <v>25</v>
      </c>
      <c r="B443" t="s">
        <v>84</v>
      </c>
      <c r="C443">
        <v>560</v>
      </c>
      <c r="D443" t="s">
        <v>341</v>
      </c>
      <c r="E443">
        <v>29.23</v>
      </c>
      <c r="F443">
        <v>16.73</v>
      </c>
      <c r="G443">
        <v>17.97</v>
      </c>
      <c r="H443">
        <v>34.700000000000003</v>
      </c>
      <c r="I443" t="s">
        <v>344</v>
      </c>
      <c r="J443">
        <v>139.56</v>
      </c>
      <c r="K443">
        <v>-1.66</v>
      </c>
      <c r="L443" t="s">
        <v>346</v>
      </c>
      <c r="M443" s="1">
        <v>1.66E-2</v>
      </c>
      <c r="N443" t="s">
        <v>349</v>
      </c>
      <c r="O443">
        <v>-3.36</v>
      </c>
      <c r="P443" t="s">
        <v>344</v>
      </c>
      <c r="Q443">
        <v>2.57</v>
      </c>
      <c r="R443" t="s">
        <v>344</v>
      </c>
      <c r="S443">
        <v>1</v>
      </c>
    </row>
    <row r="444" spans="1:19" x14ac:dyDescent="0.25">
      <c r="A444" t="s">
        <v>25</v>
      </c>
      <c r="B444" t="s">
        <v>85</v>
      </c>
      <c r="C444">
        <v>580</v>
      </c>
      <c r="D444" t="s">
        <v>341</v>
      </c>
      <c r="E444">
        <v>29.23</v>
      </c>
      <c r="F444">
        <v>15.24</v>
      </c>
      <c r="G444">
        <v>20</v>
      </c>
      <c r="H444">
        <v>35.24</v>
      </c>
      <c r="I444" t="s">
        <v>344</v>
      </c>
      <c r="J444">
        <v>139.62</v>
      </c>
      <c r="K444">
        <v>0.34</v>
      </c>
      <c r="L444" t="s">
        <v>346</v>
      </c>
      <c r="M444" s="1">
        <v>3.3999999999999998E-3</v>
      </c>
      <c r="N444" t="s">
        <v>349</v>
      </c>
      <c r="O444">
        <v>0.12</v>
      </c>
      <c r="P444" t="s">
        <v>343</v>
      </c>
      <c r="Q444">
        <v>1.46</v>
      </c>
      <c r="R444" t="s">
        <v>343</v>
      </c>
      <c r="S444">
        <v>1</v>
      </c>
    </row>
    <row r="445" spans="1:19" x14ac:dyDescent="0.25">
      <c r="A445" t="s">
        <v>25</v>
      </c>
      <c r="B445" t="s">
        <v>86</v>
      </c>
      <c r="C445">
        <v>600</v>
      </c>
      <c r="D445" t="s">
        <v>341</v>
      </c>
      <c r="E445">
        <v>29.23</v>
      </c>
      <c r="F445">
        <v>17.64</v>
      </c>
      <c r="G445">
        <v>20</v>
      </c>
      <c r="H445">
        <v>37.64</v>
      </c>
      <c r="I445" t="s">
        <v>344</v>
      </c>
      <c r="J445">
        <v>139.29</v>
      </c>
      <c r="K445">
        <v>-1.67</v>
      </c>
      <c r="L445" t="s">
        <v>346</v>
      </c>
      <c r="M445" s="1">
        <v>1.67E-2</v>
      </c>
      <c r="N445" t="s">
        <v>349</v>
      </c>
      <c r="O445">
        <v>-0.94</v>
      </c>
      <c r="P445" t="s">
        <v>343</v>
      </c>
      <c r="Q445">
        <v>2.82</v>
      </c>
      <c r="R445" t="s">
        <v>344</v>
      </c>
      <c r="S445">
        <v>1</v>
      </c>
    </row>
    <row r="446" spans="1:19" x14ac:dyDescent="0.25">
      <c r="A446" t="s">
        <v>25</v>
      </c>
      <c r="B446" t="s">
        <v>87</v>
      </c>
      <c r="C446">
        <v>620</v>
      </c>
      <c r="D446" t="s">
        <v>341</v>
      </c>
      <c r="E446">
        <v>29.23</v>
      </c>
      <c r="F446">
        <v>16.29</v>
      </c>
      <c r="G446">
        <v>20</v>
      </c>
      <c r="H446">
        <v>36.29</v>
      </c>
      <c r="I446" t="s">
        <v>344</v>
      </c>
      <c r="J446">
        <v>139.19</v>
      </c>
      <c r="K446">
        <v>-0.48</v>
      </c>
      <c r="L446" t="s">
        <v>346</v>
      </c>
      <c r="M446" s="1">
        <v>4.7999999999999996E-3</v>
      </c>
      <c r="N446" t="s">
        <v>349</v>
      </c>
      <c r="O446">
        <v>-0.79</v>
      </c>
      <c r="P446" t="s">
        <v>343</v>
      </c>
      <c r="Q446">
        <v>1.48</v>
      </c>
      <c r="R446" t="s">
        <v>343</v>
      </c>
      <c r="S446">
        <v>1</v>
      </c>
    </row>
    <row r="447" spans="1:19" x14ac:dyDescent="0.25">
      <c r="A447" t="s">
        <v>25</v>
      </c>
      <c r="B447" t="s">
        <v>88</v>
      </c>
      <c r="C447">
        <v>640</v>
      </c>
      <c r="D447" t="s">
        <v>341</v>
      </c>
      <c r="E447">
        <v>29.23</v>
      </c>
      <c r="F447">
        <v>20</v>
      </c>
      <c r="G447">
        <v>20</v>
      </c>
      <c r="H447">
        <v>40</v>
      </c>
      <c r="I447" t="s">
        <v>344</v>
      </c>
      <c r="J447">
        <v>139.36000000000001</v>
      </c>
      <c r="K447">
        <v>0.84</v>
      </c>
      <c r="L447" t="s">
        <v>346</v>
      </c>
      <c r="M447" s="1">
        <v>8.3999999999999995E-3</v>
      </c>
      <c r="N447" t="s">
        <v>349</v>
      </c>
      <c r="O447">
        <v>-0.56000000000000005</v>
      </c>
      <c r="P447" t="s">
        <v>343</v>
      </c>
      <c r="Q447">
        <v>0.79</v>
      </c>
      <c r="R447" t="s">
        <v>343</v>
      </c>
      <c r="S447">
        <v>1</v>
      </c>
    </row>
    <row r="448" spans="1:19" x14ac:dyDescent="0.25">
      <c r="A448" t="s">
        <v>25</v>
      </c>
      <c r="B448" t="s">
        <v>89</v>
      </c>
      <c r="C448">
        <v>660</v>
      </c>
      <c r="D448" t="s">
        <v>341</v>
      </c>
      <c r="E448">
        <v>29.23</v>
      </c>
      <c r="F448">
        <v>20</v>
      </c>
      <c r="G448">
        <v>20</v>
      </c>
      <c r="H448">
        <v>40</v>
      </c>
      <c r="I448" t="s">
        <v>344</v>
      </c>
      <c r="J448">
        <v>139.49</v>
      </c>
      <c r="K448">
        <v>0.65</v>
      </c>
      <c r="L448" t="s">
        <v>346</v>
      </c>
      <c r="M448" s="1">
        <v>6.5000000000000006E-3</v>
      </c>
      <c r="N448" t="s">
        <v>349</v>
      </c>
      <c r="O448">
        <v>0.35</v>
      </c>
      <c r="P448" t="s">
        <v>343</v>
      </c>
      <c r="Q448">
        <v>1.67</v>
      </c>
      <c r="R448" t="s">
        <v>343</v>
      </c>
      <c r="S448">
        <v>1</v>
      </c>
    </row>
    <row r="449" spans="1:19" x14ac:dyDescent="0.25">
      <c r="A449" t="s">
        <v>25</v>
      </c>
      <c r="B449" t="s">
        <v>90</v>
      </c>
      <c r="C449">
        <v>680</v>
      </c>
      <c r="D449" t="s">
        <v>341</v>
      </c>
      <c r="E449">
        <v>29.23</v>
      </c>
      <c r="F449">
        <v>20</v>
      </c>
      <c r="G449">
        <v>20</v>
      </c>
      <c r="H449">
        <v>40</v>
      </c>
      <c r="I449" t="s">
        <v>344</v>
      </c>
      <c r="J449">
        <v>139.38999999999999</v>
      </c>
      <c r="K449">
        <v>-0.51</v>
      </c>
      <c r="L449" t="s">
        <v>346</v>
      </c>
      <c r="M449" s="1">
        <v>5.1000000000000004E-3</v>
      </c>
      <c r="N449" t="s">
        <v>349</v>
      </c>
      <c r="O449">
        <v>0.04</v>
      </c>
      <c r="P449" t="s">
        <v>343</v>
      </c>
      <c r="Q449">
        <v>2.02</v>
      </c>
      <c r="R449" t="s">
        <v>344</v>
      </c>
      <c r="S449">
        <v>1</v>
      </c>
    </row>
    <row r="450" spans="1:19" x14ac:dyDescent="0.25">
      <c r="A450" t="s">
        <v>25</v>
      </c>
      <c r="B450" t="s">
        <v>91</v>
      </c>
      <c r="C450">
        <v>700</v>
      </c>
      <c r="D450" t="s">
        <v>341</v>
      </c>
      <c r="E450">
        <v>29.23</v>
      </c>
      <c r="F450">
        <v>20</v>
      </c>
      <c r="G450">
        <v>20</v>
      </c>
      <c r="H450">
        <v>40</v>
      </c>
      <c r="I450" t="s">
        <v>344</v>
      </c>
      <c r="J450">
        <v>139.28</v>
      </c>
      <c r="K450">
        <v>-0.56000000000000005</v>
      </c>
      <c r="L450" t="s">
        <v>346</v>
      </c>
      <c r="M450" s="1">
        <v>5.6000000000000008E-3</v>
      </c>
      <c r="N450" t="s">
        <v>349</v>
      </c>
      <c r="O450">
        <v>1.59</v>
      </c>
      <c r="P450" t="s">
        <v>343</v>
      </c>
      <c r="Q450">
        <v>2.75</v>
      </c>
      <c r="R450" t="s">
        <v>344</v>
      </c>
      <c r="S450">
        <v>1</v>
      </c>
    </row>
    <row r="451" spans="1:19" x14ac:dyDescent="0.25">
      <c r="A451" t="s">
        <v>25</v>
      </c>
      <c r="B451" t="s">
        <v>92</v>
      </c>
      <c r="C451">
        <v>720</v>
      </c>
      <c r="D451" t="s">
        <v>341</v>
      </c>
      <c r="E451">
        <v>29.23</v>
      </c>
      <c r="F451">
        <v>16.989999999999998</v>
      </c>
      <c r="G451">
        <v>20</v>
      </c>
      <c r="H451">
        <v>36.99</v>
      </c>
      <c r="I451" t="s">
        <v>344</v>
      </c>
      <c r="J451">
        <v>138.96</v>
      </c>
      <c r="K451">
        <v>-1.6</v>
      </c>
      <c r="L451" t="s">
        <v>346</v>
      </c>
      <c r="M451" s="1">
        <v>1.6E-2</v>
      </c>
      <c r="N451" t="s">
        <v>349</v>
      </c>
      <c r="O451">
        <v>1.83</v>
      </c>
      <c r="P451" t="s">
        <v>343</v>
      </c>
      <c r="Q451">
        <v>2.77</v>
      </c>
      <c r="R451" t="s">
        <v>344</v>
      </c>
      <c r="S451">
        <v>1</v>
      </c>
    </row>
    <row r="452" spans="1:19" x14ac:dyDescent="0.25">
      <c r="A452" t="s">
        <v>25</v>
      </c>
      <c r="B452" t="s">
        <v>93</v>
      </c>
      <c r="C452">
        <v>740</v>
      </c>
      <c r="D452" t="s">
        <v>341</v>
      </c>
      <c r="E452">
        <v>29.23</v>
      </c>
      <c r="F452">
        <v>16.52</v>
      </c>
      <c r="G452">
        <v>20</v>
      </c>
      <c r="H452">
        <v>36.520000000000003</v>
      </c>
      <c r="I452" t="s">
        <v>344</v>
      </c>
      <c r="J452">
        <v>138.63</v>
      </c>
      <c r="K452">
        <v>-1.63</v>
      </c>
      <c r="L452" t="s">
        <v>346</v>
      </c>
      <c r="M452" s="1">
        <v>1.6299999999999999E-2</v>
      </c>
      <c r="N452" t="s">
        <v>349</v>
      </c>
      <c r="O452">
        <v>0.41</v>
      </c>
      <c r="P452" t="s">
        <v>343</v>
      </c>
      <c r="Q452">
        <v>2.97</v>
      </c>
      <c r="R452" t="s">
        <v>344</v>
      </c>
      <c r="S452">
        <v>1</v>
      </c>
    </row>
    <row r="453" spans="1:19" x14ac:dyDescent="0.25">
      <c r="A453" t="s">
        <v>25</v>
      </c>
      <c r="B453" t="s">
        <v>94</v>
      </c>
      <c r="C453">
        <v>760</v>
      </c>
      <c r="D453" t="s">
        <v>341</v>
      </c>
      <c r="E453">
        <v>29.23</v>
      </c>
      <c r="F453">
        <v>16.16</v>
      </c>
      <c r="G453">
        <v>20</v>
      </c>
      <c r="H453">
        <v>36.159999999999997</v>
      </c>
      <c r="I453" t="s">
        <v>344</v>
      </c>
      <c r="J453">
        <v>138.16</v>
      </c>
      <c r="K453">
        <v>-2.34</v>
      </c>
      <c r="L453" t="s">
        <v>346</v>
      </c>
      <c r="M453" s="1">
        <v>2.3400000000000001E-2</v>
      </c>
      <c r="N453" t="s">
        <v>350</v>
      </c>
      <c r="O453">
        <v>-0.46</v>
      </c>
      <c r="P453" t="s">
        <v>343</v>
      </c>
      <c r="Q453">
        <v>2.42</v>
      </c>
      <c r="R453" t="s">
        <v>344</v>
      </c>
      <c r="S453">
        <v>1</v>
      </c>
    </row>
    <row r="454" spans="1:19" x14ac:dyDescent="0.25">
      <c r="A454" t="s">
        <v>25</v>
      </c>
      <c r="B454" t="s">
        <v>95</v>
      </c>
      <c r="C454">
        <v>780</v>
      </c>
      <c r="D454" t="s">
        <v>341</v>
      </c>
      <c r="E454">
        <v>29.23</v>
      </c>
      <c r="F454">
        <v>16.62</v>
      </c>
      <c r="G454">
        <v>20</v>
      </c>
      <c r="H454">
        <v>36.619999999999997</v>
      </c>
      <c r="I454" t="s">
        <v>344</v>
      </c>
      <c r="J454">
        <v>137.66</v>
      </c>
      <c r="K454">
        <v>-2.54</v>
      </c>
      <c r="L454" t="s">
        <v>346</v>
      </c>
      <c r="M454" s="1">
        <v>2.5399999999999999E-2</v>
      </c>
      <c r="N454" t="s">
        <v>350</v>
      </c>
      <c r="O454">
        <v>-0.46</v>
      </c>
      <c r="P454" t="s">
        <v>343</v>
      </c>
      <c r="Q454">
        <v>2.78</v>
      </c>
      <c r="R454" t="s">
        <v>344</v>
      </c>
      <c r="S454">
        <v>1</v>
      </c>
    </row>
    <row r="455" spans="1:19" x14ac:dyDescent="0.25">
      <c r="A455" t="s">
        <v>25</v>
      </c>
      <c r="B455" t="s">
        <v>96</v>
      </c>
      <c r="C455">
        <v>800</v>
      </c>
      <c r="D455" t="s">
        <v>341</v>
      </c>
      <c r="E455">
        <v>29.23</v>
      </c>
      <c r="F455">
        <v>16.62</v>
      </c>
      <c r="G455">
        <v>20</v>
      </c>
      <c r="H455">
        <v>36.619999999999997</v>
      </c>
      <c r="I455" t="s">
        <v>344</v>
      </c>
      <c r="J455">
        <v>138.94</v>
      </c>
      <c r="K455">
        <v>6.42</v>
      </c>
      <c r="L455" t="s">
        <v>346</v>
      </c>
      <c r="M455" s="1">
        <v>6.4199999999999993E-2</v>
      </c>
      <c r="N455" t="s">
        <v>350</v>
      </c>
      <c r="O455">
        <v>-0.32</v>
      </c>
      <c r="P455" t="s">
        <v>343</v>
      </c>
      <c r="Q455">
        <v>2.76</v>
      </c>
      <c r="R455" t="s">
        <v>344</v>
      </c>
      <c r="S455">
        <v>1</v>
      </c>
    </row>
    <row r="456" spans="1:19" x14ac:dyDescent="0.25">
      <c r="A456" t="s">
        <v>25</v>
      </c>
      <c r="B456" t="s">
        <v>97</v>
      </c>
      <c r="C456">
        <v>820</v>
      </c>
      <c r="D456" t="s">
        <v>341</v>
      </c>
      <c r="E456">
        <v>29.23</v>
      </c>
      <c r="F456">
        <v>16.62</v>
      </c>
      <c r="G456">
        <v>20</v>
      </c>
      <c r="H456">
        <v>36.619999999999997</v>
      </c>
      <c r="I456" t="s">
        <v>344</v>
      </c>
      <c r="J456">
        <v>138.07</v>
      </c>
      <c r="K456">
        <v>-4.3499999999999996</v>
      </c>
      <c r="L456" t="s">
        <v>346</v>
      </c>
      <c r="M456" s="1">
        <v>4.3499999999999997E-2</v>
      </c>
      <c r="N456" t="s">
        <v>350</v>
      </c>
      <c r="O456">
        <v>-0.94</v>
      </c>
      <c r="P456" t="s">
        <v>343</v>
      </c>
      <c r="Q456">
        <v>-0.73</v>
      </c>
      <c r="R456" t="s">
        <v>343</v>
      </c>
      <c r="S456">
        <v>1</v>
      </c>
    </row>
    <row r="457" spans="1:19" x14ac:dyDescent="0.25">
      <c r="A457" t="s">
        <v>25</v>
      </c>
      <c r="B457" t="s">
        <v>98</v>
      </c>
      <c r="C457">
        <v>840</v>
      </c>
      <c r="D457" t="s">
        <v>341</v>
      </c>
      <c r="E457">
        <v>29.23</v>
      </c>
      <c r="F457">
        <v>15.9</v>
      </c>
      <c r="G457">
        <v>20</v>
      </c>
      <c r="H457">
        <v>35.9</v>
      </c>
      <c r="I457" t="s">
        <v>344</v>
      </c>
      <c r="J457">
        <v>136.54</v>
      </c>
      <c r="K457">
        <v>-7.62</v>
      </c>
      <c r="L457" t="s">
        <v>346</v>
      </c>
      <c r="M457" s="1">
        <v>7.6200000000000004E-2</v>
      </c>
      <c r="N457" t="s">
        <v>350</v>
      </c>
      <c r="O457">
        <v>1.17</v>
      </c>
      <c r="P457" t="s">
        <v>343</v>
      </c>
      <c r="Q457">
        <v>0.43</v>
      </c>
      <c r="R457" t="s">
        <v>343</v>
      </c>
      <c r="S457">
        <v>1</v>
      </c>
    </row>
    <row r="458" spans="1:19" x14ac:dyDescent="0.25">
      <c r="A458" t="s">
        <v>25</v>
      </c>
      <c r="B458" t="s">
        <v>99</v>
      </c>
      <c r="C458">
        <v>860</v>
      </c>
      <c r="D458" t="s">
        <v>341</v>
      </c>
      <c r="E458">
        <v>29.23</v>
      </c>
      <c r="F458">
        <v>15.67</v>
      </c>
      <c r="G458">
        <v>12.7</v>
      </c>
      <c r="H458">
        <v>28.37</v>
      </c>
      <c r="I458" t="s">
        <v>343</v>
      </c>
      <c r="J458">
        <v>137.49</v>
      </c>
      <c r="K458">
        <v>4.71</v>
      </c>
      <c r="L458" t="s">
        <v>346</v>
      </c>
      <c r="M458" s="1">
        <v>4.7100000000000003E-2</v>
      </c>
      <c r="N458" t="s">
        <v>350</v>
      </c>
      <c r="O458">
        <v>2.2000000000000002</v>
      </c>
      <c r="P458" t="s">
        <v>344</v>
      </c>
      <c r="Q458">
        <v>0.84</v>
      </c>
      <c r="R458" t="s">
        <v>343</v>
      </c>
      <c r="S458">
        <v>1</v>
      </c>
    </row>
    <row r="459" spans="1:19" x14ac:dyDescent="0.25">
      <c r="A459" t="s">
        <v>25</v>
      </c>
      <c r="B459" t="s">
        <v>100</v>
      </c>
      <c r="C459">
        <v>880</v>
      </c>
      <c r="D459" t="s">
        <v>341</v>
      </c>
      <c r="E459">
        <v>29.23</v>
      </c>
      <c r="F459">
        <v>14.83</v>
      </c>
      <c r="G459">
        <v>13.8</v>
      </c>
      <c r="H459">
        <v>28.63</v>
      </c>
      <c r="I459" t="s">
        <v>343</v>
      </c>
      <c r="J459">
        <v>135.19</v>
      </c>
      <c r="K459">
        <v>-11.49</v>
      </c>
      <c r="L459" t="s">
        <v>348</v>
      </c>
      <c r="M459" s="1">
        <v>0.1149</v>
      </c>
      <c r="N459" t="s">
        <v>350</v>
      </c>
      <c r="O459">
        <v>4.16</v>
      </c>
      <c r="P459" t="s">
        <v>343</v>
      </c>
      <c r="Q459">
        <v>2.61</v>
      </c>
      <c r="R459" t="s">
        <v>344</v>
      </c>
      <c r="S459">
        <v>1</v>
      </c>
    </row>
    <row r="460" spans="1:19" x14ac:dyDescent="0.25">
      <c r="A460" t="s">
        <v>25</v>
      </c>
      <c r="B460" t="s">
        <v>101</v>
      </c>
      <c r="C460">
        <v>900</v>
      </c>
      <c r="D460" t="s">
        <v>341</v>
      </c>
      <c r="E460">
        <v>29.23</v>
      </c>
      <c r="F460">
        <v>15.39</v>
      </c>
      <c r="G460">
        <v>12.98</v>
      </c>
      <c r="H460">
        <v>28.37</v>
      </c>
      <c r="I460" t="s">
        <v>343</v>
      </c>
      <c r="J460">
        <v>134.49</v>
      </c>
      <c r="K460">
        <v>-3.48</v>
      </c>
      <c r="L460" t="s">
        <v>346</v>
      </c>
      <c r="M460" s="1">
        <v>3.4799999999999998E-2</v>
      </c>
      <c r="N460" t="s">
        <v>350</v>
      </c>
      <c r="O460">
        <v>3.32</v>
      </c>
      <c r="P460" t="s">
        <v>344</v>
      </c>
      <c r="Q460">
        <v>1.85</v>
      </c>
      <c r="R460" t="s">
        <v>343</v>
      </c>
      <c r="S460">
        <v>1</v>
      </c>
    </row>
    <row r="461" spans="1:19" x14ac:dyDescent="0.25">
      <c r="A461" t="s">
        <v>25</v>
      </c>
      <c r="B461" t="s">
        <v>102</v>
      </c>
      <c r="C461">
        <v>920</v>
      </c>
      <c r="D461" t="s">
        <v>341</v>
      </c>
      <c r="E461">
        <v>29.23</v>
      </c>
      <c r="F461">
        <v>15.59</v>
      </c>
      <c r="G461">
        <v>12.15</v>
      </c>
      <c r="H461">
        <v>27.73</v>
      </c>
      <c r="I461" t="s">
        <v>343</v>
      </c>
      <c r="J461">
        <v>133.97</v>
      </c>
      <c r="K461">
        <v>-2.61</v>
      </c>
      <c r="L461" t="s">
        <v>346</v>
      </c>
      <c r="M461" s="1">
        <v>2.6100000000000002E-2</v>
      </c>
      <c r="N461" t="s">
        <v>350</v>
      </c>
      <c r="O461">
        <v>3.81</v>
      </c>
      <c r="P461" t="s">
        <v>344</v>
      </c>
      <c r="Q461">
        <v>2.16</v>
      </c>
      <c r="R461" t="s">
        <v>344</v>
      </c>
      <c r="S461">
        <v>1</v>
      </c>
    </row>
    <row r="462" spans="1:19" x14ac:dyDescent="0.25">
      <c r="A462" t="s">
        <v>25</v>
      </c>
      <c r="B462" t="s">
        <v>103</v>
      </c>
      <c r="C462">
        <v>940</v>
      </c>
      <c r="D462" t="s">
        <v>341</v>
      </c>
      <c r="E462">
        <v>29.23</v>
      </c>
      <c r="F462">
        <v>14.99</v>
      </c>
      <c r="G462">
        <v>13.56</v>
      </c>
      <c r="H462">
        <v>28.55</v>
      </c>
      <c r="I462" t="s">
        <v>343</v>
      </c>
      <c r="J462">
        <v>133.59</v>
      </c>
      <c r="K462">
        <v>-1.93</v>
      </c>
      <c r="L462" t="s">
        <v>346</v>
      </c>
      <c r="M462" s="1">
        <v>1.9300000000000001E-2</v>
      </c>
      <c r="N462" t="s">
        <v>349</v>
      </c>
      <c r="O462">
        <v>3.68</v>
      </c>
      <c r="P462" t="s">
        <v>344</v>
      </c>
      <c r="Q462">
        <v>-0.81</v>
      </c>
      <c r="R462" t="s">
        <v>343</v>
      </c>
      <c r="S462">
        <v>1</v>
      </c>
    </row>
    <row r="463" spans="1:19" x14ac:dyDescent="0.25">
      <c r="A463" t="s">
        <v>25</v>
      </c>
      <c r="B463" t="s">
        <v>104</v>
      </c>
      <c r="C463">
        <v>960</v>
      </c>
      <c r="D463" t="s">
        <v>341</v>
      </c>
      <c r="E463">
        <v>29.23</v>
      </c>
      <c r="F463">
        <v>15.49</v>
      </c>
      <c r="G463">
        <v>15.08</v>
      </c>
      <c r="H463">
        <v>30.57</v>
      </c>
      <c r="I463" t="s">
        <v>344</v>
      </c>
      <c r="J463">
        <v>133.58000000000001</v>
      </c>
      <c r="K463">
        <v>-0.01</v>
      </c>
      <c r="L463" t="s">
        <v>346</v>
      </c>
      <c r="M463" s="1">
        <v>1E-4</v>
      </c>
      <c r="N463" t="s">
        <v>349</v>
      </c>
      <c r="O463">
        <v>2.66</v>
      </c>
      <c r="P463" t="s">
        <v>344</v>
      </c>
      <c r="Q463">
        <v>0.02</v>
      </c>
      <c r="R463" t="s">
        <v>343</v>
      </c>
      <c r="S463">
        <v>1</v>
      </c>
    </row>
    <row r="464" spans="1:19" x14ac:dyDescent="0.25">
      <c r="A464" t="s">
        <v>25</v>
      </c>
      <c r="B464" t="s">
        <v>105</v>
      </c>
      <c r="C464">
        <v>980</v>
      </c>
      <c r="D464" t="s">
        <v>341</v>
      </c>
      <c r="E464">
        <v>29.23</v>
      </c>
      <c r="F464">
        <v>15.88</v>
      </c>
      <c r="G464">
        <v>16.010000000000002</v>
      </c>
      <c r="H464">
        <v>31.89</v>
      </c>
      <c r="I464" t="s">
        <v>344</v>
      </c>
      <c r="J464">
        <v>135.33000000000001</v>
      </c>
      <c r="K464">
        <v>8.73</v>
      </c>
      <c r="L464" t="s">
        <v>347</v>
      </c>
      <c r="M464" s="1">
        <v>8.7300000000000003E-2</v>
      </c>
      <c r="N464" t="s">
        <v>350</v>
      </c>
      <c r="O464">
        <v>2.42</v>
      </c>
      <c r="P464" t="s">
        <v>344</v>
      </c>
      <c r="Q464">
        <v>1</v>
      </c>
      <c r="R464" t="s">
        <v>343</v>
      </c>
      <c r="S464">
        <v>1</v>
      </c>
    </row>
    <row r="465" spans="1:19" x14ac:dyDescent="0.25">
      <c r="A465" t="s">
        <v>25</v>
      </c>
      <c r="B465" t="s">
        <v>106</v>
      </c>
      <c r="C465">
        <v>1000</v>
      </c>
      <c r="D465" t="s">
        <v>341</v>
      </c>
      <c r="E465">
        <v>29.23</v>
      </c>
      <c r="F465">
        <v>15.88</v>
      </c>
      <c r="G465">
        <v>16.010000000000002</v>
      </c>
      <c r="H465">
        <v>31.89</v>
      </c>
      <c r="I465" t="s">
        <v>344</v>
      </c>
      <c r="J465">
        <v>133.56</v>
      </c>
      <c r="K465">
        <v>-8.84</v>
      </c>
      <c r="L465" t="s">
        <v>347</v>
      </c>
      <c r="M465" s="1">
        <v>8.8399999999999992E-2</v>
      </c>
      <c r="N465" t="s">
        <v>350</v>
      </c>
      <c r="O465">
        <v>1.08</v>
      </c>
      <c r="P465" t="s">
        <v>343</v>
      </c>
      <c r="Q465">
        <v>4.41</v>
      </c>
      <c r="R465" t="s">
        <v>343</v>
      </c>
      <c r="S465">
        <v>1</v>
      </c>
    </row>
    <row r="466" spans="1:19" x14ac:dyDescent="0.25">
      <c r="A466" t="s">
        <v>25</v>
      </c>
      <c r="B466" t="s">
        <v>169</v>
      </c>
      <c r="C466">
        <v>1001.097</v>
      </c>
      <c r="D466" t="s">
        <v>341</v>
      </c>
      <c r="E466">
        <v>29.23</v>
      </c>
      <c r="F466">
        <v>15.88</v>
      </c>
      <c r="G466">
        <v>16.010000000000002</v>
      </c>
      <c r="H466">
        <v>31.89</v>
      </c>
      <c r="I466" t="s">
        <v>344</v>
      </c>
      <c r="J466">
        <v>133.47999999999999</v>
      </c>
      <c r="K466">
        <v>-7.83</v>
      </c>
      <c r="L466" t="s">
        <v>346</v>
      </c>
      <c r="M466" s="1">
        <v>7.8299999999999995E-2</v>
      </c>
      <c r="N466" t="s">
        <v>350</v>
      </c>
      <c r="O466">
        <v>0.57999999999999996</v>
      </c>
      <c r="P466" t="s">
        <v>343</v>
      </c>
      <c r="Q466">
        <v>3.79</v>
      </c>
      <c r="R466" t="s">
        <v>344</v>
      </c>
      <c r="S466">
        <v>0</v>
      </c>
    </row>
    <row r="467" spans="1:19" x14ac:dyDescent="0.25">
      <c r="A467" t="s">
        <v>26</v>
      </c>
      <c r="B467" t="s">
        <v>56</v>
      </c>
      <c r="C467">
        <v>0</v>
      </c>
      <c r="D467" t="s">
        <v>341</v>
      </c>
      <c r="E467">
        <v>29.23</v>
      </c>
      <c r="F467">
        <v>15.17</v>
      </c>
      <c r="G467">
        <v>15.27</v>
      </c>
      <c r="H467">
        <v>30.44</v>
      </c>
      <c r="I467" t="s">
        <v>344</v>
      </c>
      <c r="J467">
        <v>133.69999999999999</v>
      </c>
      <c r="L467" t="s">
        <v>345</v>
      </c>
      <c r="N467" t="s">
        <v>345</v>
      </c>
      <c r="O467">
        <v>3.12</v>
      </c>
      <c r="P467" t="s">
        <v>344</v>
      </c>
      <c r="Q467">
        <v>-1.65</v>
      </c>
      <c r="R467" t="s">
        <v>343</v>
      </c>
      <c r="S467">
        <v>1</v>
      </c>
    </row>
    <row r="468" spans="1:19" x14ac:dyDescent="0.25">
      <c r="A468" t="s">
        <v>26</v>
      </c>
      <c r="B468" t="s">
        <v>57</v>
      </c>
      <c r="C468">
        <v>20</v>
      </c>
      <c r="D468" t="s">
        <v>341</v>
      </c>
      <c r="E468">
        <v>29.23</v>
      </c>
      <c r="F468">
        <v>13.73</v>
      </c>
      <c r="G468">
        <v>15.27</v>
      </c>
      <c r="H468">
        <v>29</v>
      </c>
      <c r="I468" t="s">
        <v>343</v>
      </c>
      <c r="J468">
        <v>134.18</v>
      </c>
      <c r="K468">
        <v>2.39</v>
      </c>
      <c r="L468" t="s">
        <v>346</v>
      </c>
      <c r="M468" s="1">
        <v>2.3900000000000001E-2</v>
      </c>
      <c r="N468" t="s">
        <v>350</v>
      </c>
      <c r="O468">
        <v>4.59</v>
      </c>
      <c r="P468" t="s">
        <v>343</v>
      </c>
      <c r="Q468">
        <v>-1.02</v>
      </c>
      <c r="R468" t="s">
        <v>343</v>
      </c>
      <c r="S468">
        <v>1</v>
      </c>
    </row>
    <row r="469" spans="1:19" x14ac:dyDescent="0.25">
      <c r="A469" t="s">
        <v>26</v>
      </c>
      <c r="B469" t="s">
        <v>58</v>
      </c>
      <c r="C469">
        <v>40</v>
      </c>
      <c r="D469" t="s">
        <v>341</v>
      </c>
      <c r="E469">
        <v>29.23</v>
      </c>
      <c r="F469">
        <v>13.15</v>
      </c>
      <c r="G469">
        <v>15.27</v>
      </c>
      <c r="H469">
        <v>28.42</v>
      </c>
      <c r="I469" t="s">
        <v>343</v>
      </c>
      <c r="J469">
        <v>134.31</v>
      </c>
      <c r="K469">
        <v>0.68</v>
      </c>
      <c r="L469" t="s">
        <v>346</v>
      </c>
      <c r="M469" s="1">
        <v>6.7999999999999996E-3</v>
      </c>
      <c r="N469" t="s">
        <v>349</v>
      </c>
      <c r="O469">
        <v>4.8899999999999997</v>
      </c>
      <c r="P469" t="s">
        <v>343</v>
      </c>
      <c r="Q469">
        <v>-1.42</v>
      </c>
      <c r="R469" t="s">
        <v>343</v>
      </c>
      <c r="S469">
        <v>1</v>
      </c>
    </row>
    <row r="470" spans="1:19" x14ac:dyDescent="0.25">
      <c r="A470" t="s">
        <v>26</v>
      </c>
      <c r="B470" t="s">
        <v>59</v>
      </c>
      <c r="C470">
        <v>60</v>
      </c>
      <c r="D470" t="s">
        <v>341</v>
      </c>
      <c r="E470">
        <v>29.23</v>
      </c>
      <c r="F470">
        <v>13.23</v>
      </c>
      <c r="G470">
        <v>16.399999999999999</v>
      </c>
      <c r="H470">
        <v>29.63</v>
      </c>
      <c r="I470" t="s">
        <v>344</v>
      </c>
      <c r="J470">
        <v>134.44999999999999</v>
      </c>
      <c r="K470">
        <v>0.67</v>
      </c>
      <c r="L470" t="s">
        <v>346</v>
      </c>
      <c r="M470" s="1">
        <v>6.7000000000000002E-3</v>
      </c>
      <c r="N470" t="s">
        <v>349</v>
      </c>
      <c r="O470">
        <v>4.43</v>
      </c>
      <c r="P470" t="s">
        <v>343</v>
      </c>
      <c r="Q470">
        <v>-2.09</v>
      </c>
      <c r="R470" t="s">
        <v>344</v>
      </c>
      <c r="S470">
        <v>1</v>
      </c>
    </row>
    <row r="471" spans="1:19" x14ac:dyDescent="0.25">
      <c r="A471" t="s">
        <v>26</v>
      </c>
      <c r="B471" t="s">
        <v>60</v>
      </c>
      <c r="C471">
        <v>80</v>
      </c>
      <c r="D471" t="s">
        <v>341</v>
      </c>
      <c r="E471">
        <v>29.23</v>
      </c>
      <c r="F471">
        <v>15.89</v>
      </c>
      <c r="G471">
        <v>16.12</v>
      </c>
      <c r="H471">
        <v>32.01</v>
      </c>
      <c r="I471" t="s">
        <v>344</v>
      </c>
      <c r="J471">
        <v>134.61000000000001</v>
      </c>
      <c r="K471">
        <v>0.8</v>
      </c>
      <c r="L471" t="s">
        <v>346</v>
      </c>
      <c r="M471" s="1">
        <v>8.0000000000000002E-3</v>
      </c>
      <c r="N471" t="s">
        <v>349</v>
      </c>
      <c r="O471">
        <v>4.29</v>
      </c>
      <c r="P471" t="s">
        <v>343</v>
      </c>
      <c r="Q471">
        <v>-0.96</v>
      </c>
      <c r="R471" t="s">
        <v>343</v>
      </c>
      <c r="S471">
        <v>1</v>
      </c>
    </row>
    <row r="472" spans="1:19" x14ac:dyDescent="0.25">
      <c r="A472" t="s">
        <v>26</v>
      </c>
      <c r="B472" t="s">
        <v>61</v>
      </c>
      <c r="C472">
        <v>100</v>
      </c>
      <c r="D472" t="s">
        <v>341</v>
      </c>
      <c r="E472">
        <v>29.23</v>
      </c>
      <c r="F472">
        <v>20</v>
      </c>
      <c r="G472">
        <v>17.28</v>
      </c>
      <c r="H472">
        <v>37.28</v>
      </c>
      <c r="I472" t="s">
        <v>344</v>
      </c>
      <c r="J472">
        <v>134.71</v>
      </c>
      <c r="K472">
        <v>0.52</v>
      </c>
      <c r="L472" t="s">
        <v>346</v>
      </c>
      <c r="M472" s="1">
        <v>5.1999999999999998E-3</v>
      </c>
      <c r="N472" t="s">
        <v>349</v>
      </c>
      <c r="O472">
        <v>3.12</v>
      </c>
      <c r="P472" t="s">
        <v>344</v>
      </c>
      <c r="Q472">
        <v>0.03</v>
      </c>
      <c r="R472" t="s">
        <v>343</v>
      </c>
      <c r="S472">
        <v>1</v>
      </c>
    </row>
    <row r="473" spans="1:19" x14ac:dyDescent="0.25">
      <c r="A473" t="s">
        <v>26</v>
      </c>
      <c r="B473" t="s">
        <v>62</v>
      </c>
      <c r="C473">
        <v>120</v>
      </c>
      <c r="D473" t="s">
        <v>341</v>
      </c>
      <c r="E473">
        <v>29.23</v>
      </c>
      <c r="F473">
        <v>20</v>
      </c>
      <c r="G473">
        <v>17.059999999999999</v>
      </c>
      <c r="H473">
        <v>37.06</v>
      </c>
      <c r="I473" t="s">
        <v>344</v>
      </c>
      <c r="J473">
        <v>134.53</v>
      </c>
      <c r="K473">
        <v>-0.91</v>
      </c>
      <c r="L473" t="s">
        <v>346</v>
      </c>
      <c r="M473" s="1">
        <v>9.1000000000000004E-3</v>
      </c>
      <c r="N473" t="s">
        <v>349</v>
      </c>
      <c r="O473">
        <v>-2.98</v>
      </c>
      <c r="P473" t="s">
        <v>344</v>
      </c>
      <c r="Q473">
        <v>-1.1000000000000001</v>
      </c>
      <c r="R473" t="s">
        <v>343</v>
      </c>
      <c r="S473">
        <v>1</v>
      </c>
    </row>
    <row r="474" spans="1:19" x14ac:dyDescent="0.25">
      <c r="A474" t="s">
        <v>26</v>
      </c>
      <c r="B474" t="s">
        <v>63</v>
      </c>
      <c r="C474">
        <v>140</v>
      </c>
      <c r="D474" t="s">
        <v>341</v>
      </c>
      <c r="E474">
        <v>29.23</v>
      </c>
      <c r="F474">
        <v>20</v>
      </c>
      <c r="G474">
        <v>16.38</v>
      </c>
      <c r="H474">
        <v>36.380000000000003</v>
      </c>
      <c r="I474" t="s">
        <v>344</v>
      </c>
      <c r="J474">
        <v>134.38999999999999</v>
      </c>
      <c r="K474">
        <v>-0.69</v>
      </c>
      <c r="L474" t="s">
        <v>346</v>
      </c>
      <c r="M474" s="1">
        <v>6.8999999999999999E-3</v>
      </c>
      <c r="N474" t="s">
        <v>349</v>
      </c>
      <c r="O474">
        <v>3.25</v>
      </c>
      <c r="P474" t="s">
        <v>344</v>
      </c>
      <c r="Q474">
        <v>-0.42</v>
      </c>
      <c r="R474" t="s">
        <v>343</v>
      </c>
      <c r="S474">
        <v>1</v>
      </c>
    </row>
    <row r="475" spans="1:19" x14ac:dyDescent="0.25">
      <c r="A475" t="s">
        <v>26</v>
      </c>
      <c r="B475" t="s">
        <v>64</v>
      </c>
      <c r="C475">
        <v>160</v>
      </c>
      <c r="D475" t="s">
        <v>341</v>
      </c>
      <c r="E475">
        <v>29.23</v>
      </c>
      <c r="F475">
        <v>20</v>
      </c>
      <c r="G475">
        <v>17.16</v>
      </c>
      <c r="H475">
        <v>37.159999999999997</v>
      </c>
      <c r="I475" t="s">
        <v>344</v>
      </c>
      <c r="J475">
        <v>134.32</v>
      </c>
      <c r="K475">
        <v>-0.36</v>
      </c>
      <c r="L475" t="s">
        <v>346</v>
      </c>
      <c r="M475" s="1">
        <v>3.5999999999999999E-3</v>
      </c>
      <c r="N475" t="s">
        <v>349</v>
      </c>
      <c r="O475">
        <v>-4.5199999999999996</v>
      </c>
      <c r="P475" t="s">
        <v>343</v>
      </c>
      <c r="Q475">
        <v>0.88</v>
      </c>
      <c r="R475" t="s">
        <v>343</v>
      </c>
      <c r="S475">
        <v>1</v>
      </c>
    </row>
    <row r="476" spans="1:19" x14ac:dyDescent="0.25">
      <c r="A476" t="s">
        <v>26</v>
      </c>
      <c r="B476" t="s">
        <v>65</v>
      </c>
      <c r="C476">
        <v>180</v>
      </c>
      <c r="D476" t="s">
        <v>341</v>
      </c>
      <c r="E476">
        <v>29.23</v>
      </c>
      <c r="F476">
        <v>20</v>
      </c>
      <c r="G476">
        <v>20</v>
      </c>
      <c r="H476">
        <v>40</v>
      </c>
      <c r="I476" t="s">
        <v>344</v>
      </c>
      <c r="J476">
        <v>133.54</v>
      </c>
      <c r="K476">
        <v>-3.9</v>
      </c>
      <c r="L476" t="s">
        <v>346</v>
      </c>
      <c r="M476" s="1">
        <v>3.9E-2</v>
      </c>
      <c r="N476" t="s">
        <v>350</v>
      </c>
      <c r="O476">
        <v>1.36</v>
      </c>
      <c r="P476" t="s">
        <v>343</v>
      </c>
      <c r="Q476">
        <v>-0.92</v>
      </c>
      <c r="R476" t="s">
        <v>343</v>
      </c>
      <c r="S476">
        <v>1</v>
      </c>
    </row>
    <row r="477" spans="1:19" x14ac:dyDescent="0.25">
      <c r="A477" t="s">
        <v>26</v>
      </c>
      <c r="B477" t="s">
        <v>66</v>
      </c>
      <c r="C477">
        <v>200</v>
      </c>
      <c r="D477" t="s">
        <v>341</v>
      </c>
      <c r="E477">
        <v>29.23</v>
      </c>
      <c r="F477">
        <v>20</v>
      </c>
      <c r="G477">
        <v>20</v>
      </c>
      <c r="H477">
        <v>40</v>
      </c>
      <c r="I477" t="s">
        <v>344</v>
      </c>
      <c r="J477">
        <v>133.94999999999999</v>
      </c>
      <c r="K477">
        <v>2.0499999999999998</v>
      </c>
      <c r="L477" t="s">
        <v>346</v>
      </c>
      <c r="M477" s="1">
        <v>2.0500000000000001E-2</v>
      </c>
      <c r="N477" t="s">
        <v>350</v>
      </c>
      <c r="O477">
        <v>1.5</v>
      </c>
      <c r="P477" t="s">
        <v>343</v>
      </c>
      <c r="Q477">
        <v>0.73</v>
      </c>
      <c r="R477" t="s">
        <v>343</v>
      </c>
      <c r="S477">
        <v>1</v>
      </c>
    </row>
    <row r="478" spans="1:19" x14ac:dyDescent="0.25">
      <c r="A478" t="s">
        <v>26</v>
      </c>
      <c r="B478" t="s">
        <v>67</v>
      </c>
      <c r="C478">
        <v>220</v>
      </c>
      <c r="D478" t="s">
        <v>341</v>
      </c>
      <c r="E478">
        <v>29.23</v>
      </c>
      <c r="F478">
        <v>20</v>
      </c>
      <c r="G478">
        <v>20</v>
      </c>
      <c r="H478">
        <v>40</v>
      </c>
      <c r="I478" t="s">
        <v>344</v>
      </c>
      <c r="J478">
        <v>134.03</v>
      </c>
      <c r="K478">
        <v>0.37</v>
      </c>
      <c r="L478" t="s">
        <v>346</v>
      </c>
      <c r="M478" s="1">
        <v>3.7000000000000002E-3</v>
      </c>
      <c r="N478" t="s">
        <v>349</v>
      </c>
      <c r="O478">
        <v>-0.3</v>
      </c>
      <c r="P478" t="s">
        <v>343</v>
      </c>
      <c r="Q478">
        <v>-1.1499999999999999</v>
      </c>
      <c r="R478" t="s">
        <v>343</v>
      </c>
      <c r="S478">
        <v>1</v>
      </c>
    </row>
    <row r="479" spans="1:19" x14ac:dyDescent="0.25">
      <c r="A479" t="s">
        <v>26</v>
      </c>
      <c r="B479" t="s">
        <v>68</v>
      </c>
      <c r="C479">
        <v>240</v>
      </c>
      <c r="D479" t="s">
        <v>341</v>
      </c>
      <c r="E479">
        <v>29.23</v>
      </c>
      <c r="F479">
        <v>20</v>
      </c>
      <c r="G479">
        <v>20</v>
      </c>
      <c r="H479">
        <v>40</v>
      </c>
      <c r="I479" t="s">
        <v>344</v>
      </c>
      <c r="J479">
        <v>132.03</v>
      </c>
      <c r="K479">
        <v>-9.9600000000000009</v>
      </c>
      <c r="L479" t="s">
        <v>348</v>
      </c>
      <c r="M479" s="1">
        <v>9.9600000000000008E-2</v>
      </c>
      <c r="N479" t="s">
        <v>350</v>
      </c>
      <c r="O479">
        <v>2.64</v>
      </c>
      <c r="P479" t="s">
        <v>344</v>
      </c>
      <c r="Q479">
        <v>-1.89</v>
      </c>
      <c r="R479" t="s">
        <v>343</v>
      </c>
      <c r="S479">
        <v>1</v>
      </c>
    </row>
    <row r="480" spans="1:19" x14ac:dyDescent="0.25">
      <c r="A480" t="s">
        <v>26</v>
      </c>
      <c r="B480" t="s">
        <v>69</v>
      </c>
      <c r="C480">
        <v>260</v>
      </c>
      <c r="D480" t="s">
        <v>341</v>
      </c>
      <c r="E480">
        <v>29.23</v>
      </c>
      <c r="F480">
        <v>20</v>
      </c>
      <c r="G480">
        <v>18.36</v>
      </c>
      <c r="H480">
        <v>38.36</v>
      </c>
      <c r="I480" t="s">
        <v>344</v>
      </c>
      <c r="J480">
        <v>131.31</v>
      </c>
      <c r="K480">
        <v>-3.64</v>
      </c>
      <c r="L480" t="s">
        <v>346</v>
      </c>
      <c r="M480" s="1">
        <v>3.6400000000000002E-2</v>
      </c>
      <c r="N480" t="s">
        <v>350</v>
      </c>
      <c r="O480">
        <v>2.56</v>
      </c>
      <c r="P480" t="s">
        <v>344</v>
      </c>
      <c r="Q480">
        <v>-2.2799999999999998</v>
      </c>
      <c r="R480" t="s">
        <v>344</v>
      </c>
      <c r="S480">
        <v>1</v>
      </c>
    </row>
    <row r="481" spans="1:19" x14ac:dyDescent="0.25">
      <c r="A481" t="s">
        <v>26</v>
      </c>
      <c r="B481" t="s">
        <v>70</v>
      </c>
      <c r="C481">
        <v>280</v>
      </c>
      <c r="D481" t="s">
        <v>341</v>
      </c>
      <c r="E481">
        <v>29.23</v>
      </c>
      <c r="F481">
        <v>20</v>
      </c>
      <c r="G481">
        <v>15.26</v>
      </c>
      <c r="H481">
        <v>35.26</v>
      </c>
      <c r="I481" t="s">
        <v>344</v>
      </c>
      <c r="J481">
        <v>130.83000000000001</v>
      </c>
      <c r="K481">
        <v>-2.36</v>
      </c>
      <c r="L481" t="s">
        <v>346</v>
      </c>
      <c r="M481" s="1">
        <v>2.3599999999999999E-2</v>
      </c>
      <c r="N481" t="s">
        <v>350</v>
      </c>
      <c r="O481">
        <v>4.37</v>
      </c>
      <c r="P481" t="s">
        <v>343</v>
      </c>
      <c r="Q481">
        <v>-1.37</v>
      </c>
      <c r="R481" t="s">
        <v>343</v>
      </c>
      <c r="S481">
        <v>1</v>
      </c>
    </row>
    <row r="482" spans="1:19" x14ac:dyDescent="0.25">
      <c r="A482" t="s">
        <v>26</v>
      </c>
      <c r="B482" t="s">
        <v>71</v>
      </c>
      <c r="C482">
        <v>300</v>
      </c>
      <c r="D482" t="s">
        <v>341</v>
      </c>
      <c r="E482">
        <v>29.23</v>
      </c>
      <c r="F482">
        <v>20</v>
      </c>
      <c r="G482">
        <v>12.84</v>
      </c>
      <c r="H482">
        <v>32.840000000000003</v>
      </c>
      <c r="I482" t="s">
        <v>344</v>
      </c>
      <c r="J482">
        <v>130.24</v>
      </c>
      <c r="K482">
        <v>-2.96</v>
      </c>
      <c r="L482" t="s">
        <v>346</v>
      </c>
      <c r="M482" s="1">
        <v>2.9600000000000001E-2</v>
      </c>
      <c r="N482" t="s">
        <v>350</v>
      </c>
      <c r="O482">
        <v>2.64</v>
      </c>
      <c r="P482" t="s">
        <v>344</v>
      </c>
      <c r="Q482">
        <v>-1.02</v>
      </c>
      <c r="R482" t="s">
        <v>343</v>
      </c>
      <c r="S482">
        <v>1</v>
      </c>
    </row>
    <row r="483" spans="1:19" x14ac:dyDescent="0.25">
      <c r="A483" t="s">
        <v>26</v>
      </c>
      <c r="B483" t="s">
        <v>72</v>
      </c>
      <c r="C483">
        <v>320</v>
      </c>
      <c r="D483" t="s">
        <v>341</v>
      </c>
      <c r="E483">
        <v>29.23</v>
      </c>
      <c r="F483">
        <v>17.93</v>
      </c>
      <c r="G483">
        <v>12.77</v>
      </c>
      <c r="H483">
        <v>30.7</v>
      </c>
      <c r="I483" t="s">
        <v>344</v>
      </c>
      <c r="J483">
        <v>129.63999999999999</v>
      </c>
      <c r="K483">
        <v>-3.01</v>
      </c>
      <c r="L483" t="s">
        <v>346</v>
      </c>
      <c r="M483" s="1">
        <v>3.0099999999999998E-2</v>
      </c>
      <c r="N483" t="s">
        <v>350</v>
      </c>
      <c r="O483">
        <v>4.08</v>
      </c>
      <c r="P483" t="s">
        <v>343</v>
      </c>
      <c r="Q483">
        <v>0.66</v>
      </c>
      <c r="R483" t="s">
        <v>343</v>
      </c>
      <c r="S483">
        <v>1</v>
      </c>
    </row>
    <row r="484" spans="1:19" x14ac:dyDescent="0.25">
      <c r="A484" t="s">
        <v>26</v>
      </c>
      <c r="B484" t="s">
        <v>73</v>
      </c>
      <c r="C484">
        <v>340</v>
      </c>
      <c r="D484" t="s">
        <v>341</v>
      </c>
      <c r="E484">
        <v>29.23</v>
      </c>
      <c r="F484">
        <v>17.93</v>
      </c>
      <c r="G484">
        <v>12.16</v>
      </c>
      <c r="H484">
        <v>30.09</v>
      </c>
      <c r="I484" t="s">
        <v>344</v>
      </c>
      <c r="J484">
        <v>128.97</v>
      </c>
      <c r="K484">
        <v>-3.37</v>
      </c>
      <c r="L484" t="s">
        <v>346</v>
      </c>
      <c r="M484" s="1">
        <v>3.3700000000000001E-2</v>
      </c>
      <c r="N484" t="s">
        <v>350</v>
      </c>
      <c r="O484">
        <v>2.8</v>
      </c>
      <c r="P484" t="s">
        <v>344</v>
      </c>
      <c r="Q484">
        <v>0.28999999999999998</v>
      </c>
      <c r="R484" t="s">
        <v>343</v>
      </c>
      <c r="S484">
        <v>1</v>
      </c>
    </row>
    <row r="485" spans="1:19" x14ac:dyDescent="0.25">
      <c r="A485" t="s">
        <v>26</v>
      </c>
      <c r="B485" t="s">
        <v>74</v>
      </c>
      <c r="C485">
        <v>360</v>
      </c>
      <c r="D485" t="s">
        <v>341</v>
      </c>
      <c r="E485">
        <v>29.23</v>
      </c>
      <c r="F485">
        <v>16.45</v>
      </c>
      <c r="G485">
        <v>12.25</v>
      </c>
      <c r="H485">
        <v>28.7</v>
      </c>
      <c r="I485" t="s">
        <v>343</v>
      </c>
      <c r="J485">
        <v>128.16999999999999</v>
      </c>
      <c r="K485">
        <v>-4.0199999999999996</v>
      </c>
      <c r="L485" t="s">
        <v>346</v>
      </c>
      <c r="M485" s="1">
        <v>4.0199999999999993E-2</v>
      </c>
      <c r="N485" t="s">
        <v>350</v>
      </c>
      <c r="O485">
        <v>1.83</v>
      </c>
      <c r="P485" t="s">
        <v>343</v>
      </c>
      <c r="Q485">
        <v>1.03</v>
      </c>
      <c r="R485" t="s">
        <v>343</v>
      </c>
      <c r="S485">
        <v>1</v>
      </c>
    </row>
    <row r="486" spans="1:19" x14ac:dyDescent="0.25">
      <c r="A486" t="s">
        <v>26</v>
      </c>
      <c r="B486" t="s">
        <v>75</v>
      </c>
      <c r="C486">
        <v>380</v>
      </c>
      <c r="D486" t="s">
        <v>341</v>
      </c>
      <c r="E486">
        <v>29.23</v>
      </c>
      <c r="F486">
        <v>15.77</v>
      </c>
      <c r="G486">
        <v>13.18</v>
      </c>
      <c r="H486">
        <v>28.95</v>
      </c>
      <c r="I486" t="s">
        <v>343</v>
      </c>
      <c r="J486">
        <v>127.33</v>
      </c>
      <c r="K486">
        <v>-4.2</v>
      </c>
      <c r="L486" t="s">
        <v>346</v>
      </c>
      <c r="M486" s="1">
        <v>4.2000000000000003E-2</v>
      </c>
      <c r="N486" t="s">
        <v>350</v>
      </c>
      <c r="O486">
        <v>1.92</v>
      </c>
      <c r="P486" t="s">
        <v>343</v>
      </c>
      <c r="Q486">
        <v>1.77</v>
      </c>
      <c r="R486" t="s">
        <v>343</v>
      </c>
      <c r="S486">
        <v>1</v>
      </c>
    </row>
    <row r="487" spans="1:19" x14ac:dyDescent="0.25">
      <c r="A487" t="s">
        <v>26</v>
      </c>
      <c r="B487" t="s">
        <v>76</v>
      </c>
      <c r="C487">
        <v>400</v>
      </c>
      <c r="D487" t="s">
        <v>341</v>
      </c>
      <c r="E487">
        <v>29.23</v>
      </c>
      <c r="F487">
        <v>15.09</v>
      </c>
      <c r="G487">
        <v>16.29</v>
      </c>
      <c r="H487">
        <v>31.38</v>
      </c>
      <c r="I487" t="s">
        <v>344</v>
      </c>
      <c r="J487">
        <v>126.36</v>
      </c>
      <c r="K487">
        <v>-4.82</v>
      </c>
      <c r="L487" t="s">
        <v>346</v>
      </c>
      <c r="M487" s="1">
        <v>4.82E-2</v>
      </c>
      <c r="N487" t="s">
        <v>350</v>
      </c>
      <c r="O487">
        <v>1.05</v>
      </c>
      <c r="P487" t="s">
        <v>343</v>
      </c>
      <c r="Q487">
        <v>1.06</v>
      </c>
      <c r="R487" t="s">
        <v>343</v>
      </c>
      <c r="S487">
        <v>1</v>
      </c>
    </row>
    <row r="488" spans="1:19" x14ac:dyDescent="0.25">
      <c r="A488" t="s">
        <v>26</v>
      </c>
      <c r="B488" t="s">
        <v>77</v>
      </c>
      <c r="C488">
        <v>420</v>
      </c>
      <c r="D488" t="s">
        <v>341</v>
      </c>
      <c r="E488">
        <v>29.23</v>
      </c>
      <c r="F488">
        <v>15.77</v>
      </c>
      <c r="G488">
        <v>16.21</v>
      </c>
      <c r="H488">
        <v>31.98</v>
      </c>
      <c r="I488" t="s">
        <v>344</v>
      </c>
      <c r="J488">
        <v>126.06</v>
      </c>
      <c r="K488">
        <v>-1.53</v>
      </c>
      <c r="L488" t="s">
        <v>346</v>
      </c>
      <c r="M488" s="1">
        <v>1.5299999999999999E-2</v>
      </c>
      <c r="N488" t="s">
        <v>349</v>
      </c>
      <c r="O488">
        <v>0.4</v>
      </c>
      <c r="P488" t="s">
        <v>343</v>
      </c>
      <c r="Q488">
        <v>2.98</v>
      </c>
      <c r="R488" t="s">
        <v>344</v>
      </c>
      <c r="S488">
        <v>1</v>
      </c>
    </row>
    <row r="489" spans="1:19" x14ac:dyDescent="0.25">
      <c r="A489" t="s">
        <v>26</v>
      </c>
      <c r="B489" t="s">
        <v>78</v>
      </c>
      <c r="C489">
        <v>440</v>
      </c>
      <c r="D489" t="s">
        <v>341</v>
      </c>
      <c r="E489">
        <v>29.23</v>
      </c>
      <c r="F489">
        <v>20</v>
      </c>
      <c r="G489">
        <v>20</v>
      </c>
      <c r="H489">
        <v>40</v>
      </c>
      <c r="I489" t="s">
        <v>344</v>
      </c>
      <c r="J489">
        <v>124.16</v>
      </c>
      <c r="K489">
        <v>-9.4700000000000006</v>
      </c>
      <c r="L489" t="s">
        <v>348</v>
      </c>
      <c r="M489" s="1">
        <v>9.4700000000000006E-2</v>
      </c>
      <c r="N489" t="s">
        <v>350</v>
      </c>
      <c r="O489">
        <v>2.39</v>
      </c>
      <c r="P489" t="s">
        <v>344</v>
      </c>
      <c r="Q489">
        <v>0.93</v>
      </c>
      <c r="R489" t="s">
        <v>343</v>
      </c>
      <c r="S489">
        <v>1</v>
      </c>
    </row>
    <row r="490" spans="1:19" x14ac:dyDescent="0.25">
      <c r="A490" t="s">
        <v>26</v>
      </c>
      <c r="B490" t="s">
        <v>79</v>
      </c>
      <c r="C490">
        <v>460</v>
      </c>
      <c r="D490" t="s">
        <v>341</v>
      </c>
      <c r="E490">
        <v>29.23</v>
      </c>
      <c r="F490">
        <v>20</v>
      </c>
      <c r="G490">
        <v>20</v>
      </c>
      <c r="H490">
        <v>40</v>
      </c>
      <c r="I490" t="s">
        <v>344</v>
      </c>
      <c r="J490">
        <v>123.03</v>
      </c>
      <c r="K490">
        <v>-5.63</v>
      </c>
      <c r="L490" t="s">
        <v>346</v>
      </c>
      <c r="M490" s="1">
        <v>5.6300000000000003E-2</v>
      </c>
      <c r="N490" t="s">
        <v>350</v>
      </c>
      <c r="O490">
        <v>2.1800000000000002</v>
      </c>
      <c r="P490" t="s">
        <v>344</v>
      </c>
      <c r="Q490">
        <v>0.5</v>
      </c>
      <c r="R490" t="s">
        <v>343</v>
      </c>
      <c r="S490">
        <v>1</v>
      </c>
    </row>
    <row r="491" spans="1:19" x14ac:dyDescent="0.25">
      <c r="A491" t="s">
        <v>26</v>
      </c>
      <c r="B491" t="s">
        <v>80</v>
      </c>
      <c r="C491">
        <v>480</v>
      </c>
      <c r="D491" t="s">
        <v>341</v>
      </c>
      <c r="E491">
        <v>29.23</v>
      </c>
      <c r="F491">
        <v>20</v>
      </c>
      <c r="G491">
        <v>20</v>
      </c>
      <c r="H491">
        <v>40</v>
      </c>
      <c r="I491" t="s">
        <v>344</v>
      </c>
      <c r="J491">
        <v>121.77</v>
      </c>
      <c r="K491">
        <v>-6.31</v>
      </c>
      <c r="L491" t="s">
        <v>346</v>
      </c>
      <c r="M491" s="1">
        <v>6.3099999999999989E-2</v>
      </c>
      <c r="N491" t="s">
        <v>350</v>
      </c>
      <c r="O491">
        <v>1.31</v>
      </c>
      <c r="P491" t="s">
        <v>343</v>
      </c>
      <c r="Q491">
        <v>-0.66</v>
      </c>
      <c r="R491" t="s">
        <v>343</v>
      </c>
      <c r="S491">
        <v>1</v>
      </c>
    </row>
    <row r="492" spans="1:19" x14ac:dyDescent="0.25">
      <c r="A492" t="s">
        <v>26</v>
      </c>
      <c r="B492" t="s">
        <v>81</v>
      </c>
      <c r="C492">
        <v>500</v>
      </c>
      <c r="D492" t="s">
        <v>341</v>
      </c>
      <c r="E492">
        <v>29.23</v>
      </c>
      <c r="F492">
        <v>20</v>
      </c>
      <c r="G492">
        <v>20</v>
      </c>
      <c r="H492">
        <v>40</v>
      </c>
      <c r="I492" t="s">
        <v>344</v>
      </c>
      <c r="J492">
        <v>120.73</v>
      </c>
      <c r="K492">
        <v>-5.19</v>
      </c>
      <c r="L492" t="s">
        <v>346</v>
      </c>
      <c r="M492" s="1">
        <v>5.1900000000000002E-2</v>
      </c>
      <c r="N492" t="s">
        <v>350</v>
      </c>
      <c r="O492">
        <v>0.93</v>
      </c>
      <c r="P492" t="s">
        <v>343</v>
      </c>
      <c r="Q492">
        <v>-1.96</v>
      </c>
      <c r="R492" t="s">
        <v>343</v>
      </c>
      <c r="S492">
        <v>1</v>
      </c>
    </row>
    <row r="493" spans="1:19" x14ac:dyDescent="0.25">
      <c r="A493" t="s">
        <v>26</v>
      </c>
      <c r="B493" t="s">
        <v>82</v>
      </c>
      <c r="C493">
        <v>520</v>
      </c>
      <c r="D493" t="s">
        <v>341</v>
      </c>
      <c r="E493">
        <v>29.23</v>
      </c>
      <c r="F493">
        <v>20</v>
      </c>
      <c r="G493">
        <v>20</v>
      </c>
      <c r="H493">
        <v>40</v>
      </c>
      <c r="I493" t="s">
        <v>344</v>
      </c>
      <c r="J493">
        <v>119.79</v>
      </c>
      <c r="K493">
        <v>-4.71</v>
      </c>
      <c r="L493" t="s">
        <v>346</v>
      </c>
      <c r="M493" s="1">
        <v>4.7100000000000003E-2</v>
      </c>
      <c r="N493" t="s">
        <v>350</v>
      </c>
      <c r="O493">
        <v>3.22</v>
      </c>
      <c r="P493" t="s">
        <v>344</v>
      </c>
      <c r="Q493">
        <v>-1.51</v>
      </c>
      <c r="R493" t="s">
        <v>343</v>
      </c>
      <c r="S493">
        <v>1</v>
      </c>
    </row>
    <row r="494" spans="1:19" x14ac:dyDescent="0.25">
      <c r="A494" t="s">
        <v>26</v>
      </c>
      <c r="B494" t="s">
        <v>83</v>
      </c>
      <c r="C494">
        <v>540</v>
      </c>
      <c r="D494" t="s">
        <v>341</v>
      </c>
      <c r="E494">
        <v>29.23</v>
      </c>
      <c r="F494">
        <v>20</v>
      </c>
      <c r="G494">
        <v>20</v>
      </c>
      <c r="H494">
        <v>40</v>
      </c>
      <c r="I494" t="s">
        <v>344</v>
      </c>
      <c r="J494">
        <v>119.13</v>
      </c>
      <c r="K494">
        <v>-3.33</v>
      </c>
      <c r="L494" t="s">
        <v>346</v>
      </c>
      <c r="M494" s="1">
        <v>3.3300000000000003E-2</v>
      </c>
      <c r="N494" t="s">
        <v>350</v>
      </c>
      <c r="O494">
        <v>-6.08</v>
      </c>
      <c r="P494" t="s">
        <v>343</v>
      </c>
      <c r="Q494">
        <v>-1.54</v>
      </c>
      <c r="R494" t="s">
        <v>343</v>
      </c>
      <c r="S494">
        <v>1</v>
      </c>
    </row>
    <row r="495" spans="1:19" x14ac:dyDescent="0.25">
      <c r="A495" t="s">
        <v>26</v>
      </c>
      <c r="B495" t="s">
        <v>84</v>
      </c>
      <c r="C495">
        <v>560</v>
      </c>
      <c r="D495" t="s">
        <v>341</v>
      </c>
      <c r="E495">
        <v>29.23</v>
      </c>
      <c r="F495">
        <v>20</v>
      </c>
      <c r="G495">
        <v>20</v>
      </c>
      <c r="H495">
        <v>40</v>
      </c>
      <c r="I495" t="s">
        <v>344</v>
      </c>
      <c r="J495">
        <v>118.52</v>
      </c>
      <c r="K495">
        <v>-3.04</v>
      </c>
      <c r="L495" t="s">
        <v>346</v>
      </c>
      <c r="M495" s="1">
        <v>3.04E-2</v>
      </c>
      <c r="N495" t="s">
        <v>350</v>
      </c>
      <c r="O495">
        <v>2.5099999999999998</v>
      </c>
      <c r="P495" t="s">
        <v>344</v>
      </c>
      <c r="Q495">
        <v>-0.3</v>
      </c>
      <c r="R495" t="s">
        <v>343</v>
      </c>
      <c r="S495">
        <v>1</v>
      </c>
    </row>
    <row r="496" spans="1:19" x14ac:dyDescent="0.25">
      <c r="A496" t="s">
        <v>26</v>
      </c>
      <c r="B496" t="s">
        <v>85</v>
      </c>
      <c r="C496">
        <v>580</v>
      </c>
      <c r="D496" t="s">
        <v>341</v>
      </c>
      <c r="E496">
        <v>29.23</v>
      </c>
      <c r="F496">
        <v>14.7</v>
      </c>
      <c r="G496">
        <v>20</v>
      </c>
      <c r="H496">
        <v>34.700000000000003</v>
      </c>
      <c r="I496" t="s">
        <v>344</v>
      </c>
      <c r="J496">
        <v>117.68</v>
      </c>
      <c r="K496">
        <v>-4.17</v>
      </c>
      <c r="L496" t="s">
        <v>346</v>
      </c>
      <c r="M496" s="1">
        <v>4.1700000000000001E-2</v>
      </c>
      <c r="N496" t="s">
        <v>350</v>
      </c>
      <c r="O496">
        <v>-0.91</v>
      </c>
      <c r="P496" t="s">
        <v>343</v>
      </c>
      <c r="Q496">
        <v>1.43</v>
      </c>
      <c r="R496" t="s">
        <v>343</v>
      </c>
      <c r="S496">
        <v>1</v>
      </c>
    </row>
    <row r="497" spans="1:19" x14ac:dyDescent="0.25">
      <c r="A497" t="s">
        <v>26</v>
      </c>
      <c r="B497" t="s">
        <v>86</v>
      </c>
      <c r="C497">
        <v>600</v>
      </c>
      <c r="D497" t="s">
        <v>341</v>
      </c>
      <c r="E497">
        <v>29.23</v>
      </c>
      <c r="F497">
        <v>14.26</v>
      </c>
      <c r="G497">
        <v>15.07</v>
      </c>
      <c r="H497">
        <v>29.34</v>
      </c>
      <c r="I497" t="s">
        <v>344</v>
      </c>
      <c r="J497">
        <v>116.59</v>
      </c>
      <c r="K497">
        <v>-5.44</v>
      </c>
      <c r="L497" t="s">
        <v>346</v>
      </c>
      <c r="M497" s="1">
        <v>5.4399999999999997E-2</v>
      </c>
      <c r="N497" t="s">
        <v>350</v>
      </c>
      <c r="O497">
        <v>-1.79</v>
      </c>
      <c r="P497" t="s">
        <v>343</v>
      </c>
      <c r="Q497">
        <v>2.2400000000000002</v>
      </c>
      <c r="R497" t="s">
        <v>344</v>
      </c>
      <c r="S497">
        <v>1</v>
      </c>
    </row>
    <row r="498" spans="1:19" x14ac:dyDescent="0.25">
      <c r="A498" t="s">
        <v>26</v>
      </c>
      <c r="B498" t="s">
        <v>87</v>
      </c>
      <c r="C498">
        <v>620</v>
      </c>
      <c r="D498" t="s">
        <v>341</v>
      </c>
      <c r="E498">
        <v>29.23</v>
      </c>
      <c r="F498">
        <v>14.05</v>
      </c>
      <c r="G498">
        <v>15.83</v>
      </c>
      <c r="H498">
        <v>29.88</v>
      </c>
      <c r="I498" t="s">
        <v>344</v>
      </c>
      <c r="J498">
        <v>115.08</v>
      </c>
      <c r="K498">
        <v>-7.58</v>
      </c>
      <c r="L498" t="s">
        <v>346</v>
      </c>
      <c r="M498" s="1">
        <v>7.5800000000000006E-2</v>
      </c>
      <c r="N498" t="s">
        <v>350</v>
      </c>
      <c r="O498">
        <v>1.26</v>
      </c>
      <c r="P498" t="s">
        <v>343</v>
      </c>
      <c r="Q498">
        <v>1.92</v>
      </c>
      <c r="R498" t="s">
        <v>343</v>
      </c>
      <c r="S498">
        <v>1</v>
      </c>
    </row>
    <row r="499" spans="1:19" x14ac:dyDescent="0.25">
      <c r="A499" t="s">
        <v>26</v>
      </c>
      <c r="B499" t="s">
        <v>88</v>
      </c>
      <c r="C499">
        <v>640</v>
      </c>
      <c r="D499" t="s">
        <v>341</v>
      </c>
      <c r="E499">
        <v>29.23</v>
      </c>
      <c r="F499">
        <v>15.4</v>
      </c>
      <c r="G499">
        <v>14.64</v>
      </c>
      <c r="H499">
        <v>30.04</v>
      </c>
      <c r="I499" t="s">
        <v>344</v>
      </c>
      <c r="J499">
        <v>113.67</v>
      </c>
      <c r="K499">
        <v>-7.03</v>
      </c>
      <c r="L499" t="s">
        <v>346</v>
      </c>
      <c r="M499" s="1">
        <v>7.0300000000000001E-2</v>
      </c>
      <c r="N499" t="s">
        <v>350</v>
      </c>
      <c r="O499">
        <v>1.25</v>
      </c>
      <c r="P499" t="s">
        <v>343</v>
      </c>
      <c r="Q499">
        <v>-0.05</v>
      </c>
      <c r="R499" t="s">
        <v>343</v>
      </c>
      <c r="S499">
        <v>1</v>
      </c>
    </row>
    <row r="500" spans="1:19" x14ac:dyDescent="0.25">
      <c r="A500" t="s">
        <v>26</v>
      </c>
      <c r="B500" t="s">
        <v>89</v>
      </c>
      <c r="C500">
        <v>660</v>
      </c>
      <c r="D500" t="s">
        <v>341</v>
      </c>
      <c r="E500">
        <v>29.23</v>
      </c>
      <c r="F500">
        <v>16.670000000000002</v>
      </c>
      <c r="G500">
        <v>13.21</v>
      </c>
      <c r="H500">
        <v>29.88</v>
      </c>
      <c r="I500" t="s">
        <v>344</v>
      </c>
      <c r="J500">
        <v>112.6</v>
      </c>
      <c r="K500">
        <v>-5.35</v>
      </c>
      <c r="L500" t="s">
        <v>346</v>
      </c>
      <c r="M500" s="1">
        <v>5.3499999999999999E-2</v>
      </c>
      <c r="N500" t="s">
        <v>350</v>
      </c>
      <c r="O500">
        <v>1.33</v>
      </c>
      <c r="P500" t="s">
        <v>343</v>
      </c>
      <c r="Q500">
        <v>1.85</v>
      </c>
      <c r="R500" t="s">
        <v>343</v>
      </c>
      <c r="S500">
        <v>1</v>
      </c>
    </row>
    <row r="501" spans="1:19" x14ac:dyDescent="0.25">
      <c r="A501" t="s">
        <v>26</v>
      </c>
      <c r="B501" t="s">
        <v>90</v>
      </c>
      <c r="C501">
        <v>680</v>
      </c>
      <c r="D501" t="s">
        <v>341</v>
      </c>
      <c r="E501">
        <v>29.23</v>
      </c>
      <c r="F501">
        <v>17.07</v>
      </c>
      <c r="G501">
        <v>13.44</v>
      </c>
      <c r="H501">
        <v>30.51</v>
      </c>
      <c r="I501" t="s">
        <v>344</v>
      </c>
      <c r="J501">
        <v>111.38</v>
      </c>
      <c r="K501">
        <v>-6.09</v>
      </c>
      <c r="L501" t="s">
        <v>346</v>
      </c>
      <c r="M501" s="1">
        <v>6.0900000000000003E-2</v>
      </c>
      <c r="N501" t="s">
        <v>350</v>
      </c>
      <c r="O501">
        <v>1.07</v>
      </c>
      <c r="P501" t="s">
        <v>343</v>
      </c>
      <c r="Q501">
        <v>1.04</v>
      </c>
      <c r="R501" t="s">
        <v>343</v>
      </c>
      <c r="S501">
        <v>1</v>
      </c>
    </row>
    <row r="502" spans="1:19" x14ac:dyDescent="0.25">
      <c r="A502" t="s">
        <v>26</v>
      </c>
      <c r="B502" t="s">
        <v>91</v>
      </c>
      <c r="C502">
        <v>700</v>
      </c>
      <c r="D502" t="s">
        <v>341</v>
      </c>
      <c r="E502">
        <v>29.23</v>
      </c>
      <c r="F502">
        <v>17.37</v>
      </c>
      <c r="G502">
        <v>13.92</v>
      </c>
      <c r="H502">
        <v>31.3</v>
      </c>
      <c r="I502" t="s">
        <v>344</v>
      </c>
      <c r="J502">
        <v>110.11</v>
      </c>
      <c r="K502">
        <v>-6.37</v>
      </c>
      <c r="L502" t="s">
        <v>346</v>
      </c>
      <c r="M502" s="1">
        <v>6.3700000000000007E-2</v>
      </c>
      <c r="N502" t="s">
        <v>350</v>
      </c>
      <c r="O502">
        <v>1.22</v>
      </c>
      <c r="P502" t="s">
        <v>343</v>
      </c>
      <c r="Q502">
        <v>1.99</v>
      </c>
      <c r="R502" t="s">
        <v>343</v>
      </c>
      <c r="S502">
        <v>1</v>
      </c>
    </row>
    <row r="503" spans="1:19" x14ac:dyDescent="0.25">
      <c r="A503" t="s">
        <v>26</v>
      </c>
      <c r="B503" t="s">
        <v>92</v>
      </c>
      <c r="C503">
        <v>720</v>
      </c>
      <c r="D503" t="s">
        <v>341</v>
      </c>
      <c r="E503">
        <v>29.23</v>
      </c>
      <c r="F503">
        <v>17.489999999999998</v>
      </c>
      <c r="G503">
        <v>13.76</v>
      </c>
      <c r="H503">
        <v>31.26</v>
      </c>
      <c r="I503" t="s">
        <v>344</v>
      </c>
      <c r="J503">
        <v>108.79</v>
      </c>
      <c r="K503">
        <v>-6.61</v>
      </c>
      <c r="L503" t="s">
        <v>346</v>
      </c>
      <c r="M503" s="1">
        <v>6.6100000000000006E-2</v>
      </c>
      <c r="N503" t="s">
        <v>350</v>
      </c>
      <c r="O503">
        <v>0.51</v>
      </c>
      <c r="P503" t="s">
        <v>343</v>
      </c>
      <c r="Q503">
        <v>0.91</v>
      </c>
      <c r="R503" t="s">
        <v>343</v>
      </c>
      <c r="S503">
        <v>1</v>
      </c>
    </row>
    <row r="504" spans="1:19" x14ac:dyDescent="0.25">
      <c r="A504" t="s">
        <v>26</v>
      </c>
      <c r="B504" t="s">
        <v>93</v>
      </c>
      <c r="C504">
        <v>740</v>
      </c>
      <c r="D504" t="s">
        <v>341</v>
      </c>
      <c r="E504">
        <v>29.23</v>
      </c>
      <c r="F504">
        <v>17.899999999999999</v>
      </c>
      <c r="G504">
        <v>14.41</v>
      </c>
      <c r="H504">
        <v>32.31</v>
      </c>
      <c r="I504" t="s">
        <v>344</v>
      </c>
      <c r="J504">
        <v>107.59</v>
      </c>
      <c r="K504">
        <v>-5.97</v>
      </c>
      <c r="L504" t="s">
        <v>346</v>
      </c>
      <c r="M504" s="1">
        <v>5.9700000000000003E-2</v>
      </c>
      <c r="N504" t="s">
        <v>350</v>
      </c>
      <c r="O504">
        <v>-0.35</v>
      </c>
      <c r="P504" t="s">
        <v>343</v>
      </c>
      <c r="Q504">
        <v>1.33</v>
      </c>
      <c r="R504" t="s">
        <v>343</v>
      </c>
      <c r="S504">
        <v>1</v>
      </c>
    </row>
    <row r="505" spans="1:19" x14ac:dyDescent="0.25">
      <c r="A505" t="s">
        <v>26</v>
      </c>
      <c r="B505" t="s">
        <v>94</v>
      </c>
      <c r="C505">
        <v>760</v>
      </c>
      <c r="D505" t="s">
        <v>341</v>
      </c>
      <c r="E505">
        <v>29.23</v>
      </c>
      <c r="F505">
        <v>17.829999999999998</v>
      </c>
      <c r="G505">
        <v>13.72</v>
      </c>
      <c r="H505">
        <v>31.55</v>
      </c>
      <c r="I505" t="s">
        <v>344</v>
      </c>
      <c r="J505">
        <v>106.31</v>
      </c>
      <c r="K505">
        <v>-6.4</v>
      </c>
      <c r="L505" t="s">
        <v>346</v>
      </c>
      <c r="M505" s="1">
        <v>6.4000000000000001E-2</v>
      </c>
      <c r="N505" t="s">
        <v>350</v>
      </c>
      <c r="O505">
        <v>1.03</v>
      </c>
      <c r="P505" t="s">
        <v>343</v>
      </c>
      <c r="Q505">
        <v>1.88</v>
      </c>
      <c r="R505" t="s">
        <v>343</v>
      </c>
      <c r="S505">
        <v>1</v>
      </c>
    </row>
    <row r="506" spans="1:19" x14ac:dyDescent="0.25">
      <c r="A506" t="s">
        <v>26</v>
      </c>
      <c r="B506" t="s">
        <v>95</v>
      </c>
      <c r="C506">
        <v>780</v>
      </c>
      <c r="D506" t="s">
        <v>341</v>
      </c>
      <c r="E506">
        <v>29.23</v>
      </c>
      <c r="F506">
        <v>17.29</v>
      </c>
      <c r="G506">
        <v>13.66</v>
      </c>
      <c r="H506">
        <v>30.95</v>
      </c>
      <c r="I506" t="s">
        <v>344</v>
      </c>
      <c r="J506">
        <v>105.01</v>
      </c>
      <c r="K506">
        <v>-6.54</v>
      </c>
      <c r="L506" t="s">
        <v>346</v>
      </c>
      <c r="M506" s="1">
        <v>6.54E-2</v>
      </c>
      <c r="N506" t="s">
        <v>350</v>
      </c>
      <c r="O506">
        <v>1.76</v>
      </c>
      <c r="P506" t="s">
        <v>343</v>
      </c>
      <c r="Q506">
        <v>2.48</v>
      </c>
      <c r="R506" t="s">
        <v>344</v>
      </c>
      <c r="S506">
        <v>1</v>
      </c>
    </row>
    <row r="507" spans="1:19" x14ac:dyDescent="0.25">
      <c r="A507" t="s">
        <v>26</v>
      </c>
      <c r="B507" t="s">
        <v>96</v>
      </c>
      <c r="C507">
        <v>800</v>
      </c>
      <c r="D507" t="s">
        <v>341</v>
      </c>
      <c r="E507">
        <v>29.23</v>
      </c>
      <c r="F507">
        <v>16.75</v>
      </c>
      <c r="G507">
        <v>13.26</v>
      </c>
      <c r="H507">
        <v>30.01</v>
      </c>
      <c r="I507" t="s">
        <v>344</v>
      </c>
      <c r="J507">
        <v>103.73</v>
      </c>
      <c r="K507">
        <v>-6.36</v>
      </c>
      <c r="L507" t="s">
        <v>346</v>
      </c>
      <c r="M507" s="1">
        <v>6.3600000000000004E-2</v>
      </c>
      <c r="N507" t="s">
        <v>350</v>
      </c>
      <c r="O507">
        <v>1.29</v>
      </c>
      <c r="P507" t="s">
        <v>343</v>
      </c>
      <c r="Q507">
        <v>3.67</v>
      </c>
      <c r="R507" t="s">
        <v>344</v>
      </c>
      <c r="S507">
        <v>1</v>
      </c>
    </row>
    <row r="508" spans="1:19" x14ac:dyDescent="0.25">
      <c r="A508" t="s">
        <v>26</v>
      </c>
      <c r="B508" t="s">
        <v>97</v>
      </c>
      <c r="C508">
        <v>820</v>
      </c>
      <c r="D508" t="s">
        <v>341</v>
      </c>
      <c r="E508">
        <v>29.23</v>
      </c>
      <c r="F508">
        <v>16.54</v>
      </c>
      <c r="G508">
        <v>13.52</v>
      </c>
      <c r="H508">
        <v>30.06</v>
      </c>
      <c r="I508" t="s">
        <v>344</v>
      </c>
      <c r="J508">
        <v>102.52</v>
      </c>
      <c r="K508">
        <v>-6.08</v>
      </c>
      <c r="L508" t="s">
        <v>346</v>
      </c>
      <c r="M508" s="1">
        <v>6.08E-2</v>
      </c>
      <c r="N508" t="s">
        <v>350</v>
      </c>
      <c r="O508">
        <v>-0.06</v>
      </c>
      <c r="P508" t="s">
        <v>343</v>
      </c>
      <c r="Q508">
        <v>4.2</v>
      </c>
      <c r="R508" t="s">
        <v>343</v>
      </c>
      <c r="S508">
        <v>1</v>
      </c>
    </row>
    <row r="509" spans="1:19" x14ac:dyDescent="0.25">
      <c r="A509" t="s">
        <v>26</v>
      </c>
      <c r="B509" t="s">
        <v>98</v>
      </c>
      <c r="C509">
        <v>840</v>
      </c>
      <c r="D509" t="s">
        <v>341</v>
      </c>
      <c r="E509">
        <v>29.23</v>
      </c>
      <c r="F509">
        <v>16.350000000000001</v>
      </c>
      <c r="G509">
        <v>13.61</v>
      </c>
      <c r="H509">
        <v>29.95</v>
      </c>
      <c r="I509" t="s">
        <v>344</v>
      </c>
      <c r="J509">
        <v>101.33</v>
      </c>
      <c r="K509">
        <v>-5.95</v>
      </c>
      <c r="L509" t="s">
        <v>346</v>
      </c>
      <c r="M509" s="1">
        <v>5.9499999999999997E-2</v>
      </c>
      <c r="N509" t="s">
        <v>350</v>
      </c>
      <c r="O509">
        <v>0.55000000000000004</v>
      </c>
      <c r="P509" t="s">
        <v>343</v>
      </c>
      <c r="Q509">
        <v>3.67</v>
      </c>
      <c r="R509" t="s">
        <v>344</v>
      </c>
      <c r="S509">
        <v>1</v>
      </c>
    </row>
    <row r="510" spans="1:19" x14ac:dyDescent="0.25">
      <c r="A510" t="s">
        <v>26</v>
      </c>
      <c r="B510" t="s">
        <v>99</v>
      </c>
      <c r="C510">
        <v>860</v>
      </c>
      <c r="D510" t="s">
        <v>341</v>
      </c>
      <c r="E510">
        <v>29.23</v>
      </c>
      <c r="F510">
        <v>15.4</v>
      </c>
      <c r="G510">
        <v>14.54</v>
      </c>
      <c r="H510">
        <v>29.94</v>
      </c>
      <c r="I510" t="s">
        <v>344</v>
      </c>
      <c r="J510">
        <v>100.08</v>
      </c>
      <c r="K510">
        <v>-6.22</v>
      </c>
      <c r="L510" t="s">
        <v>346</v>
      </c>
      <c r="M510" s="1">
        <v>6.2199999999999998E-2</v>
      </c>
      <c r="N510" t="s">
        <v>350</v>
      </c>
      <c r="O510">
        <v>0.08</v>
      </c>
      <c r="P510" t="s">
        <v>343</v>
      </c>
      <c r="Q510">
        <v>3.67</v>
      </c>
      <c r="R510" t="s">
        <v>344</v>
      </c>
      <c r="S510">
        <v>1</v>
      </c>
    </row>
    <row r="511" spans="1:19" x14ac:dyDescent="0.25">
      <c r="A511" t="s">
        <v>26</v>
      </c>
      <c r="B511" t="s">
        <v>100</v>
      </c>
      <c r="C511">
        <v>880</v>
      </c>
      <c r="D511" t="s">
        <v>341</v>
      </c>
      <c r="E511">
        <v>29.23</v>
      </c>
      <c r="F511">
        <v>15.18</v>
      </c>
      <c r="G511">
        <v>15.05</v>
      </c>
      <c r="H511">
        <v>30.24</v>
      </c>
      <c r="I511" t="s">
        <v>344</v>
      </c>
      <c r="J511">
        <v>98.89</v>
      </c>
      <c r="K511">
        <v>-5.96</v>
      </c>
      <c r="L511" t="s">
        <v>346</v>
      </c>
      <c r="M511" s="1">
        <v>5.96E-2</v>
      </c>
      <c r="N511" t="s">
        <v>350</v>
      </c>
      <c r="O511">
        <v>1.72</v>
      </c>
      <c r="P511" t="s">
        <v>343</v>
      </c>
      <c r="Q511">
        <v>2.63</v>
      </c>
      <c r="R511" t="s">
        <v>344</v>
      </c>
      <c r="S511">
        <v>1</v>
      </c>
    </row>
    <row r="512" spans="1:19" x14ac:dyDescent="0.25">
      <c r="A512" t="s">
        <v>26</v>
      </c>
      <c r="B512" t="s">
        <v>101</v>
      </c>
      <c r="C512">
        <v>900</v>
      </c>
      <c r="D512" t="s">
        <v>341</v>
      </c>
      <c r="E512">
        <v>29.23</v>
      </c>
      <c r="F512">
        <v>15.17</v>
      </c>
      <c r="G512">
        <v>15.64</v>
      </c>
      <c r="H512">
        <v>30.8</v>
      </c>
      <c r="I512" t="s">
        <v>344</v>
      </c>
      <c r="J512">
        <v>97.61</v>
      </c>
      <c r="K512">
        <v>-6.39</v>
      </c>
      <c r="L512" t="s">
        <v>346</v>
      </c>
      <c r="M512" s="1">
        <v>6.3899999999999998E-2</v>
      </c>
      <c r="N512" t="s">
        <v>350</v>
      </c>
      <c r="O512">
        <v>1.87</v>
      </c>
      <c r="P512" t="s">
        <v>343</v>
      </c>
      <c r="Q512">
        <v>1.65</v>
      </c>
      <c r="R512" t="s">
        <v>343</v>
      </c>
      <c r="S512">
        <v>1</v>
      </c>
    </row>
    <row r="513" spans="1:19" x14ac:dyDescent="0.25">
      <c r="A513" t="s">
        <v>26</v>
      </c>
      <c r="B513" t="s">
        <v>102</v>
      </c>
      <c r="C513">
        <v>920</v>
      </c>
      <c r="D513" t="s">
        <v>341</v>
      </c>
      <c r="E513">
        <v>29.23</v>
      </c>
      <c r="F513">
        <v>15.62</v>
      </c>
      <c r="G513">
        <v>16.02</v>
      </c>
      <c r="H513">
        <v>31.65</v>
      </c>
      <c r="I513" t="s">
        <v>344</v>
      </c>
      <c r="J513">
        <v>96.3</v>
      </c>
      <c r="K513">
        <v>-6.58</v>
      </c>
      <c r="L513" t="s">
        <v>346</v>
      </c>
      <c r="M513" s="1">
        <v>6.5799999999999997E-2</v>
      </c>
      <c r="N513" t="s">
        <v>350</v>
      </c>
      <c r="O513">
        <v>1.23</v>
      </c>
      <c r="P513" t="s">
        <v>343</v>
      </c>
      <c r="Q513">
        <v>2.0699999999999998</v>
      </c>
      <c r="R513" t="s">
        <v>344</v>
      </c>
      <c r="S513">
        <v>1</v>
      </c>
    </row>
    <row r="514" spans="1:19" x14ac:dyDescent="0.25">
      <c r="A514" t="s">
        <v>26</v>
      </c>
      <c r="B514" t="s">
        <v>103</v>
      </c>
      <c r="C514">
        <v>940</v>
      </c>
      <c r="D514" t="s">
        <v>341</v>
      </c>
      <c r="E514">
        <v>29.23</v>
      </c>
      <c r="F514">
        <v>15.24</v>
      </c>
      <c r="G514">
        <v>14.86</v>
      </c>
      <c r="H514">
        <v>30.1</v>
      </c>
      <c r="I514" t="s">
        <v>344</v>
      </c>
      <c r="J514">
        <v>94.86</v>
      </c>
      <c r="K514">
        <v>-7.17</v>
      </c>
      <c r="L514" t="s">
        <v>346</v>
      </c>
      <c r="M514" s="1">
        <v>7.17E-2</v>
      </c>
      <c r="N514" t="s">
        <v>350</v>
      </c>
      <c r="O514">
        <v>1.03</v>
      </c>
      <c r="P514" t="s">
        <v>343</v>
      </c>
      <c r="Q514">
        <v>1.69</v>
      </c>
      <c r="R514" t="s">
        <v>343</v>
      </c>
      <c r="S514">
        <v>1</v>
      </c>
    </row>
    <row r="515" spans="1:19" x14ac:dyDescent="0.25">
      <c r="A515" t="s">
        <v>26</v>
      </c>
      <c r="B515" t="s">
        <v>104</v>
      </c>
      <c r="C515">
        <v>960</v>
      </c>
      <c r="D515" t="s">
        <v>341</v>
      </c>
      <c r="E515">
        <v>29.23</v>
      </c>
      <c r="F515">
        <v>14.79</v>
      </c>
      <c r="G515">
        <v>14.12</v>
      </c>
      <c r="H515">
        <v>28.91</v>
      </c>
      <c r="I515" t="s">
        <v>343</v>
      </c>
      <c r="J515">
        <v>93.59</v>
      </c>
      <c r="K515">
        <v>-6.38</v>
      </c>
      <c r="L515" t="s">
        <v>346</v>
      </c>
      <c r="M515" s="1">
        <v>6.3799999999999996E-2</v>
      </c>
      <c r="N515" t="s">
        <v>350</v>
      </c>
      <c r="O515">
        <v>0.28999999999999998</v>
      </c>
      <c r="P515" t="s">
        <v>343</v>
      </c>
      <c r="Q515">
        <v>0.74</v>
      </c>
      <c r="R515" t="s">
        <v>343</v>
      </c>
      <c r="S515">
        <v>1</v>
      </c>
    </row>
    <row r="516" spans="1:19" x14ac:dyDescent="0.25">
      <c r="A516" t="s">
        <v>26</v>
      </c>
      <c r="B516" t="s">
        <v>105</v>
      </c>
      <c r="C516">
        <v>980</v>
      </c>
      <c r="D516" t="s">
        <v>341</v>
      </c>
      <c r="E516">
        <v>29.23</v>
      </c>
      <c r="F516">
        <v>14.35</v>
      </c>
      <c r="G516">
        <v>14.59</v>
      </c>
      <c r="H516">
        <v>28.94</v>
      </c>
      <c r="I516" t="s">
        <v>343</v>
      </c>
      <c r="J516">
        <v>92.36</v>
      </c>
      <c r="K516">
        <v>-6.14</v>
      </c>
      <c r="L516" t="s">
        <v>346</v>
      </c>
      <c r="M516" s="1">
        <v>6.1400000000000003E-2</v>
      </c>
      <c r="N516" t="s">
        <v>350</v>
      </c>
      <c r="O516">
        <v>0.39</v>
      </c>
      <c r="P516" t="s">
        <v>343</v>
      </c>
      <c r="Q516">
        <v>1.62</v>
      </c>
      <c r="R516" t="s">
        <v>343</v>
      </c>
      <c r="S516">
        <v>1</v>
      </c>
    </row>
    <row r="517" spans="1:19" x14ac:dyDescent="0.25">
      <c r="A517" t="s">
        <v>26</v>
      </c>
      <c r="B517" t="s">
        <v>106</v>
      </c>
      <c r="C517">
        <v>1000</v>
      </c>
      <c r="D517" t="s">
        <v>341</v>
      </c>
      <c r="E517">
        <v>29.23</v>
      </c>
      <c r="F517">
        <v>14.37</v>
      </c>
      <c r="G517">
        <v>13.47</v>
      </c>
      <c r="H517">
        <v>27.84</v>
      </c>
      <c r="I517" t="s">
        <v>343</v>
      </c>
      <c r="J517">
        <v>91.21</v>
      </c>
      <c r="K517">
        <v>-5.76</v>
      </c>
      <c r="L517" t="s">
        <v>346</v>
      </c>
      <c r="M517" s="1">
        <v>5.7599999999999998E-2</v>
      </c>
      <c r="N517" t="s">
        <v>350</v>
      </c>
      <c r="O517">
        <v>2.57</v>
      </c>
      <c r="P517" t="s">
        <v>344</v>
      </c>
      <c r="Q517">
        <v>1.28</v>
      </c>
      <c r="R517" t="s">
        <v>343</v>
      </c>
      <c r="S517">
        <v>1</v>
      </c>
    </row>
    <row r="518" spans="1:19" x14ac:dyDescent="0.25">
      <c r="A518" t="s">
        <v>26</v>
      </c>
      <c r="B518" t="s">
        <v>108</v>
      </c>
      <c r="C518">
        <v>1020</v>
      </c>
      <c r="D518" t="s">
        <v>341</v>
      </c>
      <c r="E518">
        <v>29.23</v>
      </c>
      <c r="F518">
        <v>14.8</v>
      </c>
      <c r="G518">
        <v>13.1</v>
      </c>
      <c r="H518">
        <v>27.9</v>
      </c>
      <c r="I518" t="s">
        <v>343</v>
      </c>
      <c r="J518">
        <v>90.04</v>
      </c>
      <c r="K518">
        <v>-5.84</v>
      </c>
      <c r="L518" t="s">
        <v>346</v>
      </c>
      <c r="M518" s="1">
        <v>5.8400000000000001E-2</v>
      </c>
      <c r="N518" t="s">
        <v>350</v>
      </c>
      <c r="O518">
        <v>4.04</v>
      </c>
      <c r="P518" t="s">
        <v>343</v>
      </c>
      <c r="Q518">
        <v>1.65</v>
      </c>
      <c r="R518" t="s">
        <v>343</v>
      </c>
      <c r="S518">
        <v>1</v>
      </c>
    </row>
    <row r="519" spans="1:19" x14ac:dyDescent="0.25">
      <c r="A519" t="s">
        <v>26</v>
      </c>
      <c r="B519" t="s">
        <v>109</v>
      </c>
      <c r="C519">
        <v>1040</v>
      </c>
      <c r="D519" t="s">
        <v>341</v>
      </c>
      <c r="E519">
        <v>29.23</v>
      </c>
      <c r="F519">
        <v>13.46</v>
      </c>
      <c r="G519">
        <v>13.24</v>
      </c>
      <c r="H519">
        <v>26.7</v>
      </c>
      <c r="I519" t="s">
        <v>343</v>
      </c>
      <c r="J519">
        <v>88.98</v>
      </c>
      <c r="K519">
        <v>-5.29</v>
      </c>
      <c r="L519" t="s">
        <v>346</v>
      </c>
      <c r="M519" s="1">
        <v>5.2900000000000003E-2</v>
      </c>
      <c r="N519" t="s">
        <v>350</v>
      </c>
      <c r="O519">
        <v>3.7</v>
      </c>
      <c r="P519" t="s">
        <v>344</v>
      </c>
      <c r="Q519">
        <v>1.17</v>
      </c>
      <c r="R519" t="s">
        <v>343</v>
      </c>
      <c r="S519">
        <v>1</v>
      </c>
    </row>
    <row r="520" spans="1:19" x14ac:dyDescent="0.25">
      <c r="A520" t="s">
        <v>26</v>
      </c>
      <c r="B520" t="s">
        <v>110</v>
      </c>
      <c r="C520">
        <v>1060</v>
      </c>
      <c r="D520" t="s">
        <v>341</v>
      </c>
      <c r="E520">
        <v>29.23</v>
      </c>
      <c r="F520">
        <v>13.15</v>
      </c>
      <c r="G520">
        <v>12.03</v>
      </c>
      <c r="H520">
        <v>25.18</v>
      </c>
      <c r="I520" t="s">
        <v>343</v>
      </c>
      <c r="J520">
        <v>87.67</v>
      </c>
      <c r="K520">
        <v>-6.53</v>
      </c>
      <c r="L520" t="s">
        <v>346</v>
      </c>
      <c r="M520" s="1">
        <v>6.5299999999999997E-2</v>
      </c>
      <c r="N520" t="s">
        <v>350</v>
      </c>
      <c r="O520">
        <v>3.29</v>
      </c>
      <c r="P520" t="s">
        <v>344</v>
      </c>
      <c r="Q520">
        <v>-0.05</v>
      </c>
      <c r="R520" t="s">
        <v>343</v>
      </c>
      <c r="S520">
        <v>1</v>
      </c>
    </row>
    <row r="521" spans="1:19" x14ac:dyDescent="0.25">
      <c r="A521" t="s">
        <v>26</v>
      </c>
      <c r="B521" t="s">
        <v>111</v>
      </c>
      <c r="C521">
        <v>1080</v>
      </c>
      <c r="D521" t="s">
        <v>341</v>
      </c>
      <c r="E521">
        <v>29.23</v>
      </c>
      <c r="F521">
        <v>13.48</v>
      </c>
      <c r="G521">
        <v>11.58</v>
      </c>
      <c r="H521">
        <v>25.06</v>
      </c>
      <c r="I521" t="s">
        <v>343</v>
      </c>
      <c r="J521">
        <v>86.52</v>
      </c>
      <c r="K521">
        <v>-5.8</v>
      </c>
      <c r="L521" t="s">
        <v>346</v>
      </c>
      <c r="M521" s="1">
        <v>5.8000000000000003E-2</v>
      </c>
      <c r="N521" t="s">
        <v>350</v>
      </c>
      <c r="O521">
        <v>3.6</v>
      </c>
      <c r="P521" t="s">
        <v>344</v>
      </c>
      <c r="Q521">
        <v>0.94</v>
      </c>
      <c r="R521" t="s">
        <v>343</v>
      </c>
      <c r="S521">
        <v>1</v>
      </c>
    </row>
    <row r="522" spans="1:19" x14ac:dyDescent="0.25">
      <c r="A522" t="s">
        <v>26</v>
      </c>
      <c r="B522" t="s">
        <v>112</v>
      </c>
      <c r="C522">
        <v>1100</v>
      </c>
      <c r="D522" t="s">
        <v>341</v>
      </c>
      <c r="E522">
        <v>29.23</v>
      </c>
      <c r="F522">
        <v>14.06</v>
      </c>
      <c r="G522">
        <v>12.03</v>
      </c>
      <c r="H522">
        <v>26.08</v>
      </c>
      <c r="I522" t="s">
        <v>343</v>
      </c>
      <c r="J522">
        <v>85.09</v>
      </c>
      <c r="K522">
        <v>-7.12</v>
      </c>
      <c r="L522" t="s">
        <v>346</v>
      </c>
      <c r="M522" s="1">
        <v>7.1199999999999999E-2</v>
      </c>
      <c r="N522" t="s">
        <v>350</v>
      </c>
      <c r="O522">
        <v>1.1499999999999999</v>
      </c>
      <c r="P522" t="s">
        <v>343</v>
      </c>
      <c r="Q522">
        <v>0.35</v>
      </c>
      <c r="R522" t="s">
        <v>343</v>
      </c>
      <c r="S522">
        <v>1</v>
      </c>
    </row>
    <row r="523" spans="1:19" x14ac:dyDescent="0.25">
      <c r="A523" t="s">
        <v>26</v>
      </c>
      <c r="B523" t="s">
        <v>113</v>
      </c>
      <c r="C523">
        <v>1120</v>
      </c>
      <c r="D523" t="s">
        <v>341</v>
      </c>
      <c r="E523">
        <v>29.23</v>
      </c>
      <c r="F523">
        <v>13.28</v>
      </c>
      <c r="G523">
        <v>12.52</v>
      </c>
      <c r="H523">
        <v>25.8</v>
      </c>
      <c r="I523" t="s">
        <v>343</v>
      </c>
      <c r="J523">
        <v>83.69</v>
      </c>
      <c r="K523">
        <v>-7.02</v>
      </c>
      <c r="L523" t="s">
        <v>346</v>
      </c>
      <c r="M523" s="1">
        <v>7.0199999999999999E-2</v>
      </c>
      <c r="N523" t="s">
        <v>350</v>
      </c>
      <c r="O523">
        <v>1.5</v>
      </c>
      <c r="P523" t="s">
        <v>343</v>
      </c>
      <c r="Q523">
        <v>0.46</v>
      </c>
      <c r="R523" t="s">
        <v>343</v>
      </c>
      <c r="S523">
        <v>1</v>
      </c>
    </row>
    <row r="524" spans="1:19" x14ac:dyDescent="0.25">
      <c r="A524" t="s">
        <v>26</v>
      </c>
      <c r="B524" t="s">
        <v>114</v>
      </c>
      <c r="C524">
        <v>1140</v>
      </c>
      <c r="D524" t="s">
        <v>341</v>
      </c>
      <c r="E524">
        <v>29.23</v>
      </c>
      <c r="F524">
        <v>13.47</v>
      </c>
      <c r="G524">
        <v>12.55</v>
      </c>
      <c r="H524">
        <v>26.02</v>
      </c>
      <c r="I524" t="s">
        <v>343</v>
      </c>
      <c r="J524">
        <v>82.27</v>
      </c>
      <c r="K524">
        <v>-7.08</v>
      </c>
      <c r="L524" t="s">
        <v>346</v>
      </c>
      <c r="M524" s="1">
        <v>7.0800000000000002E-2</v>
      </c>
      <c r="N524" t="s">
        <v>350</v>
      </c>
      <c r="O524">
        <v>0.79</v>
      </c>
      <c r="P524" t="s">
        <v>343</v>
      </c>
      <c r="Q524">
        <v>2.67</v>
      </c>
      <c r="R524" t="s">
        <v>344</v>
      </c>
      <c r="S524">
        <v>1</v>
      </c>
    </row>
    <row r="525" spans="1:19" x14ac:dyDescent="0.25">
      <c r="A525" t="s">
        <v>26</v>
      </c>
      <c r="B525" t="s">
        <v>115</v>
      </c>
      <c r="C525">
        <v>1160</v>
      </c>
      <c r="D525" t="s">
        <v>341</v>
      </c>
      <c r="E525">
        <v>29.23</v>
      </c>
      <c r="F525">
        <v>13.51</v>
      </c>
      <c r="G525">
        <v>12.55</v>
      </c>
      <c r="H525">
        <v>26.06</v>
      </c>
      <c r="I525" t="s">
        <v>343</v>
      </c>
      <c r="J525">
        <v>81.010000000000005</v>
      </c>
      <c r="K525">
        <v>-6.29</v>
      </c>
      <c r="L525" t="s">
        <v>346</v>
      </c>
      <c r="M525" s="1">
        <v>6.2899999999999998E-2</v>
      </c>
      <c r="N525" t="s">
        <v>350</v>
      </c>
      <c r="O525">
        <v>-0.36</v>
      </c>
      <c r="P525" t="s">
        <v>343</v>
      </c>
      <c r="Q525">
        <v>4.0199999999999996</v>
      </c>
      <c r="R525" t="s">
        <v>343</v>
      </c>
      <c r="S525">
        <v>1</v>
      </c>
    </row>
    <row r="526" spans="1:19" x14ac:dyDescent="0.25">
      <c r="A526" t="s">
        <v>26</v>
      </c>
      <c r="B526" t="s">
        <v>116</v>
      </c>
      <c r="C526">
        <v>1180</v>
      </c>
      <c r="D526" t="s">
        <v>341</v>
      </c>
      <c r="E526">
        <v>29.23</v>
      </c>
      <c r="F526">
        <v>14.39</v>
      </c>
      <c r="G526">
        <v>12.89</v>
      </c>
      <c r="H526">
        <v>27.27</v>
      </c>
      <c r="I526" t="s">
        <v>343</v>
      </c>
      <c r="J526">
        <v>79.77</v>
      </c>
      <c r="K526">
        <v>-6.24</v>
      </c>
      <c r="L526" t="s">
        <v>346</v>
      </c>
      <c r="M526" s="1">
        <v>6.2399999999999997E-2</v>
      </c>
      <c r="N526" t="s">
        <v>350</v>
      </c>
      <c r="O526">
        <v>0.5</v>
      </c>
      <c r="P526" t="s">
        <v>343</v>
      </c>
      <c r="Q526">
        <v>3.25</v>
      </c>
      <c r="R526" t="s">
        <v>344</v>
      </c>
      <c r="S526">
        <v>1</v>
      </c>
    </row>
    <row r="527" spans="1:19" x14ac:dyDescent="0.25">
      <c r="A527" t="s">
        <v>26</v>
      </c>
      <c r="B527" t="s">
        <v>117</v>
      </c>
      <c r="C527">
        <v>1200</v>
      </c>
      <c r="D527" t="s">
        <v>341</v>
      </c>
      <c r="E527">
        <v>29.23</v>
      </c>
      <c r="F527">
        <v>15.55</v>
      </c>
      <c r="G527">
        <v>12.46</v>
      </c>
      <c r="H527">
        <v>28.01</v>
      </c>
      <c r="I527" t="s">
        <v>343</v>
      </c>
      <c r="J527">
        <v>78.39</v>
      </c>
      <c r="K527">
        <v>-6.86</v>
      </c>
      <c r="L527" t="s">
        <v>346</v>
      </c>
      <c r="M527" s="1">
        <v>6.8600000000000008E-2</v>
      </c>
      <c r="N527" t="s">
        <v>350</v>
      </c>
      <c r="O527">
        <v>0.73</v>
      </c>
      <c r="P527" t="s">
        <v>343</v>
      </c>
      <c r="Q527">
        <v>1.91</v>
      </c>
      <c r="R527" t="s">
        <v>343</v>
      </c>
      <c r="S527">
        <v>1</v>
      </c>
    </row>
    <row r="528" spans="1:19" x14ac:dyDescent="0.25">
      <c r="A528" t="s">
        <v>26</v>
      </c>
      <c r="B528" t="s">
        <v>118</v>
      </c>
      <c r="C528">
        <v>1220</v>
      </c>
      <c r="D528" t="s">
        <v>341</v>
      </c>
      <c r="E528">
        <v>29.23</v>
      </c>
      <c r="F528">
        <v>16.75</v>
      </c>
      <c r="G528">
        <v>12.3</v>
      </c>
      <c r="H528">
        <v>29.05</v>
      </c>
      <c r="I528" t="s">
        <v>343</v>
      </c>
      <c r="J528">
        <v>77.14</v>
      </c>
      <c r="K528">
        <v>-6.27</v>
      </c>
      <c r="L528" t="s">
        <v>346</v>
      </c>
      <c r="M528" s="1">
        <v>6.2699999999999992E-2</v>
      </c>
      <c r="N528" t="s">
        <v>350</v>
      </c>
      <c r="O528">
        <v>1.1499999999999999</v>
      </c>
      <c r="P528" t="s">
        <v>343</v>
      </c>
      <c r="Q528">
        <v>2.09</v>
      </c>
      <c r="R528" t="s">
        <v>344</v>
      </c>
      <c r="S528">
        <v>1</v>
      </c>
    </row>
    <row r="529" spans="1:19" x14ac:dyDescent="0.25">
      <c r="A529" t="s">
        <v>26</v>
      </c>
      <c r="B529" t="s">
        <v>119</v>
      </c>
      <c r="C529">
        <v>1240</v>
      </c>
      <c r="D529" t="s">
        <v>341</v>
      </c>
      <c r="E529">
        <v>29.23</v>
      </c>
      <c r="F529">
        <v>17.04</v>
      </c>
      <c r="G529">
        <v>11.78</v>
      </c>
      <c r="H529">
        <v>28.82</v>
      </c>
      <c r="I529" t="s">
        <v>343</v>
      </c>
      <c r="J529">
        <v>75.83</v>
      </c>
      <c r="K529">
        <v>-6.53</v>
      </c>
      <c r="L529" t="s">
        <v>346</v>
      </c>
      <c r="M529" s="1">
        <v>6.5299999999999997E-2</v>
      </c>
      <c r="N529" t="s">
        <v>350</v>
      </c>
      <c r="O529">
        <v>0.8</v>
      </c>
      <c r="P529" t="s">
        <v>343</v>
      </c>
      <c r="Q529">
        <v>2.74</v>
      </c>
      <c r="R529" t="s">
        <v>344</v>
      </c>
      <c r="S529">
        <v>1</v>
      </c>
    </row>
    <row r="530" spans="1:19" x14ac:dyDescent="0.25">
      <c r="A530" t="s">
        <v>26</v>
      </c>
      <c r="B530" t="s">
        <v>120</v>
      </c>
      <c r="C530">
        <v>1260</v>
      </c>
      <c r="D530" t="s">
        <v>341</v>
      </c>
      <c r="E530">
        <v>29.23</v>
      </c>
      <c r="F530">
        <v>17.61</v>
      </c>
      <c r="G530">
        <v>11.3</v>
      </c>
      <c r="H530">
        <v>28.91</v>
      </c>
      <c r="I530" t="s">
        <v>343</v>
      </c>
      <c r="J530">
        <v>74.650000000000006</v>
      </c>
      <c r="K530">
        <v>-5.94</v>
      </c>
      <c r="L530" t="s">
        <v>346</v>
      </c>
      <c r="M530" s="1">
        <v>5.9400000000000001E-2</v>
      </c>
      <c r="N530" t="s">
        <v>350</v>
      </c>
      <c r="O530">
        <v>1.42</v>
      </c>
      <c r="P530" t="s">
        <v>343</v>
      </c>
      <c r="Q530">
        <v>2.92</v>
      </c>
      <c r="R530" t="s">
        <v>344</v>
      </c>
      <c r="S530">
        <v>1</v>
      </c>
    </row>
    <row r="531" spans="1:19" x14ac:dyDescent="0.25">
      <c r="A531" t="s">
        <v>26</v>
      </c>
      <c r="B531" t="s">
        <v>121</v>
      </c>
      <c r="C531">
        <v>1280</v>
      </c>
      <c r="D531" t="s">
        <v>341</v>
      </c>
      <c r="E531">
        <v>29.23</v>
      </c>
      <c r="F531">
        <v>17.87</v>
      </c>
      <c r="G531">
        <v>11.78</v>
      </c>
      <c r="H531">
        <v>29.65</v>
      </c>
      <c r="I531" t="s">
        <v>344</v>
      </c>
      <c r="J531">
        <v>73.05</v>
      </c>
      <c r="K531">
        <v>-8</v>
      </c>
      <c r="L531" t="s">
        <v>347</v>
      </c>
      <c r="M531" s="1">
        <v>0.08</v>
      </c>
      <c r="N531" t="s">
        <v>350</v>
      </c>
      <c r="O531">
        <v>-0.38</v>
      </c>
      <c r="P531" t="s">
        <v>343</v>
      </c>
      <c r="Q531">
        <v>4.59</v>
      </c>
      <c r="R531" t="s">
        <v>343</v>
      </c>
      <c r="S531">
        <v>1</v>
      </c>
    </row>
    <row r="532" spans="1:19" x14ac:dyDescent="0.25">
      <c r="A532" t="s">
        <v>26</v>
      </c>
      <c r="B532" t="s">
        <v>123</v>
      </c>
      <c r="C532">
        <v>1300</v>
      </c>
      <c r="D532" t="s">
        <v>341</v>
      </c>
      <c r="E532">
        <v>29.23</v>
      </c>
      <c r="F532">
        <v>17.02</v>
      </c>
      <c r="G532">
        <v>11.7</v>
      </c>
      <c r="H532">
        <v>28.73</v>
      </c>
      <c r="I532" t="s">
        <v>343</v>
      </c>
      <c r="J532">
        <v>71.290000000000006</v>
      </c>
      <c r="K532">
        <v>-8.7799999999999994</v>
      </c>
      <c r="L532" t="s">
        <v>347</v>
      </c>
      <c r="M532" s="1">
        <v>8.7799999999999989E-2</v>
      </c>
      <c r="N532" t="s">
        <v>350</v>
      </c>
      <c r="O532">
        <v>-0.13</v>
      </c>
      <c r="P532" t="s">
        <v>343</v>
      </c>
      <c r="Q532">
        <v>4</v>
      </c>
      <c r="R532" t="s">
        <v>344</v>
      </c>
      <c r="S532">
        <v>1</v>
      </c>
    </row>
    <row r="533" spans="1:19" x14ac:dyDescent="0.25">
      <c r="A533" t="s">
        <v>26</v>
      </c>
      <c r="B533" t="s">
        <v>124</v>
      </c>
      <c r="C533">
        <v>1320</v>
      </c>
      <c r="D533" t="s">
        <v>341</v>
      </c>
      <c r="E533">
        <v>29.23</v>
      </c>
      <c r="F533">
        <v>18.11</v>
      </c>
      <c r="G533">
        <v>12.18</v>
      </c>
      <c r="H533">
        <v>30.3</v>
      </c>
      <c r="I533" t="s">
        <v>344</v>
      </c>
      <c r="J533">
        <v>69.86</v>
      </c>
      <c r="K533">
        <v>-7.15</v>
      </c>
      <c r="L533" t="s">
        <v>346</v>
      </c>
      <c r="M533" s="1">
        <v>7.1500000000000008E-2</v>
      </c>
      <c r="N533" t="s">
        <v>350</v>
      </c>
      <c r="O533">
        <v>-0.36</v>
      </c>
      <c r="P533" t="s">
        <v>343</v>
      </c>
      <c r="Q533">
        <v>3.72</v>
      </c>
      <c r="R533" t="s">
        <v>344</v>
      </c>
      <c r="S533">
        <v>1</v>
      </c>
    </row>
    <row r="534" spans="1:19" x14ac:dyDescent="0.25">
      <c r="A534" t="s">
        <v>26</v>
      </c>
      <c r="B534" t="s">
        <v>125</v>
      </c>
      <c r="C534">
        <v>1340</v>
      </c>
      <c r="D534" t="s">
        <v>341</v>
      </c>
      <c r="E534">
        <v>29.23</v>
      </c>
      <c r="F534">
        <v>17.7</v>
      </c>
      <c r="G534">
        <v>12.97</v>
      </c>
      <c r="H534">
        <v>30.67</v>
      </c>
      <c r="I534" t="s">
        <v>344</v>
      </c>
      <c r="J534">
        <v>68.540000000000006</v>
      </c>
      <c r="K534">
        <v>-6.58</v>
      </c>
      <c r="L534" t="s">
        <v>346</v>
      </c>
      <c r="M534" s="1">
        <v>6.5799999999999997E-2</v>
      </c>
      <c r="N534" t="s">
        <v>350</v>
      </c>
      <c r="O534">
        <v>-7.0000000000000007E-2</v>
      </c>
      <c r="P534" t="s">
        <v>343</v>
      </c>
      <c r="Q534">
        <v>4.2699999999999996</v>
      </c>
      <c r="R534" t="s">
        <v>343</v>
      </c>
      <c r="S534">
        <v>1</v>
      </c>
    </row>
    <row r="535" spans="1:19" x14ac:dyDescent="0.25">
      <c r="A535" t="s">
        <v>26</v>
      </c>
      <c r="B535" t="s">
        <v>126</v>
      </c>
      <c r="C535">
        <v>1360</v>
      </c>
      <c r="D535" t="s">
        <v>341</v>
      </c>
      <c r="E535">
        <v>29.23</v>
      </c>
      <c r="F535">
        <v>16.29</v>
      </c>
      <c r="G535">
        <v>12.84</v>
      </c>
      <c r="H535">
        <v>29.13</v>
      </c>
      <c r="I535" t="s">
        <v>343</v>
      </c>
      <c r="J535">
        <v>67.13</v>
      </c>
      <c r="K535">
        <v>-7.04</v>
      </c>
      <c r="L535" t="s">
        <v>346</v>
      </c>
      <c r="M535" s="1">
        <v>7.0400000000000004E-2</v>
      </c>
      <c r="N535" t="s">
        <v>350</v>
      </c>
      <c r="O535">
        <v>-0.93</v>
      </c>
      <c r="P535" t="s">
        <v>343</v>
      </c>
      <c r="Q535">
        <v>5.74</v>
      </c>
      <c r="R535" t="s">
        <v>343</v>
      </c>
      <c r="S535">
        <v>1</v>
      </c>
    </row>
    <row r="536" spans="1:19" x14ac:dyDescent="0.25">
      <c r="A536" t="s">
        <v>26</v>
      </c>
      <c r="B536" t="s">
        <v>127</v>
      </c>
      <c r="C536">
        <v>1380</v>
      </c>
      <c r="D536" t="s">
        <v>341</v>
      </c>
      <c r="E536">
        <v>29.23</v>
      </c>
      <c r="F536">
        <v>14.55</v>
      </c>
      <c r="G536">
        <v>14.08</v>
      </c>
      <c r="H536">
        <v>28.63</v>
      </c>
      <c r="I536" t="s">
        <v>343</v>
      </c>
      <c r="J536">
        <v>65.959999999999994</v>
      </c>
      <c r="K536">
        <v>-5.85</v>
      </c>
      <c r="L536" t="s">
        <v>346</v>
      </c>
      <c r="M536" s="1">
        <v>5.8500000000000003E-2</v>
      </c>
      <c r="N536" t="s">
        <v>350</v>
      </c>
      <c r="O536">
        <v>-0.74</v>
      </c>
      <c r="P536" t="s">
        <v>343</v>
      </c>
      <c r="Q536">
        <v>6</v>
      </c>
      <c r="R536" t="s">
        <v>343</v>
      </c>
      <c r="S536">
        <v>1</v>
      </c>
    </row>
    <row r="537" spans="1:19" x14ac:dyDescent="0.25">
      <c r="A537" t="s">
        <v>26</v>
      </c>
      <c r="B537" t="s">
        <v>128</v>
      </c>
      <c r="C537">
        <v>1400</v>
      </c>
      <c r="D537" t="s">
        <v>341</v>
      </c>
      <c r="E537">
        <v>29.23</v>
      </c>
      <c r="F537">
        <v>13.58</v>
      </c>
      <c r="G537">
        <v>14.08</v>
      </c>
      <c r="H537">
        <v>27.66</v>
      </c>
      <c r="I537" t="s">
        <v>343</v>
      </c>
      <c r="J537">
        <v>64.680000000000007</v>
      </c>
      <c r="K537">
        <v>-6.44</v>
      </c>
      <c r="L537" t="s">
        <v>346</v>
      </c>
      <c r="M537" s="1">
        <v>6.4399999999999999E-2</v>
      </c>
      <c r="N537" t="s">
        <v>350</v>
      </c>
      <c r="O537">
        <v>-0.69</v>
      </c>
      <c r="P537" t="s">
        <v>343</v>
      </c>
      <c r="Q537">
        <v>4.21</v>
      </c>
      <c r="R537" t="s">
        <v>343</v>
      </c>
      <c r="S537">
        <v>1</v>
      </c>
    </row>
    <row r="538" spans="1:19" x14ac:dyDescent="0.25">
      <c r="A538" t="s">
        <v>26</v>
      </c>
      <c r="B538" t="s">
        <v>129</v>
      </c>
      <c r="C538">
        <v>1420</v>
      </c>
      <c r="D538" t="s">
        <v>341</v>
      </c>
      <c r="E538">
        <v>29.23</v>
      </c>
      <c r="F538">
        <v>12.71</v>
      </c>
      <c r="G538">
        <v>14.63</v>
      </c>
      <c r="H538">
        <v>27.33</v>
      </c>
      <c r="I538" t="s">
        <v>343</v>
      </c>
      <c r="J538">
        <v>63.29</v>
      </c>
      <c r="K538">
        <v>-6.91</v>
      </c>
      <c r="L538" t="s">
        <v>346</v>
      </c>
      <c r="M538" s="1">
        <v>6.9099999999999995E-2</v>
      </c>
      <c r="N538" t="s">
        <v>350</v>
      </c>
      <c r="O538">
        <v>-0.96</v>
      </c>
      <c r="P538" t="s">
        <v>343</v>
      </c>
      <c r="Q538">
        <v>2.97</v>
      </c>
      <c r="R538" t="s">
        <v>344</v>
      </c>
      <c r="S538">
        <v>1</v>
      </c>
    </row>
    <row r="539" spans="1:19" x14ac:dyDescent="0.25">
      <c r="A539" t="s">
        <v>26</v>
      </c>
      <c r="B539" t="s">
        <v>130</v>
      </c>
      <c r="C539">
        <v>1440</v>
      </c>
      <c r="D539" t="s">
        <v>341</v>
      </c>
      <c r="E539">
        <v>29.23</v>
      </c>
      <c r="F539">
        <v>11.87</v>
      </c>
      <c r="G539">
        <v>15.28</v>
      </c>
      <c r="H539">
        <v>27.15</v>
      </c>
      <c r="I539" t="s">
        <v>343</v>
      </c>
      <c r="J539">
        <v>61.97</v>
      </c>
      <c r="K539">
        <v>-6.62</v>
      </c>
      <c r="L539" t="s">
        <v>346</v>
      </c>
      <c r="M539" s="1">
        <v>6.6199999999999995E-2</v>
      </c>
      <c r="N539" t="s">
        <v>350</v>
      </c>
      <c r="O539">
        <v>-0.47</v>
      </c>
      <c r="P539" t="s">
        <v>343</v>
      </c>
      <c r="Q539">
        <v>1.72</v>
      </c>
      <c r="R539" t="s">
        <v>343</v>
      </c>
      <c r="S539">
        <v>1</v>
      </c>
    </row>
    <row r="540" spans="1:19" x14ac:dyDescent="0.25">
      <c r="A540" t="s">
        <v>26</v>
      </c>
      <c r="B540" t="s">
        <v>131</v>
      </c>
      <c r="C540">
        <v>1460</v>
      </c>
      <c r="D540" t="s">
        <v>341</v>
      </c>
      <c r="E540">
        <v>29.23</v>
      </c>
      <c r="F540">
        <v>12.6</v>
      </c>
      <c r="G540">
        <v>12.52</v>
      </c>
      <c r="H540">
        <v>25.12</v>
      </c>
      <c r="I540" t="s">
        <v>343</v>
      </c>
      <c r="J540">
        <v>60.64</v>
      </c>
      <c r="K540">
        <v>-6.65</v>
      </c>
      <c r="L540" t="s">
        <v>346</v>
      </c>
      <c r="M540" s="1">
        <v>6.6500000000000004E-2</v>
      </c>
      <c r="N540" t="s">
        <v>350</v>
      </c>
      <c r="O540">
        <v>0.84</v>
      </c>
      <c r="P540" t="s">
        <v>343</v>
      </c>
      <c r="Q540">
        <v>2.6</v>
      </c>
      <c r="R540" t="s">
        <v>344</v>
      </c>
      <c r="S540">
        <v>1</v>
      </c>
    </row>
    <row r="541" spans="1:19" x14ac:dyDescent="0.25">
      <c r="A541" t="s">
        <v>26</v>
      </c>
      <c r="B541" t="s">
        <v>132</v>
      </c>
      <c r="C541">
        <v>1480</v>
      </c>
      <c r="D541" t="s">
        <v>341</v>
      </c>
      <c r="E541">
        <v>29.23</v>
      </c>
      <c r="F541">
        <v>15.18</v>
      </c>
      <c r="G541">
        <v>11.25</v>
      </c>
      <c r="H541">
        <v>26.43</v>
      </c>
      <c r="I541" t="s">
        <v>343</v>
      </c>
      <c r="J541">
        <v>59.36</v>
      </c>
      <c r="K541">
        <v>-6.41</v>
      </c>
      <c r="L541" t="s">
        <v>346</v>
      </c>
      <c r="M541" s="1">
        <v>6.4100000000000004E-2</v>
      </c>
      <c r="N541" t="s">
        <v>350</v>
      </c>
      <c r="O541">
        <v>2.21</v>
      </c>
      <c r="P541" t="s">
        <v>344</v>
      </c>
      <c r="Q541">
        <v>0.53</v>
      </c>
      <c r="R541" t="s">
        <v>343</v>
      </c>
      <c r="S541">
        <v>1</v>
      </c>
    </row>
    <row r="542" spans="1:19" x14ac:dyDescent="0.25">
      <c r="A542" t="s">
        <v>26</v>
      </c>
      <c r="B542" t="s">
        <v>133</v>
      </c>
      <c r="C542">
        <v>1500</v>
      </c>
      <c r="D542" t="s">
        <v>341</v>
      </c>
      <c r="E542">
        <v>29.23</v>
      </c>
      <c r="F542">
        <v>20</v>
      </c>
      <c r="G542">
        <v>8</v>
      </c>
      <c r="H542">
        <v>28</v>
      </c>
      <c r="I542" t="s">
        <v>343</v>
      </c>
      <c r="J542">
        <v>57.8</v>
      </c>
      <c r="K542">
        <v>-7.8</v>
      </c>
      <c r="L542" t="s">
        <v>346</v>
      </c>
      <c r="M542" s="1">
        <v>7.8E-2</v>
      </c>
      <c r="N542" t="s">
        <v>350</v>
      </c>
      <c r="O542">
        <v>2.63</v>
      </c>
      <c r="P542" t="s">
        <v>344</v>
      </c>
      <c r="Q542">
        <v>4.3899999999999997</v>
      </c>
      <c r="R542" t="s">
        <v>343</v>
      </c>
      <c r="S542">
        <v>1</v>
      </c>
    </row>
    <row r="543" spans="1:19" x14ac:dyDescent="0.25">
      <c r="A543" t="s">
        <v>26</v>
      </c>
      <c r="B543" t="s">
        <v>134</v>
      </c>
      <c r="C543">
        <v>1520</v>
      </c>
      <c r="D543" t="s">
        <v>341</v>
      </c>
      <c r="E543">
        <v>29.23</v>
      </c>
      <c r="F543">
        <v>20</v>
      </c>
      <c r="G543">
        <v>8.0399999999999991</v>
      </c>
      <c r="H543">
        <v>28.04</v>
      </c>
      <c r="I543" t="s">
        <v>343</v>
      </c>
      <c r="J543">
        <v>56.88</v>
      </c>
      <c r="K543">
        <v>-4.6100000000000003</v>
      </c>
      <c r="L543" t="s">
        <v>346</v>
      </c>
      <c r="M543" s="1">
        <v>4.6100000000000002E-2</v>
      </c>
      <c r="N543" t="s">
        <v>350</v>
      </c>
      <c r="O543">
        <v>8.06</v>
      </c>
      <c r="P543" t="s">
        <v>343</v>
      </c>
      <c r="Q543">
        <v>3.98</v>
      </c>
      <c r="R543" t="s">
        <v>344</v>
      </c>
      <c r="S543">
        <v>1</v>
      </c>
    </row>
    <row r="544" spans="1:19" x14ac:dyDescent="0.25">
      <c r="A544" t="s">
        <v>26</v>
      </c>
      <c r="B544" t="s">
        <v>135</v>
      </c>
      <c r="C544">
        <v>1540</v>
      </c>
      <c r="D544" t="s">
        <v>341</v>
      </c>
      <c r="E544">
        <v>29.23</v>
      </c>
      <c r="F544">
        <v>20</v>
      </c>
      <c r="G544">
        <v>8.5</v>
      </c>
      <c r="H544">
        <v>28.5</v>
      </c>
      <c r="I544" t="s">
        <v>343</v>
      </c>
      <c r="J544">
        <v>55.19</v>
      </c>
      <c r="K544">
        <v>-8.4499999999999993</v>
      </c>
      <c r="L544" t="s">
        <v>347</v>
      </c>
      <c r="M544" s="1">
        <v>8.4499999999999992E-2</v>
      </c>
      <c r="N544" t="s">
        <v>350</v>
      </c>
      <c r="O544">
        <v>27.24</v>
      </c>
      <c r="P544" t="s">
        <v>343</v>
      </c>
      <c r="Q544">
        <v>0.01</v>
      </c>
      <c r="R544" t="s">
        <v>343</v>
      </c>
      <c r="S544">
        <v>1</v>
      </c>
    </row>
    <row r="545" spans="1:19" x14ac:dyDescent="0.25">
      <c r="A545" t="s">
        <v>26</v>
      </c>
      <c r="B545" t="s">
        <v>136</v>
      </c>
      <c r="C545">
        <v>1560</v>
      </c>
      <c r="D545" t="s">
        <v>341</v>
      </c>
      <c r="E545">
        <v>29.23</v>
      </c>
      <c r="F545">
        <v>20</v>
      </c>
      <c r="G545">
        <v>10.050000000000001</v>
      </c>
      <c r="H545">
        <v>30.05</v>
      </c>
      <c r="I545" t="s">
        <v>344</v>
      </c>
      <c r="J545">
        <v>54.17</v>
      </c>
      <c r="K545">
        <v>-5.0999999999999996</v>
      </c>
      <c r="L545" t="s">
        <v>346</v>
      </c>
      <c r="M545" s="1">
        <v>5.0999999999999997E-2</v>
      </c>
      <c r="N545" t="s">
        <v>350</v>
      </c>
      <c r="O545">
        <v>13.57</v>
      </c>
      <c r="P545" t="s">
        <v>343</v>
      </c>
      <c r="Q545">
        <v>-0.61</v>
      </c>
      <c r="R545" t="s">
        <v>343</v>
      </c>
      <c r="S545">
        <v>1</v>
      </c>
    </row>
    <row r="546" spans="1:19" x14ac:dyDescent="0.25">
      <c r="A546" t="s">
        <v>26</v>
      </c>
      <c r="B546" t="s">
        <v>137</v>
      </c>
      <c r="C546">
        <v>1580</v>
      </c>
      <c r="D546" t="s">
        <v>341</v>
      </c>
      <c r="E546">
        <v>29.23</v>
      </c>
      <c r="F546">
        <v>16.760000000000002</v>
      </c>
      <c r="G546">
        <v>11.2</v>
      </c>
      <c r="H546">
        <v>27.96</v>
      </c>
      <c r="I546" t="s">
        <v>343</v>
      </c>
      <c r="J546">
        <v>53.64</v>
      </c>
      <c r="K546">
        <v>-2.61</v>
      </c>
      <c r="L546" t="s">
        <v>346</v>
      </c>
      <c r="M546" s="1">
        <v>2.6100000000000002E-2</v>
      </c>
      <c r="N546" t="s">
        <v>350</v>
      </c>
      <c r="O546">
        <v>1.87</v>
      </c>
      <c r="P546" t="s">
        <v>343</v>
      </c>
      <c r="Q546">
        <v>0.12</v>
      </c>
      <c r="R546" t="s">
        <v>343</v>
      </c>
      <c r="S546">
        <v>1</v>
      </c>
    </row>
    <row r="547" spans="1:19" x14ac:dyDescent="0.25">
      <c r="A547" t="s">
        <v>26</v>
      </c>
      <c r="B547" t="s">
        <v>138</v>
      </c>
      <c r="C547">
        <v>1600</v>
      </c>
      <c r="D547" t="s">
        <v>341</v>
      </c>
      <c r="E547">
        <v>29.23</v>
      </c>
      <c r="F547">
        <v>15.42</v>
      </c>
      <c r="G547">
        <v>11.14</v>
      </c>
      <c r="H547">
        <v>26.56</v>
      </c>
      <c r="I547" t="s">
        <v>343</v>
      </c>
      <c r="J547">
        <v>51.56</v>
      </c>
      <c r="K547">
        <v>-10.42</v>
      </c>
      <c r="L547" t="s">
        <v>348</v>
      </c>
      <c r="M547" s="1">
        <v>0.1042</v>
      </c>
      <c r="N547" t="s">
        <v>350</v>
      </c>
      <c r="O547">
        <v>3.66</v>
      </c>
      <c r="P547" t="s">
        <v>344</v>
      </c>
      <c r="Q547">
        <v>-1.58</v>
      </c>
      <c r="R547" t="s">
        <v>343</v>
      </c>
      <c r="S547">
        <v>1</v>
      </c>
    </row>
    <row r="548" spans="1:19" x14ac:dyDescent="0.25">
      <c r="A548" t="s">
        <v>26</v>
      </c>
      <c r="B548" t="s">
        <v>139</v>
      </c>
      <c r="C548">
        <v>1620</v>
      </c>
      <c r="D548" t="s">
        <v>341</v>
      </c>
      <c r="E548">
        <v>29.23</v>
      </c>
      <c r="F548">
        <v>13.5</v>
      </c>
      <c r="G548">
        <v>11.85</v>
      </c>
      <c r="H548">
        <v>25.35</v>
      </c>
      <c r="I548" t="s">
        <v>343</v>
      </c>
      <c r="J548">
        <v>50.81</v>
      </c>
      <c r="K548">
        <v>-3.73</v>
      </c>
      <c r="L548" t="s">
        <v>346</v>
      </c>
      <c r="M548" s="1">
        <v>3.73E-2</v>
      </c>
      <c r="N548" t="s">
        <v>350</v>
      </c>
      <c r="O548">
        <v>3.34</v>
      </c>
      <c r="P548" t="s">
        <v>344</v>
      </c>
      <c r="Q548">
        <v>-4.9800000000000004</v>
      </c>
      <c r="R548" t="s">
        <v>343</v>
      </c>
      <c r="S548">
        <v>1</v>
      </c>
    </row>
    <row r="549" spans="1:19" x14ac:dyDescent="0.25">
      <c r="A549" t="s">
        <v>26</v>
      </c>
      <c r="B549" t="s">
        <v>140</v>
      </c>
      <c r="C549">
        <v>1640</v>
      </c>
      <c r="D549" t="s">
        <v>341</v>
      </c>
      <c r="E549">
        <v>29.23</v>
      </c>
      <c r="F549">
        <v>14.57</v>
      </c>
      <c r="G549">
        <v>13.17</v>
      </c>
      <c r="H549">
        <v>27.75</v>
      </c>
      <c r="I549" t="s">
        <v>343</v>
      </c>
      <c r="J549">
        <v>50.41</v>
      </c>
      <c r="K549">
        <v>-2.02</v>
      </c>
      <c r="L549" t="s">
        <v>346</v>
      </c>
      <c r="M549" s="1">
        <v>2.0199999999999999E-2</v>
      </c>
      <c r="N549" t="s">
        <v>350</v>
      </c>
      <c r="O549">
        <v>5.54</v>
      </c>
      <c r="P549" t="s">
        <v>343</v>
      </c>
      <c r="Q549">
        <v>-3.17</v>
      </c>
      <c r="R549" t="s">
        <v>344</v>
      </c>
      <c r="S549">
        <v>1</v>
      </c>
    </row>
    <row r="550" spans="1:19" x14ac:dyDescent="0.25">
      <c r="A550" t="s">
        <v>26</v>
      </c>
      <c r="B550" t="s">
        <v>141</v>
      </c>
      <c r="C550">
        <v>1660</v>
      </c>
      <c r="D550" t="s">
        <v>341</v>
      </c>
      <c r="E550">
        <v>29.23</v>
      </c>
      <c r="F550">
        <v>14.43</v>
      </c>
      <c r="G550">
        <v>13.48</v>
      </c>
      <c r="H550">
        <v>27.91</v>
      </c>
      <c r="I550" t="s">
        <v>343</v>
      </c>
      <c r="J550">
        <v>49.99</v>
      </c>
      <c r="K550">
        <v>-2.12</v>
      </c>
      <c r="L550" t="s">
        <v>346</v>
      </c>
      <c r="M550" s="1">
        <v>2.12E-2</v>
      </c>
      <c r="N550" t="s">
        <v>350</v>
      </c>
      <c r="O550">
        <v>4.75</v>
      </c>
      <c r="P550" t="s">
        <v>343</v>
      </c>
      <c r="Q550">
        <v>-3.17</v>
      </c>
      <c r="R550" t="s">
        <v>344</v>
      </c>
      <c r="S550">
        <v>1</v>
      </c>
    </row>
    <row r="551" spans="1:19" x14ac:dyDescent="0.25">
      <c r="A551" t="s">
        <v>26</v>
      </c>
      <c r="B551" t="s">
        <v>142</v>
      </c>
      <c r="C551">
        <v>1680</v>
      </c>
      <c r="D551" t="s">
        <v>341</v>
      </c>
      <c r="E551">
        <v>29.23</v>
      </c>
      <c r="F551">
        <v>13.23</v>
      </c>
      <c r="G551">
        <v>12.78</v>
      </c>
      <c r="H551">
        <v>26</v>
      </c>
      <c r="I551" t="s">
        <v>343</v>
      </c>
      <c r="J551">
        <v>49.73</v>
      </c>
      <c r="K551">
        <v>-1.28</v>
      </c>
      <c r="L551" t="s">
        <v>346</v>
      </c>
      <c r="M551" s="1">
        <v>1.2800000000000001E-2</v>
      </c>
      <c r="N551" t="s">
        <v>349</v>
      </c>
      <c r="O551">
        <v>3.2</v>
      </c>
      <c r="P551" t="s">
        <v>344</v>
      </c>
      <c r="Q551">
        <v>-1.74</v>
      </c>
      <c r="R551" t="s">
        <v>343</v>
      </c>
      <c r="S551">
        <v>1</v>
      </c>
    </row>
    <row r="552" spans="1:19" x14ac:dyDescent="0.25">
      <c r="A552" t="s">
        <v>26</v>
      </c>
      <c r="B552" t="s">
        <v>143</v>
      </c>
      <c r="C552">
        <v>1700</v>
      </c>
      <c r="D552" t="s">
        <v>341</v>
      </c>
      <c r="E552">
        <v>29.23</v>
      </c>
      <c r="F552">
        <v>12.39</v>
      </c>
      <c r="G552">
        <v>11.09</v>
      </c>
      <c r="H552">
        <v>23.48</v>
      </c>
      <c r="I552" t="s">
        <v>343</v>
      </c>
      <c r="J552">
        <v>49.34</v>
      </c>
      <c r="K552">
        <v>-1.93</v>
      </c>
      <c r="L552" t="s">
        <v>346</v>
      </c>
      <c r="M552" s="1">
        <v>1.9300000000000001E-2</v>
      </c>
      <c r="N552" t="s">
        <v>349</v>
      </c>
      <c r="O552">
        <v>5.32</v>
      </c>
      <c r="P552" t="s">
        <v>343</v>
      </c>
      <c r="Q552">
        <v>-1.76</v>
      </c>
      <c r="R552" t="s">
        <v>343</v>
      </c>
      <c r="S552">
        <v>1</v>
      </c>
    </row>
    <row r="553" spans="1:19" x14ac:dyDescent="0.25">
      <c r="A553" t="s">
        <v>26</v>
      </c>
      <c r="B553" t="s">
        <v>144</v>
      </c>
      <c r="C553">
        <v>1720</v>
      </c>
      <c r="D553" t="s">
        <v>341</v>
      </c>
      <c r="E553">
        <v>29.23</v>
      </c>
      <c r="F553">
        <v>11.82</v>
      </c>
      <c r="G553">
        <v>11.38</v>
      </c>
      <c r="H553">
        <v>23.2</v>
      </c>
      <c r="I553" t="s">
        <v>343</v>
      </c>
      <c r="J553">
        <v>49.03</v>
      </c>
      <c r="K553">
        <v>-1.58</v>
      </c>
      <c r="L553" t="s">
        <v>346</v>
      </c>
      <c r="M553" s="1">
        <v>1.5800000000000002E-2</v>
      </c>
      <c r="N553" t="s">
        <v>349</v>
      </c>
      <c r="O553">
        <v>6.91</v>
      </c>
      <c r="P553" t="s">
        <v>343</v>
      </c>
      <c r="Q553">
        <v>-0.91</v>
      </c>
      <c r="R553" t="s">
        <v>343</v>
      </c>
      <c r="S553">
        <v>1</v>
      </c>
    </row>
    <row r="554" spans="1:19" x14ac:dyDescent="0.25">
      <c r="A554" t="s">
        <v>26</v>
      </c>
      <c r="B554" t="s">
        <v>145</v>
      </c>
      <c r="C554">
        <v>1740</v>
      </c>
      <c r="D554" t="s">
        <v>341</v>
      </c>
      <c r="E554">
        <v>29.23</v>
      </c>
      <c r="F554">
        <v>12.25</v>
      </c>
      <c r="G554">
        <v>11.18</v>
      </c>
      <c r="H554">
        <v>23.43</v>
      </c>
      <c r="I554" t="s">
        <v>343</v>
      </c>
      <c r="J554">
        <v>48.59</v>
      </c>
      <c r="K554">
        <v>-2.1800000000000002</v>
      </c>
      <c r="L554" t="s">
        <v>346</v>
      </c>
      <c r="M554" s="1">
        <v>2.18E-2</v>
      </c>
      <c r="N554" t="s">
        <v>350</v>
      </c>
      <c r="O554">
        <v>5.71</v>
      </c>
      <c r="P554" t="s">
        <v>343</v>
      </c>
      <c r="Q554">
        <v>-0.65</v>
      </c>
      <c r="R554" t="s">
        <v>343</v>
      </c>
      <c r="S554">
        <v>1</v>
      </c>
    </row>
    <row r="555" spans="1:19" x14ac:dyDescent="0.25">
      <c r="A555" t="s">
        <v>26</v>
      </c>
      <c r="B555" t="s">
        <v>146</v>
      </c>
      <c r="C555">
        <v>1760</v>
      </c>
      <c r="D555" t="s">
        <v>341</v>
      </c>
      <c r="E555">
        <v>29.23</v>
      </c>
      <c r="F555">
        <v>13.7</v>
      </c>
      <c r="G555">
        <v>11.58</v>
      </c>
      <c r="H555">
        <v>25.29</v>
      </c>
      <c r="I555" t="s">
        <v>343</v>
      </c>
      <c r="J555">
        <v>48.22</v>
      </c>
      <c r="K555">
        <v>-1.87</v>
      </c>
      <c r="L555" t="s">
        <v>346</v>
      </c>
      <c r="M555" s="1">
        <v>1.8700000000000001E-2</v>
      </c>
      <c r="N555" t="s">
        <v>349</v>
      </c>
      <c r="O555">
        <v>5.0199999999999996</v>
      </c>
      <c r="P555" t="s">
        <v>343</v>
      </c>
      <c r="Q555">
        <v>-0.27</v>
      </c>
      <c r="R555" t="s">
        <v>343</v>
      </c>
      <c r="S555">
        <v>1</v>
      </c>
    </row>
    <row r="556" spans="1:19" x14ac:dyDescent="0.25">
      <c r="A556" t="s">
        <v>26</v>
      </c>
      <c r="B556" t="s">
        <v>147</v>
      </c>
      <c r="C556">
        <v>1780</v>
      </c>
      <c r="D556" t="s">
        <v>341</v>
      </c>
      <c r="E556">
        <v>29.23</v>
      </c>
      <c r="F556">
        <v>13.98</v>
      </c>
      <c r="G556">
        <v>12.73</v>
      </c>
      <c r="H556">
        <v>26.7</v>
      </c>
      <c r="I556" t="s">
        <v>343</v>
      </c>
      <c r="J556">
        <v>47.41</v>
      </c>
      <c r="K556">
        <v>-4.0599999999999996</v>
      </c>
      <c r="L556" t="s">
        <v>346</v>
      </c>
      <c r="M556" s="1">
        <v>4.0599999999999997E-2</v>
      </c>
      <c r="N556" t="s">
        <v>350</v>
      </c>
      <c r="O556">
        <v>5.01</v>
      </c>
      <c r="P556" t="s">
        <v>343</v>
      </c>
      <c r="Q556">
        <v>-2.84</v>
      </c>
      <c r="R556" t="s">
        <v>344</v>
      </c>
      <c r="S556">
        <v>1</v>
      </c>
    </row>
    <row r="557" spans="1:19" x14ac:dyDescent="0.25">
      <c r="A557" t="s">
        <v>26</v>
      </c>
      <c r="B557" t="s">
        <v>148</v>
      </c>
      <c r="C557">
        <v>1800</v>
      </c>
      <c r="D557" t="s">
        <v>341</v>
      </c>
      <c r="E557">
        <v>29.23</v>
      </c>
      <c r="F557">
        <v>13.98</v>
      </c>
      <c r="G557">
        <v>12.47</v>
      </c>
      <c r="H557">
        <v>26.45</v>
      </c>
      <c r="I557" t="s">
        <v>343</v>
      </c>
      <c r="J557">
        <v>46.98</v>
      </c>
      <c r="K557">
        <v>-2.11</v>
      </c>
      <c r="L557" t="s">
        <v>346</v>
      </c>
      <c r="M557" s="1">
        <v>2.1100000000000001E-2</v>
      </c>
      <c r="N557" t="s">
        <v>350</v>
      </c>
      <c r="O557">
        <v>5.3</v>
      </c>
      <c r="P557" t="s">
        <v>343</v>
      </c>
      <c r="Q557">
        <v>0.12</v>
      </c>
      <c r="R557" t="s">
        <v>343</v>
      </c>
      <c r="S557">
        <v>1</v>
      </c>
    </row>
    <row r="558" spans="1:19" x14ac:dyDescent="0.25">
      <c r="A558" t="s">
        <v>26</v>
      </c>
      <c r="B558" t="s">
        <v>149</v>
      </c>
      <c r="C558">
        <v>1820</v>
      </c>
      <c r="D558" t="s">
        <v>341</v>
      </c>
      <c r="E558">
        <v>29.23</v>
      </c>
      <c r="F558">
        <v>13.98</v>
      </c>
      <c r="G558">
        <v>15.25</v>
      </c>
      <c r="H558">
        <v>29.23</v>
      </c>
      <c r="I558" t="s">
        <v>344</v>
      </c>
      <c r="J558">
        <v>46.38</v>
      </c>
      <c r="K558">
        <v>-3.02</v>
      </c>
      <c r="L558" t="s">
        <v>346</v>
      </c>
      <c r="M558" s="1">
        <v>3.0200000000000001E-2</v>
      </c>
      <c r="N558" t="s">
        <v>350</v>
      </c>
      <c r="O558">
        <v>4.79</v>
      </c>
      <c r="P558" t="s">
        <v>343</v>
      </c>
      <c r="Q558">
        <v>-0.22</v>
      </c>
      <c r="R558" t="s">
        <v>343</v>
      </c>
      <c r="S558">
        <v>1</v>
      </c>
    </row>
    <row r="559" spans="1:19" x14ac:dyDescent="0.25">
      <c r="A559" t="s">
        <v>26</v>
      </c>
      <c r="B559" t="s">
        <v>150</v>
      </c>
      <c r="C559">
        <v>1840</v>
      </c>
      <c r="D559" t="s">
        <v>341</v>
      </c>
      <c r="E559">
        <v>29.23</v>
      </c>
      <c r="F559">
        <v>12.86</v>
      </c>
      <c r="G559">
        <v>16.18</v>
      </c>
      <c r="H559">
        <v>29.03</v>
      </c>
      <c r="I559" t="s">
        <v>343</v>
      </c>
      <c r="J559">
        <v>45.61</v>
      </c>
      <c r="K559">
        <v>-3.86</v>
      </c>
      <c r="L559" t="s">
        <v>346</v>
      </c>
      <c r="M559" s="1">
        <v>3.8600000000000002E-2</v>
      </c>
      <c r="N559" t="s">
        <v>350</v>
      </c>
      <c r="O559">
        <v>4.92</v>
      </c>
      <c r="P559" t="s">
        <v>343</v>
      </c>
      <c r="Q559">
        <v>-1.26</v>
      </c>
      <c r="R559" t="s">
        <v>343</v>
      </c>
      <c r="S559">
        <v>1</v>
      </c>
    </row>
    <row r="560" spans="1:19" x14ac:dyDescent="0.25">
      <c r="A560" t="s">
        <v>26</v>
      </c>
      <c r="B560" t="s">
        <v>151</v>
      </c>
      <c r="C560">
        <v>1860</v>
      </c>
      <c r="D560" t="s">
        <v>341</v>
      </c>
      <c r="E560">
        <v>29.23</v>
      </c>
      <c r="F560">
        <v>13</v>
      </c>
      <c r="G560">
        <v>15.93</v>
      </c>
      <c r="H560">
        <v>28.92</v>
      </c>
      <c r="I560" t="s">
        <v>343</v>
      </c>
      <c r="J560">
        <v>45.02</v>
      </c>
      <c r="K560">
        <v>-2.94</v>
      </c>
      <c r="L560" t="s">
        <v>346</v>
      </c>
      <c r="M560" s="1">
        <v>2.9399999999999999E-2</v>
      </c>
      <c r="N560" t="s">
        <v>350</v>
      </c>
      <c r="O560">
        <v>3.88</v>
      </c>
      <c r="P560" t="s">
        <v>344</v>
      </c>
      <c r="Q560">
        <v>-0.52</v>
      </c>
      <c r="R560" t="s">
        <v>343</v>
      </c>
      <c r="S560">
        <v>1</v>
      </c>
    </row>
    <row r="561" spans="1:19" x14ac:dyDescent="0.25">
      <c r="A561" t="s">
        <v>26</v>
      </c>
      <c r="B561" t="s">
        <v>152</v>
      </c>
      <c r="C561">
        <v>1880</v>
      </c>
      <c r="D561" t="s">
        <v>341</v>
      </c>
      <c r="E561">
        <v>29.23</v>
      </c>
      <c r="F561">
        <v>12.5</v>
      </c>
      <c r="G561">
        <v>15.93</v>
      </c>
      <c r="H561">
        <v>28.43</v>
      </c>
      <c r="I561" t="s">
        <v>343</v>
      </c>
      <c r="J561">
        <v>44.54</v>
      </c>
      <c r="K561">
        <v>-2.39</v>
      </c>
      <c r="L561" t="s">
        <v>346</v>
      </c>
      <c r="M561" s="1">
        <v>2.3900000000000001E-2</v>
      </c>
      <c r="N561" t="s">
        <v>350</v>
      </c>
      <c r="O561">
        <v>5.09</v>
      </c>
      <c r="P561" t="s">
        <v>343</v>
      </c>
      <c r="Q561">
        <v>-1.37</v>
      </c>
      <c r="R561" t="s">
        <v>343</v>
      </c>
      <c r="S561">
        <v>1</v>
      </c>
    </row>
    <row r="562" spans="1:19" x14ac:dyDescent="0.25">
      <c r="A562" t="s">
        <v>26</v>
      </c>
      <c r="B562" t="s">
        <v>153</v>
      </c>
      <c r="C562">
        <v>1900</v>
      </c>
      <c r="D562" t="s">
        <v>341</v>
      </c>
      <c r="E562">
        <v>29.23</v>
      </c>
      <c r="F562">
        <v>13.38</v>
      </c>
      <c r="G562">
        <v>14.66</v>
      </c>
      <c r="H562">
        <v>28.04</v>
      </c>
      <c r="I562" t="s">
        <v>343</v>
      </c>
      <c r="J562">
        <v>44.06</v>
      </c>
      <c r="K562">
        <v>-2.38</v>
      </c>
      <c r="L562" t="s">
        <v>346</v>
      </c>
      <c r="M562" s="1">
        <v>2.3800000000000002E-2</v>
      </c>
      <c r="N562" t="s">
        <v>350</v>
      </c>
      <c r="O562">
        <v>5.77</v>
      </c>
      <c r="P562" t="s">
        <v>343</v>
      </c>
      <c r="Q562">
        <v>-1.76</v>
      </c>
      <c r="R562" t="s">
        <v>343</v>
      </c>
      <c r="S562">
        <v>1</v>
      </c>
    </row>
    <row r="563" spans="1:19" x14ac:dyDescent="0.25">
      <c r="A563" t="s">
        <v>26</v>
      </c>
      <c r="B563" t="s">
        <v>154</v>
      </c>
      <c r="C563">
        <v>1920</v>
      </c>
      <c r="D563" t="s">
        <v>341</v>
      </c>
      <c r="E563">
        <v>29.23</v>
      </c>
      <c r="F563">
        <v>14.28</v>
      </c>
      <c r="G563">
        <v>14.52</v>
      </c>
      <c r="H563">
        <v>28.81</v>
      </c>
      <c r="I563" t="s">
        <v>343</v>
      </c>
      <c r="J563">
        <v>43.45</v>
      </c>
      <c r="K563">
        <v>-3.05</v>
      </c>
      <c r="L563" t="s">
        <v>346</v>
      </c>
      <c r="M563" s="1">
        <v>3.0499999999999999E-2</v>
      </c>
      <c r="N563" t="s">
        <v>350</v>
      </c>
      <c r="O563">
        <v>4.8</v>
      </c>
      <c r="P563" t="s">
        <v>343</v>
      </c>
      <c r="Q563">
        <v>-1.88</v>
      </c>
      <c r="R563" t="s">
        <v>343</v>
      </c>
      <c r="S563">
        <v>1</v>
      </c>
    </row>
    <row r="564" spans="1:19" x14ac:dyDescent="0.25">
      <c r="A564" t="s">
        <v>26</v>
      </c>
      <c r="B564" t="s">
        <v>155</v>
      </c>
      <c r="C564">
        <v>1940</v>
      </c>
      <c r="D564" t="s">
        <v>341</v>
      </c>
      <c r="E564">
        <v>29.23</v>
      </c>
      <c r="F564">
        <v>15.51</v>
      </c>
      <c r="G564">
        <v>15</v>
      </c>
      <c r="H564">
        <v>30.51</v>
      </c>
      <c r="I564" t="s">
        <v>344</v>
      </c>
      <c r="J564">
        <v>42.86</v>
      </c>
      <c r="K564">
        <v>-2.98</v>
      </c>
      <c r="L564" t="s">
        <v>346</v>
      </c>
      <c r="M564" s="1">
        <v>2.98E-2</v>
      </c>
      <c r="N564" t="s">
        <v>350</v>
      </c>
      <c r="O564">
        <v>4.8499999999999996</v>
      </c>
      <c r="P564" t="s">
        <v>343</v>
      </c>
      <c r="Q564">
        <v>-2.2400000000000002</v>
      </c>
      <c r="R564" t="s">
        <v>344</v>
      </c>
      <c r="S564">
        <v>1</v>
      </c>
    </row>
    <row r="565" spans="1:19" x14ac:dyDescent="0.25">
      <c r="A565" t="s">
        <v>26</v>
      </c>
      <c r="B565" t="s">
        <v>156</v>
      </c>
      <c r="C565">
        <v>1960</v>
      </c>
      <c r="D565" t="s">
        <v>341</v>
      </c>
      <c r="E565">
        <v>29.23</v>
      </c>
      <c r="F565">
        <v>15.68</v>
      </c>
      <c r="G565">
        <v>15.48</v>
      </c>
      <c r="H565">
        <v>31.16</v>
      </c>
      <c r="I565" t="s">
        <v>344</v>
      </c>
      <c r="J565">
        <v>42.15</v>
      </c>
      <c r="K565">
        <v>-3.52</v>
      </c>
      <c r="L565" t="s">
        <v>346</v>
      </c>
      <c r="M565" s="1">
        <v>3.5200000000000002E-2</v>
      </c>
      <c r="N565" t="s">
        <v>350</v>
      </c>
      <c r="O565">
        <v>4.74</v>
      </c>
      <c r="P565" t="s">
        <v>343</v>
      </c>
      <c r="Q565">
        <v>-2.2799999999999998</v>
      </c>
      <c r="R565" t="s">
        <v>344</v>
      </c>
      <c r="S565">
        <v>1</v>
      </c>
    </row>
    <row r="566" spans="1:19" x14ac:dyDescent="0.25">
      <c r="A566" t="s">
        <v>26</v>
      </c>
      <c r="B566" t="s">
        <v>157</v>
      </c>
      <c r="C566">
        <v>1980</v>
      </c>
      <c r="D566" t="s">
        <v>341</v>
      </c>
      <c r="E566">
        <v>29.23</v>
      </c>
      <c r="F566">
        <v>14.86</v>
      </c>
      <c r="G566">
        <v>15</v>
      </c>
      <c r="H566">
        <v>29.86</v>
      </c>
      <c r="I566" t="s">
        <v>344</v>
      </c>
      <c r="J566">
        <v>41.41</v>
      </c>
      <c r="K566">
        <v>-3.72</v>
      </c>
      <c r="L566" t="s">
        <v>346</v>
      </c>
      <c r="M566" s="1">
        <v>3.7199999999999997E-2</v>
      </c>
      <c r="N566" t="s">
        <v>350</v>
      </c>
      <c r="O566">
        <v>3.65</v>
      </c>
      <c r="P566" t="s">
        <v>344</v>
      </c>
      <c r="Q566">
        <v>-3.06</v>
      </c>
      <c r="R566" t="s">
        <v>344</v>
      </c>
      <c r="S566">
        <v>1</v>
      </c>
    </row>
    <row r="567" spans="1:19" x14ac:dyDescent="0.25">
      <c r="A567" t="s">
        <v>26</v>
      </c>
      <c r="B567" t="s">
        <v>158</v>
      </c>
      <c r="C567">
        <v>2000</v>
      </c>
      <c r="D567" t="s">
        <v>341</v>
      </c>
      <c r="E567">
        <v>29.23</v>
      </c>
      <c r="F567">
        <v>15.29</v>
      </c>
      <c r="G567">
        <v>12.68</v>
      </c>
      <c r="H567">
        <v>27.97</v>
      </c>
      <c r="I567" t="s">
        <v>343</v>
      </c>
      <c r="J567">
        <v>40.98</v>
      </c>
      <c r="K567">
        <v>-2.13</v>
      </c>
      <c r="L567" t="s">
        <v>346</v>
      </c>
      <c r="M567" s="1">
        <v>2.1299999999999999E-2</v>
      </c>
      <c r="N567" t="s">
        <v>350</v>
      </c>
      <c r="O567">
        <v>4.63</v>
      </c>
      <c r="P567" t="s">
        <v>343</v>
      </c>
      <c r="Q567">
        <v>-2.65</v>
      </c>
      <c r="R567" t="s">
        <v>344</v>
      </c>
      <c r="S567">
        <v>1</v>
      </c>
    </row>
    <row r="568" spans="1:19" x14ac:dyDescent="0.25">
      <c r="A568" t="s">
        <v>26</v>
      </c>
      <c r="B568" t="s">
        <v>159</v>
      </c>
      <c r="C568">
        <v>2020</v>
      </c>
      <c r="D568" t="s">
        <v>341</v>
      </c>
      <c r="E568">
        <v>29.23</v>
      </c>
      <c r="F568">
        <v>14.84</v>
      </c>
      <c r="G568">
        <v>13.71</v>
      </c>
      <c r="H568">
        <v>28.55</v>
      </c>
      <c r="I568" t="s">
        <v>343</v>
      </c>
      <c r="J568">
        <v>40.46</v>
      </c>
      <c r="K568">
        <v>-2.6</v>
      </c>
      <c r="L568" t="s">
        <v>346</v>
      </c>
      <c r="M568" s="1">
        <v>2.5999999999999999E-2</v>
      </c>
      <c r="N568" t="s">
        <v>350</v>
      </c>
      <c r="O568">
        <v>4.82</v>
      </c>
      <c r="P568" t="s">
        <v>343</v>
      </c>
      <c r="Q568">
        <v>-3.74</v>
      </c>
      <c r="R568" t="s">
        <v>344</v>
      </c>
      <c r="S568">
        <v>1</v>
      </c>
    </row>
    <row r="569" spans="1:19" x14ac:dyDescent="0.25">
      <c r="A569" t="s">
        <v>26</v>
      </c>
      <c r="B569" t="s">
        <v>160</v>
      </c>
      <c r="C569">
        <v>2040</v>
      </c>
      <c r="D569" t="s">
        <v>341</v>
      </c>
      <c r="E569">
        <v>29.23</v>
      </c>
      <c r="F569">
        <v>16.03</v>
      </c>
      <c r="G569">
        <v>13.71</v>
      </c>
      <c r="H569">
        <v>29.74</v>
      </c>
      <c r="I569" t="s">
        <v>344</v>
      </c>
      <c r="J569">
        <v>39.950000000000003</v>
      </c>
      <c r="K569">
        <v>-2.59</v>
      </c>
      <c r="L569" t="s">
        <v>346</v>
      </c>
      <c r="M569" s="1">
        <v>2.5899999999999999E-2</v>
      </c>
      <c r="N569" t="s">
        <v>350</v>
      </c>
      <c r="O569">
        <v>3.06</v>
      </c>
      <c r="P569" t="s">
        <v>344</v>
      </c>
      <c r="Q569">
        <v>-7.06</v>
      </c>
      <c r="R569" t="s">
        <v>343</v>
      </c>
      <c r="S569">
        <v>1</v>
      </c>
    </row>
    <row r="570" spans="1:19" x14ac:dyDescent="0.25">
      <c r="A570" t="s">
        <v>26</v>
      </c>
      <c r="B570" t="s">
        <v>161</v>
      </c>
      <c r="C570">
        <v>2060</v>
      </c>
      <c r="D570" t="s">
        <v>341</v>
      </c>
      <c r="E570">
        <v>29.23</v>
      </c>
      <c r="F570">
        <v>14.95</v>
      </c>
      <c r="G570">
        <v>14.47</v>
      </c>
      <c r="H570">
        <v>29.42</v>
      </c>
      <c r="I570" t="s">
        <v>344</v>
      </c>
      <c r="J570">
        <v>39.229999999999997</v>
      </c>
      <c r="K570">
        <v>-3.6</v>
      </c>
      <c r="L570" t="s">
        <v>346</v>
      </c>
      <c r="M570" s="1">
        <v>3.5999999999999997E-2</v>
      </c>
      <c r="N570" t="s">
        <v>350</v>
      </c>
      <c r="O570">
        <v>3.9</v>
      </c>
      <c r="P570" t="s">
        <v>344</v>
      </c>
      <c r="Q570">
        <v>0.27</v>
      </c>
      <c r="R570" t="s">
        <v>343</v>
      </c>
      <c r="S570">
        <v>1</v>
      </c>
    </row>
    <row r="571" spans="1:19" x14ac:dyDescent="0.25">
      <c r="A571" t="s">
        <v>26</v>
      </c>
      <c r="B571" t="s">
        <v>162</v>
      </c>
      <c r="C571">
        <v>2080</v>
      </c>
      <c r="D571" t="s">
        <v>341</v>
      </c>
      <c r="E571">
        <v>29.23</v>
      </c>
      <c r="F571">
        <v>14.95</v>
      </c>
      <c r="G571">
        <v>15.12</v>
      </c>
      <c r="H571">
        <v>30.07</v>
      </c>
      <c r="I571" t="s">
        <v>344</v>
      </c>
      <c r="J571">
        <v>38.36</v>
      </c>
      <c r="K571">
        <v>-4.3099999999999996</v>
      </c>
      <c r="L571" t="s">
        <v>346</v>
      </c>
      <c r="M571" s="1">
        <v>4.3099999999999999E-2</v>
      </c>
      <c r="N571" t="s">
        <v>350</v>
      </c>
      <c r="O571">
        <v>3.62</v>
      </c>
      <c r="P571" t="s">
        <v>344</v>
      </c>
      <c r="Q571">
        <v>-0.31</v>
      </c>
      <c r="R571" t="s">
        <v>343</v>
      </c>
      <c r="S571">
        <v>1</v>
      </c>
    </row>
    <row r="572" spans="1:19" x14ac:dyDescent="0.25">
      <c r="A572" t="s">
        <v>26</v>
      </c>
      <c r="B572" t="s">
        <v>163</v>
      </c>
      <c r="C572">
        <v>2100</v>
      </c>
      <c r="D572" t="s">
        <v>341</v>
      </c>
      <c r="E572">
        <v>29.23</v>
      </c>
      <c r="F572">
        <v>14.95</v>
      </c>
      <c r="G572">
        <v>15.12</v>
      </c>
      <c r="H572">
        <v>30.07</v>
      </c>
      <c r="I572" t="s">
        <v>344</v>
      </c>
      <c r="J572">
        <v>37.53</v>
      </c>
      <c r="K572">
        <v>-4.1900000000000004</v>
      </c>
      <c r="L572" t="s">
        <v>346</v>
      </c>
      <c r="M572" s="1">
        <v>4.1900000000000007E-2</v>
      </c>
      <c r="N572" t="s">
        <v>350</v>
      </c>
      <c r="O572">
        <v>2.81</v>
      </c>
      <c r="P572" t="s">
        <v>344</v>
      </c>
      <c r="Q572">
        <v>-0.74</v>
      </c>
      <c r="R572" t="s">
        <v>343</v>
      </c>
      <c r="S572">
        <v>1</v>
      </c>
    </row>
    <row r="573" spans="1:19" x14ac:dyDescent="0.25">
      <c r="A573" t="s">
        <v>26</v>
      </c>
      <c r="B573" t="s">
        <v>164</v>
      </c>
      <c r="C573">
        <v>2120</v>
      </c>
      <c r="D573" t="s">
        <v>341</v>
      </c>
      <c r="E573">
        <v>29.23</v>
      </c>
      <c r="F573">
        <v>14.25</v>
      </c>
      <c r="G573">
        <v>15.12</v>
      </c>
      <c r="H573">
        <v>29.38</v>
      </c>
      <c r="I573" t="s">
        <v>344</v>
      </c>
      <c r="J573">
        <v>36.549999999999997</v>
      </c>
      <c r="K573">
        <v>-4.88</v>
      </c>
      <c r="L573" t="s">
        <v>346</v>
      </c>
      <c r="M573" s="1">
        <v>4.8800000000000003E-2</v>
      </c>
      <c r="N573" t="s">
        <v>350</v>
      </c>
      <c r="O573">
        <v>3.79</v>
      </c>
      <c r="P573" t="s">
        <v>344</v>
      </c>
      <c r="Q573">
        <v>-1.47</v>
      </c>
      <c r="R573" t="s">
        <v>343</v>
      </c>
      <c r="S573">
        <v>1</v>
      </c>
    </row>
    <row r="574" spans="1:19" x14ac:dyDescent="0.25">
      <c r="A574" t="s">
        <v>26</v>
      </c>
      <c r="B574" t="s">
        <v>170</v>
      </c>
      <c r="C574">
        <v>2140</v>
      </c>
      <c r="D574" t="s">
        <v>341</v>
      </c>
      <c r="E574">
        <v>29.23</v>
      </c>
      <c r="F574">
        <v>13.17</v>
      </c>
      <c r="G574">
        <v>12.46</v>
      </c>
      <c r="H574">
        <v>25.63</v>
      </c>
      <c r="I574" t="s">
        <v>343</v>
      </c>
      <c r="J574">
        <v>35.6</v>
      </c>
      <c r="K574">
        <v>-4.76</v>
      </c>
      <c r="L574" t="s">
        <v>346</v>
      </c>
      <c r="M574" s="1">
        <v>4.7600000000000003E-2</v>
      </c>
      <c r="N574" t="s">
        <v>350</v>
      </c>
      <c r="O574">
        <v>3.02</v>
      </c>
      <c r="P574" t="s">
        <v>344</v>
      </c>
      <c r="Q574">
        <v>-0.93</v>
      </c>
      <c r="R574" t="s">
        <v>343</v>
      </c>
      <c r="S574">
        <v>1</v>
      </c>
    </row>
    <row r="575" spans="1:19" x14ac:dyDescent="0.25">
      <c r="A575" t="s">
        <v>26</v>
      </c>
      <c r="B575" t="s">
        <v>171</v>
      </c>
      <c r="C575">
        <v>2160</v>
      </c>
      <c r="D575" t="s">
        <v>341</v>
      </c>
      <c r="E575">
        <v>29.23</v>
      </c>
      <c r="F575">
        <v>12.41</v>
      </c>
      <c r="G575">
        <v>11.36</v>
      </c>
      <c r="H575">
        <v>23.77</v>
      </c>
      <c r="I575" t="s">
        <v>343</v>
      </c>
      <c r="J575">
        <v>34.39</v>
      </c>
      <c r="K575">
        <v>-6.05</v>
      </c>
      <c r="L575" t="s">
        <v>346</v>
      </c>
      <c r="M575" s="1">
        <v>6.0499999999999998E-2</v>
      </c>
      <c r="N575" t="s">
        <v>350</v>
      </c>
      <c r="O575">
        <v>5.6</v>
      </c>
      <c r="P575" t="s">
        <v>343</v>
      </c>
      <c r="Q575">
        <v>-0.59</v>
      </c>
      <c r="R575" t="s">
        <v>343</v>
      </c>
      <c r="S575">
        <v>1</v>
      </c>
    </row>
    <row r="576" spans="1:19" x14ac:dyDescent="0.25">
      <c r="A576" t="s">
        <v>26</v>
      </c>
      <c r="B576" t="s">
        <v>172</v>
      </c>
      <c r="C576">
        <v>2180</v>
      </c>
      <c r="D576" t="s">
        <v>341</v>
      </c>
      <c r="E576">
        <v>29.23</v>
      </c>
      <c r="F576">
        <v>11.75</v>
      </c>
      <c r="G576">
        <v>12.46</v>
      </c>
      <c r="H576">
        <v>24.21</v>
      </c>
      <c r="I576" t="s">
        <v>343</v>
      </c>
      <c r="J576">
        <v>33.369999999999997</v>
      </c>
      <c r="K576">
        <v>-5.0599999999999996</v>
      </c>
      <c r="L576" t="s">
        <v>346</v>
      </c>
      <c r="M576" s="1">
        <v>5.0599999999999999E-2</v>
      </c>
      <c r="N576" t="s">
        <v>350</v>
      </c>
      <c r="O576">
        <v>4.74</v>
      </c>
      <c r="P576" t="s">
        <v>343</v>
      </c>
      <c r="Q576">
        <v>0.74</v>
      </c>
      <c r="R576" t="s">
        <v>343</v>
      </c>
      <c r="S576">
        <v>1</v>
      </c>
    </row>
    <row r="577" spans="1:19" x14ac:dyDescent="0.25">
      <c r="A577" t="s">
        <v>26</v>
      </c>
      <c r="B577" t="s">
        <v>173</v>
      </c>
      <c r="C577">
        <v>2200</v>
      </c>
      <c r="D577" t="s">
        <v>341</v>
      </c>
      <c r="E577">
        <v>29.23</v>
      </c>
      <c r="F577">
        <v>10.66</v>
      </c>
      <c r="G577">
        <v>12.4</v>
      </c>
      <c r="H577">
        <v>23.06</v>
      </c>
      <c r="I577" t="s">
        <v>343</v>
      </c>
      <c r="J577">
        <v>32.369999999999997</v>
      </c>
      <c r="K577">
        <v>-5.04</v>
      </c>
      <c r="L577" t="s">
        <v>346</v>
      </c>
      <c r="M577" s="1">
        <v>5.04E-2</v>
      </c>
      <c r="N577" t="s">
        <v>350</v>
      </c>
      <c r="O577">
        <v>5.81</v>
      </c>
      <c r="P577" t="s">
        <v>343</v>
      </c>
      <c r="Q577">
        <v>-0.2</v>
      </c>
      <c r="R577" t="s">
        <v>343</v>
      </c>
      <c r="S577">
        <v>1</v>
      </c>
    </row>
    <row r="578" spans="1:19" x14ac:dyDescent="0.25">
      <c r="A578" t="s">
        <v>26</v>
      </c>
      <c r="B578" t="s">
        <v>174</v>
      </c>
      <c r="C578">
        <v>2220</v>
      </c>
      <c r="D578" t="s">
        <v>341</v>
      </c>
      <c r="E578">
        <v>29.23</v>
      </c>
      <c r="F578">
        <v>10.34</v>
      </c>
      <c r="G578">
        <v>12.47</v>
      </c>
      <c r="H578">
        <v>22.81</v>
      </c>
      <c r="I578" t="s">
        <v>343</v>
      </c>
      <c r="J578">
        <v>31.77</v>
      </c>
      <c r="K578">
        <v>-2.97</v>
      </c>
      <c r="L578" t="s">
        <v>346</v>
      </c>
      <c r="M578" s="1">
        <v>2.9700000000000001E-2</v>
      </c>
      <c r="N578" t="s">
        <v>350</v>
      </c>
      <c r="O578">
        <v>6.62</v>
      </c>
      <c r="P578" t="s">
        <v>343</v>
      </c>
      <c r="Q578">
        <v>0.72</v>
      </c>
      <c r="R578" t="s">
        <v>343</v>
      </c>
      <c r="S578">
        <v>1</v>
      </c>
    </row>
    <row r="579" spans="1:19" x14ac:dyDescent="0.25">
      <c r="A579" t="s">
        <v>26</v>
      </c>
      <c r="B579" t="s">
        <v>175</v>
      </c>
      <c r="C579">
        <v>2240</v>
      </c>
      <c r="D579" t="s">
        <v>341</v>
      </c>
      <c r="E579">
        <v>29.23</v>
      </c>
      <c r="F579">
        <v>10.220000000000001</v>
      </c>
      <c r="G579">
        <v>11.41</v>
      </c>
      <c r="H579">
        <v>21.64</v>
      </c>
      <c r="I579" t="s">
        <v>343</v>
      </c>
      <c r="J579">
        <v>31.32</v>
      </c>
      <c r="K579">
        <v>-2.2400000000000002</v>
      </c>
      <c r="L579" t="s">
        <v>346</v>
      </c>
      <c r="M579" s="1">
        <v>2.24E-2</v>
      </c>
      <c r="N579" t="s">
        <v>350</v>
      </c>
      <c r="O579">
        <v>5.51</v>
      </c>
      <c r="P579" t="s">
        <v>343</v>
      </c>
      <c r="Q579">
        <v>-0.19</v>
      </c>
      <c r="R579" t="s">
        <v>343</v>
      </c>
      <c r="S579">
        <v>1</v>
      </c>
    </row>
    <row r="580" spans="1:19" x14ac:dyDescent="0.25">
      <c r="A580" t="s">
        <v>26</v>
      </c>
      <c r="B580" t="s">
        <v>176</v>
      </c>
      <c r="C580">
        <v>2260</v>
      </c>
      <c r="D580" t="s">
        <v>341</v>
      </c>
      <c r="E580">
        <v>29.23</v>
      </c>
      <c r="F580">
        <v>10.96</v>
      </c>
      <c r="G580">
        <v>10.56</v>
      </c>
      <c r="H580">
        <v>21.52</v>
      </c>
      <c r="I580" t="s">
        <v>343</v>
      </c>
      <c r="J580">
        <v>30.9</v>
      </c>
      <c r="K580">
        <v>-2.12</v>
      </c>
      <c r="L580" t="s">
        <v>346</v>
      </c>
      <c r="M580" s="1">
        <v>2.12E-2</v>
      </c>
      <c r="N580" t="s">
        <v>350</v>
      </c>
      <c r="O580">
        <v>5.05</v>
      </c>
      <c r="P580" t="s">
        <v>343</v>
      </c>
      <c r="Q580">
        <v>0.36</v>
      </c>
      <c r="R580" t="s">
        <v>343</v>
      </c>
      <c r="S580">
        <v>1</v>
      </c>
    </row>
    <row r="581" spans="1:19" x14ac:dyDescent="0.25">
      <c r="A581" t="s">
        <v>26</v>
      </c>
      <c r="B581" t="s">
        <v>177</v>
      </c>
      <c r="C581">
        <v>2280</v>
      </c>
      <c r="D581" t="s">
        <v>341</v>
      </c>
      <c r="E581">
        <v>29.23</v>
      </c>
      <c r="F581">
        <v>10.92</v>
      </c>
      <c r="G581">
        <v>11.45</v>
      </c>
      <c r="H581">
        <v>22.37</v>
      </c>
      <c r="I581" t="s">
        <v>343</v>
      </c>
      <c r="J581">
        <v>30.62</v>
      </c>
      <c r="K581">
        <v>-1.41</v>
      </c>
      <c r="L581" t="s">
        <v>346</v>
      </c>
      <c r="M581" s="1">
        <v>1.41E-2</v>
      </c>
      <c r="N581" t="s">
        <v>349</v>
      </c>
      <c r="O581">
        <v>6.52</v>
      </c>
      <c r="P581" t="s">
        <v>343</v>
      </c>
      <c r="Q581">
        <v>-0.79</v>
      </c>
      <c r="R581" t="s">
        <v>343</v>
      </c>
      <c r="S581">
        <v>1</v>
      </c>
    </row>
    <row r="582" spans="1:19" x14ac:dyDescent="0.25">
      <c r="A582" t="s">
        <v>26</v>
      </c>
      <c r="B582" t="s">
        <v>178</v>
      </c>
      <c r="C582">
        <v>2300</v>
      </c>
      <c r="D582" t="s">
        <v>341</v>
      </c>
      <c r="E582">
        <v>29.23</v>
      </c>
      <c r="F582">
        <v>11.43</v>
      </c>
      <c r="G582">
        <v>12.08</v>
      </c>
      <c r="H582">
        <v>23.51</v>
      </c>
      <c r="I582" t="s">
        <v>343</v>
      </c>
      <c r="J582">
        <v>30.19</v>
      </c>
      <c r="K582">
        <v>-2.15</v>
      </c>
      <c r="L582" t="s">
        <v>346</v>
      </c>
      <c r="M582" s="1">
        <v>2.1499999999999998E-2</v>
      </c>
      <c r="N582" t="s">
        <v>350</v>
      </c>
      <c r="O582">
        <v>5.35</v>
      </c>
      <c r="P582" t="s">
        <v>343</v>
      </c>
      <c r="Q582">
        <v>-1.44</v>
      </c>
      <c r="R582" t="s">
        <v>343</v>
      </c>
      <c r="S582">
        <v>1</v>
      </c>
    </row>
    <row r="583" spans="1:19" x14ac:dyDescent="0.25">
      <c r="A583" t="s">
        <v>26</v>
      </c>
      <c r="B583" t="s">
        <v>179</v>
      </c>
      <c r="C583">
        <v>2320</v>
      </c>
      <c r="D583" t="s">
        <v>341</v>
      </c>
      <c r="E583">
        <v>29.23</v>
      </c>
      <c r="F583">
        <v>11.07</v>
      </c>
      <c r="G583">
        <v>11.08</v>
      </c>
      <c r="H583">
        <v>22.15</v>
      </c>
      <c r="I583" t="s">
        <v>343</v>
      </c>
      <c r="J583">
        <v>29.77</v>
      </c>
      <c r="K583">
        <v>-2.11</v>
      </c>
      <c r="L583" t="s">
        <v>346</v>
      </c>
      <c r="M583" s="1">
        <v>2.1100000000000001E-2</v>
      </c>
      <c r="N583" t="s">
        <v>350</v>
      </c>
      <c r="O583">
        <v>4.5</v>
      </c>
      <c r="P583" t="s">
        <v>343</v>
      </c>
      <c r="Q583">
        <v>0.39</v>
      </c>
      <c r="R583" t="s">
        <v>343</v>
      </c>
      <c r="S583">
        <v>1</v>
      </c>
    </row>
    <row r="584" spans="1:19" x14ac:dyDescent="0.25">
      <c r="A584" t="s">
        <v>26</v>
      </c>
      <c r="B584" t="s">
        <v>180</v>
      </c>
      <c r="C584">
        <v>2340</v>
      </c>
      <c r="D584" t="s">
        <v>341</v>
      </c>
      <c r="E584">
        <v>29.23</v>
      </c>
      <c r="F584">
        <v>11.53</v>
      </c>
      <c r="G584">
        <v>12.51</v>
      </c>
      <c r="H584">
        <v>24.05</v>
      </c>
      <c r="I584" t="s">
        <v>343</v>
      </c>
      <c r="J584">
        <v>29.29</v>
      </c>
      <c r="K584">
        <v>-2.37</v>
      </c>
      <c r="L584" t="s">
        <v>346</v>
      </c>
      <c r="M584" s="1">
        <v>2.3699999999999999E-2</v>
      </c>
      <c r="N584" t="s">
        <v>350</v>
      </c>
      <c r="O584">
        <v>4.0199999999999996</v>
      </c>
      <c r="P584" t="s">
        <v>343</v>
      </c>
      <c r="Q584">
        <v>2.08</v>
      </c>
      <c r="R584" t="s">
        <v>344</v>
      </c>
      <c r="S584">
        <v>1</v>
      </c>
    </row>
    <row r="585" spans="1:19" x14ac:dyDescent="0.25">
      <c r="A585" t="s">
        <v>26</v>
      </c>
      <c r="B585" t="s">
        <v>181</v>
      </c>
      <c r="C585">
        <v>2360</v>
      </c>
      <c r="D585" t="s">
        <v>341</v>
      </c>
      <c r="E585">
        <v>29.23</v>
      </c>
      <c r="F585">
        <v>11.62</v>
      </c>
      <c r="G585">
        <v>11.08</v>
      </c>
      <c r="H585">
        <v>22.7</v>
      </c>
      <c r="I585" t="s">
        <v>343</v>
      </c>
      <c r="J585">
        <v>28.58</v>
      </c>
      <c r="K585">
        <v>-3.54</v>
      </c>
      <c r="L585" t="s">
        <v>346</v>
      </c>
      <c r="M585" s="1">
        <v>3.5400000000000001E-2</v>
      </c>
      <c r="N585" t="s">
        <v>350</v>
      </c>
      <c r="O585">
        <v>3.55</v>
      </c>
      <c r="P585" t="s">
        <v>344</v>
      </c>
      <c r="Q585">
        <v>-2.41</v>
      </c>
      <c r="R585" t="s">
        <v>344</v>
      </c>
      <c r="S585">
        <v>1</v>
      </c>
    </row>
    <row r="586" spans="1:19" x14ac:dyDescent="0.25">
      <c r="A586" t="s">
        <v>26</v>
      </c>
      <c r="B586" t="s">
        <v>182</v>
      </c>
      <c r="C586">
        <v>2380</v>
      </c>
      <c r="D586" t="s">
        <v>341</v>
      </c>
      <c r="E586">
        <v>29.23</v>
      </c>
      <c r="F586">
        <v>12.29</v>
      </c>
      <c r="G586">
        <v>10.66</v>
      </c>
      <c r="H586">
        <v>22.95</v>
      </c>
      <c r="I586" t="s">
        <v>343</v>
      </c>
      <c r="J586">
        <v>28.1</v>
      </c>
      <c r="K586">
        <v>-2.4300000000000002</v>
      </c>
      <c r="L586" t="s">
        <v>346</v>
      </c>
      <c r="M586" s="1">
        <v>2.4299999999999999E-2</v>
      </c>
      <c r="N586" t="s">
        <v>350</v>
      </c>
      <c r="O586">
        <v>5.94</v>
      </c>
      <c r="P586" t="s">
        <v>343</v>
      </c>
      <c r="Q586">
        <v>-0.78</v>
      </c>
      <c r="R586" t="s">
        <v>343</v>
      </c>
      <c r="S586">
        <v>1</v>
      </c>
    </row>
    <row r="587" spans="1:19" x14ac:dyDescent="0.25">
      <c r="A587" t="s">
        <v>26</v>
      </c>
      <c r="B587" t="s">
        <v>183</v>
      </c>
      <c r="C587">
        <v>2400</v>
      </c>
      <c r="D587" t="s">
        <v>341</v>
      </c>
      <c r="E587">
        <v>29.23</v>
      </c>
      <c r="F587">
        <v>12.42</v>
      </c>
      <c r="G587">
        <v>9.18</v>
      </c>
      <c r="H587">
        <v>21.6</v>
      </c>
      <c r="I587" t="s">
        <v>343</v>
      </c>
      <c r="J587">
        <v>26.9</v>
      </c>
      <c r="K587">
        <v>-6</v>
      </c>
      <c r="L587" t="s">
        <v>346</v>
      </c>
      <c r="M587" s="1">
        <v>0.06</v>
      </c>
      <c r="N587" t="s">
        <v>350</v>
      </c>
      <c r="O587">
        <v>3.79</v>
      </c>
      <c r="P587" t="s">
        <v>344</v>
      </c>
      <c r="Q587">
        <v>0.14000000000000001</v>
      </c>
      <c r="R587" t="s">
        <v>343</v>
      </c>
      <c r="S587">
        <v>1</v>
      </c>
    </row>
    <row r="588" spans="1:19" x14ac:dyDescent="0.25">
      <c r="A588" t="s">
        <v>26</v>
      </c>
      <c r="B588" t="s">
        <v>184</v>
      </c>
      <c r="C588">
        <v>2420</v>
      </c>
      <c r="D588" t="s">
        <v>341</v>
      </c>
      <c r="E588">
        <v>29.23</v>
      </c>
      <c r="F588">
        <v>12.3</v>
      </c>
      <c r="G588">
        <v>9.5</v>
      </c>
      <c r="H588">
        <v>21.8</v>
      </c>
      <c r="I588" t="s">
        <v>343</v>
      </c>
      <c r="J588">
        <v>25.67</v>
      </c>
      <c r="K588">
        <v>-6.14</v>
      </c>
      <c r="L588" t="s">
        <v>346</v>
      </c>
      <c r="M588" s="1">
        <v>6.1400000000000003E-2</v>
      </c>
      <c r="N588" t="s">
        <v>350</v>
      </c>
      <c r="O588">
        <v>1.55</v>
      </c>
      <c r="P588" t="s">
        <v>343</v>
      </c>
      <c r="Q588">
        <v>2.64</v>
      </c>
      <c r="R588" t="s">
        <v>344</v>
      </c>
      <c r="S588">
        <v>1</v>
      </c>
    </row>
    <row r="589" spans="1:19" x14ac:dyDescent="0.25">
      <c r="A589" t="s">
        <v>26</v>
      </c>
      <c r="B589" t="s">
        <v>185</v>
      </c>
      <c r="C589">
        <v>2440</v>
      </c>
      <c r="D589" t="s">
        <v>341</v>
      </c>
      <c r="E589">
        <v>29.23</v>
      </c>
      <c r="F589">
        <v>14.27</v>
      </c>
      <c r="G589">
        <v>9.5</v>
      </c>
      <c r="H589">
        <v>23.77</v>
      </c>
      <c r="I589" t="s">
        <v>343</v>
      </c>
      <c r="J589">
        <v>24.23</v>
      </c>
      <c r="K589">
        <v>-7.19</v>
      </c>
      <c r="L589" t="s">
        <v>346</v>
      </c>
      <c r="M589" s="1">
        <v>7.1900000000000006E-2</v>
      </c>
      <c r="N589" t="s">
        <v>350</v>
      </c>
      <c r="O589">
        <v>1.74</v>
      </c>
      <c r="P589" t="s">
        <v>343</v>
      </c>
      <c r="Q589">
        <v>3.36</v>
      </c>
      <c r="R589" t="s">
        <v>344</v>
      </c>
      <c r="S589">
        <v>1</v>
      </c>
    </row>
    <row r="590" spans="1:19" x14ac:dyDescent="0.25">
      <c r="A590" t="s">
        <v>26</v>
      </c>
      <c r="B590" t="s">
        <v>186</v>
      </c>
      <c r="C590">
        <v>2460</v>
      </c>
      <c r="D590" t="s">
        <v>341</v>
      </c>
      <c r="E590">
        <v>29.23</v>
      </c>
      <c r="F590">
        <v>14.27</v>
      </c>
      <c r="G590">
        <v>11.5</v>
      </c>
      <c r="H590">
        <v>25.77</v>
      </c>
      <c r="I590" t="s">
        <v>343</v>
      </c>
      <c r="J590">
        <v>22.63</v>
      </c>
      <c r="K590">
        <v>-8.02</v>
      </c>
      <c r="L590" t="s">
        <v>347</v>
      </c>
      <c r="M590" s="1">
        <v>8.0199999999999994E-2</v>
      </c>
      <c r="N590" t="s">
        <v>350</v>
      </c>
      <c r="O590">
        <v>2.37</v>
      </c>
      <c r="P590" t="s">
        <v>344</v>
      </c>
      <c r="Q590">
        <v>-0.61</v>
      </c>
      <c r="R590" t="s">
        <v>343</v>
      </c>
      <c r="S590">
        <v>1</v>
      </c>
    </row>
    <row r="591" spans="1:19" x14ac:dyDescent="0.25">
      <c r="A591" t="s">
        <v>26</v>
      </c>
      <c r="B591" t="s">
        <v>187</v>
      </c>
      <c r="C591">
        <v>2480</v>
      </c>
      <c r="D591" t="s">
        <v>341</v>
      </c>
      <c r="E591">
        <v>29.23</v>
      </c>
      <c r="F591">
        <v>14.27</v>
      </c>
      <c r="G591">
        <v>11.37</v>
      </c>
      <c r="H591">
        <v>25.65</v>
      </c>
      <c r="I591" t="s">
        <v>343</v>
      </c>
      <c r="J591">
        <v>21.07</v>
      </c>
      <c r="K591">
        <v>-7.77</v>
      </c>
      <c r="L591" t="s">
        <v>346</v>
      </c>
      <c r="M591" s="1">
        <v>7.7699999999999991E-2</v>
      </c>
      <c r="N591" t="s">
        <v>350</v>
      </c>
      <c r="O591">
        <v>-1.58</v>
      </c>
      <c r="P591" t="s">
        <v>343</v>
      </c>
      <c r="Q591">
        <v>-0.88</v>
      </c>
      <c r="R591" t="s">
        <v>343</v>
      </c>
      <c r="S591">
        <v>1</v>
      </c>
    </row>
    <row r="592" spans="1:19" x14ac:dyDescent="0.25">
      <c r="A592" t="s">
        <v>26</v>
      </c>
      <c r="B592" t="s">
        <v>188</v>
      </c>
      <c r="C592">
        <v>2500</v>
      </c>
      <c r="D592" t="s">
        <v>341</v>
      </c>
      <c r="E592">
        <v>29.23</v>
      </c>
      <c r="F592">
        <v>14.19</v>
      </c>
      <c r="G592">
        <v>11.3</v>
      </c>
      <c r="H592">
        <v>25.49</v>
      </c>
      <c r="I592" t="s">
        <v>343</v>
      </c>
      <c r="J592">
        <v>19.670000000000002</v>
      </c>
      <c r="K592">
        <v>-6.99</v>
      </c>
      <c r="L592" t="s">
        <v>346</v>
      </c>
      <c r="M592" s="1">
        <v>6.9900000000000004E-2</v>
      </c>
      <c r="N592" t="s">
        <v>350</v>
      </c>
      <c r="O592">
        <v>-3.4</v>
      </c>
      <c r="P592" t="s">
        <v>344</v>
      </c>
      <c r="Q592">
        <v>0.66</v>
      </c>
      <c r="R592" t="s">
        <v>343</v>
      </c>
      <c r="S592">
        <v>1</v>
      </c>
    </row>
    <row r="593" spans="1:19" x14ac:dyDescent="0.25">
      <c r="A593" t="s">
        <v>26</v>
      </c>
      <c r="B593" t="s">
        <v>189</v>
      </c>
      <c r="C593">
        <v>2520</v>
      </c>
      <c r="D593" t="s">
        <v>341</v>
      </c>
      <c r="E593">
        <v>29.23</v>
      </c>
      <c r="F593">
        <v>14.19</v>
      </c>
      <c r="G593">
        <v>11.33</v>
      </c>
      <c r="H593">
        <v>25.52</v>
      </c>
      <c r="I593" t="s">
        <v>343</v>
      </c>
      <c r="J593">
        <v>18.57</v>
      </c>
      <c r="K593">
        <v>-5.54</v>
      </c>
      <c r="L593" t="s">
        <v>346</v>
      </c>
      <c r="M593" s="1">
        <v>5.5399999999999998E-2</v>
      </c>
      <c r="N593" t="s">
        <v>350</v>
      </c>
      <c r="O593">
        <v>-0.89</v>
      </c>
      <c r="P593" t="s">
        <v>343</v>
      </c>
      <c r="Q593">
        <v>3.74</v>
      </c>
      <c r="R593" t="s">
        <v>344</v>
      </c>
      <c r="S593">
        <v>1</v>
      </c>
    </row>
    <row r="594" spans="1:19" x14ac:dyDescent="0.25">
      <c r="A594" t="s">
        <v>26</v>
      </c>
      <c r="B594" t="s">
        <v>190</v>
      </c>
      <c r="C594">
        <v>2540</v>
      </c>
      <c r="D594" t="s">
        <v>341</v>
      </c>
      <c r="E594">
        <v>29.23</v>
      </c>
      <c r="F594">
        <v>14.19</v>
      </c>
      <c r="G594">
        <v>12.15</v>
      </c>
      <c r="H594">
        <v>26.34</v>
      </c>
      <c r="I594" t="s">
        <v>343</v>
      </c>
      <c r="J594">
        <v>17.649999999999999</v>
      </c>
      <c r="K594">
        <v>-4.59</v>
      </c>
      <c r="L594" t="s">
        <v>346</v>
      </c>
      <c r="M594" s="1">
        <v>4.5900000000000003E-2</v>
      </c>
      <c r="N594" t="s">
        <v>350</v>
      </c>
      <c r="O594">
        <v>-1.6</v>
      </c>
      <c r="P594" t="s">
        <v>343</v>
      </c>
      <c r="Q594">
        <v>2.35</v>
      </c>
      <c r="R594" t="s">
        <v>344</v>
      </c>
      <c r="S594">
        <v>1</v>
      </c>
    </row>
    <row r="595" spans="1:19" x14ac:dyDescent="0.25">
      <c r="A595" t="s">
        <v>26</v>
      </c>
      <c r="B595" t="s">
        <v>191</v>
      </c>
      <c r="C595">
        <v>2560</v>
      </c>
      <c r="D595" t="s">
        <v>341</v>
      </c>
      <c r="E595">
        <v>29.23</v>
      </c>
      <c r="F595">
        <v>15.12</v>
      </c>
      <c r="G595">
        <v>12.71</v>
      </c>
      <c r="H595">
        <v>27.84</v>
      </c>
      <c r="I595" t="s">
        <v>343</v>
      </c>
      <c r="J595">
        <v>16.850000000000001</v>
      </c>
      <c r="K595">
        <v>-3.98</v>
      </c>
      <c r="L595" t="s">
        <v>346</v>
      </c>
      <c r="M595" s="1">
        <v>3.9800000000000002E-2</v>
      </c>
      <c r="N595" t="s">
        <v>350</v>
      </c>
      <c r="O595">
        <v>-1.06</v>
      </c>
      <c r="P595" t="s">
        <v>343</v>
      </c>
      <c r="Q595">
        <v>0.56999999999999995</v>
      </c>
      <c r="R595" t="s">
        <v>343</v>
      </c>
      <c r="S595">
        <v>1</v>
      </c>
    </row>
    <row r="596" spans="1:19" x14ac:dyDescent="0.25">
      <c r="A596" t="s">
        <v>26</v>
      </c>
      <c r="B596" t="s">
        <v>192</v>
      </c>
      <c r="C596">
        <v>2580</v>
      </c>
      <c r="D596" t="s">
        <v>341</v>
      </c>
      <c r="E596">
        <v>29.23</v>
      </c>
      <c r="F596">
        <v>14.19</v>
      </c>
      <c r="G596">
        <v>12.71</v>
      </c>
      <c r="H596">
        <v>26.9</v>
      </c>
      <c r="I596" t="s">
        <v>343</v>
      </c>
      <c r="J596">
        <v>16.399999999999999</v>
      </c>
      <c r="K596">
        <v>-2.2599999999999998</v>
      </c>
      <c r="L596" t="s">
        <v>346</v>
      </c>
      <c r="M596" s="1">
        <v>2.2599999999999999E-2</v>
      </c>
      <c r="N596" t="s">
        <v>350</v>
      </c>
      <c r="O596">
        <v>1.39</v>
      </c>
      <c r="P596" t="s">
        <v>343</v>
      </c>
      <c r="Q596">
        <v>-0.83</v>
      </c>
      <c r="R596" t="s">
        <v>343</v>
      </c>
      <c r="S596">
        <v>1</v>
      </c>
    </row>
    <row r="597" spans="1:19" x14ac:dyDescent="0.25">
      <c r="A597" t="s">
        <v>26</v>
      </c>
      <c r="B597" t="s">
        <v>193</v>
      </c>
      <c r="C597">
        <v>2600</v>
      </c>
      <c r="D597" t="s">
        <v>341</v>
      </c>
      <c r="E597">
        <v>29.23</v>
      </c>
      <c r="F597">
        <v>12.81</v>
      </c>
      <c r="G597">
        <v>12.71</v>
      </c>
      <c r="H597">
        <v>25.52</v>
      </c>
      <c r="I597" t="s">
        <v>343</v>
      </c>
      <c r="J597">
        <v>15.58</v>
      </c>
      <c r="K597">
        <v>-4.0999999999999996</v>
      </c>
      <c r="L597" t="s">
        <v>346</v>
      </c>
      <c r="M597" s="1">
        <v>4.0999999999999988E-2</v>
      </c>
      <c r="N597" t="s">
        <v>350</v>
      </c>
      <c r="O597">
        <v>3.03</v>
      </c>
      <c r="P597" t="s">
        <v>344</v>
      </c>
      <c r="Q597">
        <v>0.82</v>
      </c>
      <c r="R597" t="s">
        <v>343</v>
      </c>
      <c r="S597">
        <v>1</v>
      </c>
    </row>
    <row r="598" spans="1:19" x14ac:dyDescent="0.25">
      <c r="A598" t="s">
        <v>26</v>
      </c>
      <c r="B598" t="s">
        <v>194</v>
      </c>
      <c r="C598">
        <v>2620</v>
      </c>
      <c r="D598" t="s">
        <v>341</v>
      </c>
      <c r="E598">
        <v>29.23</v>
      </c>
      <c r="F598">
        <v>10.82</v>
      </c>
      <c r="G598">
        <v>11.18</v>
      </c>
      <c r="H598">
        <v>22</v>
      </c>
      <c r="I598" t="s">
        <v>343</v>
      </c>
      <c r="J598">
        <v>15.03</v>
      </c>
      <c r="K598">
        <v>-2.78</v>
      </c>
      <c r="L598" t="s">
        <v>346</v>
      </c>
      <c r="M598" s="1">
        <v>2.7799999999999998E-2</v>
      </c>
      <c r="N598" t="s">
        <v>350</v>
      </c>
      <c r="O598">
        <v>2.76</v>
      </c>
      <c r="P598" t="s">
        <v>344</v>
      </c>
      <c r="Q598">
        <v>1.7</v>
      </c>
      <c r="R598" t="s">
        <v>343</v>
      </c>
      <c r="S598">
        <v>1</v>
      </c>
    </row>
    <row r="599" spans="1:19" x14ac:dyDescent="0.25">
      <c r="A599" t="s">
        <v>26</v>
      </c>
      <c r="B599" t="s">
        <v>195</v>
      </c>
      <c r="C599">
        <v>2640</v>
      </c>
      <c r="D599" t="s">
        <v>341</v>
      </c>
      <c r="E599">
        <v>29.23</v>
      </c>
      <c r="F599">
        <v>9.8800000000000008</v>
      </c>
      <c r="G599">
        <v>11.59</v>
      </c>
      <c r="H599">
        <v>21.46</v>
      </c>
      <c r="I599" t="s">
        <v>343</v>
      </c>
      <c r="J599">
        <v>13.7</v>
      </c>
      <c r="K599">
        <v>-6.6</v>
      </c>
      <c r="L599" t="s">
        <v>346</v>
      </c>
      <c r="M599" s="1">
        <v>6.6000000000000003E-2</v>
      </c>
      <c r="N599" t="s">
        <v>350</v>
      </c>
      <c r="O599">
        <v>0.17</v>
      </c>
      <c r="P599" t="s">
        <v>343</v>
      </c>
      <c r="Q599">
        <v>2.94</v>
      </c>
      <c r="R599" t="s">
        <v>344</v>
      </c>
      <c r="S599">
        <v>1</v>
      </c>
    </row>
    <row r="600" spans="1:19" x14ac:dyDescent="0.25">
      <c r="A600" t="s">
        <v>26</v>
      </c>
      <c r="B600" t="s">
        <v>196</v>
      </c>
      <c r="C600">
        <v>2660</v>
      </c>
      <c r="D600" t="s">
        <v>341</v>
      </c>
      <c r="E600">
        <v>29.23</v>
      </c>
      <c r="F600">
        <v>8.74</v>
      </c>
      <c r="G600">
        <v>10.65</v>
      </c>
      <c r="H600">
        <v>19.39</v>
      </c>
      <c r="I600" t="s">
        <v>343</v>
      </c>
      <c r="J600">
        <v>12.57</v>
      </c>
      <c r="K600">
        <v>-5.69</v>
      </c>
      <c r="L600" t="s">
        <v>346</v>
      </c>
      <c r="M600" s="1">
        <v>5.6900000000000013E-2</v>
      </c>
      <c r="N600" t="s">
        <v>350</v>
      </c>
      <c r="O600">
        <v>1.41</v>
      </c>
      <c r="P600" t="s">
        <v>343</v>
      </c>
      <c r="Q600">
        <v>5.3</v>
      </c>
      <c r="R600" t="s">
        <v>343</v>
      </c>
      <c r="S600">
        <v>1</v>
      </c>
    </row>
    <row r="601" spans="1:19" x14ac:dyDescent="0.25">
      <c r="A601" t="s">
        <v>26</v>
      </c>
      <c r="B601" t="s">
        <v>197</v>
      </c>
      <c r="C601">
        <v>2680</v>
      </c>
      <c r="D601" t="s">
        <v>341</v>
      </c>
      <c r="E601">
        <v>29.23</v>
      </c>
      <c r="F601">
        <v>8.64</v>
      </c>
      <c r="G601">
        <v>10.93</v>
      </c>
      <c r="H601">
        <v>19.57</v>
      </c>
      <c r="I601" t="s">
        <v>343</v>
      </c>
      <c r="J601">
        <v>11.16</v>
      </c>
      <c r="K601">
        <v>-7.05</v>
      </c>
      <c r="L601" t="s">
        <v>346</v>
      </c>
      <c r="M601" s="1">
        <v>7.0499999999999993E-2</v>
      </c>
      <c r="N601" t="s">
        <v>350</v>
      </c>
      <c r="O601">
        <v>-0.44</v>
      </c>
      <c r="P601" t="s">
        <v>343</v>
      </c>
      <c r="Q601">
        <v>4.03</v>
      </c>
      <c r="R601" t="s">
        <v>343</v>
      </c>
      <c r="S601">
        <v>1</v>
      </c>
    </row>
    <row r="602" spans="1:19" x14ac:dyDescent="0.25">
      <c r="A602" t="s">
        <v>26</v>
      </c>
      <c r="B602" t="s">
        <v>198</v>
      </c>
      <c r="C602">
        <v>2700</v>
      </c>
      <c r="D602" t="s">
        <v>341</v>
      </c>
      <c r="E602">
        <v>29.23</v>
      </c>
      <c r="F602">
        <v>9.35</v>
      </c>
      <c r="G602">
        <v>11.3</v>
      </c>
      <c r="H602">
        <v>20.65</v>
      </c>
      <c r="I602" t="s">
        <v>343</v>
      </c>
      <c r="J602">
        <v>9.58</v>
      </c>
      <c r="K602">
        <v>-7.87</v>
      </c>
      <c r="L602" t="s">
        <v>346</v>
      </c>
      <c r="M602" s="1">
        <v>7.8700000000000006E-2</v>
      </c>
      <c r="N602" t="s">
        <v>350</v>
      </c>
      <c r="O602">
        <v>3.14</v>
      </c>
      <c r="P602" t="s">
        <v>344</v>
      </c>
      <c r="Q602">
        <v>0.55000000000000004</v>
      </c>
      <c r="R602" t="s">
        <v>343</v>
      </c>
      <c r="S602">
        <v>1</v>
      </c>
    </row>
    <row r="603" spans="1:19" x14ac:dyDescent="0.25">
      <c r="A603" t="s">
        <v>26</v>
      </c>
      <c r="B603" t="s">
        <v>199</v>
      </c>
      <c r="C603">
        <v>2720</v>
      </c>
      <c r="D603" t="s">
        <v>341</v>
      </c>
      <c r="E603">
        <v>29.23</v>
      </c>
      <c r="F603">
        <v>11.55</v>
      </c>
      <c r="G603">
        <v>11.02</v>
      </c>
      <c r="H603">
        <v>22.56</v>
      </c>
      <c r="I603" t="s">
        <v>343</v>
      </c>
      <c r="J603">
        <v>8.17</v>
      </c>
      <c r="K603">
        <v>-7.04</v>
      </c>
      <c r="L603" t="s">
        <v>346</v>
      </c>
      <c r="M603" s="1">
        <v>7.0400000000000004E-2</v>
      </c>
      <c r="N603" t="s">
        <v>350</v>
      </c>
      <c r="O603">
        <v>5.35</v>
      </c>
      <c r="P603" t="s">
        <v>343</v>
      </c>
      <c r="Q603">
        <v>-1.1599999999999999</v>
      </c>
      <c r="R603" t="s">
        <v>343</v>
      </c>
      <c r="S603">
        <v>1</v>
      </c>
    </row>
    <row r="604" spans="1:19" x14ac:dyDescent="0.25">
      <c r="A604" t="s">
        <v>26</v>
      </c>
      <c r="B604" t="s">
        <v>200</v>
      </c>
      <c r="C604">
        <v>2740</v>
      </c>
      <c r="D604" t="s">
        <v>341</v>
      </c>
      <c r="E604">
        <v>29.23</v>
      </c>
      <c r="F604">
        <v>11.55</v>
      </c>
      <c r="G604">
        <v>11.3</v>
      </c>
      <c r="H604">
        <v>22.85</v>
      </c>
      <c r="I604" t="s">
        <v>343</v>
      </c>
      <c r="J604">
        <v>6.91</v>
      </c>
      <c r="K604">
        <v>-6.32</v>
      </c>
      <c r="L604" t="s">
        <v>346</v>
      </c>
      <c r="M604" s="1">
        <v>6.3200000000000006E-2</v>
      </c>
      <c r="N604" t="s">
        <v>350</v>
      </c>
      <c r="O604">
        <v>6.95</v>
      </c>
      <c r="P604" t="s">
        <v>343</v>
      </c>
      <c r="Q604">
        <v>-4.9400000000000004</v>
      </c>
      <c r="R604" t="s">
        <v>343</v>
      </c>
      <c r="S604">
        <v>1</v>
      </c>
    </row>
    <row r="605" spans="1:19" x14ac:dyDescent="0.25">
      <c r="A605" t="s">
        <v>26</v>
      </c>
      <c r="B605" t="s">
        <v>201</v>
      </c>
      <c r="C605">
        <v>2760</v>
      </c>
      <c r="D605" t="s">
        <v>341</v>
      </c>
      <c r="E605">
        <v>29.23</v>
      </c>
      <c r="F605">
        <v>11.55</v>
      </c>
      <c r="G605">
        <v>15.6</v>
      </c>
      <c r="H605">
        <v>27.15</v>
      </c>
      <c r="I605" t="s">
        <v>343</v>
      </c>
      <c r="J605">
        <v>5.72</v>
      </c>
      <c r="K605">
        <v>-5.95</v>
      </c>
      <c r="L605" t="s">
        <v>346</v>
      </c>
      <c r="M605" s="1">
        <v>5.9499999999999997E-2</v>
      </c>
      <c r="N605" t="s">
        <v>350</v>
      </c>
      <c r="O605">
        <v>4.26</v>
      </c>
      <c r="P605" t="s">
        <v>343</v>
      </c>
      <c r="Q605">
        <v>-1.62</v>
      </c>
      <c r="R605" t="s">
        <v>343</v>
      </c>
      <c r="S605">
        <v>1</v>
      </c>
    </row>
    <row r="606" spans="1:19" x14ac:dyDescent="0.25">
      <c r="A606" t="s">
        <v>26</v>
      </c>
      <c r="B606" t="s">
        <v>202</v>
      </c>
      <c r="C606">
        <v>2780</v>
      </c>
      <c r="D606" t="s">
        <v>341</v>
      </c>
      <c r="E606">
        <v>29.23</v>
      </c>
      <c r="F606">
        <v>10.91</v>
      </c>
      <c r="G606">
        <v>16.37</v>
      </c>
      <c r="H606">
        <v>27.28</v>
      </c>
      <c r="I606" t="s">
        <v>343</v>
      </c>
      <c r="J606">
        <v>4.8499999999999996</v>
      </c>
      <c r="K606">
        <v>-4.3499999999999996</v>
      </c>
      <c r="L606" t="s">
        <v>346</v>
      </c>
      <c r="M606" s="1">
        <v>4.3499999999999997E-2</v>
      </c>
      <c r="N606" t="s">
        <v>350</v>
      </c>
      <c r="O606">
        <v>5.5</v>
      </c>
      <c r="P606" t="s">
        <v>343</v>
      </c>
      <c r="Q606">
        <v>-1.84</v>
      </c>
      <c r="R606" t="s">
        <v>343</v>
      </c>
      <c r="S606">
        <v>1</v>
      </c>
    </row>
    <row r="607" spans="1:19" x14ac:dyDescent="0.25">
      <c r="A607" t="s">
        <v>26</v>
      </c>
      <c r="B607" t="s">
        <v>203</v>
      </c>
      <c r="C607">
        <v>2800</v>
      </c>
      <c r="D607" t="s">
        <v>341</v>
      </c>
      <c r="E607">
        <v>29.23</v>
      </c>
      <c r="F607">
        <v>10.9</v>
      </c>
      <c r="G607">
        <v>15.93</v>
      </c>
      <c r="H607">
        <v>26.83</v>
      </c>
      <c r="I607" t="s">
        <v>343</v>
      </c>
      <c r="J607">
        <v>4.12</v>
      </c>
      <c r="K607">
        <v>-3.67</v>
      </c>
      <c r="L607" t="s">
        <v>346</v>
      </c>
      <c r="M607" s="1">
        <v>3.6700000000000003E-2</v>
      </c>
      <c r="N607" t="s">
        <v>350</v>
      </c>
      <c r="O607">
        <v>4.62</v>
      </c>
      <c r="P607" t="s">
        <v>343</v>
      </c>
      <c r="Q607">
        <v>-1.05</v>
      </c>
      <c r="R607" t="s">
        <v>343</v>
      </c>
      <c r="S607">
        <v>1</v>
      </c>
    </row>
    <row r="608" spans="1:19" x14ac:dyDescent="0.25">
      <c r="A608" t="s">
        <v>26</v>
      </c>
      <c r="B608" t="s">
        <v>204</v>
      </c>
      <c r="C608">
        <v>2820</v>
      </c>
      <c r="D608" t="s">
        <v>341</v>
      </c>
      <c r="E608">
        <v>29.23</v>
      </c>
      <c r="F608">
        <v>11.9</v>
      </c>
      <c r="G608">
        <v>15.93</v>
      </c>
      <c r="H608">
        <v>27.83</v>
      </c>
      <c r="I608" t="s">
        <v>343</v>
      </c>
      <c r="J608">
        <v>3.2</v>
      </c>
      <c r="K608">
        <v>-4.57</v>
      </c>
      <c r="L608" t="s">
        <v>346</v>
      </c>
      <c r="M608" s="1">
        <v>4.5699999999999998E-2</v>
      </c>
      <c r="N608" t="s">
        <v>350</v>
      </c>
      <c r="O608">
        <v>6.3</v>
      </c>
      <c r="P608" t="s">
        <v>343</v>
      </c>
      <c r="Q608">
        <v>-2.15</v>
      </c>
      <c r="R608" t="s">
        <v>344</v>
      </c>
      <c r="S608">
        <v>1</v>
      </c>
    </row>
    <row r="609" spans="1:19" x14ac:dyDescent="0.25">
      <c r="A609" t="s">
        <v>26</v>
      </c>
      <c r="B609" t="s">
        <v>205</v>
      </c>
      <c r="C609">
        <v>2840</v>
      </c>
      <c r="D609" t="s">
        <v>341</v>
      </c>
      <c r="E609">
        <v>29.23</v>
      </c>
      <c r="F609">
        <v>13.02</v>
      </c>
      <c r="G609">
        <v>14.76</v>
      </c>
      <c r="H609">
        <v>27.78</v>
      </c>
      <c r="I609" t="s">
        <v>343</v>
      </c>
      <c r="J609">
        <v>2.38</v>
      </c>
      <c r="K609">
        <v>-4.09</v>
      </c>
      <c r="L609" t="s">
        <v>346</v>
      </c>
      <c r="M609" s="1">
        <v>4.0899999999999999E-2</v>
      </c>
      <c r="N609" t="s">
        <v>350</v>
      </c>
      <c r="O609">
        <v>6.42</v>
      </c>
      <c r="P609" t="s">
        <v>343</v>
      </c>
      <c r="Q609">
        <v>-2.63</v>
      </c>
      <c r="R609" t="s">
        <v>344</v>
      </c>
      <c r="S609">
        <v>1</v>
      </c>
    </row>
    <row r="610" spans="1:19" x14ac:dyDescent="0.25">
      <c r="A610" t="s">
        <v>26</v>
      </c>
      <c r="B610" t="s">
        <v>206</v>
      </c>
      <c r="C610">
        <v>2860</v>
      </c>
      <c r="D610" t="s">
        <v>341</v>
      </c>
      <c r="E610">
        <v>29.23</v>
      </c>
      <c r="F610">
        <v>13.1</v>
      </c>
      <c r="G610">
        <v>13.77</v>
      </c>
      <c r="H610">
        <v>26.87</v>
      </c>
      <c r="I610" t="s">
        <v>343</v>
      </c>
      <c r="J610">
        <v>1.54</v>
      </c>
      <c r="K610">
        <v>-4.2</v>
      </c>
      <c r="L610" t="s">
        <v>346</v>
      </c>
      <c r="M610" s="1">
        <v>4.2000000000000003E-2</v>
      </c>
      <c r="N610" t="s">
        <v>350</v>
      </c>
      <c r="O610">
        <v>5.93</v>
      </c>
      <c r="P610" t="s">
        <v>343</v>
      </c>
      <c r="Q610">
        <v>-1.68</v>
      </c>
      <c r="R610" t="s">
        <v>343</v>
      </c>
      <c r="S610">
        <v>1</v>
      </c>
    </row>
    <row r="611" spans="1:19" x14ac:dyDescent="0.25">
      <c r="A611" t="s">
        <v>26</v>
      </c>
      <c r="B611" t="s">
        <v>207</v>
      </c>
      <c r="C611">
        <v>2880</v>
      </c>
      <c r="D611" t="s">
        <v>341</v>
      </c>
      <c r="E611">
        <v>29.23</v>
      </c>
      <c r="F611">
        <v>14.31</v>
      </c>
      <c r="G611">
        <v>13.11</v>
      </c>
      <c r="H611">
        <v>27.42</v>
      </c>
      <c r="I611" t="s">
        <v>343</v>
      </c>
      <c r="J611">
        <v>0.22</v>
      </c>
      <c r="K611">
        <v>-6.6</v>
      </c>
      <c r="L611" t="s">
        <v>346</v>
      </c>
      <c r="M611" s="1">
        <v>6.6000000000000003E-2</v>
      </c>
      <c r="N611" t="s">
        <v>350</v>
      </c>
      <c r="O611">
        <v>5.35</v>
      </c>
      <c r="P611" t="s">
        <v>343</v>
      </c>
      <c r="Q611">
        <v>-1.1599999999999999</v>
      </c>
      <c r="R611" t="s">
        <v>343</v>
      </c>
      <c r="S611">
        <v>1</v>
      </c>
    </row>
    <row r="612" spans="1:19" x14ac:dyDescent="0.25">
      <c r="A612" t="s">
        <v>26</v>
      </c>
      <c r="B612" t="s">
        <v>208</v>
      </c>
      <c r="C612">
        <v>2900</v>
      </c>
      <c r="D612" t="s">
        <v>341</v>
      </c>
      <c r="E612">
        <v>29.23</v>
      </c>
      <c r="F612">
        <v>15.57</v>
      </c>
      <c r="G612">
        <v>12.79</v>
      </c>
      <c r="H612">
        <v>28.36</v>
      </c>
      <c r="I612" t="s">
        <v>343</v>
      </c>
      <c r="J612">
        <v>-1.45</v>
      </c>
      <c r="K612">
        <v>-8.34</v>
      </c>
      <c r="L612" t="s">
        <v>347</v>
      </c>
      <c r="M612" s="1">
        <v>8.3400000000000002E-2</v>
      </c>
      <c r="N612" t="s">
        <v>350</v>
      </c>
      <c r="O612">
        <v>3.72</v>
      </c>
      <c r="P612" t="s">
        <v>344</v>
      </c>
      <c r="Q612">
        <v>-1.87</v>
      </c>
      <c r="R612" t="s">
        <v>343</v>
      </c>
      <c r="S612">
        <v>1</v>
      </c>
    </row>
    <row r="613" spans="1:19" x14ac:dyDescent="0.25">
      <c r="A613" t="s">
        <v>26</v>
      </c>
      <c r="B613" t="s">
        <v>209</v>
      </c>
      <c r="C613">
        <v>2920</v>
      </c>
      <c r="D613" t="s">
        <v>341</v>
      </c>
      <c r="E613">
        <v>29.23</v>
      </c>
      <c r="F613">
        <v>14.75</v>
      </c>
      <c r="G613">
        <v>12.01</v>
      </c>
      <c r="H613">
        <v>26.76</v>
      </c>
      <c r="I613" t="s">
        <v>343</v>
      </c>
      <c r="J613">
        <v>-2.89</v>
      </c>
      <c r="K613">
        <v>-7.22</v>
      </c>
      <c r="L613" t="s">
        <v>346</v>
      </c>
      <c r="M613" s="1">
        <v>7.22E-2</v>
      </c>
      <c r="N613" t="s">
        <v>350</v>
      </c>
      <c r="O613">
        <v>4.34</v>
      </c>
      <c r="P613" t="s">
        <v>343</v>
      </c>
      <c r="Q613">
        <v>0.04</v>
      </c>
      <c r="R613" t="s">
        <v>343</v>
      </c>
      <c r="S613">
        <v>1</v>
      </c>
    </row>
    <row r="614" spans="1:19" x14ac:dyDescent="0.25">
      <c r="A614" t="s">
        <v>26</v>
      </c>
      <c r="B614" t="s">
        <v>210</v>
      </c>
      <c r="C614">
        <v>2940</v>
      </c>
      <c r="D614" t="s">
        <v>341</v>
      </c>
      <c r="E614">
        <v>29.23</v>
      </c>
      <c r="F614">
        <v>16.53</v>
      </c>
      <c r="G614">
        <v>13.53</v>
      </c>
      <c r="H614">
        <v>30.07</v>
      </c>
      <c r="I614" t="s">
        <v>344</v>
      </c>
      <c r="J614">
        <v>-4.29</v>
      </c>
      <c r="K614">
        <v>-7.02</v>
      </c>
      <c r="L614" t="s">
        <v>346</v>
      </c>
      <c r="M614" s="1">
        <v>7.0199999999999999E-2</v>
      </c>
      <c r="N614" t="s">
        <v>350</v>
      </c>
      <c r="O614">
        <v>3.25</v>
      </c>
      <c r="P614" t="s">
        <v>344</v>
      </c>
      <c r="Q614">
        <v>-0.84</v>
      </c>
      <c r="R614" t="s">
        <v>343</v>
      </c>
      <c r="S614">
        <v>1</v>
      </c>
    </row>
    <row r="615" spans="1:19" x14ac:dyDescent="0.25">
      <c r="A615" t="s">
        <v>26</v>
      </c>
      <c r="B615" t="s">
        <v>211</v>
      </c>
      <c r="C615">
        <v>2960</v>
      </c>
      <c r="D615" t="s">
        <v>341</v>
      </c>
      <c r="E615">
        <v>29.23</v>
      </c>
      <c r="F615">
        <v>20</v>
      </c>
      <c r="G615">
        <v>13.87</v>
      </c>
      <c r="H615">
        <v>33.869999999999997</v>
      </c>
      <c r="I615" t="s">
        <v>344</v>
      </c>
      <c r="J615">
        <v>-5.6</v>
      </c>
      <c r="K615">
        <v>-6.53</v>
      </c>
      <c r="L615" t="s">
        <v>346</v>
      </c>
      <c r="M615" s="1">
        <v>6.5299999999999997E-2</v>
      </c>
      <c r="N615" t="s">
        <v>350</v>
      </c>
      <c r="O615">
        <v>2.87</v>
      </c>
      <c r="P615" t="s">
        <v>344</v>
      </c>
      <c r="Q615">
        <v>-1.48</v>
      </c>
      <c r="R615" t="s">
        <v>343</v>
      </c>
      <c r="S615">
        <v>1</v>
      </c>
    </row>
    <row r="616" spans="1:19" x14ac:dyDescent="0.25">
      <c r="A616" t="s">
        <v>26</v>
      </c>
      <c r="B616" t="s">
        <v>212</v>
      </c>
      <c r="C616">
        <v>2980</v>
      </c>
      <c r="D616" t="s">
        <v>341</v>
      </c>
      <c r="E616">
        <v>29.23</v>
      </c>
      <c r="F616">
        <v>20</v>
      </c>
      <c r="G616">
        <v>20</v>
      </c>
      <c r="H616">
        <v>40</v>
      </c>
      <c r="I616" t="s">
        <v>344</v>
      </c>
      <c r="J616">
        <v>-6.57</v>
      </c>
      <c r="K616">
        <v>-4.87</v>
      </c>
      <c r="L616" t="s">
        <v>346</v>
      </c>
      <c r="M616" s="1">
        <v>4.87E-2</v>
      </c>
      <c r="N616" t="s">
        <v>350</v>
      </c>
      <c r="O616">
        <v>2.65</v>
      </c>
      <c r="P616" t="s">
        <v>344</v>
      </c>
      <c r="Q616">
        <v>0.82</v>
      </c>
      <c r="R616" t="s">
        <v>343</v>
      </c>
      <c r="S616">
        <v>1</v>
      </c>
    </row>
    <row r="617" spans="1:19" x14ac:dyDescent="0.25">
      <c r="A617" t="s">
        <v>26</v>
      </c>
      <c r="B617" t="s">
        <v>213</v>
      </c>
      <c r="C617">
        <v>3000</v>
      </c>
      <c r="D617" t="s">
        <v>341</v>
      </c>
      <c r="E617">
        <v>29.23</v>
      </c>
      <c r="F617">
        <v>20</v>
      </c>
      <c r="G617">
        <v>20</v>
      </c>
      <c r="H617">
        <v>40</v>
      </c>
      <c r="I617" t="s">
        <v>344</v>
      </c>
      <c r="J617">
        <v>-7.3</v>
      </c>
      <c r="K617">
        <v>-3.65</v>
      </c>
      <c r="L617" t="s">
        <v>346</v>
      </c>
      <c r="M617" s="1">
        <v>3.6499999999999998E-2</v>
      </c>
      <c r="N617" t="s">
        <v>350</v>
      </c>
      <c r="O617">
        <v>5.37</v>
      </c>
      <c r="P617" t="s">
        <v>343</v>
      </c>
      <c r="Q617">
        <v>0.09</v>
      </c>
      <c r="R617" t="s">
        <v>343</v>
      </c>
      <c r="S617">
        <v>1</v>
      </c>
    </row>
    <row r="618" spans="1:19" x14ac:dyDescent="0.25">
      <c r="A618" t="s">
        <v>26</v>
      </c>
      <c r="B618" t="s">
        <v>214</v>
      </c>
      <c r="C618">
        <v>3020</v>
      </c>
      <c r="D618" t="s">
        <v>341</v>
      </c>
      <c r="E618">
        <v>29.23</v>
      </c>
      <c r="F618">
        <v>20</v>
      </c>
      <c r="G618">
        <v>20</v>
      </c>
      <c r="H618">
        <v>40</v>
      </c>
      <c r="I618" t="s">
        <v>344</v>
      </c>
      <c r="J618">
        <v>-7.69</v>
      </c>
      <c r="K618">
        <v>-1.91</v>
      </c>
      <c r="L618" t="s">
        <v>346</v>
      </c>
      <c r="M618" s="1">
        <v>1.9099999999999999E-2</v>
      </c>
      <c r="N618" t="s">
        <v>349</v>
      </c>
      <c r="O618">
        <v>5.38</v>
      </c>
      <c r="P618" t="s">
        <v>343</v>
      </c>
      <c r="Q618">
        <v>-3.26</v>
      </c>
      <c r="R618" t="s">
        <v>344</v>
      </c>
      <c r="S618">
        <v>1</v>
      </c>
    </row>
    <row r="619" spans="1:19" x14ac:dyDescent="0.25">
      <c r="A619" t="s">
        <v>26</v>
      </c>
      <c r="B619" t="s">
        <v>215</v>
      </c>
      <c r="C619">
        <v>3040</v>
      </c>
      <c r="D619" t="s">
        <v>341</v>
      </c>
      <c r="E619">
        <v>29.23</v>
      </c>
      <c r="F619">
        <v>20</v>
      </c>
      <c r="G619">
        <v>20</v>
      </c>
      <c r="H619">
        <v>40</v>
      </c>
      <c r="I619" t="s">
        <v>344</v>
      </c>
      <c r="J619">
        <v>-8.02</v>
      </c>
      <c r="K619">
        <v>-1.66</v>
      </c>
      <c r="L619" t="s">
        <v>346</v>
      </c>
      <c r="M619" s="1">
        <v>1.66E-2</v>
      </c>
      <c r="N619" t="s">
        <v>349</v>
      </c>
      <c r="O619">
        <v>2.9</v>
      </c>
      <c r="P619" t="s">
        <v>344</v>
      </c>
      <c r="Q619">
        <v>-3.88</v>
      </c>
      <c r="R619" t="s">
        <v>344</v>
      </c>
      <c r="S619">
        <v>1</v>
      </c>
    </row>
    <row r="620" spans="1:19" x14ac:dyDescent="0.25">
      <c r="A620" t="s">
        <v>26</v>
      </c>
      <c r="B620" t="s">
        <v>216</v>
      </c>
      <c r="C620">
        <v>3060</v>
      </c>
      <c r="D620" t="s">
        <v>341</v>
      </c>
      <c r="E620">
        <v>29.23</v>
      </c>
      <c r="F620">
        <v>20</v>
      </c>
      <c r="G620">
        <v>15.74</v>
      </c>
      <c r="H620">
        <v>35.74</v>
      </c>
      <c r="I620" t="s">
        <v>344</v>
      </c>
      <c r="J620">
        <v>-8.6199999999999992</v>
      </c>
      <c r="K620">
        <v>-3.01</v>
      </c>
      <c r="L620" t="s">
        <v>346</v>
      </c>
      <c r="M620" s="1">
        <v>3.0099999999999998E-2</v>
      </c>
      <c r="N620" t="s">
        <v>350</v>
      </c>
      <c r="O620">
        <v>-3.96</v>
      </c>
      <c r="P620" t="s">
        <v>344</v>
      </c>
      <c r="Q620">
        <v>1.72</v>
      </c>
      <c r="R620" t="s">
        <v>343</v>
      </c>
      <c r="S620">
        <v>1</v>
      </c>
    </row>
    <row r="621" spans="1:19" x14ac:dyDescent="0.25">
      <c r="A621" t="s">
        <v>26</v>
      </c>
      <c r="B621" t="s">
        <v>217</v>
      </c>
      <c r="C621">
        <v>3080</v>
      </c>
      <c r="D621" t="s">
        <v>341</v>
      </c>
      <c r="E621">
        <v>29.23</v>
      </c>
      <c r="F621">
        <v>20</v>
      </c>
      <c r="G621">
        <v>13.41</v>
      </c>
      <c r="H621">
        <v>33.409999999999997</v>
      </c>
      <c r="I621" t="s">
        <v>344</v>
      </c>
      <c r="J621">
        <v>-9.8699999999999992</v>
      </c>
      <c r="K621">
        <v>-6.24</v>
      </c>
      <c r="L621" t="s">
        <v>346</v>
      </c>
      <c r="M621" s="1">
        <v>6.2399999999999997E-2</v>
      </c>
      <c r="N621" t="s">
        <v>350</v>
      </c>
      <c r="O621">
        <v>-8.5</v>
      </c>
      <c r="P621" t="s">
        <v>343</v>
      </c>
      <c r="Q621">
        <v>3.62</v>
      </c>
      <c r="R621" t="s">
        <v>344</v>
      </c>
      <c r="S621">
        <v>1</v>
      </c>
    </row>
    <row r="622" spans="1:19" x14ac:dyDescent="0.25">
      <c r="A622" t="s">
        <v>26</v>
      </c>
      <c r="B622" t="s">
        <v>218</v>
      </c>
      <c r="C622">
        <v>3100</v>
      </c>
      <c r="D622" t="s">
        <v>341</v>
      </c>
      <c r="E622">
        <v>29.23</v>
      </c>
      <c r="F622">
        <v>17.190000000000001</v>
      </c>
      <c r="G622">
        <v>13.86</v>
      </c>
      <c r="H622">
        <v>31.05</v>
      </c>
      <c r="I622" t="s">
        <v>344</v>
      </c>
      <c r="J622">
        <v>-11.45</v>
      </c>
      <c r="K622">
        <v>-7.91</v>
      </c>
      <c r="L622" t="s">
        <v>346</v>
      </c>
      <c r="M622" s="1">
        <v>7.9100000000000004E-2</v>
      </c>
      <c r="N622" t="s">
        <v>350</v>
      </c>
      <c r="O622">
        <v>0.59</v>
      </c>
      <c r="P622" t="s">
        <v>343</v>
      </c>
      <c r="Q622">
        <v>6.76</v>
      </c>
      <c r="R622" t="s">
        <v>343</v>
      </c>
      <c r="S622">
        <v>1</v>
      </c>
    </row>
    <row r="623" spans="1:19" x14ac:dyDescent="0.25">
      <c r="A623" t="s">
        <v>26</v>
      </c>
      <c r="B623" t="s">
        <v>219</v>
      </c>
      <c r="C623">
        <v>3120</v>
      </c>
      <c r="D623" t="s">
        <v>341</v>
      </c>
      <c r="E623">
        <v>29.23</v>
      </c>
      <c r="F623">
        <v>17.190000000000001</v>
      </c>
      <c r="G623">
        <v>13.5</v>
      </c>
      <c r="H623">
        <v>30.69</v>
      </c>
      <c r="I623" t="s">
        <v>344</v>
      </c>
      <c r="J623">
        <v>-14.89</v>
      </c>
      <c r="K623">
        <v>-17.2</v>
      </c>
      <c r="L623" t="s">
        <v>348</v>
      </c>
      <c r="M623" s="1">
        <v>0.17199999999999999</v>
      </c>
      <c r="N623" t="s">
        <v>350</v>
      </c>
      <c r="O623">
        <v>-5.1100000000000003</v>
      </c>
      <c r="P623" t="s">
        <v>343</v>
      </c>
      <c r="Q623">
        <v>2.58</v>
      </c>
      <c r="R623" t="s">
        <v>344</v>
      </c>
      <c r="S623">
        <v>1</v>
      </c>
    </row>
    <row r="624" spans="1:19" x14ac:dyDescent="0.25">
      <c r="A624" t="s">
        <v>26</v>
      </c>
      <c r="B624" t="s">
        <v>220</v>
      </c>
      <c r="C624">
        <v>3140</v>
      </c>
      <c r="D624" t="s">
        <v>341</v>
      </c>
      <c r="E624">
        <v>29.23</v>
      </c>
      <c r="F624">
        <v>16.190000000000001</v>
      </c>
      <c r="G624">
        <v>14.09</v>
      </c>
      <c r="H624">
        <v>30.28</v>
      </c>
      <c r="I624" t="s">
        <v>344</v>
      </c>
      <c r="J624">
        <v>-16.350000000000001</v>
      </c>
      <c r="K624">
        <v>-7.28</v>
      </c>
      <c r="L624" t="s">
        <v>346</v>
      </c>
      <c r="M624" s="1">
        <v>7.2800000000000004E-2</v>
      </c>
      <c r="N624" t="s">
        <v>350</v>
      </c>
      <c r="O624">
        <v>-3.28</v>
      </c>
      <c r="P624" t="s">
        <v>344</v>
      </c>
      <c r="Q624">
        <v>5.31</v>
      </c>
      <c r="R624" t="s">
        <v>343</v>
      </c>
      <c r="S624">
        <v>1</v>
      </c>
    </row>
    <row r="625" spans="1:19" x14ac:dyDescent="0.25">
      <c r="A625" t="s">
        <v>26</v>
      </c>
      <c r="B625" t="s">
        <v>221</v>
      </c>
      <c r="C625">
        <v>3160</v>
      </c>
      <c r="D625" t="s">
        <v>341</v>
      </c>
      <c r="E625">
        <v>29.23</v>
      </c>
      <c r="F625">
        <v>13.63</v>
      </c>
      <c r="G625">
        <v>15.25</v>
      </c>
      <c r="H625">
        <v>28.88</v>
      </c>
      <c r="I625" t="s">
        <v>343</v>
      </c>
      <c r="J625">
        <v>-18.010000000000002</v>
      </c>
      <c r="K625">
        <v>-8.31</v>
      </c>
      <c r="L625" t="s">
        <v>347</v>
      </c>
      <c r="M625" s="1">
        <v>8.3100000000000007E-2</v>
      </c>
      <c r="N625" t="s">
        <v>350</v>
      </c>
      <c r="O625">
        <v>-2.73</v>
      </c>
      <c r="P625" t="s">
        <v>344</v>
      </c>
      <c r="Q625">
        <v>4.82</v>
      </c>
      <c r="R625" t="s">
        <v>343</v>
      </c>
      <c r="S625">
        <v>1</v>
      </c>
    </row>
    <row r="626" spans="1:19" x14ac:dyDescent="0.25">
      <c r="A626" t="s">
        <v>26</v>
      </c>
      <c r="B626" t="s">
        <v>222</v>
      </c>
      <c r="C626">
        <v>3180</v>
      </c>
      <c r="D626" t="s">
        <v>341</v>
      </c>
      <c r="E626">
        <v>29.23</v>
      </c>
      <c r="F626">
        <v>13.65</v>
      </c>
      <c r="G626">
        <v>14.95</v>
      </c>
      <c r="H626">
        <v>28.6</v>
      </c>
      <c r="I626" t="s">
        <v>343</v>
      </c>
      <c r="J626">
        <v>-19.489999999999998</v>
      </c>
      <c r="K626">
        <v>-7.39</v>
      </c>
      <c r="L626" t="s">
        <v>346</v>
      </c>
      <c r="M626" s="1">
        <v>7.3899999999999993E-2</v>
      </c>
      <c r="N626" t="s">
        <v>350</v>
      </c>
      <c r="O626">
        <v>-3.86</v>
      </c>
      <c r="P626" t="s">
        <v>344</v>
      </c>
      <c r="Q626">
        <v>4.1500000000000004</v>
      </c>
      <c r="R626" t="s">
        <v>343</v>
      </c>
      <c r="S626">
        <v>1</v>
      </c>
    </row>
    <row r="627" spans="1:19" x14ac:dyDescent="0.25">
      <c r="A627" t="s">
        <v>26</v>
      </c>
      <c r="B627" t="s">
        <v>223</v>
      </c>
      <c r="C627">
        <v>3200</v>
      </c>
      <c r="D627" t="s">
        <v>341</v>
      </c>
      <c r="E627">
        <v>29.23</v>
      </c>
      <c r="F627">
        <v>13.2</v>
      </c>
      <c r="G627">
        <v>15.81</v>
      </c>
      <c r="H627">
        <v>29.01</v>
      </c>
      <c r="I627" t="s">
        <v>343</v>
      </c>
      <c r="J627">
        <v>-20.39</v>
      </c>
      <c r="K627">
        <v>-4.49</v>
      </c>
      <c r="L627" t="s">
        <v>346</v>
      </c>
      <c r="M627" s="1">
        <v>4.4900000000000002E-2</v>
      </c>
      <c r="N627" t="s">
        <v>350</v>
      </c>
      <c r="O627">
        <v>-4.4400000000000004</v>
      </c>
      <c r="P627" t="s">
        <v>343</v>
      </c>
      <c r="Q627">
        <v>3.35</v>
      </c>
      <c r="R627" t="s">
        <v>344</v>
      </c>
      <c r="S627">
        <v>1</v>
      </c>
    </row>
    <row r="628" spans="1:19" x14ac:dyDescent="0.25">
      <c r="A628" t="s">
        <v>26</v>
      </c>
      <c r="B628" t="s">
        <v>224</v>
      </c>
      <c r="C628">
        <v>3220</v>
      </c>
      <c r="D628" t="s">
        <v>341</v>
      </c>
      <c r="E628">
        <v>29.23</v>
      </c>
      <c r="F628">
        <v>13.72</v>
      </c>
      <c r="G628">
        <v>16.850000000000001</v>
      </c>
      <c r="H628">
        <v>30.57</v>
      </c>
      <c r="I628" t="s">
        <v>344</v>
      </c>
      <c r="J628">
        <v>-21.26</v>
      </c>
      <c r="K628">
        <v>-4.3499999999999996</v>
      </c>
      <c r="L628" t="s">
        <v>346</v>
      </c>
      <c r="M628" s="1">
        <v>4.3499999999999997E-2</v>
      </c>
      <c r="N628" t="s">
        <v>350</v>
      </c>
      <c r="O628">
        <v>-3.94</v>
      </c>
      <c r="P628" t="s">
        <v>344</v>
      </c>
      <c r="Q628">
        <v>2.5499999999999998</v>
      </c>
      <c r="R628" t="s">
        <v>344</v>
      </c>
      <c r="S628">
        <v>1</v>
      </c>
    </row>
    <row r="629" spans="1:19" x14ac:dyDescent="0.25">
      <c r="A629" t="s">
        <v>26</v>
      </c>
      <c r="B629" t="s">
        <v>225</v>
      </c>
      <c r="C629">
        <v>3240</v>
      </c>
      <c r="D629" t="s">
        <v>341</v>
      </c>
      <c r="E629">
        <v>29.23</v>
      </c>
      <c r="F629">
        <v>13.75</v>
      </c>
      <c r="G629">
        <v>17.79</v>
      </c>
      <c r="H629">
        <v>31.54</v>
      </c>
      <c r="I629" t="s">
        <v>344</v>
      </c>
      <c r="J629">
        <v>-22</v>
      </c>
      <c r="K629">
        <v>-3.73</v>
      </c>
      <c r="L629" t="s">
        <v>346</v>
      </c>
      <c r="M629" s="1">
        <v>3.73E-2</v>
      </c>
      <c r="N629" t="s">
        <v>350</v>
      </c>
      <c r="O629">
        <v>-6.12</v>
      </c>
      <c r="P629" t="s">
        <v>343</v>
      </c>
      <c r="Q629">
        <v>3.12</v>
      </c>
      <c r="R629" t="s">
        <v>344</v>
      </c>
      <c r="S629">
        <v>1</v>
      </c>
    </row>
    <row r="630" spans="1:19" x14ac:dyDescent="0.25">
      <c r="A630" t="s">
        <v>26</v>
      </c>
      <c r="B630" t="s">
        <v>226</v>
      </c>
      <c r="C630">
        <v>3250.0349999999999</v>
      </c>
      <c r="D630" t="s">
        <v>341</v>
      </c>
      <c r="E630">
        <v>29.23</v>
      </c>
      <c r="F630">
        <v>13.75</v>
      </c>
      <c r="G630">
        <v>16.850000000000001</v>
      </c>
      <c r="H630">
        <v>30.6</v>
      </c>
      <c r="I630" t="s">
        <v>344</v>
      </c>
      <c r="J630">
        <v>-22.37</v>
      </c>
      <c r="K630">
        <v>-3.71</v>
      </c>
      <c r="L630" t="s">
        <v>346</v>
      </c>
      <c r="M630" s="1">
        <v>3.7100000000000001E-2</v>
      </c>
      <c r="N630" t="s">
        <v>350</v>
      </c>
      <c r="O630">
        <v>-6.11</v>
      </c>
      <c r="P630" t="s">
        <v>343</v>
      </c>
      <c r="Q630">
        <v>3.87</v>
      </c>
      <c r="R630" t="s">
        <v>344</v>
      </c>
      <c r="S630">
        <v>0</v>
      </c>
    </row>
    <row r="631" spans="1:19" x14ac:dyDescent="0.25">
      <c r="A631" t="s">
        <v>27</v>
      </c>
      <c r="B631" t="s">
        <v>56</v>
      </c>
      <c r="C631">
        <v>0</v>
      </c>
      <c r="D631" t="s">
        <v>341</v>
      </c>
      <c r="E631">
        <v>29.23</v>
      </c>
      <c r="F631">
        <v>13.86</v>
      </c>
      <c r="G631">
        <v>10.95</v>
      </c>
      <c r="H631">
        <v>24.82</v>
      </c>
      <c r="I631" t="s">
        <v>343</v>
      </c>
      <c r="J631">
        <v>-30.06</v>
      </c>
      <c r="L631" t="s">
        <v>345</v>
      </c>
      <c r="N631" t="s">
        <v>345</v>
      </c>
      <c r="O631">
        <v>-0.16</v>
      </c>
      <c r="P631" t="s">
        <v>343</v>
      </c>
      <c r="Q631">
        <v>4.82</v>
      </c>
      <c r="R631" t="s">
        <v>343</v>
      </c>
      <c r="S631">
        <v>1</v>
      </c>
    </row>
    <row r="632" spans="1:19" x14ac:dyDescent="0.25">
      <c r="A632" t="s">
        <v>27</v>
      </c>
      <c r="B632" t="s">
        <v>57</v>
      </c>
      <c r="C632">
        <v>20</v>
      </c>
      <c r="D632" t="s">
        <v>341</v>
      </c>
      <c r="E632">
        <v>29.23</v>
      </c>
      <c r="F632">
        <v>15.2</v>
      </c>
      <c r="G632">
        <v>12.21</v>
      </c>
      <c r="H632">
        <v>27.41</v>
      </c>
      <c r="I632" t="s">
        <v>343</v>
      </c>
      <c r="J632">
        <v>-29.52</v>
      </c>
      <c r="K632">
        <v>2.69</v>
      </c>
      <c r="L632" t="s">
        <v>346</v>
      </c>
      <c r="M632" s="1">
        <v>2.69E-2</v>
      </c>
      <c r="N632" t="s">
        <v>350</v>
      </c>
      <c r="O632">
        <v>-0.17</v>
      </c>
      <c r="P632" t="s">
        <v>343</v>
      </c>
      <c r="Q632">
        <v>4.8</v>
      </c>
      <c r="R632" t="s">
        <v>343</v>
      </c>
      <c r="S632">
        <v>1</v>
      </c>
    </row>
    <row r="633" spans="1:19" x14ac:dyDescent="0.25">
      <c r="A633" t="s">
        <v>27</v>
      </c>
      <c r="B633" t="s">
        <v>58</v>
      </c>
      <c r="C633">
        <v>40</v>
      </c>
      <c r="D633" t="s">
        <v>341</v>
      </c>
      <c r="E633">
        <v>29.23</v>
      </c>
      <c r="F633">
        <v>13.86</v>
      </c>
      <c r="G633">
        <v>11.55</v>
      </c>
      <c r="H633">
        <v>25.41</v>
      </c>
      <c r="I633" t="s">
        <v>343</v>
      </c>
      <c r="J633">
        <v>-29.44</v>
      </c>
      <c r="K633">
        <v>0.42</v>
      </c>
      <c r="L633" t="s">
        <v>346</v>
      </c>
      <c r="M633" s="1">
        <v>4.1999999999999997E-3</v>
      </c>
      <c r="N633" t="s">
        <v>349</v>
      </c>
      <c r="O633">
        <v>1.1499999999999999</v>
      </c>
      <c r="P633" t="s">
        <v>343</v>
      </c>
      <c r="Q633">
        <v>4.26</v>
      </c>
      <c r="R633" t="s">
        <v>343</v>
      </c>
      <c r="S633">
        <v>1</v>
      </c>
    </row>
    <row r="634" spans="1:19" x14ac:dyDescent="0.25">
      <c r="A634" t="s">
        <v>27</v>
      </c>
      <c r="B634" t="s">
        <v>59</v>
      </c>
      <c r="C634">
        <v>60</v>
      </c>
      <c r="D634" t="s">
        <v>341</v>
      </c>
      <c r="E634">
        <v>29.23</v>
      </c>
      <c r="F634">
        <v>15.2</v>
      </c>
      <c r="G634">
        <v>9.98</v>
      </c>
      <c r="H634">
        <v>25.18</v>
      </c>
      <c r="I634" t="s">
        <v>343</v>
      </c>
      <c r="J634">
        <v>-29.25</v>
      </c>
      <c r="K634">
        <v>0.93</v>
      </c>
      <c r="L634" t="s">
        <v>346</v>
      </c>
      <c r="M634" s="1">
        <v>9.300000000000001E-3</v>
      </c>
      <c r="N634" t="s">
        <v>349</v>
      </c>
      <c r="O634">
        <v>0.26</v>
      </c>
      <c r="P634" t="s">
        <v>343</v>
      </c>
      <c r="Q634">
        <v>3.8</v>
      </c>
      <c r="R634" t="s">
        <v>344</v>
      </c>
      <c r="S634">
        <v>1</v>
      </c>
    </row>
    <row r="635" spans="1:19" x14ac:dyDescent="0.25">
      <c r="A635" t="s">
        <v>27</v>
      </c>
      <c r="B635" t="s">
        <v>60</v>
      </c>
      <c r="C635">
        <v>80</v>
      </c>
      <c r="D635" t="s">
        <v>341</v>
      </c>
      <c r="E635">
        <v>29.23</v>
      </c>
      <c r="F635">
        <v>14.9</v>
      </c>
      <c r="G635">
        <v>10.88</v>
      </c>
      <c r="H635">
        <v>25.78</v>
      </c>
      <c r="I635" t="s">
        <v>343</v>
      </c>
      <c r="J635">
        <v>-29.36</v>
      </c>
      <c r="K635">
        <v>-0.53</v>
      </c>
      <c r="L635" t="s">
        <v>346</v>
      </c>
      <c r="M635" s="1">
        <v>5.3E-3</v>
      </c>
      <c r="N635" t="s">
        <v>349</v>
      </c>
      <c r="O635">
        <v>-0.28000000000000003</v>
      </c>
      <c r="P635" t="s">
        <v>343</v>
      </c>
      <c r="Q635">
        <v>2.8</v>
      </c>
      <c r="R635" t="s">
        <v>344</v>
      </c>
      <c r="S635">
        <v>1</v>
      </c>
    </row>
    <row r="636" spans="1:19" x14ac:dyDescent="0.25">
      <c r="A636" t="s">
        <v>27</v>
      </c>
      <c r="B636" t="s">
        <v>61</v>
      </c>
      <c r="C636">
        <v>100</v>
      </c>
      <c r="D636" t="s">
        <v>341</v>
      </c>
      <c r="E636">
        <v>29.23</v>
      </c>
      <c r="F636">
        <v>14.71</v>
      </c>
      <c r="G636">
        <v>11.37</v>
      </c>
      <c r="H636">
        <v>26.08</v>
      </c>
      <c r="I636" t="s">
        <v>343</v>
      </c>
      <c r="J636">
        <v>-29.26</v>
      </c>
      <c r="K636">
        <v>0.47</v>
      </c>
      <c r="L636" t="s">
        <v>346</v>
      </c>
      <c r="M636" s="1">
        <v>4.6999999999999993E-3</v>
      </c>
      <c r="N636" t="s">
        <v>349</v>
      </c>
      <c r="O636">
        <v>-1.34</v>
      </c>
      <c r="P636" t="s">
        <v>343</v>
      </c>
      <c r="Q636">
        <v>5.71</v>
      </c>
      <c r="R636" t="s">
        <v>343</v>
      </c>
      <c r="S636">
        <v>1</v>
      </c>
    </row>
    <row r="637" spans="1:19" x14ac:dyDescent="0.25">
      <c r="A637" t="s">
        <v>27</v>
      </c>
      <c r="B637" t="s">
        <v>62</v>
      </c>
      <c r="C637">
        <v>120</v>
      </c>
      <c r="D637" t="s">
        <v>341</v>
      </c>
      <c r="E637">
        <v>29.23</v>
      </c>
      <c r="F637">
        <v>13.03</v>
      </c>
      <c r="G637">
        <v>11.95</v>
      </c>
      <c r="H637">
        <v>24.98</v>
      </c>
      <c r="I637" t="s">
        <v>343</v>
      </c>
      <c r="J637">
        <v>-29.23</v>
      </c>
      <c r="K637">
        <v>0.15</v>
      </c>
      <c r="L637" t="s">
        <v>346</v>
      </c>
      <c r="M637" s="1">
        <v>1.5E-3</v>
      </c>
      <c r="N637" t="s">
        <v>349</v>
      </c>
      <c r="O637">
        <v>1.29</v>
      </c>
      <c r="P637" t="s">
        <v>343</v>
      </c>
      <c r="Q637">
        <v>6.4</v>
      </c>
      <c r="R637" t="s">
        <v>343</v>
      </c>
      <c r="S637">
        <v>1</v>
      </c>
    </row>
    <row r="638" spans="1:19" x14ac:dyDescent="0.25">
      <c r="A638" t="s">
        <v>27</v>
      </c>
      <c r="B638" t="s">
        <v>63</v>
      </c>
      <c r="C638">
        <v>140</v>
      </c>
      <c r="D638" t="s">
        <v>341</v>
      </c>
      <c r="E638">
        <v>29.23</v>
      </c>
      <c r="F638">
        <v>13.03</v>
      </c>
      <c r="G638">
        <v>14.69</v>
      </c>
      <c r="H638">
        <v>27.72</v>
      </c>
      <c r="I638" t="s">
        <v>343</v>
      </c>
      <c r="J638">
        <v>-29.43</v>
      </c>
      <c r="K638">
        <v>-0.97</v>
      </c>
      <c r="L638" t="s">
        <v>346</v>
      </c>
      <c r="M638" s="1">
        <v>9.7000000000000003E-3</v>
      </c>
      <c r="N638" t="s">
        <v>349</v>
      </c>
      <c r="O638">
        <v>-0.03</v>
      </c>
      <c r="P638" t="s">
        <v>343</v>
      </c>
      <c r="Q638">
        <v>3.58</v>
      </c>
      <c r="R638" t="s">
        <v>344</v>
      </c>
      <c r="S638">
        <v>1</v>
      </c>
    </row>
    <row r="639" spans="1:19" x14ac:dyDescent="0.25">
      <c r="A639" t="s">
        <v>27</v>
      </c>
      <c r="B639" t="s">
        <v>64</v>
      </c>
      <c r="C639">
        <v>160</v>
      </c>
      <c r="D639" t="s">
        <v>341</v>
      </c>
      <c r="E639">
        <v>29.23</v>
      </c>
      <c r="F639">
        <v>14.19</v>
      </c>
      <c r="G639">
        <v>15.39</v>
      </c>
      <c r="H639">
        <v>29.58</v>
      </c>
      <c r="I639" t="s">
        <v>344</v>
      </c>
      <c r="J639">
        <v>-29.58</v>
      </c>
      <c r="K639">
        <v>-0.76</v>
      </c>
      <c r="L639" t="s">
        <v>346</v>
      </c>
      <c r="M639" s="1">
        <v>7.6E-3</v>
      </c>
      <c r="N639" t="s">
        <v>349</v>
      </c>
      <c r="O639">
        <v>-0.78</v>
      </c>
      <c r="P639" t="s">
        <v>343</v>
      </c>
      <c r="Q639">
        <v>4.79</v>
      </c>
      <c r="R639" t="s">
        <v>343</v>
      </c>
      <c r="S639">
        <v>1</v>
      </c>
    </row>
    <row r="640" spans="1:19" x14ac:dyDescent="0.25">
      <c r="A640" t="s">
        <v>27</v>
      </c>
      <c r="B640" t="s">
        <v>65</v>
      </c>
      <c r="C640">
        <v>180</v>
      </c>
      <c r="D640" t="s">
        <v>341</v>
      </c>
      <c r="E640">
        <v>29.23</v>
      </c>
      <c r="F640">
        <v>15.07</v>
      </c>
      <c r="G640">
        <v>15.63</v>
      </c>
      <c r="H640">
        <v>30.69</v>
      </c>
      <c r="I640" t="s">
        <v>344</v>
      </c>
      <c r="J640">
        <v>-29.8</v>
      </c>
      <c r="K640">
        <v>-1.0900000000000001</v>
      </c>
      <c r="L640" t="s">
        <v>346</v>
      </c>
      <c r="M640" s="1">
        <v>1.09E-2</v>
      </c>
      <c r="N640" t="s">
        <v>349</v>
      </c>
      <c r="O640">
        <v>-1.92</v>
      </c>
      <c r="P640" t="s">
        <v>343</v>
      </c>
      <c r="Q640">
        <v>4.51</v>
      </c>
      <c r="R640" t="s">
        <v>343</v>
      </c>
      <c r="S640">
        <v>1</v>
      </c>
    </row>
    <row r="641" spans="1:19" x14ac:dyDescent="0.25">
      <c r="A641" t="s">
        <v>27</v>
      </c>
      <c r="B641" t="s">
        <v>66</v>
      </c>
      <c r="C641">
        <v>200</v>
      </c>
      <c r="D641" t="s">
        <v>341</v>
      </c>
      <c r="E641">
        <v>29.23</v>
      </c>
      <c r="F641">
        <v>14.55</v>
      </c>
      <c r="G641">
        <v>15.45</v>
      </c>
      <c r="H641">
        <v>30</v>
      </c>
      <c r="I641" t="s">
        <v>344</v>
      </c>
      <c r="J641">
        <v>-30.01</v>
      </c>
      <c r="K641">
        <v>-1.05</v>
      </c>
      <c r="L641" t="s">
        <v>346</v>
      </c>
      <c r="M641" s="1">
        <v>1.0500000000000001E-2</v>
      </c>
      <c r="N641" t="s">
        <v>349</v>
      </c>
      <c r="O641">
        <v>-1.41</v>
      </c>
      <c r="P641" t="s">
        <v>343</v>
      </c>
      <c r="Q641">
        <v>4.0999999999999996</v>
      </c>
      <c r="R641" t="s">
        <v>343</v>
      </c>
      <c r="S641">
        <v>1</v>
      </c>
    </row>
    <row r="642" spans="1:19" x14ac:dyDescent="0.25">
      <c r="A642" t="s">
        <v>27</v>
      </c>
      <c r="B642" t="s">
        <v>67</v>
      </c>
      <c r="C642">
        <v>220</v>
      </c>
      <c r="D642" t="s">
        <v>341</v>
      </c>
      <c r="E642">
        <v>29.23</v>
      </c>
      <c r="F642">
        <v>14.01</v>
      </c>
      <c r="G642">
        <v>15.8</v>
      </c>
      <c r="H642">
        <v>29.8</v>
      </c>
      <c r="I642" t="s">
        <v>344</v>
      </c>
      <c r="J642">
        <v>-30.13</v>
      </c>
      <c r="K642">
        <v>-0.62</v>
      </c>
      <c r="L642" t="s">
        <v>346</v>
      </c>
      <c r="M642" s="1">
        <v>6.1999999999999998E-3</v>
      </c>
      <c r="N642" t="s">
        <v>349</v>
      </c>
      <c r="O642">
        <v>-0.88</v>
      </c>
      <c r="P642" t="s">
        <v>343</v>
      </c>
      <c r="Q642">
        <v>3.97</v>
      </c>
      <c r="R642" t="s">
        <v>344</v>
      </c>
      <c r="S642">
        <v>1</v>
      </c>
    </row>
    <row r="643" spans="1:19" x14ac:dyDescent="0.25">
      <c r="A643" t="s">
        <v>27</v>
      </c>
      <c r="B643" t="s">
        <v>68</v>
      </c>
      <c r="C643">
        <v>240</v>
      </c>
      <c r="D643" t="s">
        <v>341</v>
      </c>
      <c r="E643">
        <v>29.23</v>
      </c>
      <c r="F643">
        <v>14.47</v>
      </c>
      <c r="G643">
        <v>15.76</v>
      </c>
      <c r="H643">
        <v>30.23</v>
      </c>
      <c r="I643" t="s">
        <v>344</v>
      </c>
      <c r="J643">
        <v>-30.18</v>
      </c>
      <c r="K643">
        <v>-0.24</v>
      </c>
      <c r="L643" t="s">
        <v>346</v>
      </c>
      <c r="M643" s="1">
        <v>2.3999999999999998E-3</v>
      </c>
      <c r="N643" t="s">
        <v>349</v>
      </c>
      <c r="O643">
        <v>-1.1200000000000001</v>
      </c>
      <c r="P643" t="s">
        <v>343</v>
      </c>
      <c r="Q643">
        <v>4.2</v>
      </c>
      <c r="R643" t="s">
        <v>343</v>
      </c>
      <c r="S643">
        <v>1</v>
      </c>
    </row>
    <row r="644" spans="1:19" x14ac:dyDescent="0.25">
      <c r="A644" t="s">
        <v>27</v>
      </c>
      <c r="B644" t="s">
        <v>69</v>
      </c>
      <c r="C644">
        <v>260</v>
      </c>
      <c r="D644" t="s">
        <v>341</v>
      </c>
      <c r="E644">
        <v>29.23</v>
      </c>
      <c r="F644">
        <v>14.66</v>
      </c>
      <c r="G644">
        <v>16.260000000000002</v>
      </c>
      <c r="H644">
        <v>30.92</v>
      </c>
      <c r="I644" t="s">
        <v>344</v>
      </c>
      <c r="J644">
        <v>-30.21</v>
      </c>
      <c r="K644">
        <v>-0.15</v>
      </c>
      <c r="L644" t="s">
        <v>346</v>
      </c>
      <c r="M644" s="1">
        <v>1.5E-3</v>
      </c>
      <c r="N644" t="s">
        <v>349</v>
      </c>
      <c r="O644">
        <v>-1.71</v>
      </c>
      <c r="P644" t="s">
        <v>343</v>
      </c>
      <c r="Q644">
        <v>4.3099999999999996</v>
      </c>
      <c r="R644" t="s">
        <v>343</v>
      </c>
      <c r="S644">
        <v>1</v>
      </c>
    </row>
    <row r="645" spans="1:19" x14ac:dyDescent="0.25">
      <c r="A645" t="s">
        <v>27</v>
      </c>
      <c r="B645" t="s">
        <v>70</v>
      </c>
      <c r="C645">
        <v>280</v>
      </c>
      <c r="D645" t="s">
        <v>341</v>
      </c>
      <c r="E645">
        <v>29.23</v>
      </c>
      <c r="F645">
        <v>15.34</v>
      </c>
      <c r="G645">
        <v>16.23</v>
      </c>
      <c r="H645">
        <v>31.57</v>
      </c>
      <c r="I645" t="s">
        <v>344</v>
      </c>
      <c r="J645">
        <v>-30.16</v>
      </c>
      <c r="K645">
        <v>0.26</v>
      </c>
      <c r="L645" t="s">
        <v>346</v>
      </c>
      <c r="M645" s="1">
        <v>2.5999999999999999E-3</v>
      </c>
      <c r="N645" t="s">
        <v>349</v>
      </c>
      <c r="O645">
        <v>-1.75</v>
      </c>
      <c r="P645" t="s">
        <v>343</v>
      </c>
      <c r="Q645">
        <v>5.28</v>
      </c>
      <c r="R645" t="s">
        <v>343</v>
      </c>
      <c r="S645">
        <v>1</v>
      </c>
    </row>
    <row r="646" spans="1:19" x14ac:dyDescent="0.25">
      <c r="A646" t="s">
        <v>27</v>
      </c>
      <c r="B646" t="s">
        <v>71</v>
      </c>
      <c r="C646">
        <v>300</v>
      </c>
      <c r="D646" t="s">
        <v>341</v>
      </c>
      <c r="E646">
        <v>29.23</v>
      </c>
      <c r="F646">
        <v>14.85</v>
      </c>
      <c r="G646">
        <v>15.17</v>
      </c>
      <c r="H646">
        <v>30.02</v>
      </c>
      <c r="I646" t="s">
        <v>344</v>
      </c>
      <c r="J646">
        <v>-30.11</v>
      </c>
      <c r="K646">
        <v>0.26</v>
      </c>
      <c r="L646" t="s">
        <v>346</v>
      </c>
      <c r="M646" s="1">
        <v>2.5999999999999999E-3</v>
      </c>
      <c r="N646" t="s">
        <v>349</v>
      </c>
      <c r="O646">
        <v>-1.93</v>
      </c>
      <c r="P646" t="s">
        <v>343</v>
      </c>
      <c r="Q646">
        <v>5.57</v>
      </c>
      <c r="R646" t="s">
        <v>343</v>
      </c>
      <c r="S646">
        <v>1</v>
      </c>
    </row>
    <row r="647" spans="1:19" x14ac:dyDescent="0.25">
      <c r="A647" t="s">
        <v>27</v>
      </c>
      <c r="B647" t="s">
        <v>72</v>
      </c>
      <c r="C647">
        <v>320</v>
      </c>
      <c r="D647" t="s">
        <v>341</v>
      </c>
      <c r="E647">
        <v>29.23</v>
      </c>
      <c r="F647">
        <v>14.07</v>
      </c>
      <c r="G647">
        <v>15.42</v>
      </c>
      <c r="H647">
        <v>29.49</v>
      </c>
      <c r="I647" t="s">
        <v>344</v>
      </c>
      <c r="J647">
        <v>-29.95</v>
      </c>
      <c r="K647">
        <v>0.77</v>
      </c>
      <c r="L647" t="s">
        <v>346</v>
      </c>
      <c r="M647" s="1">
        <v>7.7000000000000002E-3</v>
      </c>
      <c r="N647" t="s">
        <v>349</v>
      </c>
      <c r="O647">
        <v>-1.59</v>
      </c>
      <c r="P647" t="s">
        <v>343</v>
      </c>
      <c r="Q647">
        <v>5.0199999999999996</v>
      </c>
      <c r="R647" t="s">
        <v>343</v>
      </c>
      <c r="S647">
        <v>1</v>
      </c>
    </row>
    <row r="648" spans="1:19" x14ac:dyDescent="0.25">
      <c r="A648" t="s">
        <v>27</v>
      </c>
      <c r="B648" t="s">
        <v>73</v>
      </c>
      <c r="C648">
        <v>340</v>
      </c>
      <c r="D648" t="s">
        <v>341</v>
      </c>
      <c r="E648">
        <v>29.23</v>
      </c>
      <c r="F648">
        <v>15.04</v>
      </c>
      <c r="G648">
        <v>14.56</v>
      </c>
      <c r="H648">
        <v>29.61</v>
      </c>
      <c r="I648" t="s">
        <v>344</v>
      </c>
      <c r="J648">
        <v>-30</v>
      </c>
      <c r="K648">
        <v>-0.25</v>
      </c>
      <c r="L648" t="s">
        <v>346</v>
      </c>
      <c r="M648" s="1">
        <v>2.5000000000000001E-3</v>
      </c>
      <c r="N648" t="s">
        <v>349</v>
      </c>
      <c r="O648">
        <v>-2.21</v>
      </c>
      <c r="P648" t="s">
        <v>344</v>
      </c>
      <c r="Q648">
        <v>4.54</v>
      </c>
      <c r="R648" t="s">
        <v>343</v>
      </c>
      <c r="S648">
        <v>1</v>
      </c>
    </row>
    <row r="649" spans="1:19" x14ac:dyDescent="0.25">
      <c r="A649" t="s">
        <v>27</v>
      </c>
      <c r="B649" t="s">
        <v>74</v>
      </c>
      <c r="C649">
        <v>360</v>
      </c>
      <c r="D649" t="s">
        <v>341</v>
      </c>
      <c r="E649">
        <v>29.23</v>
      </c>
      <c r="F649">
        <v>17.690000000000001</v>
      </c>
      <c r="G649">
        <v>15.42</v>
      </c>
      <c r="H649">
        <v>33.11</v>
      </c>
      <c r="I649" t="s">
        <v>344</v>
      </c>
      <c r="J649">
        <v>-30.14</v>
      </c>
      <c r="K649">
        <v>-0.69</v>
      </c>
      <c r="L649" t="s">
        <v>346</v>
      </c>
      <c r="M649" s="1">
        <v>6.8999999999999999E-3</v>
      </c>
      <c r="N649" t="s">
        <v>349</v>
      </c>
      <c r="O649">
        <v>-2.58</v>
      </c>
      <c r="P649" t="s">
        <v>344</v>
      </c>
      <c r="Q649">
        <v>2.62</v>
      </c>
      <c r="R649" t="s">
        <v>344</v>
      </c>
      <c r="S649">
        <v>1</v>
      </c>
    </row>
    <row r="650" spans="1:19" x14ac:dyDescent="0.25">
      <c r="A650" t="s">
        <v>27</v>
      </c>
      <c r="B650" t="s">
        <v>75</v>
      </c>
      <c r="C650">
        <v>380</v>
      </c>
      <c r="D650" t="s">
        <v>341</v>
      </c>
      <c r="E650">
        <v>29.23</v>
      </c>
      <c r="F650">
        <v>20</v>
      </c>
      <c r="G650">
        <v>15.24</v>
      </c>
      <c r="H650">
        <v>35.24</v>
      </c>
      <c r="I650" t="s">
        <v>344</v>
      </c>
      <c r="J650">
        <v>-30.45</v>
      </c>
      <c r="K650">
        <v>-1.53</v>
      </c>
      <c r="L650" t="s">
        <v>346</v>
      </c>
      <c r="M650" s="1">
        <v>1.5299999999999999E-2</v>
      </c>
      <c r="N650" t="s">
        <v>349</v>
      </c>
      <c r="O650">
        <v>-2.96</v>
      </c>
      <c r="P650" t="s">
        <v>344</v>
      </c>
      <c r="Q650">
        <v>2.54</v>
      </c>
      <c r="R650" t="s">
        <v>344</v>
      </c>
      <c r="S650">
        <v>1</v>
      </c>
    </row>
    <row r="651" spans="1:19" x14ac:dyDescent="0.25">
      <c r="A651" t="s">
        <v>27</v>
      </c>
      <c r="B651" t="s">
        <v>76</v>
      </c>
      <c r="C651">
        <v>400</v>
      </c>
      <c r="D651" t="s">
        <v>341</v>
      </c>
      <c r="E651">
        <v>29.23</v>
      </c>
      <c r="F651">
        <v>20</v>
      </c>
      <c r="G651">
        <v>14.76</v>
      </c>
      <c r="H651">
        <v>34.76</v>
      </c>
      <c r="I651" t="s">
        <v>344</v>
      </c>
      <c r="J651">
        <v>-30.86</v>
      </c>
      <c r="K651">
        <v>-2.0499999999999998</v>
      </c>
      <c r="L651" t="s">
        <v>346</v>
      </c>
      <c r="M651" s="1">
        <v>2.0500000000000001E-2</v>
      </c>
      <c r="N651" t="s">
        <v>350</v>
      </c>
      <c r="O651">
        <v>-4.3</v>
      </c>
      <c r="P651" t="s">
        <v>343</v>
      </c>
      <c r="Q651">
        <v>2.77</v>
      </c>
      <c r="R651" t="s">
        <v>344</v>
      </c>
      <c r="S651">
        <v>1</v>
      </c>
    </row>
    <row r="652" spans="1:19" x14ac:dyDescent="0.25">
      <c r="A652" t="s">
        <v>27</v>
      </c>
      <c r="B652" t="s">
        <v>77</v>
      </c>
      <c r="C652">
        <v>420</v>
      </c>
      <c r="D652" t="s">
        <v>341</v>
      </c>
      <c r="E652">
        <v>29.23</v>
      </c>
      <c r="F652">
        <v>20</v>
      </c>
      <c r="G652">
        <v>14.45</v>
      </c>
      <c r="H652">
        <v>34.450000000000003</v>
      </c>
      <c r="I652" t="s">
        <v>344</v>
      </c>
      <c r="J652">
        <v>-31.11</v>
      </c>
      <c r="K652">
        <v>-1.28</v>
      </c>
      <c r="L652" t="s">
        <v>346</v>
      </c>
      <c r="M652" s="1">
        <v>1.2800000000000001E-2</v>
      </c>
      <c r="N652" t="s">
        <v>349</v>
      </c>
      <c r="O652">
        <v>-5.51</v>
      </c>
      <c r="P652" t="s">
        <v>343</v>
      </c>
      <c r="Q652">
        <v>3.57</v>
      </c>
      <c r="R652" t="s">
        <v>344</v>
      </c>
      <c r="S652">
        <v>1</v>
      </c>
    </row>
    <row r="653" spans="1:19" x14ac:dyDescent="0.25">
      <c r="A653" t="s">
        <v>27</v>
      </c>
      <c r="B653" t="s">
        <v>78</v>
      </c>
      <c r="C653">
        <v>440</v>
      </c>
      <c r="D653" t="s">
        <v>341</v>
      </c>
      <c r="E653">
        <v>29.23</v>
      </c>
      <c r="F653">
        <v>20</v>
      </c>
      <c r="G653">
        <v>15.11</v>
      </c>
      <c r="H653">
        <v>35.11</v>
      </c>
      <c r="I653" t="s">
        <v>344</v>
      </c>
      <c r="J653">
        <v>-30.91</v>
      </c>
      <c r="K653">
        <v>1.01</v>
      </c>
      <c r="L653" t="s">
        <v>346</v>
      </c>
      <c r="M653" s="1">
        <v>1.01E-2</v>
      </c>
      <c r="N653" t="s">
        <v>349</v>
      </c>
      <c r="O653">
        <v>-3.24</v>
      </c>
      <c r="P653" t="s">
        <v>344</v>
      </c>
      <c r="Q653">
        <v>3.58</v>
      </c>
      <c r="R653" t="s">
        <v>344</v>
      </c>
      <c r="S653">
        <v>1</v>
      </c>
    </row>
    <row r="654" spans="1:19" x14ac:dyDescent="0.25">
      <c r="A654" t="s">
        <v>27</v>
      </c>
      <c r="B654" t="s">
        <v>79</v>
      </c>
      <c r="C654">
        <v>460</v>
      </c>
      <c r="D654" t="s">
        <v>341</v>
      </c>
      <c r="E654">
        <v>29.23</v>
      </c>
      <c r="F654">
        <v>20</v>
      </c>
      <c r="G654">
        <v>14.45</v>
      </c>
      <c r="H654">
        <v>34.450000000000003</v>
      </c>
      <c r="I654" t="s">
        <v>344</v>
      </c>
      <c r="J654">
        <v>-30.57</v>
      </c>
      <c r="K654">
        <v>1.69</v>
      </c>
      <c r="L654" t="s">
        <v>346</v>
      </c>
      <c r="M654" s="1">
        <v>1.6899999999999998E-2</v>
      </c>
      <c r="N654" t="s">
        <v>349</v>
      </c>
      <c r="O654">
        <v>-3.09</v>
      </c>
      <c r="P654" t="s">
        <v>344</v>
      </c>
      <c r="Q654">
        <v>5.39</v>
      </c>
      <c r="R654" t="s">
        <v>343</v>
      </c>
      <c r="S654">
        <v>1</v>
      </c>
    </row>
    <row r="655" spans="1:19" x14ac:dyDescent="0.25">
      <c r="A655" t="s">
        <v>27</v>
      </c>
      <c r="B655" t="s">
        <v>80</v>
      </c>
      <c r="C655">
        <v>480</v>
      </c>
      <c r="D655" t="s">
        <v>341</v>
      </c>
      <c r="E655">
        <v>29.23</v>
      </c>
      <c r="F655">
        <v>20</v>
      </c>
      <c r="G655">
        <v>14.8</v>
      </c>
      <c r="H655">
        <v>34.799999999999997</v>
      </c>
      <c r="I655" t="s">
        <v>344</v>
      </c>
      <c r="J655">
        <v>-30.36</v>
      </c>
      <c r="K655">
        <v>1.08</v>
      </c>
      <c r="L655" t="s">
        <v>346</v>
      </c>
      <c r="M655" s="1">
        <v>1.0800000000000001E-2</v>
      </c>
      <c r="N655" t="s">
        <v>349</v>
      </c>
      <c r="O655">
        <v>-2.86</v>
      </c>
      <c r="P655" t="s">
        <v>344</v>
      </c>
      <c r="Q655">
        <v>2.2000000000000002</v>
      </c>
      <c r="R655" t="s">
        <v>344</v>
      </c>
      <c r="S655">
        <v>1</v>
      </c>
    </row>
    <row r="656" spans="1:19" x14ac:dyDescent="0.25">
      <c r="A656" t="s">
        <v>27</v>
      </c>
      <c r="B656" t="s">
        <v>81</v>
      </c>
      <c r="C656">
        <v>500</v>
      </c>
      <c r="D656" t="s">
        <v>341</v>
      </c>
      <c r="E656">
        <v>29.23</v>
      </c>
      <c r="F656">
        <v>20</v>
      </c>
      <c r="G656">
        <v>14.14</v>
      </c>
      <c r="H656">
        <v>34.14</v>
      </c>
      <c r="I656" t="s">
        <v>344</v>
      </c>
      <c r="J656">
        <v>-30.24</v>
      </c>
      <c r="K656">
        <v>0.57999999999999996</v>
      </c>
      <c r="L656" t="s">
        <v>346</v>
      </c>
      <c r="M656" s="1">
        <v>5.7999999999999996E-3</v>
      </c>
      <c r="N656" t="s">
        <v>349</v>
      </c>
      <c r="O656">
        <v>-2.15</v>
      </c>
      <c r="P656" t="s">
        <v>344</v>
      </c>
      <c r="Q656">
        <v>5.85</v>
      </c>
      <c r="R656" t="s">
        <v>343</v>
      </c>
      <c r="S656">
        <v>1</v>
      </c>
    </row>
    <row r="657" spans="1:19" x14ac:dyDescent="0.25">
      <c r="A657" t="s">
        <v>27</v>
      </c>
      <c r="B657" t="s">
        <v>82</v>
      </c>
      <c r="C657">
        <v>520</v>
      </c>
      <c r="D657" t="s">
        <v>341</v>
      </c>
      <c r="E657">
        <v>29.23</v>
      </c>
      <c r="F657">
        <v>17.43</v>
      </c>
      <c r="G657">
        <v>14.8</v>
      </c>
      <c r="H657">
        <v>32.229999999999997</v>
      </c>
      <c r="I657" t="s">
        <v>344</v>
      </c>
      <c r="J657">
        <v>-29.8</v>
      </c>
      <c r="K657">
        <v>2.2200000000000002</v>
      </c>
      <c r="L657" t="s">
        <v>346</v>
      </c>
      <c r="M657" s="1">
        <v>2.2200000000000001E-2</v>
      </c>
      <c r="N657" t="s">
        <v>350</v>
      </c>
      <c r="O657">
        <v>-4.3600000000000003</v>
      </c>
      <c r="P657" t="s">
        <v>343</v>
      </c>
      <c r="Q657">
        <v>3.4</v>
      </c>
      <c r="R657" t="s">
        <v>344</v>
      </c>
      <c r="S657">
        <v>1</v>
      </c>
    </row>
    <row r="658" spans="1:19" x14ac:dyDescent="0.25">
      <c r="A658" t="s">
        <v>27</v>
      </c>
      <c r="B658" t="s">
        <v>83</v>
      </c>
      <c r="C658">
        <v>540</v>
      </c>
      <c r="D658" t="s">
        <v>341</v>
      </c>
      <c r="E658">
        <v>29.23</v>
      </c>
      <c r="F658">
        <v>15.46</v>
      </c>
      <c r="G658">
        <v>17.25</v>
      </c>
      <c r="H658">
        <v>32.71</v>
      </c>
      <c r="I658" t="s">
        <v>344</v>
      </c>
      <c r="J658">
        <v>-29.63</v>
      </c>
      <c r="K658">
        <v>0.84</v>
      </c>
      <c r="L658" t="s">
        <v>346</v>
      </c>
      <c r="M658" s="1">
        <v>8.3999999999999995E-3</v>
      </c>
      <c r="N658" t="s">
        <v>349</v>
      </c>
      <c r="O658">
        <v>-1.01</v>
      </c>
      <c r="P658" t="s">
        <v>343</v>
      </c>
      <c r="Q658">
        <v>3.8</v>
      </c>
      <c r="R658" t="s">
        <v>344</v>
      </c>
      <c r="S658">
        <v>1</v>
      </c>
    </row>
    <row r="659" spans="1:19" x14ac:dyDescent="0.25">
      <c r="A659" t="s">
        <v>27</v>
      </c>
      <c r="B659" t="s">
        <v>84</v>
      </c>
      <c r="C659">
        <v>560</v>
      </c>
      <c r="D659" t="s">
        <v>341</v>
      </c>
      <c r="E659">
        <v>29.23</v>
      </c>
      <c r="F659">
        <v>13.98</v>
      </c>
      <c r="G659">
        <v>20</v>
      </c>
      <c r="H659">
        <v>33.979999999999997</v>
      </c>
      <c r="I659" t="s">
        <v>344</v>
      </c>
      <c r="J659">
        <v>-29.54</v>
      </c>
      <c r="K659">
        <v>0.44</v>
      </c>
      <c r="L659" t="s">
        <v>346</v>
      </c>
      <c r="M659" s="1">
        <v>4.4000000000000003E-3</v>
      </c>
      <c r="N659" t="s">
        <v>349</v>
      </c>
      <c r="O659">
        <v>-0.24</v>
      </c>
      <c r="P659" t="s">
        <v>343</v>
      </c>
      <c r="Q659">
        <v>1.37</v>
      </c>
      <c r="R659" t="s">
        <v>343</v>
      </c>
      <c r="S659">
        <v>1</v>
      </c>
    </row>
    <row r="660" spans="1:19" x14ac:dyDescent="0.25">
      <c r="A660" t="s">
        <v>27</v>
      </c>
      <c r="B660" t="s">
        <v>85</v>
      </c>
      <c r="C660">
        <v>580</v>
      </c>
      <c r="D660" t="s">
        <v>341</v>
      </c>
      <c r="E660">
        <v>29.23</v>
      </c>
      <c r="F660">
        <v>13.74</v>
      </c>
      <c r="G660">
        <v>20</v>
      </c>
      <c r="H660">
        <v>33.74</v>
      </c>
      <c r="I660" t="s">
        <v>344</v>
      </c>
      <c r="J660">
        <v>-29.27</v>
      </c>
      <c r="K660">
        <v>1.34</v>
      </c>
      <c r="L660" t="s">
        <v>346</v>
      </c>
      <c r="M660" s="1">
        <v>1.34E-2</v>
      </c>
      <c r="N660" t="s">
        <v>349</v>
      </c>
      <c r="O660">
        <v>0.42</v>
      </c>
      <c r="P660" t="s">
        <v>343</v>
      </c>
      <c r="Q660">
        <v>1.85</v>
      </c>
      <c r="R660" t="s">
        <v>343</v>
      </c>
      <c r="S660">
        <v>1</v>
      </c>
    </row>
    <row r="661" spans="1:19" x14ac:dyDescent="0.25">
      <c r="A661" t="s">
        <v>27</v>
      </c>
      <c r="B661" t="s">
        <v>86</v>
      </c>
      <c r="C661">
        <v>600</v>
      </c>
      <c r="D661" t="s">
        <v>341</v>
      </c>
      <c r="E661">
        <v>29.23</v>
      </c>
      <c r="F661">
        <v>15.14</v>
      </c>
      <c r="G661">
        <v>20</v>
      </c>
      <c r="H661">
        <v>35.14</v>
      </c>
      <c r="I661" t="s">
        <v>344</v>
      </c>
      <c r="J661">
        <v>-27.79</v>
      </c>
      <c r="K661">
        <v>7.4</v>
      </c>
      <c r="L661" t="s">
        <v>346</v>
      </c>
      <c r="M661" s="1">
        <v>7.400000000000001E-2</v>
      </c>
      <c r="N661" t="s">
        <v>350</v>
      </c>
      <c r="O661">
        <v>-0.78</v>
      </c>
      <c r="P661" t="s">
        <v>343</v>
      </c>
      <c r="Q661">
        <v>2.9</v>
      </c>
      <c r="R661" t="s">
        <v>344</v>
      </c>
      <c r="S661">
        <v>1</v>
      </c>
    </row>
    <row r="662" spans="1:19" x14ac:dyDescent="0.25">
      <c r="A662" t="s">
        <v>27</v>
      </c>
      <c r="B662" t="s">
        <v>87</v>
      </c>
      <c r="C662">
        <v>620</v>
      </c>
      <c r="D662" t="s">
        <v>341</v>
      </c>
      <c r="E662">
        <v>29.23</v>
      </c>
      <c r="F662">
        <v>13.91</v>
      </c>
      <c r="G662">
        <v>20</v>
      </c>
      <c r="H662">
        <v>33.909999999999997</v>
      </c>
      <c r="I662" t="s">
        <v>344</v>
      </c>
      <c r="J662">
        <v>-27.79</v>
      </c>
      <c r="K662">
        <v>0.01</v>
      </c>
      <c r="L662" t="s">
        <v>346</v>
      </c>
      <c r="M662" s="1">
        <v>1E-4</v>
      </c>
      <c r="N662" t="s">
        <v>349</v>
      </c>
      <c r="O662">
        <v>3.11</v>
      </c>
      <c r="P662" t="s">
        <v>344</v>
      </c>
      <c r="Q662">
        <v>2.63</v>
      </c>
      <c r="R662" t="s">
        <v>344</v>
      </c>
      <c r="S662">
        <v>1</v>
      </c>
    </row>
    <row r="663" spans="1:19" x14ac:dyDescent="0.25">
      <c r="A663" t="s">
        <v>27</v>
      </c>
      <c r="B663" t="s">
        <v>88</v>
      </c>
      <c r="C663">
        <v>640</v>
      </c>
      <c r="D663" t="s">
        <v>341</v>
      </c>
      <c r="E663">
        <v>29.23</v>
      </c>
      <c r="F663">
        <v>13.5</v>
      </c>
      <c r="G663">
        <v>20</v>
      </c>
      <c r="H663">
        <v>33.5</v>
      </c>
      <c r="I663" t="s">
        <v>344</v>
      </c>
      <c r="J663">
        <v>-28.08</v>
      </c>
      <c r="K663">
        <v>-1.44</v>
      </c>
      <c r="L663" t="s">
        <v>346</v>
      </c>
      <c r="M663" s="1">
        <v>1.44E-2</v>
      </c>
      <c r="N663" t="s">
        <v>349</v>
      </c>
      <c r="O663">
        <v>12.27</v>
      </c>
      <c r="P663" t="s">
        <v>343</v>
      </c>
      <c r="Q663">
        <v>19.04</v>
      </c>
      <c r="R663" t="s">
        <v>343</v>
      </c>
      <c r="S663">
        <v>1</v>
      </c>
    </row>
    <row r="664" spans="1:19" x14ac:dyDescent="0.25">
      <c r="A664" t="s">
        <v>27</v>
      </c>
      <c r="B664" t="s">
        <v>89</v>
      </c>
      <c r="C664">
        <v>660</v>
      </c>
      <c r="D664" t="s">
        <v>341</v>
      </c>
      <c r="E664">
        <v>29.23</v>
      </c>
      <c r="F664">
        <v>13.72</v>
      </c>
      <c r="G664">
        <v>20</v>
      </c>
      <c r="H664">
        <v>33.72</v>
      </c>
      <c r="I664" t="s">
        <v>344</v>
      </c>
      <c r="J664">
        <v>-28.3</v>
      </c>
      <c r="K664">
        <v>-1.1299999999999999</v>
      </c>
      <c r="L664" t="s">
        <v>346</v>
      </c>
      <c r="M664" s="1">
        <v>1.1299999999999999E-2</v>
      </c>
      <c r="N664" t="s">
        <v>349</v>
      </c>
      <c r="O664">
        <v>6.12</v>
      </c>
      <c r="P664" t="s">
        <v>343</v>
      </c>
      <c r="Q664">
        <v>18.309999999999999</v>
      </c>
      <c r="R664" t="s">
        <v>343</v>
      </c>
      <c r="S664">
        <v>1</v>
      </c>
    </row>
    <row r="665" spans="1:19" x14ac:dyDescent="0.25">
      <c r="A665" t="s">
        <v>27</v>
      </c>
      <c r="B665" t="s">
        <v>90</v>
      </c>
      <c r="C665">
        <v>680</v>
      </c>
      <c r="D665" t="s">
        <v>341</v>
      </c>
      <c r="E665">
        <v>29.23</v>
      </c>
      <c r="F665">
        <v>12.32</v>
      </c>
      <c r="G665">
        <v>20</v>
      </c>
      <c r="H665">
        <v>32.32</v>
      </c>
      <c r="I665" t="s">
        <v>344</v>
      </c>
      <c r="J665">
        <v>-28.95</v>
      </c>
      <c r="K665">
        <v>-3.24</v>
      </c>
      <c r="L665" t="s">
        <v>346</v>
      </c>
      <c r="M665" s="1">
        <v>3.2400000000000012E-2</v>
      </c>
      <c r="N665" t="s">
        <v>350</v>
      </c>
      <c r="O665">
        <v>0.8</v>
      </c>
      <c r="P665" t="s">
        <v>343</v>
      </c>
      <c r="Q665">
        <v>4.12</v>
      </c>
      <c r="R665" t="s">
        <v>343</v>
      </c>
      <c r="S665">
        <v>1</v>
      </c>
    </row>
    <row r="666" spans="1:19" x14ac:dyDescent="0.25">
      <c r="A666" t="s">
        <v>27</v>
      </c>
      <c r="B666" t="s">
        <v>91</v>
      </c>
      <c r="C666">
        <v>700</v>
      </c>
      <c r="D666" t="s">
        <v>341</v>
      </c>
      <c r="E666">
        <v>29.23</v>
      </c>
      <c r="F666">
        <v>12.38</v>
      </c>
      <c r="G666">
        <v>20</v>
      </c>
      <c r="H666">
        <v>32.380000000000003</v>
      </c>
      <c r="I666" t="s">
        <v>344</v>
      </c>
      <c r="J666">
        <v>-29.61</v>
      </c>
      <c r="K666">
        <v>-3.29</v>
      </c>
      <c r="L666" t="s">
        <v>346</v>
      </c>
      <c r="M666" s="1">
        <v>3.2899999999999999E-2</v>
      </c>
      <c r="N666" t="s">
        <v>350</v>
      </c>
      <c r="O666">
        <v>1.1399999999999999</v>
      </c>
      <c r="P666" t="s">
        <v>343</v>
      </c>
      <c r="Q666">
        <v>4.3</v>
      </c>
      <c r="R666" t="s">
        <v>343</v>
      </c>
      <c r="S666">
        <v>1</v>
      </c>
    </row>
    <row r="667" spans="1:19" x14ac:dyDescent="0.25">
      <c r="A667" t="s">
        <v>27</v>
      </c>
      <c r="B667" t="s">
        <v>92</v>
      </c>
      <c r="C667">
        <v>720</v>
      </c>
      <c r="D667" t="s">
        <v>341</v>
      </c>
      <c r="E667">
        <v>29.23</v>
      </c>
      <c r="F667">
        <v>13.39</v>
      </c>
      <c r="G667">
        <v>20</v>
      </c>
      <c r="H667">
        <v>33.39</v>
      </c>
      <c r="I667" t="s">
        <v>344</v>
      </c>
      <c r="J667">
        <v>-30.33</v>
      </c>
      <c r="K667">
        <v>-3.62</v>
      </c>
      <c r="L667" t="s">
        <v>346</v>
      </c>
      <c r="M667" s="1">
        <v>3.6200000000000003E-2</v>
      </c>
      <c r="N667" t="s">
        <v>350</v>
      </c>
      <c r="O667">
        <v>-1.4</v>
      </c>
      <c r="P667" t="s">
        <v>343</v>
      </c>
      <c r="Q667">
        <v>2.95</v>
      </c>
      <c r="R667" t="s">
        <v>344</v>
      </c>
      <c r="S667">
        <v>1</v>
      </c>
    </row>
    <row r="668" spans="1:19" x14ac:dyDescent="0.25">
      <c r="A668" t="s">
        <v>27</v>
      </c>
      <c r="B668" t="s">
        <v>93</v>
      </c>
      <c r="C668">
        <v>740</v>
      </c>
      <c r="D668" t="s">
        <v>341</v>
      </c>
      <c r="E668">
        <v>29.23</v>
      </c>
      <c r="F668">
        <v>13.93</v>
      </c>
      <c r="G668">
        <v>20</v>
      </c>
      <c r="H668">
        <v>33.93</v>
      </c>
      <c r="I668" t="s">
        <v>344</v>
      </c>
      <c r="J668">
        <v>-30.27</v>
      </c>
      <c r="K668">
        <v>0.31</v>
      </c>
      <c r="L668" t="s">
        <v>346</v>
      </c>
      <c r="M668" s="1">
        <v>3.0999999999999999E-3</v>
      </c>
      <c r="N668" t="s">
        <v>349</v>
      </c>
      <c r="O668">
        <v>0.32</v>
      </c>
      <c r="P668" t="s">
        <v>343</v>
      </c>
      <c r="Q668">
        <v>3.4</v>
      </c>
      <c r="R668" t="s">
        <v>344</v>
      </c>
      <c r="S668">
        <v>1</v>
      </c>
    </row>
    <row r="669" spans="1:19" x14ac:dyDescent="0.25">
      <c r="A669" t="s">
        <v>27</v>
      </c>
      <c r="B669" t="s">
        <v>94</v>
      </c>
      <c r="C669">
        <v>760</v>
      </c>
      <c r="D669" t="s">
        <v>341</v>
      </c>
      <c r="E669">
        <v>29.23</v>
      </c>
      <c r="F669">
        <v>15.05</v>
      </c>
      <c r="G669">
        <v>20</v>
      </c>
      <c r="H669">
        <v>35.049999999999997</v>
      </c>
      <c r="I669" t="s">
        <v>344</v>
      </c>
      <c r="J669">
        <v>-29.92</v>
      </c>
      <c r="K669">
        <v>1.76</v>
      </c>
      <c r="L669" t="s">
        <v>346</v>
      </c>
      <c r="M669" s="1">
        <v>1.7600000000000001E-2</v>
      </c>
      <c r="N669" t="s">
        <v>349</v>
      </c>
      <c r="O669">
        <v>-0.44</v>
      </c>
      <c r="P669" t="s">
        <v>343</v>
      </c>
      <c r="Q669">
        <v>2.29</v>
      </c>
      <c r="R669" t="s">
        <v>344</v>
      </c>
      <c r="S669">
        <v>1</v>
      </c>
    </row>
    <row r="670" spans="1:19" x14ac:dyDescent="0.25">
      <c r="A670" t="s">
        <v>27</v>
      </c>
      <c r="B670" t="s">
        <v>95</v>
      </c>
      <c r="C670">
        <v>780</v>
      </c>
      <c r="D670" t="s">
        <v>341</v>
      </c>
      <c r="E670">
        <v>29.23</v>
      </c>
      <c r="F670">
        <v>16.21</v>
      </c>
      <c r="G670">
        <v>20</v>
      </c>
      <c r="H670">
        <v>36.21</v>
      </c>
      <c r="I670" t="s">
        <v>344</v>
      </c>
      <c r="J670">
        <v>-29.77</v>
      </c>
      <c r="K670">
        <v>0.76</v>
      </c>
      <c r="L670" t="s">
        <v>346</v>
      </c>
      <c r="M670" s="1">
        <v>7.6E-3</v>
      </c>
      <c r="N670" t="s">
        <v>349</v>
      </c>
      <c r="O670">
        <v>-2.71</v>
      </c>
      <c r="P670" t="s">
        <v>344</v>
      </c>
      <c r="Q670">
        <v>0.43</v>
      </c>
      <c r="R670" t="s">
        <v>343</v>
      </c>
      <c r="S670">
        <v>1</v>
      </c>
    </row>
    <row r="671" spans="1:19" x14ac:dyDescent="0.25">
      <c r="A671" t="s">
        <v>27</v>
      </c>
      <c r="B671" t="s">
        <v>96</v>
      </c>
      <c r="C671">
        <v>800</v>
      </c>
      <c r="D671" t="s">
        <v>341</v>
      </c>
      <c r="E671">
        <v>29.23</v>
      </c>
      <c r="F671">
        <v>17.68</v>
      </c>
      <c r="G671">
        <v>16.71</v>
      </c>
      <c r="H671">
        <v>34.39</v>
      </c>
      <c r="I671" t="s">
        <v>344</v>
      </c>
      <c r="J671">
        <v>-29.64</v>
      </c>
      <c r="K671">
        <v>0.65</v>
      </c>
      <c r="L671" t="s">
        <v>346</v>
      </c>
      <c r="M671" s="1">
        <v>6.5000000000000006E-3</v>
      </c>
      <c r="N671" t="s">
        <v>349</v>
      </c>
      <c r="O671">
        <v>-2.2799999999999998</v>
      </c>
      <c r="P671" t="s">
        <v>344</v>
      </c>
      <c r="Q671">
        <v>0.05</v>
      </c>
      <c r="R671" t="s">
        <v>343</v>
      </c>
      <c r="S671">
        <v>1</v>
      </c>
    </row>
    <row r="672" spans="1:19" x14ac:dyDescent="0.25">
      <c r="A672" t="s">
        <v>27</v>
      </c>
      <c r="B672" t="s">
        <v>97</v>
      </c>
      <c r="C672">
        <v>820</v>
      </c>
      <c r="D672" t="s">
        <v>341</v>
      </c>
      <c r="E672">
        <v>29.23</v>
      </c>
      <c r="F672">
        <v>17.29</v>
      </c>
      <c r="G672">
        <v>16.03</v>
      </c>
      <c r="H672">
        <v>33.32</v>
      </c>
      <c r="I672" t="s">
        <v>344</v>
      </c>
      <c r="J672">
        <v>-29.4</v>
      </c>
      <c r="K672">
        <v>1.1599999999999999</v>
      </c>
      <c r="L672" t="s">
        <v>346</v>
      </c>
      <c r="M672" s="1">
        <v>1.1599999999999999E-2</v>
      </c>
      <c r="N672" t="s">
        <v>349</v>
      </c>
      <c r="O672">
        <v>-1.05</v>
      </c>
      <c r="P672" t="s">
        <v>343</v>
      </c>
      <c r="Q672">
        <v>1.22</v>
      </c>
      <c r="R672" t="s">
        <v>343</v>
      </c>
      <c r="S672">
        <v>1</v>
      </c>
    </row>
    <row r="673" spans="1:19" x14ac:dyDescent="0.25">
      <c r="A673" t="s">
        <v>27</v>
      </c>
      <c r="B673" t="s">
        <v>98</v>
      </c>
      <c r="C673">
        <v>840</v>
      </c>
      <c r="D673" t="s">
        <v>341</v>
      </c>
      <c r="E673">
        <v>29.23</v>
      </c>
      <c r="F673">
        <v>16.350000000000001</v>
      </c>
      <c r="G673">
        <v>15.2</v>
      </c>
      <c r="H673">
        <v>31.55</v>
      </c>
      <c r="I673" t="s">
        <v>344</v>
      </c>
      <c r="J673">
        <v>-29.27</v>
      </c>
      <c r="K673">
        <v>0.66</v>
      </c>
      <c r="L673" t="s">
        <v>346</v>
      </c>
      <c r="M673" s="1">
        <v>6.6E-3</v>
      </c>
      <c r="N673" t="s">
        <v>349</v>
      </c>
      <c r="O673">
        <v>-1.31</v>
      </c>
      <c r="P673" t="s">
        <v>343</v>
      </c>
      <c r="Q673">
        <v>1.0900000000000001</v>
      </c>
      <c r="R673" t="s">
        <v>343</v>
      </c>
      <c r="S673">
        <v>1</v>
      </c>
    </row>
    <row r="674" spans="1:19" x14ac:dyDescent="0.25">
      <c r="A674" t="s">
        <v>27</v>
      </c>
      <c r="B674" t="s">
        <v>99</v>
      </c>
      <c r="C674">
        <v>860</v>
      </c>
      <c r="D674" t="s">
        <v>341</v>
      </c>
      <c r="E674">
        <v>29.23</v>
      </c>
      <c r="F674">
        <v>15.62</v>
      </c>
      <c r="G674">
        <v>14.73</v>
      </c>
      <c r="H674">
        <v>30.35</v>
      </c>
      <c r="I674" t="s">
        <v>344</v>
      </c>
      <c r="J674">
        <v>-29.06</v>
      </c>
      <c r="K674">
        <v>1.04</v>
      </c>
      <c r="L674" t="s">
        <v>346</v>
      </c>
      <c r="M674" s="1">
        <v>1.04E-2</v>
      </c>
      <c r="N674" t="s">
        <v>349</v>
      </c>
      <c r="O674">
        <v>-0.57999999999999996</v>
      </c>
      <c r="P674" t="s">
        <v>343</v>
      </c>
      <c r="Q674">
        <v>1.37</v>
      </c>
      <c r="R674" t="s">
        <v>343</v>
      </c>
      <c r="S674">
        <v>1</v>
      </c>
    </row>
    <row r="675" spans="1:19" x14ac:dyDescent="0.25">
      <c r="A675" t="s">
        <v>27</v>
      </c>
      <c r="B675" t="s">
        <v>100</v>
      </c>
      <c r="C675">
        <v>880</v>
      </c>
      <c r="D675" t="s">
        <v>341</v>
      </c>
      <c r="E675">
        <v>29.23</v>
      </c>
      <c r="F675">
        <v>16.04</v>
      </c>
      <c r="G675">
        <v>14.89</v>
      </c>
      <c r="H675">
        <v>30.92</v>
      </c>
      <c r="I675" t="s">
        <v>344</v>
      </c>
      <c r="J675">
        <v>-28.93</v>
      </c>
      <c r="K675">
        <v>0.66</v>
      </c>
      <c r="L675" t="s">
        <v>346</v>
      </c>
      <c r="M675" s="1">
        <v>6.6E-3</v>
      </c>
      <c r="N675" t="s">
        <v>349</v>
      </c>
      <c r="O675">
        <v>-0.51</v>
      </c>
      <c r="P675" t="s">
        <v>343</v>
      </c>
      <c r="Q675">
        <v>0.48</v>
      </c>
      <c r="R675" t="s">
        <v>343</v>
      </c>
      <c r="S675">
        <v>1</v>
      </c>
    </row>
    <row r="676" spans="1:19" x14ac:dyDescent="0.25">
      <c r="A676" t="s">
        <v>27</v>
      </c>
      <c r="B676" t="s">
        <v>101</v>
      </c>
      <c r="C676">
        <v>900</v>
      </c>
      <c r="D676" t="s">
        <v>341</v>
      </c>
      <c r="E676">
        <v>29.23</v>
      </c>
      <c r="F676">
        <v>15.6</v>
      </c>
      <c r="G676">
        <v>14.2</v>
      </c>
      <c r="H676">
        <v>29.79</v>
      </c>
      <c r="I676" t="s">
        <v>344</v>
      </c>
      <c r="J676">
        <v>-28.65</v>
      </c>
      <c r="K676">
        <v>1.4</v>
      </c>
      <c r="L676" t="s">
        <v>346</v>
      </c>
      <c r="M676" s="1">
        <v>1.4E-2</v>
      </c>
      <c r="N676" t="s">
        <v>349</v>
      </c>
      <c r="O676">
        <v>0.55000000000000004</v>
      </c>
      <c r="P676" t="s">
        <v>343</v>
      </c>
      <c r="Q676">
        <v>0.9</v>
      </c>
      <c r="R676" t="s">
        <v>343</v>
      </c>
      <c r="S676">
        <v>1</v>
      </c>
    </row>
    <row r="677" spans="1:19" x14ac:dyDescent="0.25">
      <c r="A677" t="s">
        <v>27</v>
      </c>
      <c r="B677" t="s">
        <v>102</v>
      </c>
      <c r="C677">
        <v>920</v>
      </c>
      <c r="D677" t="s">
        <v>341</v>
      </c>
      <c r="E677">
        <v>29.23</v>
      </c>
      <c r="F677">
        <v>15.21</v>
      </c>
      <c r="G677">
        <v>15.15</v>
      </c>
      <c r="H677">
        <v>30.35</v>
      </c>
      <c r="I677" t="s">
        <v>344</v>
      </c>
      <c r="J677">
        <v>-28.42</v>
      </c>
      <c r="K677">
        <v>1.1599999999999999</v>
      </c>
      <c r="L677" t="s">
        <v>346</v>
      </c>
      <c r="M677" s="1">
        <v>1.1599999999999999E-2</v>
      </c>
      <c r="N677" t="s">
        <v>349</v>
      </c>
      <c r="O677">
        <v>0.36</v>
      </c>
      <c r="P677" t="s">
        <v>343</v>
      </c>
      <c r="Q677">
        <v>0.67</v>
      </c>
      <c r="R677" t="s">
        <v>343</v>
      </c>
      <c r="S677">
        <v>1</v>
      </c>
    </row>
    <row r="678" spans="1:19" x14ac:dyDescent="0.25">
      <c r="A678" t="s">
        <v>27</v>
      </c>
      <c r="B678" t="s">
        <v>103</v>
      </c>
      <c r="C678">
        <v>940</v>
      </c>
      <c r="D678" t="s">
        <v>341</v>
      </c>
      <c r="E678">
        <v>29.23</v>
      </c>
      <c r="F678">
        <v>14.89</v>
      </c>
      <c r="G678">
        <v>14.47</v>
      </c>
      <c r="H678">
        <v>29.36</v>
      </c>
      <c r="I678" t="s">
        <v>344</v>
      </c>
      <c r="J678">
        <v>-28.12</v>
      </c>
      <c r="K678">
        <v>1.47</v>
      </c>
      <c r="L678" t="s">
        <v>346</v>
      </c>
      <c r="M678" s="1">
        <v>1.47E-2</v>
      </c>
      <c r="N678" t="s">
        <v>349</v>
      </c>
      <c r="O678">
        <v>0.47</v>
      </c>
      <c r="P678" t="s">
        <v>343</v>
      </c>
      <c r="Q678">
        <v>1.04</v>
      </c>
      <c r="R678" t="s">
        <v>343</v>
      </c>
      <c r="S678">
        <v>1</v>
      </c>
    </row>
    <row r="679" spans="1:19" x14ac:dyDescent="0.25">
      <c r="A679" t="s">
        <v>27</v>
      </c>
      <c r="B679" t="s">
        <v>104</v>
      </c>
      <c r="C679">
        <v>960</v>
      </c>
      <c r="D679" t="s">
        <v>341</v>
      </c>
      <c r="E679">
        <v>29.23</v>
      </c>
      <c r="F679">
        <v>13.8</v>
      </c>
      <c r="G679">
        <v>14.63</v>
      </c>
      <c r="H679">
        <v>28.44</v>
      </c>
      <c r="I679" t="s">
        <v>343</v>
      </c>
      <c r="J679">
        <v>-27.69</v>
      </c>
      <c r="K679">
        <v>2.19</v>
      </c>
      <c r="L679" t="s">
        <v>346</v>
      </c>
      <c r="M679" s="1">
        <v>2.1899999999999999E-2</v>
      </c>
      <c r="N679" t="s">
        <v>350</v>
      </c>
      <c r="O679">
        <v>2.52</v>
      </c>
      <c r="P679" t="s">
        <v>344</v>
      </c>
      <c r="Q679">
        <v>-0.17</v>
      </c>
      <c r="R679" t="s">
        <v>343</v>
      </c>
      <c r="S679">
        <v>1</v>
      </c>
    </row>
    <row r="680" spans="1:19" x14ac:dyDescent="0.25">
      <c r="A680" t="s">
        <v>27</v>
      </c>
      <c r="B680" t="s">
        <v>105</v>
      </c>
      <c r="C680">
        <v>980</v>
      </c>
      <c r="D680" t="s">
        <v>341</v>
      </c>
      <c r="E680">
        <v>29.23</v>
      </c>
      <c r="F680">
        <v>14.62</v>
      </c>
      <c r="G680">
        <v>14.38</v>
      </c>
      <c r="H680">
        <v>29.01</v>
      </c>
      <c r="I680" t="s">
        <v>343</v>
      </c>
      <c r="J680">
        <v>-27.3</v>
      </c>
      <c r="K680">
        <v>1.95</v>
      </c>
      <c r="L680" t="s">
        <v>346</v>
      </c>
      <c r="M680" s="1">
        <v>1.95E-2</v>
      </c>
      <c r="N680" t="s">
        <v>349</v>
      </c>
      <c r="O680">
        <v>1.1399999999999999</v>
      </c>
      <c r="P680" t="s">
        <v>343</v>
      </c>
      <c r="Q680">
        <v>0.7</v>
      </c>
      <c r="R680" t="s">
        <v>343</v>
      </c>
      <c r="S680">
        <v>1</v>
      </c>
    </row>
    <row r="681" spans="1:19" x14ac:dyDescent="0.25">
      <c r="A681" t="s">
        <v>27</v>
      </c>
      <c r="B681" t="s">
        <v>106</v>
      </c>
      <c r="C681">
        <v>1000</v>
      </c>
      <c r="D681" t="s">
        <v>341</v>
      </c>
      <c r="E681">
        <v>29.23</v>
      </c>
      <c r="F681">
        <v>20</v>
      </c>
      <c r="G681">
        <v>14.63</v>
      </c>
      <c r="H681">
        <v>34.630000000000003</v>
      </c>
      <c r="I681" t="s">
        <v>344</v>
      </c>
      <c r="J681">
        <v>-26.75</v>
      </c>
      <c r="K681">
        <v>2.71</v>
      </c>
      <c r="L681" t="s">
        <v>346</v>
      </c>
      <c r="M681" s="1">
        <v>2.7099999999999999E-2</v>
      </c>
      <c r="N681" t="s">
        <v>350</v>
      </c>
      <c r="O681">
        <v>-0.93</v>
      </c>
      <c r="P681" t="s">
        <v>343</v>
      </c>
      <c r="Q681">
        <v>0.33</v>
      </c>
      <c r="R681" t="s">
        <v>343</v>
      </c>
      <c r="S681">
        <v>1</v>
      </c>
    </row>
    <row r="682" spans="1:19" x14ac:dyDescent="0.25">
      <c r="A682" t="s">
        <v>27</v>
      </c>
      <c r="B682" t="s">
        <v>108</v>
      </c>
      <c r="C682">
        <v>1020</v>
      </c>
      <c r="D682" t="s">
        <v>341</v>
      </c>
      <c r="E682">
        <v>29.23</v>
      </c>
      <c r="F682">
        <v>20</v>
      </c>
      <c r="G682">
        <v>16.2</v>
      </c>
      <c r="H682">
        <v>36.200000000000003</v>
      </c>
      <c r="I682" t="s">
        <v>344</v>
      </c>
      <c r="J682">
        <v>-26.28</v>
      </c>
      <c r="K682">
        <v>2.39</v>
      </c>
      <c r="L682" t="s">
        <v>346</v>
      </c>
      <c r="M682" s="1">
        <v>2.3900000000000001E-2</v>
      </c>
      <c r="N682" t="s">
        <v>350</v>
      </c>
      <c r="O682">
        <v>0.9</v>
      </c>
      <c r="P682" t="s">
        <v>343</v>
      </c>
      <c r="Q682">
        <v>-1.72</v>
      </c>
      <c r="R682" t="s">
        <v>343</v>
      </c>
      <c r="S682">
        <v>1</v>
      </c>
    </row>
    <row r="683" spans="1:19" x14ac:dyDescent="0.25">
      <c r="A683" t="s">
        <v>27</v>
      </c>
      <c r="B683" t="s">
        <v>109</v>
      </c>
      <c r="C683">
        <v>1040</v>
      </c>
      <c r="D683" t="s">
        <v>341</v>
      </c>
      <c r="E683">
        <v>29.23</v>
      </c>
      <c r="F683">
        <v>20</v>
      </c>
      <c r="G683">
        <v>16.2</v>
      </c>
      <c r="H683">
        <v>36.200000000000003</v>
      </c>
      <c r="I683" t="s">
        <v>344</v>
      </c>
      <c r="J683">
        <v>-25.74</v>
      </c>
      <c r="K683">
        <v>2.69</v>
      </c>
      <c r="L683" t="s">
        <v>346</v>
      </c>
      <c r="M683" s="1">
        <v>2.69E-2</v>
      </c>
      <c r="N683" t="s">
        <v>350</v>
      </c>
      <c r="O683">
        <v>1.98</v>
      </c>
      <c r="P683" t="s">
        <v>343</v>
      </c>
      <c r="Q683">
        <v>-1.26</v>
      </c>
      <c r="R683" t="s">
        <v>343</v>
      </c>
      <c r="S683">
        <v>1</v>
      </c>
    </row>
    <row r="684" spans="1:19" x14ac:dyDescent="0.25">
      <c r="A684" t="s">
        <v>27</v>
      </c>
      <c r="B684" t="s">
        <v>227</v>
      </c>
      <c r="C684">
        <v>1044.1130000000001</v>
      </c>
      <c r="D684" t="s">
        <v>341</v>
      </c>
      <c r="E684">
        <v>29.23</v>
      </c>
      <c r="F684">
        <v>20</v>
      </c>
      <c r="G684">
        <v>16.66</v>
      </c>
      <c r="H684">
        <v>36.659999999999997</v>
      </c>
      <c r="I684" t="s">
        <v>344</v>
      </c>
      <c r="J684">
        <v>-24.41</v>
      </c>
      <c r="K684">
        <v>32.22</v>
      </c>
      <c r="L684" t="s">
        <v>348</v>
      </c>
      <c r="M684" s="1">
        <v>0.32219999999999999</v>
      </c>
      <c r="N684" t="s">
        <v>350</v>
      </c>
      <c r="O684">
        <v>1.61</v>
      </c>
      <c r="P684" t="s">
        <v>343</v>
      </c>
      <c r="Q684">
        <v>-0.8</v>
      </c>
      <c r="R684" t="s">
        <v>343</v>
      </c>
      <c r="S684">
        <v>0</v>
      </c>
    </row>
    <row r="685" spans="1:19" x14ac:dyDescent="0.25">
      <c r="A685" t="s">
        <v>28</v>
      </c>
      <c r="B685" t="s">
        <v>56</v>
      </c>
      <c r="C685">
        <v>0</v>
      </c>
      <c r="D685" t="s">
        <v>341</v>
      </c>
      <c r="E685">
        <v>29.23</v>
      </c>
      <c r="F685">
        <v>14.59</v>
      </c>
      <c r="G685">
        <v>15.41</v>
      </c>
      <c r="H685">
        <v>30</v>
      </c>
      <c r="I685" t="s">
        <v>344</v>
      </c>
      <c r="J685">
        <v>-60.31</v>
      </c>
      <c r="L685" t="s">
        <v>345</v>
      </c>
      <c r="N685" t="s">
        <v>345</v>
      </c>
      <c r="O685">
        <v>5.44</v>
      </c>
      <c r="P685" t="s">
        <v>343</v>
      </c>
      <c r="Q685">
        <v>1.94</v>
      </c>
      <c r="R685" t="s">
        <v>343</v>
      </c>
      <c r="S685">
        <v>1</v>
      </c>
    </row>
    <row r="686" spans="1:19" x14ac:dyDescent="0.25">
      <c r="A686" t="s">
        <v>28</v>
      </c>
      <c r="B686" t="s">
        <v>57</v>
      </c>
      <c r="C686">
        <v>20</v>
      </c>
      <c r="D686" t="s">
        <v>341</v>
      </c>
      <c r="E686">
        <v>29.23</v>
      </c>
      <c r="F686">
        <v>12.66</v>
      </c>
      <c r="G686">
        <v>15.8</v>
      </c>
      <c r="H686">
        <v>28.46</v>
      </c>
      <c r="I686" t="s">
        <v>343</v>
      </c>
      <c r="J686">
        <v>-60.11</v>
      </c>
      <c r="K686">
        <v>1.01</v>
      </c>
      <c r="L686" t="s">
        <v>346</v>
      </c>
      <c r="M686" s="1">
        <v>1.01E-2</v>
      </c>
      <c r="N686" t="s">
        <v>349</v>
      </c>
      <c r="O686">
        <v>4.4800000000000004</v>
      </c>
      <c r="P686" t="s">
        <v>343</v>
      </c>
      <c r="Q686">
        <v>0.99</v>
      </c>
      <c r="R686" t="s">
        <v>343</v>
      </c>
      <c r="S686">
        <v>1</v>
      </c>
    </row>
    <row r="687" spans="1:19" x14ac:dyDescent="0.25">
      <c r="A687" t="s">
        <v>28</v>
      </c>
      <c r="B687" t="s">
        <v>58</v>
      </c>
      <c r="C687">
        <v>40</v>
      </c>
      <c r="D687" t="s">
        <v>341</v>
      </c>
      <c r="E687">
        <v>29.23</v>
      </c>
      <c r="F687">
        <v>12.61</v>
      </c>
      <c r="G687">
        <v>17.239999999999998</v>
      </c>
      <c r="H687">
        <v>29.85</v>
      </c>
      <c r="I687" t="s">
        <v>344</v>
      </c>
      <c r="J687">
        <v>-60.98</v>
      </c>
      <c r="K687">
        <v>-4.37</v>
      </c>
      <c r="L687" t="s">
        <v>346</v>
      </c>
      <c r="M687" s="1">
        <v>4.3700000000000003E-2</v>
      </c>
      <c r="N687" t="s">
        <v>350</v>
      </c>
      <c r="O687">
        <v>2.1800000000000002</v>
      </c>
      <c r="P687" t="s">
        <v>344</v>
      </c>
      <c r="Q687">
        <v>1.64</v>
      </c>
      <c r="R687" t="s">
        <v>343</v>
      </c>
      <c r="S687">
        <v>1</v>
      </c>
    </row>
    <row r="688" spans="1:19" x14ac:dyDescent="0.25">
      <c r="A688" t="s">
        <v>28</v>
      </c>
      <c r="B688" t="s">
        <v>59</v>
      </c>
      <c r="C688">
        <v>60</v>
      </c>
      <c r="D688" t="s">
        <v>341</v>
      </c>
      <c r="E688">
        <v>29.23</v>
      </c>
      <c r="F688">
        <v>13.75</v>
      </c>
      <c r="G688">
        <v>17.239999999999998</v>
      </c>
      <c r="H688">
        <v>30.99</v>
      </c>
      <c r="I688" t="s">
        <v>344</v>
      </c>
      <c r="J688">
        <v>-60.51</v>
      </c>
      <c r="K688">
        <v>2.37</v>
      </c>
      <c r="L688" t="s">
        <v>346</v>
      </c>
      <c r="M688" s="1">
        <v>2.3699999999999999E-2</v>
      </c>
      <c r="N688" t="s">
        <v>350</v>
      </c>
      <c r="O688">
        <v>1.98</v>
      </c>
      <c r="P688" t="s">
        <v>343</v>
      </c>
      <c r="Q688">
        <v>1.01</v>
      </c>
      <c r="R688" t="s">
        <v>343</v>
      </c>
      <c r="S688">
        <v>1</v>
      </c>
    </row>
    <row r="689" spans="1:19" x14ac:dyDescent="0.25">
      <c r="A689" t="s">
        <v>28</v>
      </c>
      <c r="B689" t="s">
        <v>60</v>
      </c>
      <c r="C689">
        <v>80</v>
      </c>
      <c r="D689" t="s">
        <v>341</v>
      </c>
      <c r="E689">
        <v>29.23</v>
      </c>
      <c r="F689">
        <v>13.69</v>
      </c>
      <c r="G689">
        <v>17.239999999999998</v>
      </c>
      <c r="H689">
        <v>30.94</v>
      </c>
      <c r="I689" t="s">
        <v>344</v>
      </c>
      <c r="J689">
        <v>-59.95</v>
      </c>
      <c r="K689">
        <v>2.78</v>
      </c>
      <c r="L689" t="s">
        <v>346</v>
      </c>
      <c r="M689" s="1">
        <v>2.7799999999999998E-2</v>
      </c>
      <c r="N689" t="s">
        <v>350</v>
      </c>
      <c r="O689">
        <v>1.34</v>
      </c>
      <c r="P689" t="s">
        <v>343</v>
      </c>
      <c r="Q689">
        <v>3.63</v>
      </c>
      <c r="R689" t="s">
        <v>344</v>
      </c>
      <c r="S689">
        <v>1</v>
      </c>
    </row>
    <row r="690" spans="1:19" x14ac:dyDescent="0.25">
      <c r="A690" t="s">
        <v>28</v>
      </c>
      <c r="B690" t="s">
        <v>61</v>
      </c>
      <c r="C690">
        <v>100</v>
      </c>
      <c r="D690" t="s">
        <v>341</v>
      </c>
      <c r="E690">
        <v>29.23</v>
      </c>
      <c r="F690">
        <v>13.5</v>
      </c>
      <c r="G690">
        <v>15.84</v>
      </c>
      <c r="H690">
        <v>29.34</v>
      </c>
      <c r="I690" t="s">
        <v>344</v>
      </c>
      <c r="J690">
        <v>-58.36</v>
      </c>
      <c r="K690">
        <v>7.98</v>
      </c>
      <c r="L690" t="s">
        <v>346</v>
      </c>
      <c r="M690" s="1">
        <v>7.980000000000001E-2</v>
      </c>
      <c r="N690" t="s">
        <v>350</v>
      </c>
      <c r="O690">
        <v>4.2699999999999996</v>
      </c>
      <c r="P690" t="s">
        <v>343</v>
      </c>
      <c r="Q690">
        <v>3.53</v>
      </c>
      <c r="R690" t="s">
        <v>344</v>
      </c>
      <c r="S690">
        <v>1</v>
      </c>
    </row>
    <row r="691" spans="1:19" x14ac:dyDescent="0.25">
      <c r="A691" t="s">
        <v>28</v>
      </c>
      <c r="B691" t="s">
        <v>62</v>
      </c>
      <c r="C691">
        <v>120</v>
      </c>
      <c r="D691" t="s">
        <v>341</v>
      </c>
      <c r="E691">
        <v>29.23</v>
      </c>
      <c r="F691">
        <v>12.57</v>
      </c>
      <c r="G691">
        <v>15.74</v>
      </c>
      <c r="H691">
        <v>28.31</v>
      </c>
      <c r="I691" t="s">
        <v>343</v>
      </c>
      <c r="J691">
        <v>-59.36</v>
      </c>
      <c r="K691">
        <v>-5.04</v>
      </c>
      <c r="L691" t="s">
        <v>346</v>
      </c>
      <c r="M691" s="1">
        <v>5.04E-2</v>
      </c>
      <c r="N691" t="s">
        <v>350</v>
      </c>
      <c r="O691">
        <v>3.67</v>
      </c>
      <c r="P691" t="s">
        <v>344</v>
      </c>
      <c r="Q691">
        <v>1.39</v>
      </c>
      <c r="R691" t="s">
        <v>343</v>
      </c>
      <c r="S691">
        <v>1</v>
      </c>
    </row>
    <row r="692" spans="1:19" x14ac:dyDescent="0.25">
      <c r="A692" t="s">
        <v>28</v>
      </c>
      <c r="B692" t="s">
        <v>63</v>
      </c>
      <c r="C692">
        <v>140</v>
      </c>
      <c r="D692" t="s">
        <v>341</v>
      </c>
      <c r="E692">
        <v>29.23</v>
      </c>
      <c r="F692">
        <v>12.13</v>
      </c>
      <c r="G692">
        <v>15.67</v>
      </c>
      <c r="H692">
        <v>27.8</v>
      </c>
      <c r="I692" t="s">
        <v>343</v>
      </c>
      <c r="J692">
        <v>-59.24</v>
      </c>
      <c r="K692">
        <v>0.64</v>
      </c>
      <c r="L692" t="s">
        <v>346</v>
      </c>
      <c r="M692" s="1">
        <v>6.4000000000000003E-3</v>
      </c>
      <c r="N692" t="s">
        <v>349</v>
      </c>
      <c r="O692">
        <v>0.92</v>
      </c>
      <c r="P692" t="s">
        <v>343</v>
      </c>
      <c r="Q692">
        <v>0.28000000000000003</v>
      </c>
      <c r="R692" t="s">
        <v>343</v>
      </c>
      <c r="S692">
        <v>1</v>
      </c>
    </row>
    <row r="693" spans="1:19" x14ac:dyDescent="0.25">
      <c r="A693" t="s">
        <v>28</v>
      </c>
      <c r="B693" t="s">
        <v>64</v>
      </c>
      <c r="C693">
        <v>160</v>
      </c>
      <c r="D693" t="s">
        <v>341</v>
      </c>
      <c r="E693">
        <v>29.23</v>
      </c>
      <c r="F693">
        <v>12.98</v>
      </c>
      <c r="G693">
        <v>15.02</v>
      </c>
      <c r="H693">
        <v>28</v>
      </c>
      <c r="I693" t="s">
        <v>343</v>
      </c>
      <c r="J693">
        <v>-59.11</v>
      </c>
      <c r="K693">
        <v>0.63</v>
      </c>
      <c r="L693" t="s">
        <v>346</v>
      </c>
      <c r="M693" s="1">
        <v>6.3E-3</v>
      </c>
      <c r="N693" t="s">
        <v>349</v>
      </c>
      <c r="O693">
        <v>0.4</v>
      </c>
      <c r="P693" t="s">
        <v>343</v>
      </c>
      <c r="Q693">
        <v>0.45</v>
      </c>
      <c r="R693" t="s">
        <v>343</v>
      </c>
      <c r="S693">
        <v>1</v>
      </c>
    </row>
    <row r="694" spans="1:19" x14ac:dyDescent="0.25">
      <c r="A694" t="s">
        <v>28</v>
      </c>
      <c r="B694" t="s">
        <v>65</v>
      </c>
      <c r="C694">
        <v>180</v>
      </c>
      <c r="D694" t="s">
        <v>341</v>
      </c>
      <c r="E694">
        <v>29.23</v>
      </c>
      <c r="F694">
        <v>13.87</v>
      </c>
      <c r="G694">
        <v>15.76</v>
      </c>
      <c r="H694">
        <v>29.63</v>
      </c>
      <c r="I694" t="s">
        <v>344</v>
      </c>
      <c r="J694">
        <v>-59.1</v>
      </c>
      <c r="K694">
        <v>7.0000000000000007E-2</v>
      </c>
      <c r="L694" t="s">
        <v>346</v>
      </c>
      <c r="M694" s="1">
        <v>7.000000000000001E-4</v>
      </c>
      <c r="N694" t="s">
        <v>349</v>
      </c>
      <c r="O694">
        <v>-0.05</v>
      </c>
      <c r="P694" t="s">
        <v>343</v>
      </c>
      <c r="Q694">
        <v>-0.21</v>
      </c>
      <c r="R694" t="s">
        <v>343</v>
      </c>
      <c r="S694">
        <v>1</v>
      </c>
    </row>
    <row r="695" spans="1:19" x14ac:dyDescent="0.25">
      <c r="A695" t="s">
        <v>28</v>
      </c>
      <c r="B695" t="s">
        <v>66</v>
      </c>
      <c r="C695">
        <v>200</v>
      </c>
      <c r="D695" t="s">
        <v>341</v>
      </c>
      <c r="E695">
        <v>29.23</v>
      </c>
      <c r="F695">
        <v>13.87</v>
      </c>
      <c r="G695">
        <v>15.51</v>
      </c>
      <c r="H695">
        <v>29.38</v>
      </c>
      <c r="I695" t="s">
        <v>344</v>
      </c>
      <c r="J695">
        <v>-58.87</v>
      </c>
      <c r="K695">
        <v>1.1499999999999999</v>
      </c>
      <c r="L695" t="s">
        <v>346</v>
      </c>
      <c r="M695" s="1">
        <v>1.15E-2</v>
      </c>
      <c r="N695" t="s">
        <v>349</v>
      </c>
      <c r="O695">
        <v>-0.69</v>
      </c>
      <c r="P695" t="s">
        <v>343</v>
      </c>
      <c r="Q695">
        <v>-0.11</v>
      </c>
      <c r="R695" t="s">
        <v>343</v>
      </c>
      <c r="S695">
        <v>1</v>
      </c>
    </row>
    <row r="696" spans="1:19" x14ac:dyDescent="0.25">
      <c r="A696" t="s">
        <v>28</v>
      </c>
      <c r="B696" t="s">
        <v>67</v>
      </c>
      <c r="C696">
        <v>220</v>
      </c>
      <c r="D696" t="s">
        <v>341</v>
      </c>
      <c r="E696">
        <v>29.23</v>
      </c>
      <c r="F696">
        <v>15.22</v>
      </c>
      <c r="G696">
        <v>16.190000000000001</v>
      </c>
      <c r="H696">
        <v>31.41</v>
      </c>
      <c r="I696" t="s">
        <v>344</v>
      </c>
      <c r="J696">
        <v>-58.69</v>
      </c>
      <c r="K696">
        <v>0.9</v>
      </c>
      <c r="L696" t="s">
        <v>346</v>
      </c>
      <c r="M696" s="1">
        <v>9.0000000000000011E-3</v>
      </c>
      <c r="N696" t="s">
        <v>349</v>
      </c>
      <c r="O696">
        <v>-1.3</v>
      </c>
      <c r="P696" t="s">
        <v>343</v>
      </c>
      <c r="Q696">
        <v>0.76</v>
      </c>
      <c r="R696" t="s">
        <v>343</v>
      </c>
      <c r="S696">
        <v>1</v>
      </c>
    </row>
    <row r="697" spans="1:19" x14ac:dyDescent="0.25">
      <c r="A697" t="s">
        <v>28</v>
      </c>
      <c r="B697" t="s">
        <v>68</v>
      </c>
      <c r="C697">
        <v>240</v>
      </c>
      <c r="D697" t="s">
        <v>341</v>
      </c>
      <c r="E697">
        <v>29.23</v>
      </c>
      <c r="F697">
        <v>15.94</v>
      </c>
      <c r="G697">
        <v>16.43</v>
      </c>
      <c r="H697">
        <v>32.369999999999997</v>
      </c>
      <c r="I697" t="s">
        <v>344</v>
      </c>
      <c r="J697">
        <v>-58.48</v>
      </c>
      <c r="K697">
        <v>1.04</v>
      </c>
      <c r="L697" t="s">
        <v>346</v>
      </c>
      <c r="M697" s="1">
        <v>1.04E-2</v>
      </c>
      <c r="N697" t="s">
        <v>349</v>
      </c>
      <c r="O697">
        <v>-1.17</v>
      </c>
      <c r="P697" t="s">
        <v>343</v>
      </c>
      <c r="Q697">
        <v>1.64</v>
      </c>
      <c r="R697" t="s">
        <v>343</v>
      </c>
      <c r="S697">
        <v>1</v>
      </c>
    </row>
    <row r="698" spans="1:19" x14ac:dyDescent="0.25">
      <c r="A698" t="s">
        <v>28</v>
      </c>
      <c r="B698" t="s">
        <v>69</v>
      </c>
      <c r="C698">
        <v>260</v>
      </c>
      <c r="D698" t="s">
        <v>341</v>
      </c>
      <c r="E698">
        <v>29.23</v>
      </c>
      <c r="F698">
        <v>16.88</v>
      </c>
      <c r="G698">
        <v>16.190000000000001</v>
      </c>
      <c r="H698">
        <v>33.07</v>
      </c>
      <c r="I698" t="s">
        <v>344</v>
      </c>
      <c r="J698">
        <v>-58.32</v>
      </c>
      <c r="K698">
        <v>0.81</v>
      </c>
      <c r="L698" t="s">
        <v>346</v>
      </c>
      <c r="M698" s="1">
        <v>8.1000000000000013E-3</v>
      </c>
      <c r="N698" t="s">
        <v>349</v>
      </c>
      <c r="O698">
        <v>-1.86</v>
      </c>
      <c r="P698" t="s">
        <v>343</v>
      </c>
      <c r="Q698">
        <v>1.7</v>
      </c>
      <c r="R698" t="s">
        <v>343</v>
      </c>
      <c r="S698">
        <v>1</v>
      </c>
    </row>
    <row r="699" spans="1:19" x14ac:dyDescent="0.25">
      <c r="A699" t="s">
        <v>28</v>
      </c>
      <c r="B699" t="s">
        <v>70</v>
      </c>
      <c r="C699">
        <v>280</v>
      </c>
      <c r="D699" t="s">
        <v>341</v>
      </c>
      <c r="E699">
        <v>29.23</v>
      </c>
      <c r="F699">
        <v>16.88</v>
      </c>
      <c r="G699">
        <v>15.75</v>
      </c>
      <c r="H699">
        <v>32.630000000000003</v>
      </c>
      <c r="I699" t="s">
        <v>344</v>
      </c>
      <c r="J699">
        <v>-58.01</v>
      </c>
      <c r="K699">
        <v>1.53</v>
      </c>
      <c r="L699" t="s">
        <v>346</v>
      </c>
      <c r="M699" s="1">
        <v>1.5299999999999999E-2</v>
      </c>
      <c r="N699" t="s">
        <v>349</v>
      </c>
      <c r="O699">
        <v>-1.0900000000000001</v>
      </c>
      <c r="P699" t="s">
        <v>343</v>
      </c>
      <c r="Q699">
        <v>2.42</v>
      </c>
      <c r="R699" t="s">
        <v>344</v>
      </c>
      <c r="S699">
        <v>1</v>
      </c>
    </row>
    <row r="700" spans="1:19" x14ac:dyDescent="0.25">
      <c r="A700" t="s">
        <v>28</v>
      </c>
      <c r="B700" t="s">
        <v>71</v>
      </c>
      <c r="C700">
        <v>300</v>
      </c>
      <c r="D700" t="s">
        <v>341</v>
      </c>
      <c r="E700">
        <v>29.23</v>
      </c>
      <c r="F700">
        <v>17.440000000000001</v>
      </c>
      <c r="G700">
        <v>15.5</v>
      </c>
      <c r="H700">
        <v>32.94</v>
      </c>
      <c r="I700" t="s">
        <v>344</v>
      </c>
      <c r="J700">
        <v>-57.47</v>
      </c>
      <c r="K700">
        <v>2.72</v>
      </c>
      <c r="L700" t="s">
        <v>346</v>
      </c>
      <c r="M700" s="1">
        <v>2.7199999999999998E-2</v>
      </c>
      <c r="N700" t="s">
        <v>350</v>
      </c>
      <c r="O700">
        <v>0.44</v>
      </c>
      <c r="P700" t="s">
        <v>343</v>
      </c>
      <c r="Q700">
        <v>3.68</v>
      </c>
      <c r="R700" t="s">
        <v>344</v>
      </c>
      <c r="S700">
        <v>1</v>
      </c>
    </row>
    <row r="701" spans="1:19" x14ac:dyDescent="0.25">
      <c r="A701" t="s">
        <v>28</v>
      </c>
      <c r="B701" t="s">
        <v>72</v>
      </c>
      <c r="C701">
        <v>320</v>
      </c>
      <c r="D701" t="s">
        <v>341</v>
      </c>
      <c r="E701">
        <v>29.23</v>
      </c>
      <c r="F701">
        <v>16.07</v>
      </c>
      <c r="G701">
        <v>17.63</v>
      </c>
      <c r="H701">
        <v>33.700000000000003</v>
      </c>
      <c r="I701" t="s">
        <v>344</v>
      </c>
      <c r="J701">
        <v>-55.83</v>
      </c>
      <c r="K701">
        <v>8.18</v>
      </c>
      <c r="L701" t="s">
        <v>347</v>
      </c>
      <c r="M701" s="1">
        <v>8.1799999999999998E-2</v>
      </c>
      <c r="N701" t="s">
        <v>350</v>
      </c>
      <c r="O701">
        <v>1.01</v>
      </c>
      <c r="P701" t="s">
        <v>343</v>
      </c>
      <c r="Q701">
        <v>5.72</v>
      </c>
      <c r="R701" t="s">
        <v>343</v>
      </c>
      <c r="S701">
        <v>1</v>
      </c>
    </row>
    <row r="702" spans="1:19" x14ac:dyDescent="0.25">
      <c r="A702" t="s">
        <v>28</v>
      </c>
      <c r="B702" t="s">
        <v>73</v>
      </c>
      <c r="C702">
        <v>340</v>
      </c>
      <c r="D702" t="s">
        <v>341</v>
      </c>
      <c r="E702">
        <v>29.23</v>
      </c>
      <c r="F702">
        <v>16.63</v>
      </c>
      <c r="G702">
        <v>20</v>
      </c>
      <c r="H702">
        <v>36.630000000000003</v>
      </c>
      <c r="I702" t="s">
        <v>344</v>
      </c>
      <c r="J702">
        <v>-56.88</v>
      </c>
      <c r="K702">
        <v>-5.23</v>
      </c>
      <c r="L702" t="s">
        <v>346</v>
      </c>
      <c r="M702" s="1">
        <v>5.2300000000000013E-2</v>
      </c>
      <c r="N702" t="s">
        <v>350</v>
      </c>
      <c r="O702">
        <v>-0.89</v>
      </c>
      <c r="P702" t="s">
        <v>343</v>
      </c>
      <c r="Q702">
        <v>3.62</v>
      </c>
      <c r="R702" t="s">
        <v>344</v>
      </c>
      <c r="S702">
        <v>1</v>
      </c>
    </row>
    <row r="703" spans="1:19" x14ac:dyDescent="0.25">
      <c r="A703" t="s">
        <v>28</v>
      </c>
      <c r="B703" t="s">
        <v>74</v>
      </c>
      <c r="C703">
        <v>360</v>
      </c>
      <c r="D703" t="s">
        <v>341</v>
      </c>
      <c r="E703">
        <v>29.23</v>
      </c>
      <c r="F703">
        <v>16.63</v>
      </c>
      <c r="G703">
        <v>20</v>
      </c>
      <c r="H703">
        <v>36.630000000000003</v>
      </c>
      <c r="I703" t="s">
        <v>344</v>
      </c>
      <c r="J703">
        <v>-55.73</v>
      </c>
      <c r="K703">
        <v>5.75</v>
      </c>
      <c r="L703" t="s">
        <v>346</v>
      </c>
      <c r="M703" s="1">
        <v>5.7500000000000002E-2</v>
      </c>
      <c r="N703" t="s">
        <v>350</v>
      </c>
      <c r="O703">
        <v>-3.3</v>
      </c>
      <c r="P703" t="s">
        <v>344</v>
      </c>
      <c r="Q703">
        <v>9.65</v>
      </c>
      <c r="R703" t="s">
        <v>343</v>
      </c>
      <c r="S703">
        <v>1</v>
      </c>
    </row>
    <row r="704" spans="1:19" x14ac:dyDescent="0.25">
      <c r="A704" t="s">
        <v>28</v>
      </c>
      <c r="B704" t="s">
        <v>75</v>
      </c>
      <c r="C704">
        <v>380</v>
      </c>
      <c r="D704" t="s">
        <v>341</v>
      </c>
      <c r="E704">
        <v>29.23</v>
      </c>
      <c r="F704">
        <v>16.63</v>
      </c>
      <c r="G704">
        <v>20</v>
      </c>
      <c r="H704">
        <v>36.630000000000003</v>
      </c>
      <c r="I704" t="s">
        <v>344</v>
      </c>
      <c r="J704">
        <v>-57.28</v>
      </c>
      <c r="K704">
        <v>-7.74</v>
      </c>
      <c r="L704" t="s">
        <v>346</v>
      </c>
      <c r="M704" s="1">
        <v>7.7399999999999997E-2</v>
      </c>
      <c r="N704" t="s">
        <v>350</v>
      </c>
      <c r="O704">
        <v>-3.04</v>
      </c>
      <c r="P704" t="s">
        <v>344</v>
      </c>
      <c r="Q704">
        <v>1.98</v>
      </c>
      <c r="R704" t="s">
        <v>343</v>
      </c>
      <c r="S704">
        <v>1</v>
      </c>
    </row>
    <row r="705" spans="1:19" x14ac:dyDescent="0.25">
      <c r="A705" t="s">
        <v>28</v>
      </c>
      <c r="B705" t="s">
        <v>76</v>
      </c>
      <c r="C705">
        <v>400</v>
      </c>
      <c r="D705" t="s">
        <v>341</v>
      </c>
      <c r="E705">
        <v>29.23</v>
      </c>
      <c r="F705">
        <v>14.29</v>
      </c>
      <c r="G705">
        <v>20</v>
      </c>
      <c r="H705">
        <v>34.29</v>
      </c>
      <c r="I705" t="s">
        <v>344</v>
      </c>
      <c r="J705">
        <v>-56.91</v>
      </c>
      <c r="K705">
        <v>1.82</v>
      </c>
      <c r="L705" t="s">
        <v>346</v>
      </c>
      <c r="M705" s="1">
        <v>1.8200000000000001E-2</v>
      </c>
      <c r="N705" t="s">
        <v>349</v>
      </c>
      <c r="O705">
        <v>-3.77</v>
      </c>
      <c r="P705" t="s">
        <v>344</v>
      </c>
      <c r="Q705">
        <v>4.42</v>
      </c>
      <c r="R705" t="s">
        <v>343</v>
      </c>
      <c r="S705">
        <v>1</v>
      </c>
    </row>
    <row r="706" spans="1:19" x14ac:dyDescent="0.25">
      <c r="A706" t="s">
        <v>28</v>
      </c>
      <c r="B706" t="s">
        <v>77</v>
      </c>
      <c r="C706">
        <v>420</v>
      </c>
      <c r="D706" t="s">
        <v>341</v>
      </c>
      <c r="E706">
        <v>29.23</v>
      </c>
      <c r="F706">
        <v>14.5</v>
      </c>
      <c r="G706">
        <v>20</v>
      </c>
      <c r="H706">
        <v>34.5</v>
      </c>
      <c r="I706" t="s">
        <v>344</v>
      </c>
      <c r="J706">
        <v>-57.42</v>
      </c>
      <c r="K706">
        <v>-2.5299999999999998</v>
      </c>
      <c r="L706" t="s">
        <v>346</v>
      </c>
      <c r="M706" s="1">
        <v>2.53E-2</v>
      </c>
      <c r="N706" t="s">
        <v>350</v>
      </c>
      <c r="O706">
        <v>1.46</v>
      </c>
      <c r="P706" t="s">
        <v>343</v>
      </c>
      <c r="Q706">
        <v>1.34</v>
      </c>
      <c r="R706" t="s">
        <v>343</v>
      </c>
      <c r="S706">
        <v>1</v>
      </c>
    </row>
    <row r="707" spans="1:19" x14ac:dyDescent="0.25">
      <c r="A707" t="s">
        <v>28</v>
      </c>
      <c r="B707" t="s">
        <v>78</v>
      </c>
      <c r="C707">
        <v>440</v>
      </c>
      <c r="D707" t="s">
        <v>341</v>
      </c>
      <c r="E707">
        <v>29.23</v>
      </c>
      <c r="F707">
        <v>14.59</v>
      </c>
      <c r="G707">
        <v>20</v>
      </c>
      <c r="H707">
        <v>34.590000000000003</v>
      </c>
      <c r="I707" t="s">
        <v>344</v>
      </c>
      <c r="J707">
        <v>-57.75</v>
      </c>
      <c r="K707">
        <v>-1.68</v>
      </c>
      <c r="L707" t="s">
        <v>346</v>
      </c>
      <c r="M707" s="1">
        <v>1.6799999999999999E-2</v>
      </c>
      <c r="N707" t="s">
        <v>349</v>
      </c>
      <c r="O707">
        <v>2</v>
      </c>
      <c r="P707" t="s">
        <v>344</v>
      </c>
      <c r="Q707">
        <v>0.43</v>
      </c>
      <c r="R707" t="s">
        <v>343</v>
      </c>
      <c r="S707">
        <v>1</v>
      </c>
    </row>
    <row r="708" spans="1:19" x14ac:dyDescent="0.25">
      <c r="A708" t="s">
        <v>28</v>
      </c>
      <c r="B708" t="s">
        <v>79</v>
      </c>
      <c r="C708">
        <v>460</v>
      </c>
      <c r="D708" t="s">
        <v>341</v>
      </c>
      <c r="E708">
        <v>29.23</v>
      </c>
      <c r="F708">
        <v>15.24</v>
      </c>
      <c r="G708">
        <v>17.88</v>
      </c>
      <c r="H708">
        <v>33.119999999999997</v>
      </c>
      <c r="I708" t="s">
        <v>344</v>
      </c>
      <c r="J708">
        <v>-57.91</v>
      </c>
      <c r="K708">
        <v>-0.78</v>
      </c>
      <c r="L708" t="s">
        <v>346</v>
      </c>
      <c r="M708" s="1">
        <v>7.8000000000000014E-3</v>
      </c>
      <c r="N708" t="s">
        <v>349</v>
      </c>
      <c r="O708">
        <v>1.82</v>
      </c>
      <c r="P708" t="s">
        <v>343</v>
      </c>
      <c r="Q708">
        <v>0.04</v>
      </c>
      <c r="R708" t="s">
        <v>343</v>
      </c>
      <c r="S708">
        <v>1</v>
      </c>
    </row>
    <row r="709" spans="1:19" x14ac:dyDescent="0.25">
      <c r="A709" t="s">
        <v>28</v>
      </c>
      <c r="B709" t="s">
        <v>80</v>
      </c>
      <c r="C709">
        <v>480</v>
      </c>
      <c r="D709" t="s">
        <v>341</v>
      </c>
      <c r="E709">
        <v>29.23</v>
      </c>
      <c r="F709">
        <v>15.36</v>
      </c>
      <c r="G709">
        <v>17.12</v>
      </c>
      <c r="H709">
        <v>32.479999999999997</v>
      </c>
      <c r="I709" t="s">
        <v>344</v>
      </c>
      <c r="J709">
        <v>-58.31</v>
      </c>
      <c r="K709">
        <v>-2</v>
      </c>
      <c r="L709" t="s">
        <v>346</v>
      </c>
      <c r="M709" s="1">
        <v>0.02</v>
      </c>
      <c r="N709" t="s">
        <v>349</v>
      </c>
      <c r="O709">
        <v>1.44</v>
      </c>
      <c r="P709" t="s">
        <v>343</v>
      </c>
      <c r="Q709">
        <v>-0.94</v>
      </c>
      <c r="R709" t="s">
        <v>343</v>
      </c>
      <c r="S709">
        <v>1</v>
      </c>
    </row>
    <row r="710" spans="1:19" x14ac:dyDescent="0.25">
      <c r="A710" t="s">
        <v>28</v>
      </c>
      <c r="B710" t="s">
        <v>81</v>
      </c>
      <c r="C710">
        <v>500</v>
      </c>
      <c r="D710" t="s">
        <v>341</v>
      </c>
      <c r="E710">
        <v>29.23</v>
      </c>
      <c r="F710">
        <v>15.77</v>
      </c>
      <c r="G710">
        <v>15.99</v>
      </c>
      <c r="H710">
        <v>31.76</v>
      </c>
      <c r="I710" t="s">
        <v>344</v>
      </c>
      <c r="J710">
        <v>-58.87</v>
      </c>
      <c r="K710">
        <v>-2.81</v>
      </c>
      <c r="L710" t="s">
        <v>346</v>
      </c>
      <c r="M710" s="1">
        <v>2.81E-2</v>
      </c>
      <c r="N710" t="s">
        <v>350</v>
      </c>
      <c r="O710">
        <v>2.15</v>
      </c>
      <c r="P710" t="s">
        <v>344</v>
      </c>
      <c r="Q710">
        <v>-1.61</v>
      </c>
      <c r="R710" t="s">
        <v>343</v>
      </c>
      <c r="S710">
        <v>1</v>
      </c>
    </row>
    <row r="711" spans="1:19" x14ac:dyDescent="0.25">
      <c r="A711" t="s">
        <v>28</v>
      </c>
      <c r="B711" t="s">
        <v>82</v>
      </c>
      <c r="C711">
        <v>520</v>
      </c>
      <c r="D711" t="s">
        <v>341</v>
      </c>
      <c r="E711">
        <v>29.23</v>
      </c>
      <c r="F711">
        <v>17.059999999999999</v>
      </c>
      <c r="G711">
        <v>14.97</v>
      </c>
      <c r="H711">
        <v>32.03</v>
      </c>
      <c r="I711" t="s">
        <v>344</v>
      </c>
      <c r="J711">
        <v>-59.43</v>
      </c>
      <c r="K711">
        <v>-2.81</v>
      </c>
      <c r="L711" t="s">
        <v>346</v>
      </c>
      <c r="M711" s="1">
        <v>2.81E-2</v>
      </c>
      <c r="N711" t="s">
        <v>350</v>
      </c>
      <c r="O711">
        <v>1.49</v>
      </c>
      <c r="P711" t="s">
        <v>343</v>
      </c>
      <c r="Q711">
        <v>-1.25</v>
      </c>
      <c r="R711" t="s">
        <v>343</v>
      </c>
      <c r="S711">
        <v>1</v>
      </c>
    </row>
    <row r="712" spans="1:19" x14ac:dyDescent="0.25">
      <c r="A712" t="s">
        <v>28</v>
      </c>
      <c r="B712" t="s">
        <v>83</v>
      </c>
      <c r="C712">
        <v>540</v>
      </c>
      <c r="D712" t="s">
        <v>341</v>
      </c>
      <c r="E712">
        <v>29.23</v>
      </c>
      <c r="F712">
        <v>17.82</v>
      </c>
      <c r="G712">
        <v>13.13</v>
      </c>
      <c r="H712">
        <v>30.95</v>
      </c>
      <c r="I712" t="s">
        <v>344</v>
      </c>
      <c r="J712">
        <v>-59.59</v>
      </c>
      <c r="K712">
        <v>-0.76</v>
      </c>
      <c r="L712" t="s">
        <v>346</v>
      </c>
      <c r="M712" s="1">
        <v>7.6E-3</v>
      </c>
      <c r="N712" t="s">
        <v>349</v>
      </c>
      <c r="O712">
        <v>1.73</v>
      </c>
      <c r="P712" t="s">
        <v>343</v>
      </c>
      <c r="Q712">
        <v>0.74</v>
      </c>
      <c r="R712" t="s">
        <v>343</v>
      </c>
      <c r="S712">
        <v>1</v>
      </c>
    </row>
    <row r="713" spans="1:19" x14ac:dyDescent="0.25">
      <c r="A713" t="s">
        <v>28</v>
      </c>
      <c r="B713" t="s">
        <v>84</v>
      </c>
      <c r="C713">
        <v>560</v>
      </c>
      <c r="D713" t="s">
        <v>341</v>
      </c>
      <c r="E713">
        <v>29.23</v>
      </c>
      <c r="F713">
        <v>17.059999999999999</v>
      </c>
      <c r="G713">
        <v>12</v>
      </c>
      <c r="H713">
        <v>29.06</v>
      </c>
      <c r="I713" t="s">
        <v>343</v>
      </c>
      <c r="J713">
        <v>-58.41</v>
      </c>
      <c r="K713">
        <v>5.89</v>
      </c>
      <c r="L713" t="s">
        <v>346</v>
      </c>
      <c r="M713" s="1">
        <v>5.8899999999999987E-2</v>
      </c>
      <c r="N713" t="s">
        <v>350</v>
      </c>
      <c r="O713">
        <v>1.18</v>
      </c>
      <c r="P713" t="s">
        <v>343</v>
      </c>
      <c r="Q713">
        <v>3.33</v>
      </c>
      <c r="R713" t="s">
        <v>344</v>
      </c>
      <c r="S713">
        <v>1</v>
      </c>
    </row>
    <row r="714" spans="1:19" x14ac:dyDescent="0.25">
      <c r="A714" t="s">
        <v>28</v>
      </c>
      <c r="B714" t="s">
        <v>228</v>
      </c>
      <c r="C714">
        <v>561.95299999999997</v>
      </c>
      <c r="D714" t="s">
        <v>341</v>
      </c>
      <c r="E714">
        <v>29.23</v>
      </c>
      <c r="F714">
        <v>17.82</v>
      </c>
      <c r="G714">
        <v>11.71</v>
      </c>
      <c r="H714">
        <v>29.53</v>
      </c>
      <c r="I714" t="s">
        <v>344</v>
      </c>
      <c r="J714">
        <v>-59.52</v>
      </c>
      <c r="K714">
        <v>-56.63</v>
      </c>
      <c r="L714" t="s">
        <v>348</v>
      </c>
      <c r="M714" s="1">
        <v>0.56630000000000003</v>
      </c>
      <c r="N714" t="s">
        <v>350</v>
      </c>
      <c r="O714">
        <v>1.04</v>
      </c>
      <c r="P714" t="s">
        <v>343</v>
      </c>
      <c r="Q714">
        <v>3.65</v>
      </c>
      <c r="R714" t="s">
        <v>344</v>
      </c>
      <c r="S714">
        <v>0</v>
      </c>
    </row>
    <row r="715" spans="1:19" x14ac:dyDescent="0.25">
      <c r="A715" t="s">
        <v>29</v>
      </c>
      <c r="B715" t="s">
        <v>56</v>
      </c>
      <c r="C715">
        <v>0</v>
      </c>
      <c r="D715" t="s">
        <v>341</v>
      </c>
      <c r="E715">
        <v>29.23</v>
      </c>
      <c r="F715">
        <v>16.559999999999999</v>
      </c>
      <c r="G715">
        <v>12.53</v>
      </c>
      <c r="H715">
        <v>29.1</v>
      </c>
      <c r="I715" t="s">
        <v>343</v>
      </c>
      <c r="J715">
        <v>-60.7</v>
      </c>
      <c r="L715" t="s">
        <v>345</v>
      </c>
      <c r="N715" t="s">
        <v>345</v>
      </c>
      <c r="O715">
        <v>-1.63</v>
      </c>
      <c r="P715" t="s">
        <v>343</v>
      </c>
      <c r="Q715">
        <v>2.72</v>
      </c>
      <c r="R715" t="s">
        <v>344</v>
      </c>
      <c r="S715">
        <v>1</v>
      </c>
    </row>
    <row r="716" spans="1:19" x14ac:dyDescent="0.25">
      <c r="A716" t="s">
        <v>29</v>
      </c>
      <c r="B716" t="s">
        <v>57</v>
      </c>
      <c r="C716">
        <v>20</v>
      </c>
      <c r="D716" t="s">
        <v>341</v>
      </c>
      <c r="E716">
        <v>29.23</v>
      </c>
      <c r="F716">
        <v>15.87</v>
      </c>
      <c r="G716">
        <v>13</v>
      </c>
      <c r="H716">
        <v>28.88</v>
      </c>
      <c r="I716" t="s">
        <v>343</v>
      </c>
      <c r="J716">
        <v>-61.22</v>
      </c>
      <c r="K716">
        <v>-2.6</v>
      </c>
      <c r="L716" t="s">
        <v>346</v>
      </c>
      <c r="M716" s="1">
        <v>2.5999999999999999E-2</v>
      </c>
      <c r="N716" t="s">
        <v>350</v>
      </c>
      <c r="O716">
        <v>0.66</v>
      </c>
      <c r="P716" t="s">
        <v>343</v>
      </c>
      <c r="Q716">
        <v>4.49</v>
      </c>
      <c r="R716" t="s">
        <v>343</v>
      </c>
      <c r="S716">
        <v>1</v>
      </c>
    </row>
    <row r="717" spans="1:19" x14ac:dyDescent="0.25">
      <c r="A717" t="s">
        <v>29</v>
      </c>
      <c r="B717" t="s">
        <v>58</v>
      </c>
      <c r="C717">
        <v>40</v>
      </c>
      <c r="D717" t="s">
        <v>341</v>
      </c>
      <c r="E717">
        <v>29.23</v>
      </c>
      <c r="F717">
        <v>13.59</v>
      </c>
      <c r="G717">
        <v>12.53</v>
      </c>
      <c r="H717">
        <v>26.12</v>
      </c>
      <c r="I717" t="s">
        <v>343</v>
      </c>
      <c r="J717">
        <v>-61.05</v>
      </c>
      <c r="K717">
        <v>0.84</v>
      </c>
      <c r="L717" t="s">
        <v>346</v>
      </c>
      <c r="M717" s="1">
        <v>8.3999999999999995E-3</v>
      </c>
      <c r="N717" t="s">
        <v>349</v>
      </c>
      <c r="O717">
        <v>3.96</v>
      </c>
      <c r="P717" t="s">
        <v>344</v>
      </c>
      <c r="Q717">
        <v>5.75</v>
      </c>
      <c r="R717" t="s">
        <v>343</v>
      </c>
      <c r="S717">
        <v>1</v>
      </c>
    </row>
    <row r="718" spans="1:19" x14ac:dyDescent="0.25">
      <c r="A718" t="s">
        <v>29</v>
      </c>
      <c r="B718" t="s">
        <v>59</v>
      </c>
      <c r="C718">
        <v>60</v>
      </c>
      <c r="D718" t="s">
        <v>341</v>
      </c>
      <c r="E718">
        <v>29.23</v>
      </c>
      <c r="F718">
        <v>13.03</v>
      </c>
      <c r="G718">
        <v>11.66</v>
      </c>
      <c r="H718">
        <v>24.7</v>
      </c>
      <c r="I718" t="s">
        <v>343</v>
      </c>
      <c r="J718">
        <v>-61.11</v>
      </c>
      <c r="K718">
        <v>-0.27</v>
      </c>
      <c r="L718" t="s">
        <v>346</v>
      </c>
      <c r="M718" s="1">
        <v>2.7000000000000001E-3</v>
      </c>
      <c r="N718" t="s">
        <v>349</v>
      </c>
      <c r="O718">
        <v>2.56</v>
      </c>
      <c r="P718" t="s">
        <v>344</v>
      </c>
      <c r="Q718">
        <v>4.95</v>
      </c>
      <c r="R718" t="s">
        <v>343</v>
      </c>
      <c r="S718">
        <v>1</v>
      </c>
    </row>
    <row r="719" spans="1:19" x14ac:dyDescent="0.25">
      <c r="A719" t="s">
        <v>29</v>
      </c>
      <c r="B719" t="s">
        <v>60</v>
      </c>
      <c r="C719">
        <v>80</v>
      </c>
      <c r="D719" t="s">
        <v>341</v>
      </c>
      <c r="E719">
        <v>29.23</v>
      </c>
      <c r="F719">
        <v>13.31</v>
      </c>
      <c r="G719">
        <v>11.67</v>
      </c>
      <c r="H719">
        <v>24.98</v>
      </c>
      <c r="I719" t="s">
        <v>343</v>
      </c>
      <c r="J719">
        <v>-61.32</v>
      </c>
      <c r="K719">
        <v>-1.07</v>
      </c>
      <c r="L719" t="s">
        <v>346</v>
      </c>
      <c r="M719" s="1">
        <v>1.0699999999999999E-2</v>
      </c>
      <c r="N719" t="s">
        <v>349</v>
      </c>
      <c r="O719">
        <v>1.26</v>
      </c>
      <c r="P719" t="s">
        <v>343</v>
      </c>
      <c r="Q719">
        <v>5.0999999999999996</v>
      </c>
      <c r="R719" t="s">
        <v>343</v>
      </c>
      <c r="S719">
        <v>1</v>
      </c>
    </row>
    <row r="720" spans="1:19" x14ac:dyDescent="0.25">
      <c r="A720" t="s">
        <v>29</v>
      </c>
      <c r="B720" t="s">
        <v>61</v>
      </c>
      <c r="C720">
        <v>100</v>
      </c>
      <c r="D720" t="s">
        <v>341</v>
      </c>
      <c r="E720">
        <v>29.23</v>
      </c>
      <c r="F720">
        <v>13.38</v>
      </c>
      <c r="G720">
        <v>12.54</v>
      </c>
      <c r="H720">
        <v>25.92</v>
      </c>
      <c r="I720" t="s">
        <v>343</v>
      </c>
      <c r="J720">
        <v>-61.52</v>
      </c>
      <c r="K720">
        <v>-1.02</v>
      </c>
      <c r="L720" t="s">
        <v>346</v>
      </c>
      <c r="M720" s="1">
        <v>1.0200000000000001E-2</v>
      </c>
      <c r="N720" t="s">
        <v>349</v>
      </c>
      <c r="O720">
        <v>0.38</v>
      </c>
      <c r="P720" t="s">
        <v>343</v>
      </c>
      <c r="Q720">
        <v>4.62</v>
      </c>
      <c r="R720" t="s">
        <v>343</v>
      </c>
      <c r="S720">
        <v>1</v>
      </c>
    </row>
    <row r="721" spans="1:19" x14ac:dyDescent="0.25">
      <c r="A721" t="s">
        <v>29</v>
      </c>
      <c r="B721" t="s">
        <v>62</v>
      </c>
      <c r="C721">
        <v>120</v>
      </c>
      <c r="D721" t="s">
        <v>341</v>
      </c>
      <c r="E721">
        <v>29.23</v>
      </c>
      <c r="F721">
        <v>14.21</v>
      </c>
      <c r="G721">
        <v>13.72</v>
      </c>
      <c r="H721">
        <v>27.93</v>
      </c>
      <c r="I721" t="s">
        <v>343</v>
      </c>
      <c r="J721">
        <v>-61.64</v>
      </c>
      <c r="K721">
        <v>-0.59</v>
      </c>
      <c r="L721" t="s">
        <v>346</v>
      </c>
      <c r="M721" s="1">
        <v>5.8999999999999999E-3</v>
      </c>
      <c r="N721" t="s">
        <v>349</v>
      </c>
      <c r="O721">
        <v>-1.71</v>
      </c>
      <c r="P721" t="s">
        <v>343</v>
      </c>
      <c r="Q721">
        <v>3.71</v>
      </c>
      <c r="R721" t="s">
        <v>344</v>
      </c>
      <c r="S721">
        <v>1</v>
      </c>
    </row>
    <row r="722" spans="1:19" x14ac:dyDescent="0.25">
      <c r="A722" t="s">
        <v>29</v>
      </c>
      <c r="B722" t="s">
        <v>63</v>
      </c>
      <c r="C722">
        <v>140</v>
      </c>
      <c r="D722" t="s">
        <v>341</v>
      </c>
      <c r="E722">
        <v>29.23</v>
      </c>
      <c r="F722">
        <v>13.38</v>
      </c>
      <c r="G722">
        <v>14.33</v>
      </c>
      <c r="H722">
        <v>27.7</v>
      </c>
      <c r="I722" t="s">
        <v>343</v>
      </c>
      <c r="J722">
        <v>-61.61</v>
      </c>
      <c r="K722">
        <v>0.14000000000000001</v>
      </c>
      <c r="L722" t="s">
        <v>346</v>
      </c>
      <c r="M722" s="1">
        <v>1.4E-3</v>
      </c>
      <c r="N722" t="s">
        <v>349</v>
      </c>
      <c r="O722">
        <v>7.0000000000000007E-2</v>
      </c>
      <c r="P722" t="s">
        <v>343</v>
      </c>
      <c r="Q722">
        <v>3.09</v>
      </c>
      <c r="R722" t="s">
        <v>344</v>
      </c>
      <c r="S722">
        <v>1</v>
      </c>
    </row>
    <row r="723" spans="1:19" x14ac:dyDescent="0.25">
      <c r="A723" t="s">
        <v>29</v>
      </c>
      <c r="B723" t="s">
        <v>64</v>
      </c>
      <c r="C723">
        <v>160</v>
      </c>
      <c r="D723" t="s">
        <v>341</v>
      </c>
      <c r="E723">
        <v>29.23</v>
      </c>
      <c r="F723">
        <v>13.03</v>
      </c>
      <c r="G723">
        <v>13.34</v>
      </c>
      <c r="H723">
        <v>26.38</v>
      </c>
      <c r="I723" t="s">
        <v>343</v>
      </c>
      <c r="J723">
        <v>-61.66</v>
      </c>
      <c r="K723">
        <v>-0.23</v>
      </c>
      <c r="L723" t="s">
        <v>346</v>
      </c>
      <c r="M723" s="1">
        <v>2.3E-3</v>
      </c>
      <c r="N723" t="s">
        <v>349</v>
      </c>
      <c r="O723">
        <v>0.23</v>
      </c>
      <c r="P723" t="s">
        <v>343</v>
      </c>
      <c r="Q723">
        <v>3.27</v>
      </c>
      <c r="R723" t="s">
        <v>344</v>
      </c>
      <c r="S723">
        <v>1</v>
      </c>
    </row>
    <row r="724" spans="1:19" x14ac:dyDescent="0.25">
      <c r="A724" t="s">
        <v>29</v>
      </c>
      <c r="B724" t="s">
        <v>65</v>
      </c>
      <c r="C724">
        <v>180</v>
      </c>
      <c r="D724" t="s">
        <v>341</v>
      </c>
      <c r="E724">
        <v>29.23</v>
      </c>
      <c r="F724">
        <v>12.71</v>
      </c>
      <c r="G724">
        <v>12.1</v>
      </c>
      <c r="H724">
        <v>24.81</v>
      </c>
      <c r="I724" t="s">
        <v>343</v>
      </c>
      <c r="J724">
        <v>-61.75</v>
      </c>
      <c r="K724">
        <v>-0.46</v>
      </c>
      <c r="L724" t="s">
        <v>346</v>
      </c>
      <c r="M724" s="1">
        <v>4.5999999999999999E-3</v>
      </c>
      <c r="N724" t="s">
        <v>349</v>
      </c>
      <c r="O724">
        <v>0.6</v>
      </c>
      <c r="P724" t="s">
        <v>343</v>
      </c>
      <c r="Q724">
        <v>1.5</v>
      </c>
      <c r="R724" t="s">
        <v>343</v>
      </c>
      <c r="S724">
        <v>1</v>
      </c>
    </row>
    <row r="725" spans="1:19" x14ac:dyDescent="0.25">
      <c r="A725" t="s">
        <v>29</v>
      </c>
      <c r="B725" t="s">
        <v>66</v>
      </c>
      <c r="C725">
        <v>200</v>
      </c>
      <c r="D725" t="s">
        <v>341</v>
      </c>
      <c r="E725">
        <v>29.23</v>
      </c>
      <c r="F725">
        <v>12.53</v>
      </c>
      <c r="G725">
        <v>12.79</v>
      </c>
      <c r="H725">
        <v>25.32</v>
      </c>
      <c r="I725" t="s">
        <v>343</v>
      </c>
      <c r="J725">
        <v>-61.71</v>
      </c>
      <c r="K725">
        <v>0.23</v>
      </c>
      <c r="L725" t="s">
        <v>346</v>
      </c>
      <c r="M725" s="1">
        <v>2.3E-3</v>
      </c>
      <c r="N725" t="s">
        <v>349</v>
      </c>
      <c r="O725">
        <v>0.19</v>
      </c>
      <c r="P725" t="s">
        <v>343</v>
      </c>
      <c r="Q725">
        <v>2.2000000000000002</v>
      </c>
      <c r="R725" t="s">
        <v>344</v>
      </c>
      <c r="S725">
        <v>1</v>
      </c>
    </row>
    <row r="726" spans="1:19" x14ac:dyDescent="0.25">
      <c r="A726" t="s">
        <v>29</v>
      </c>
      <c r="B726" t="s">
        <v>67</v>
      </c>
      <c r="C726">
        <v>220</v>
      </c>
      <c r="D726" t="s">
        <v>341</v>
      </c>
      <c r="E726">
        <v>29.23</v>
      </c>
      <c r="F726">
        <v>14.34</v>
      </c>
      <c r="G726">
        <v>14.53</v>
      </c>
      <c r="H726">
        <v>28.87</v>
      </c>
      <c r="I726" t="s">
        <v>343</v>
      </c>
      <c r="J726">
        <v>-61.53</v>
      </c>
      <c r="K726">
        <v>0.88</v>
      </c>
      <c r="L726" t="s">
        <v>346</v>
      </c>
      <c r="M726" s="1">
        <v>8.8000000000000005E-3</v>
      </c>
      <c r="N726" t="s">
        <v>349</v>
      </c>
      <c r="O726">
        <v>0.93</v>
      </c>
      <c r="P726" t="s">
        <v>343</v>
      </c>
      <c r="Q726">
        <v>2.48</v>
      </c>
      <c r="R726" t="s">
        <v>344</v>
      </c>
      <c r="S726">
        <v>1</v>
      </c>
    </row>
    <row r="727" spans="1:19" x14ac:dyDescent="0.25">
      <c r="A727" t="s">
        <v>29</v>
      </c>
      <c r="B727" t="s">
        <v>68</v>
      </c>
      <c r="C727">
        <v>240</v>
      </c>
      <c r="D727" t="s">
        <v>341</v>
      </c>
      <c r="E727">
        <v>29.23</v>
      </c>
      <c r="F727">
        <v>15.44</v>
      </c>
      <c r="G727">
        <v>15.85</v>
      </c>
      <c r="H727">
        <v>31.28</v>
      </c>
      <c r="I727" t="s">
        <v>344</v>
      </c>
      <c r="J727">
        <v>-61.59</v>
      </c>
      <c r="K727">
        <v>-0.32</v>
      </c>
      <c r="L727" t="s">
        <v>346</v>
      </c>
      <c r="M727" s="1">
        <v>3.2000000000000002E-3</v>
      </c>
      <c r="N727" t="s">
        <v>349</v>
      </c>
      <c r="O727">
        <v>0.37</v>
      </c>
      <c r="P727" t="s">
        <v>343</v>
      </c>
      <c r="Q727">
        <v>-1.05</v>
      </c>
      <c r="R727" t="s">
        <v>343</v>
      </c>
      <c r="S727">
        <v>1</v>
      </c>
    </row>
    <row r="728" spans="1:19" x14ac:dyDescent="0.25">
      <c r="A728" t="s">
        <v>29</v>
      </c>
      <c r="B728" t="s">
        <v>69</v>
      </c>
      <c r="C728">
        <v>260</v>
      </c>
      <c r="D728" t="s">
        <v>341</v>
      </c>
      <c r="E728">
        <v>29.23</v>
      </c>
      <c r="F728">
        <v>16.03</v>
      </c>
      <c r="G728">
        <v>14.99</v>
      </c>
      <c r="H728">
        <v>31.02</v>
      </c>
      <c r="I728" t="s">
        <v>344</v>
      </c>
      <c r="J728">
        <v>-61.31</v>
      </c>
      <c r="K728">
        <v>1.43</v>
      </c>
      <c r="L728" t="s">
        <v>346</v>
      </c>
      <c r="M728" s="1">
        <v>1.43E-2</v>
      </c>
      <c r="N728" t="s">
        <v>349</v>
      </c>
      <c r="O728">
        <v>2.58</v>
      </c>
      <c r="P728" t="s">
        <v>344</v>
      </c>
      <c r="Q728">
        <v>-0.52</v>
      </c>
      <c r="R728" t="s">
        <v>343</v>
      </c>
      <c r="S728">
        <v>1</v>
      </c>
    </row>
    <row r="729" spans="1:19" x14ac:dyDescent="0.25">
      <c r="A729" t="s">
        <v>29</v>
      </c>
      <c r="B729" t="s">
        <v>70</v>
      </c>
      <c r="C729">
        <v>280</v>
      </c>
      <c r="D729" t="s">
        <v>341</v>
      </c>
      <c r="E729">
        <v>29.23</v>
      </c>
      <c r="F729">
        <v>20</v>
      </c>
      <c r="G729">
        <v>14.65</v>
      </c>
      <c r="H729">
        <v>34.65</v>
      </c>
      <c r="I729" t="s">
        <v>344</v>
      </c>
      <c r="J729">
        <v>-60.3</v>
      </c>
      <c r="K729">
        <v>5.0199999999999996</v>
      </c>
      <c r="L729" t="s">
        <v>346</v>
      </c>
      <c r="M729" s="1">
        <v>5.0199999999999988E-2</v>
      </c>
      <c r="N729" t="s">
        <v>350</v>
      </c>
      <c r="O729">
        <v>0.55000000000000004</v>
      </c>
      <c r="P729" t="s">
        <v>343</v>
      </c>
      <c r="Q729">
        <v>1.02</v>
      </c>
      <c r="R729" t="s">
        <v>343</v>
      </c>
      <c r="S729">
        <v>1</v>
      </c>
    </row>
    <row r="730" spans="1:19" x14ac:dyDescent="0.25">
      <c r="A730" t="s">
        <v>29</v>
      </c>
      <c r="B730" t="s">
        <v>71</v>
      </c>
      <c r="C730">
        <v>300</v>
      </c>
      <c r="D730" t="s">
        <v>341</v>
      </c>
      <c r="E730">
        <v>29.23</v>
      </c>
      <c r="F730">
        <v>20</v>
      </c>
      <c r="G730">
        <v>15.98</v>
      </c>
      <c r="H730">
        <v>35.979999999999997</v>
      </c>
      <c r="I730" t="s">
        <v>344</v>
      </c>
      <c r="J730">
        <v>-59.79</v>
      </c>
      <c r="K730">
        <v>2.56</v>
      </c>
      <c r="L730" t="s">
        <v>346</v>
      </c>
      <c r="M730" s="1">
        <v>2.5600000000000001E-2</v>
      </c>
      <c r="N730" t="s">
        <v>350</v>
      </c>
      <c r="O730">
        <v>-0.03</v>
      </c>
      <c r="P730" t="s">
        <v>343</v>
      </c>
      <c r="Q730">
        <v>0.22</v>
      </c>
      <c r="R730" t="s">
        <v>343</v>
      </c>
      <c r="S730">
        <v>1</v>
      </c>
    </row>
    <row r="731" spans="1:19" x14ac:dyDescent="0.25">
      <c r="A731" t="s">
        <v>29</v>
      </c>
      <c r="B731" t="s">
        <v>72</v>
      </c>
      <c r="C731">
        <v>320</v>
      </c>
      <c r="D731" t="s">
        <v>341</v>
      </c>
      <c r="E731">
        <v>29.23</v>
      </c>
      <c r="F731">
        <v>20</v>
      </c>
      <c r="G731">
        <v>16.64</v>
      </c>
      <c r="H731">
        <v>36.64</v>
      </c>
      <c r="I731" t="s">
        <v>344</v>
      </c>
      <c r="J731">
        <v>-59.48</v>
      </c>
      <c r="K731">
        <v>1.56</v>
      </c>
      <c r="L731" t="s">
        <v>346</v>
      </c>
      <c r="M731" s="1">
        <v>1.5599999999999999E-2</v>
      </c>
      <c r="N731" t="s">
        <v>349</v>
      </c>
      <c r="O731">
        <v>0.83</v>
      </c>
      <c r="P731" t="s">
        <v>343</v>
      </c>
      <c r="Q731">
        <v>-0.1</v>
      </c>
      <c r="R731" t="s">
        <v>343</v>
      </c>
      <c r="S731">
        <v>1</v>
      </c>
    </row>
    <row r="732" spans="1:19" x14ac:dyDescent="0.25">
      <c r="A732" t="s">
        <v>29</v>
      </c>
      <c r="B732" t="s">
        <v>73</v>
      </c>
      <c r="C732">
        <v>340</v>
      </c>
      <c r="D732" t="s">
        <v>341</v>
      </c>
      <c r="E732">
        <v>29.23</v>
      </c>
      <c r="F732">
        <v>20</v>
      </c>
      <c r="G732">
        <v>16.64</v>
      </c>
      <c r="H732">
        <v>36.64</v>
      </c>
      <c r="I732" t="s">
        <v>344</v>
      </c>
      <c r="J732">
        <v>-59.11</v>
      </c>
      <c r="K732">
        <v>1.85</v>
      </c>
      <c r="L732" t="s">
        <v>346</v>
      </c>
      <c r="M732" s="1">
        <v>1.8499999999999999E-2</v>
      </c>
      <c r="N732" t="s">
        <v>349</v>
      </c>
      <c r="O732">
        <v>1.61</v>
      </c>
      <c r="P732" t="s">
        <v>343</v>
      </c>
      <c r="Q732">
        <v>-0.49</v>
      </c>
      <c r="R732" t="s">
        <v>343</v>
      </c>
      <c r="S732">
        <v>1</v>
      </c>
    </row>
    <row r="733" spans="1:19" x14ac:dyDescent="0.25">
      <c r="A733" t="s">
        <v>29</v>
      </c>
      <c r="B733" t="s">
        <v>74</v>
      </c>
      <c r="C733">
        <v>360</v>
      </c>
      <c r="D733" t="s">
        <v>341</v>
      </c>
      <c r="E733">
        <v>29.23</v>
      </c>
      <c r="F733">
        <v>20</v>
      </c>
      <c r="G733">
        <v>16.64</v>
      </c>
      <c r="H733">
        <v>36.64</v>
      </c>
      <c r="I733" t="s">
        <v>344</v>
      </c>
      <c r="J733">
        <v>-58.63</v>
      </c>
      <c r="K733">
        <v>2.39</v>
      </c>
      <c r="L733" t="s">
        <v>346</v>
      </c>
      <c r="M733" s="1">
        <v>2.3900000000000001E-2</v>
      </c>
      <c r="N733" t="s">
        <v>350</v>
      </c>
      <c r="O733">
        <v>1.65</v>
      </c>
      <c r="P733" t="s">
        <v>343</v>
      </c>
      <c r="Q733">
        <v>1.36</v>
      </c>
      <c r="R733" t="s">
        <v>343</v>
      </c>
      <c r="S733">
        <v>1</v>
      </c>
    </row>
    <row r="734" spans="1:19" x14ac:dyDescent="0.25">
      <c r="A734" t="s">
        <v>29</v>
      </c>
      <c r="B734" t="s">
        <v>75</v>
      </c>
      <c r="C734">
        <v>380</v>
      </c>
      <c r="D734" t="s">
        <v>341</v>
      </c>
      <c r="E734">
        <v>29.23</v>
      </c>
      <c r="F734">
        <v>20</v>
      </c>
      <c r="G734">
        <v>15.44</v>
      </c>
      <c r="H734">
        <v>35.44</v>
      </c>
      <c r="I734" t="s">
        <v>344</v>
      </c>
      <c r="J734">
        <v>-57.86</v>
      </c>
      <c r="K734">
        <v>3.87</v>
      </c>
      <c r="L734" t="s">
        <v>346</v>
      </c>
      <c r="M734" s="1">
        <v>3.8699999999999998E-2</v>
      </c>
      <c r="N734" t="s">
        <v>350</v>
      </c>
      <c r="O734">
        <v>1.66</v>
      </c>
      <c r="P734" t="s">
        <v>343</v>
      </c>
      <c r="Q734">
        <v>-5.93</v>
      </c>
      <c r="R734" t="s">
        <v>343</v>
      </c>
      <c r="S734">
        <v>1</v>
      </c>
    </row>
    <row r="735" spans="1:19" x14ac:dyDescent="0.25">
      <c r="A735" t="s">
        <v>29</v>
      </c>
      <c r="B735" t="s">
        <v>76</v>
      </c>
      <c r="C735">
        <v>400</v>
      </c>
      <c r="D735" t="s">
        <v>341</v>
      </c>
      <c r="E735">
        <v>29.23</v>
      </c>
      <c r="F735">
        <v>17.87</v>
      </c>
      <c r="G735">
        <v>14.67</v>
      </c>
      <c r="H735">
        <v>32.54</v>
      </c>
      <c r="I735" t="s">
        <v>344</v>
      </c>
      <c r="J735">
        <v>-57.37</v>
      </c>
      <c r="K735">
        <v>2.42</v>
      </c>
      <c r="L735" t="s">
        <v>346</v>
      </c>
      <c r="M735" s="1">
        <v>2.4199999999999999E-2</v>
      </c>
      <c r="N735" t="s">
        <v>350</v>
      </c>
      <c r="O735">
        <v>2.2799999999999998</v>
      </c>
      <c r="P735" t="s">
        <v>344</v>
      </c>
      <c r="Q735">
        <v>-0.98</v>
      </c>
      <c r="R735" t="s">
        <v>343</v>
      </c>
      <c r="S735">
        <v>1</v>
      </c>
    </row>
    <row r="736" spans="1:19" x14ac:dyDescent="0.25">
      <c r="A736" t="s">
        <v>29</v>
      </c>
      <c r="B736" t="s">
        <v>77</v>
      </c>
      <c r="C736">
        <v>420</v>
      </c>
      <c r="D736" t="s">
        <v>341</v>
      </c>
      <c r="E736">
        <v>29.23</v>
      </c>
      <c r="F736">
        <v>16.86</v>
      </c>
      <c r="G736">
        <v>15.44</v>
      </c>
      <c r="H736">
        <v>32.299999999999997</v>
      </c>
      <c r="I736" t="s">
        <v>344</v>
      </c>
      <c r="J736">
        <v>-56.48</v>
      </c>
      <c r="K736">
        <v>4.4400000000000004</v>
      </c>
      <c r="L736" t="s">
        <v>346</v>
      </c>
      <c r="M736" s="1">
        <v>4.4400000000000002E-2</v>
      </c>
      <c r="N736" t="s">
        <v>350</v>
      </c>
      <c r="O736">
        <v>2.86</v>
      </c>
      <c r="P736" t="s">
        <v>344</v>
      </c>
      <c r="Q736">
        <v>-0.65</v>
      </c>
      <c r="R736" t="s">
        <v>343</v>
      </c>
      <c r="S736">
        <v>1</v>
      </c>
    </row>
    <row r="737" spans="1:19" x14ac:dyDescent="0.25">
      <c r="A737" t="s">
        <v>29</v>
      </c>
      <c r="B737" t="s">
        <v>78</v>
      </c>
      <c r="C737">
        <v>440</v>
      </c>
      <c r="D737" t="s">
        <v>341</v>
      </c>
      <c r="E737">
        <v>29.23</v>
      </c>
      <c r="F737">
        <v>16.86</v>
      </c>
      <c r="G737">
        <v>15.36</v>
      </c>
      <c r="H737">
        <v>32.22</v>
      </c>
      <c r="I737" t="s">
        <v>344</v>
      </c>
      <c r="J737">
        <v>-54.94</v>
      </c>
      <c r="K737">
        <v>7.71</v>
      </c>
      <c r="L737" t="s">
        <v>346</v>
      </c>
      <c r="M737" s="1">
        <v>7.7100000000000002E-2</v>
      </c>
      <c r="N737" t="s">
        <v>350</v>
      </c>
      <c r="O737">
        <v>3.37</v>
      </c>
      <c r="P737" t="s">
        <v>344</v>
      </c>
      <c r="Q737">
        <v>-1.25</v>
      </c>
      <c r="R737" t="s">
        <v>343</v>
      </c>
      <c r="S737">
        <v>1</v>
      </c>
    </row>
    <row r="738" spans="1:19" x14ac:dyDescent="0.25">
      <c r="A738" t="s">
        <v>29</v>
      </c>
      <c r="B738" t="s">
        <v>79</v>
      </c>
      <c r="C738">
        <v>460</v>
      </c>
      <c r="D738" t="s">
        <v>341</v>
      </c>
      <c r="E738">
        <v>29.23</v>
      </c>
      <c r="F738">
        <v>15.69</v>
      </c>
      <c r="G738">
        <v>15.33</v>
      </c>
      <c r="H738">
        <v>31.02</v>
      </c>
      <c r="I738" t="s">
        <v>344</v>
      </c>
      <c r="J738">
        <v>-53.25</v>
      </c>
      <c r="K738">
        <v>8.44</v>
      </c>
      <c r="L738" t="s">
        <v>347</v>
      </c>
      <c r="M738" s="1">
        <v>8.4399999999999989E-2</v>
      </c>
      <c r="N738" t="s">
        <v>350</v>
      </c>
      <c r="O738">
        <v>3.22</v>
      </c>
      <c r="P738" t="s">
        <v>344</v>
      </c>
      <c r="Q738">
        <v>0.55000000000000004</v>
      </c>
      <c r="R738" t="s">
        <v>343</v>
      </c>
      <c r="S738">
        <v>1</v>
      </c>
    </row>
    <row r="739" spans="1:19" x14ac:dyDescent="0.25">
      <c r="A739" t="s">
        <v>29</v>
      </c>
      <c r="B739" t="s">
        <v>80</v>
      </c>
      <c r="C739">
        <v>480</v>
      </c>
      <c r="D739" t="s">
        <v>341</v>
      </c>
      <c r="E739">
        <v>29.23</v>
      </c>
      <c r="F739">
        <v>17.39</v>
      </c>
      <c r="G739">
        <v>14.02</v>
      </c>
      <c r="H739">
        <v>31.41</v>
      </c>
      <c r="I739" t="s">
        <v>344</v>
      </c>
      <c r="J739">
        <v>-51.58</v>
      </c>
      <c r="K739">
        <v>8.35</v>
      </c>
      <c r="L739" t="s">
        <v>347</v>
      </c>
      <c r="M739" s="1">
        <v>8.3499999999999991E-2</v>
      </c>
      <c r="N739" t="s">
        <v>350</v>
      </c>
      <c r="O739">
        <v>2.99</v>
      </c>
      <c r="P739" t="s">
        <v>344</v>
      </c>
      <c r="Q739">
        <v>2.0499999999999998</v>
      </c>
      <c r="R739" t="s">
        <v>344</v>
      </c>
      <c r="S739">
        <v>1</v>
      </c>
    </row>
    <row r="740" spans="1:19" x14ac:dyDescent="0.25">
      <c r="A740" t="s">
        <v>29</v>
      </c>
      <c r="B740" t="s">
        <v>81</v>
      </c>
      <c r="C740">
        <v>500</v>
      </c>
      <c r="D740" t="s">
        <v>341</v>
      </c>
      <c r="E740">
        <v>29.23</v>
      </c>
      <c r="F740">
        <v>17.41</v>
      </c>
      <c r="G740">
        <v>12.71</v>
      </c>
      <c r="H740">
        <v>30.12</v>
      </c>
      <c r="I740" t="s">
        <v>344</v>
      </c>
      <c r="J740">
        <v>-49.84</v>
      </c>
      <c r="K740">
        <v>8.75</v>
      </c>
      <c r="L740" t="s">
        <v>347</v>
      </c>
      <c r="M740" s="1">
        <v>8.7499999999999994E-2</v>
      </c>
      <c r="N740" t="s">
        <v>350</v>
      </c>
      <c r="O740">
        <v>2.85</v>
      </c>
      <c r="P740" t="s">
        <v>344</v>
      </c>
      <c r="Q740">
        <v>3.98</v>
      </c>
      <c r="R740" t="s">
        <v>344</v>
      </c>
      <c r="S740">
        <v>1</v>
      </c>
    </row>
    <row r="741" spans="1:19" x14ac:dyDescent="0.25">
      <c r="A741" t="s">
        <v>29</v>
      </c>
      <c r="B741" t="s">
        <v>82</v>
      </c>
      <c r="C741">
        <v>520</v>
      </c>
      <c r="D741" t="s">
        <v>341</v>
      </c>
      <c r="E741">
        <v>29.23</v>
      </c>
      <c r="F741">
        <v>16.82</v>
      </c>
      <c r="G741">
        <v>12.66</v>
      </c>
      <c r="H741">
        <v>29.48</v>
      </c>
      <c r="I741" t="s">
        <v>344</v>
      </c>
      <c r="J741">
        <v>-48.19</v>
      </c>
      <c r="K741">
        <v>8.23</v>
      </c>
      <c r="L741" t="s">
        <v>347</v>
      </c>
      <c r="M741" s="1">
        <v>8.2299999999999998E-2</v>
      </c>
      <c r="N741" t="s">
        <v>350</v>
      </c>
      <c r="O741">
        <v>2.29</v>
      </c>
      <c r="P741" t="s">
        <v>344</v>
      </c>
      <c r="Q741">
        <v>2.38</v>
      </c>
      <c r="R741" t="s">
        <v>344</v>
      </c>
      <c r="S741">
        <v>1</v>
      </c>
    </row>
    <row r="742" spans="1:19" x14ac:dyDescent="0.25">
      <c r="A742" t="s">
        <v>29</v>
      </c>
      <c r="B742" t="s">
        <v>83</v>
      </c>
      <c r="C742">
        <v>540</v>
      </c>
      <c r="D742" t="s">
        <v>341</v>
      </c>
      <c r="E742">
        <v>29.23</v>
      </c>
      <c r="F742">
        <v>17.09</v>
      </c>
      <c r="G742">
        <v>14.9</v>
      </c>
      <c r="H742">
        <v>31.98</v>
      </c>
      <c r="I742" t="s">
        <v>344</v>
      </c>
      <c r="J742">
        <v>-46.62</v>
      </c>
      <c r="K742">
        <v>7.87</v>
      </c>
      <c r="L742" t="s">
        <v>346</v>
      </c>
      <c r="M742" s="1">
        <v>7.8700000000000006E-2</v>
      </c>
      <c r="N742" t="s">
        <v>350</v>
      </c>
      <c r="O742">
        <v>2.31</v>
      </c>
      <c r="P742" t="s">
        <v>344</v>
      </c>
      <c r="Q742">
        <v>2.4700000000000002</v>
      </c>
      <c r="R742" t="s">
        <v>344</v>
      </c>
      <c r="S742">
        <v>1</v>
      </c>
    </row>
    <row r="743" spans="1:19" x14ac:dyDescent="0.25">
      <c r="A743" t="s">
        <v>29</v>
      </c>
      <c r="B743" t="s">
        <v>84</v>
      </c>
      <c r="C743">
        <v>560</v>
      </c>
      <c r="D743" t="s">
        <v>341</v>
      </c>
      <c r="E743">
        <v>29.23</v>
      </c>
      <c r="F743">
        <v>16.22</v>
      </c>
      <c r="G743">
        <v>17.920000000000002</v>
      </c>
      <c r="H743">
        <v>34.14</v>
      </c>
      <c r="I743" t="s">
        <v>344</v>
      </c>
      <c r="J743">
        <v>-45.11</v>
      </c>
      <c r="K743">
        <v>7.55</v>
      </c>
      <c r="L743" t="s">
        <v>346</v>
      </c>
      <c r="M743" s="1">
        <v>7.5499999999999998E-2</v>
      </c>
      <c r="N743" t="s">
        <v>350</v>
      </c>
      <c r="O743">
        <v>1.89</v>
      </c>
      <c r="P743" t="s">
        <v>343</v>
      </c>
      <c r="Q743">
        <v>3.82</v>
      </c>
      <c r="R743" t="s">
        <v>344</v>
      </c>
      <c r="S743">
        <v>1</v>
      </c>
    </row>
    <row r="744" spans="1:19" x14ac:dyDescent="0.25">
      <c r="A744" t="s">
        <v>29</v>
      </c>
      <c r="B744" t="s">
        <v>85</v>
      </c>
      <c r="C744">
        <v>580</v>
      </c>
      <c r="D744" t="s">
        <v>341</v>
      </c>
      <c r="E744">
        <v>29.23</v>
      </c>
      <c r="F744">
        <v>15.68</v>
      </c>
      <c r="G744">
        <v>18.21</v>
      </c>
      <c r="H744">
        <v>33.89</v>
      </c>
      <c r="I744" t="s">
        <v>344</v>
      </c>
      <c r="J744">
        <v>-43.69</v>
      </c>
      <c r="K744">
        <v>7.09</v>
      </c>
      <c r="L744" t="s">
        <v>346</v>
      </c>
      <c r="M744" s="1">
        <v>7.0900000000000005E-2</v>
      </c>
      <c r="N744" t="s">
        <v>350</v>
      </c>
      <c r="O744">
        <v>0.23</v>
      </c>
      <c r="P744" t="s">
        <v>343</v>
      </c>
      <c r="Q744">
        <v>2.82</v>
      </c>
      <c r="R744" t="s">
        <v>344</v>
      </c>
      <c r="S744">
        <v>1</v>
      </c>
    </row>
    <row r="745" spans="1:19" x14ac:dyDescent="0.25">
      <c r="A745" t="s">
        <v>29</v>
      </c>
      <c r="B745" t="s">
        <v>86</v>
      </c>
      <c r="C745">
        <v>600</v>
      </c>
      <c r="D745" t="s">
        <v>341</v>
      </c>
      <c r="E745">
        <v>29.23</v>
      </c>
      <c r="F745">
        <v>14.92</v>
      </c>
      <c r="G745">
        <v>17.7</v>
      </c>
      <c r="H745">
        <v>32.630000000000003</v>
      </c>
      <c r="I745" t="s">
        <v>344</v>
      </c>
      <c r="J745">
        <v>-42.48</v>
      </c>
      <c r="K745">
        <v>6.03</v>
      </c>
      <c r="L745" t="s">
        <v>346</v>
      </c>
      <c r="M745" s="1">
        <v>6.0299999999999999E-2</v>
      </c>
      <c r="N745" t="s">
        <v>350</v>
      </c>
      <c r="O745">
        <v>0.06</v>
      </c>
      <c r="P745" t="s">
        <v>343</v>
      </c>
      <c r="Q745">
        <v>2.2000000000000002</v>
      </c>
      <c r="R745" t="s">
        <v>344</v>
      </c>
      <c r="S745">
        <v>1</v>
      </c>
    </row>
    <row r="746" spans="1:19" x14ac:dyDescent="0.25">
      <c r="A746" t="s">
        <v>29</v>
      </c>
      <c r="B746" t="s">
        <v>87</v>
      </c>
      <c r="C746">
        <v>620</v>
      </c>
      <c r="D746" t="s">
        <v>341</v>
      </c>
      <c r="E746">
        <v>29.23</v>
      </c>
      <c r="F746">
        <v>14.81</v>
      </c>
      <c r="G746">
        <v>17.16</v>
      </c>
      <c r="H746">
        <v>31.97</v>
      </c>
      <c r="I746" t="s">
        <v>344</v>
      </c>
      <c r="J746">
        <v>-41.15</v>
      </c>
      <c r="K746">
        <v>6.66</v>
      </c>
      <c r="L746" t="s">
        <v>346</v>
      </c>
      <c r="M746" s="1">
        <v>6.6600000000000006E-2</v>
      </c>
      <c r="N746" t="s">
        <v>350</v>
      </c>
      <c r="O746">
        <v>1.41</v>
      </c>
      <c r="P746" t="s">
        <v>343</v>
      </c>
      <c r="Q746">
        <v>2.84</v>
      </c>
      <c r="R746" t="s">
        <v>344</v>
      </c>
      <c r="S746">
        <v>1</v>
      </c>
    </row>
    <row r="747" spans="1:19" x14ac:dyDescent="0.25">
      <c r="A747" t="s">
        <v>29</v>
      </c>
      <c r="B747" t="s">
        <v>88</v>
      </c>
      <c r="C747">
        <v>640</v>
      </c>
      <c r="D747" t="s">
        <v>341</v>
      </c>
      <c r="E747">
        <v>29.23</v>
      </c>
      <c r="F747">
        <v>13.94</v>
      </c>
      <c r="G747">
        <v>16.170000000000002</v>
      </c>
      <c r="H747">
        <v>30.11</v>
      </c>
      <c r="I747" t="s">
        <v>344</v>
      </c>
      <c r="J747">
        <v>-39.9</v>
      </c>
      <c r="K747">
        <v>6.26</v>
      </c>
      <c r="L747" t="s">
        <v>346</v>
      </c>
      <c r="M747" s="1">
        <v>6.2600000000000003E-2</v>
      </c>
      <c r="N747" t="s">
        <v>350</v>
      </c>
      <c r="O747">
        <v>3.88</v>
      </c>
      <c r="P747" t="s">
        <v>344</v>
      </c>
      <c r="Q747">
        <v>1.93</v>
      </c>
      <c r="R747" t="s">
        <v>343</v>
      </c>
      <c r="S747">
        <v>1</v>
      </c>
    </row>
    <row r="748" spans="1:19" x14ac:dyDescent="0.25">
      <c r="A748" t="s">
        <v>29</v>
      </c>
      <c r="B748" t="s">
        <v>89</v>
      </c>
      <c r="C748">
        <v>660</v>
      </c>
      <c r="D748" t="s">
        <v>341</v>
      </c>
      <c r="E748">
        <v>29.23</v>
      </c>
      <c r="F748">
        <v>13.62</v>
      </c>
      <c r="G748">
        <v>14.91</v>
      </c>
      <c r="H748">
        <v>28.53</v>
      </c>
      <c r="I748" t="s">
        <v>343</v>
      </c>
      <c r="J748">
        <v>-38.67</v>
      </c>
      <c r="K748">
        <v>6.16</v>
      </c>
      <c r="L748" t="s">
        <v>346</v>
      </c>
      <c r="M748" s="1">
        <v>6.1600000000000002E-2</v>
      </c>
      <c r="N748" t="s">
        <v>350</v>
      </c>
      <c r="O748">
        <v>4.5199999999999996</v>
      </c>
      <c r="P748" t="s">
        <v>343</v>
      </c>
      <c r="Q748">
        <v>2.31</v>
      </c>
      <c r="R748" t="s">
        <v>344</v>
      </c>
      <c r="S748">
        <v>1</v>
      </c>
    </row>
    <row r="749" spans="1:19" x14ac:dyDescent="0.25">
      <c r="A749" t="s">
        <v>29</v>
      </c>
      <c r="B749" t="s">
        <v>90</v>
      </c>
      <c r="C749">
        <v>680</v>
      </c>
      <c r="D749" t="s">
        <v>341</v>
      </c>
      <c r="E749">
        <v>29.23</v>
      </c>
      <c r="F749">
        <v>12.95</v>
      </c>
      <c r="G749">
        <v>14.71</v>
      </c>
      <c r="H749">
        <v>27.65</v>
      </c>
      <c r="I749" t="s">
        <v>343</v>
      </c>
      <c r="J749">
        <v>-37.51</v>
      </c>
      <c r="K749">
        <v>5.77</v>
      </c>
      <c r="L749" t="s">
        <v>346</v>
      </c>
      <c r="M749" s="1">
        <v>5.7699999999999987E-2</v>
      </c>
      <c r="N749" t="s">
        <v>350</v>
      </c>
      <c r="O749">
        <v>3.77</v>
      </c>
      <c r="P749" t="s">
        <v>344</v>
      </c>
      <c r="Q749">
        <v>2.39</v>
      </c>
      <c r="R749" t="s">
        <v>344</v>
      </c>
      <c r="S749">
        <v>1</v>
      </c>
    </row>
    <row r="750" spans="1:19" x14ac:dyDescent="0.25">
      <c r="A750" t="s">
        <v>29</v>
      </c>
      <c r="B750" t="s">
        <v>91</v>
      </c>
      <c r="C750">
        <v>700</v>
      </c>
      <c r="D750" t="s">
        <v>341</v>
      </c>
      <c r="E750">
        <v>29.23</v>
      </c>
      <c r="F750">
        <v>12.79</v>
      </c>
      <c r="G750">
        <v>14.65</v>
      </c>
      <c r="H750">
        <v>27.45</v>
      </c>
      <c r="I750" t="s">
        <v>343</v>
      </c>
      <c r="J750">
        <v>-36.33</v>
      </c>
      <c r="K750">
        <v>5.92</v>
      </c>
      <c r="L750" t="s">
        <v>346</v>
      </c>
      <c r="M750" s="1">
        <v>5.9200000000000003E-2</v>
      </c>
      <c r="N750" t="s">
        <v>350</v>
      </c>
      <c r="O750">
        <v>4.91</v>
      </c>
      <c r="P750" t="s">
        <v>343</v>
      </c>
      <c r="Q750">
        <v>2.4700000000000002</v>
      </c>
      <c r="R750" t="s">
        <v>344</v>
      </c>
      <c r="S750">
        <v>1</v>
      </c>
    </row>
    <row r="751" spans="1:19" x14ac:dyDescent="0.25">
      <c r="A751" t="s">
        <v>29</v>
      </c>
      <c r="B751" t="s">
        <v>92</v>
      </c>
      <c r="C751">
        <v>720</v>
      </c>
      <c r="D751" t="s">
        <v>341</v>
      </c>
      <c r="E751">
        <v>29.23</v>
      </c>
      <c r="F751">
        <v>13.29</v>
      </c>
      <c r="G751">
        <v>14.27</v>
      </c>
      <c r="H751">
        <v>27.56</v>
      </c>
      <c r="I751" t="s">
        <v>343</v>
      </c>
      <c r="J751">
        <v>-35.19</v>
      </c>
      <c r="K751">
        <v>5.68</v>
      </c>
      <c r="L751" t="s">
        <v>346</v>
      </c>
      <c r="M751" s="1">
        <v>5.6800000000000003E-2</v>
      </c>
      <c r="N751" t="s">
        <v>350</v>
      </c>
      <c r="O751">
        <v>4.24</v>
      </c>
      <c r="P751" t="s">
        <v>343</v>
      </c>
      <c r="Q751">
        <v>2.27</v>
      </c>
      <c r="R751" t="s">
        <v>344</v>
      </c>
      <c r="S751">
        <v>1</v>
      </c>
    </row>
    <row r="752" spans="1:19" x14ac:dyDescent="0.25">
      <c r="A752" t="s">
        <v>29</v>
      </c>
      <c r="B752" t="s">
        <v>93</v>
      </c>
      <c r="C752">
        <v>740</v>
      </c>
      <c r="D752" t="s">
        <v>341</v>
      </c>
      <c r="E752">
        <v>29.23</v>
      </c>
      <c r="F752">
        <v>13.59</v>
      </c>
      <c r="G752">
        <v>13.24</v>
      </c>
      <c r="H752">
        <v>26.84</v>
      </c>
      <c r="I752" t="s">
        <v>343</v>
      </c>
      <c r="J752">
        <v>-33.97</v>
      </c>
      <c r="K752">
        <v>6.12</v>
      </c>
      <c r="L752" t="s">
        <v>346</v>
      </c>
      <c r="M752" s="1">
        <v>6.1199999999999997E-2</v>
      </c>
      <c r="N752" t="s">
        <v>350</v>
      </c>
      <c r="O752">
        <v>5.2</v>
      </c>
      <c r="P752" t="s">
        <v>343</v>
      </c>
      <c r="Q752">
        <v>2.1800000000000002</v>
      </c>
      <c r="R752" t="s">
        <v>344</v>
      </c>
      <c r="S752">
        <v>1</v>
      </c>
    </row>
    <row r="753" spans="1:19" x14ac:dyDescent="0.25">
      <c r="A753" t="s">
        <v>29</v>
      </c>
      <c r="B753" t="s">
        <v>94</v>
      </c>
      <c r="C753">
        <v>760</v>
      </c>
      <c r="D753" t="s">
        <v>341</v>
      </c>
      <c r="E753">
        <v>29.23</v>
      </c>
      <c r="F753">
        <v>14.04</v>
      </c>
      <c r="G753">
        <v>13.06</v>
      </c>
      <c r="H753">
        <v>27.1</v>
      </c>
      <c r="I753" t="s">
        <v>343</v>
      </c>
      <c r="J753">
        <v>-32.64</v>
      </c>
      <c r="K753">
        <v>6.63</v>
      </c>
      <c r="L753" t="s">
        <v>346</v>
      </c>
      <c r="M753" s="1">
        <v>6.6299999999999998E-2</v>
      </c>
      <c r="N753" t="s">
        <v>350</v>
      </c>
      <c r="O753">
        <v>4.17</v>
      </c>
      <c r="P753" t="s">
        <v>343</v>
      </c>
      <c r="Q753">
        <v>2.3199999999999998</v>
      </c>
      <c r="R753" t="s">
        <v>344</v>
      </c>
      <c r="S753">
        <v>1</v>
      </c>
    </row>
    <row r="754" spans="1:19" x14ac:dyDescent="0.25">
      <c r="A754" t="s">
        <v>29</v>
      </c>
      <c r="B754" t="s">
        <v>95</v>
      </c>
      <c r="C754">
        <v>780</v>
      </c>
      <c r="D754" t="s">
        <v>341</v>
      </c>
      <c r="E754">
        <v>29.23</v>
      </c>
      <c r="F754">
        <v>15.6</v>
      </c>
      <c r="G754">
        <v>12.73</v>
      </c>
      <c r="H754">
        <v>28.33</v>
      </c>
      <c r="I754" t="s">
        <v>343</v>
      </c>
      <c r="J754">
        <v>-31.24</v>
      </c>
      <c r="K754">
        <v>7.05</v>
      </c>
      <c r="L754" t="s">
        <v>346</v>
      </c>
      <c r="M754" s="1">
        <v>7.0499999999999993E-2</v>
      </c>
      <c r="N754" t="s">
        <v>350</v>
      </c>
      <c r="O754">
        <v>3.64</v>
      </c>
      <c r="P754" t="s">
        <v>344</v>
      </c>
      <c r="Q754">
        <v>1.61</v>
      </c>
      <c r="R754" t="s">
        <v>343</v>
      </c>
      <c r="S754">
        <v>1</v>
      </c>
    </row>
    <row r="755" spans="1:19" x14ac:dyDescent="0.25">
      <c r="A755" t="s">
        <v>29</v>
      </c>
      <c r="B755" t="s">
        <v>96</v>
      </c>
      <c r="C755">
        <v>800</v>
      </c>
      <c r="D755" t="s">
        <v>341</v>
      </c>
      <c r="E755">
        <v>29.23</v>
      </c>
      <c r="F755">
        <v>16.89</v>
      </c>
      <c r="G755">
        <v>12.46</v>
      </c>
      <c r="H755">
        <v>29.35</v>
      </c>
      <c r="I755" t="s">
        <v>344</v>
      </c>
      <c r="J755">
        <v>-29.81</v>
      </c>
      <c r="K755">
        <v>7.11</v>
      </c>
      <c r="L755" t="s">
        <v>346</v>
      </c>
      <c r="M755" s="1">
        <v>7.1099999999999997E-2</v>
      </c>
      <c r="N755" t="s">
        <v>350</v>
      </c>
      <c r="O755">
        <v>4.55</v>
      </c>
      <c r="P755" t="s">
        <v>343</v>
      </c>
      <c r="Q755">
        <v>1.06</v>
      </c>
      <c r="R755" t="s">
        <v>343</v>
      </c>
      <c r="S755">
        <v>1</v>
      </c>
    </row>
    <row r="756" spans="1:19" x14ac:dyDescent="0.25">
      <c r="A756" t="s">
        <v>29</v>
      </c>
      <c r="B756" t="s">
        <v>97</v>
      </c>
      <c r="C756">
        <v>820</v>
      </c>
      <c r="D756" t="s">
        <v>341</v>
      </c>
      <c r="E756">
        <v>29.23</v>
      </c>
      <c r="F756">
        <v>16.04</v>
      </c>
      <c r="G756">
        <v>12.02</v>
      </c>
      <c r="H756">
        <v>28.07</v>
      </c>
      <c r="I756" t="s">
        <v>343</v>
      </c>
      <c r="J756">
        <v>-28.56</v>
      </c>
      <c r="K756">
        <v>6.29</v>
      </c>
      <c r="L756" t="s">
        <v>346</v>
      </c>
      <c r="M756" s="1">
        <v>6.2899999999999998E-2</v>
      </c>
      <c r="N756" t="s">
        <v>350</v>
      </c>
      <c r="O756">
        <v>3.98</v>
      </c>
      <c r="P756" t="s">
        <v>344</v>
      </c>
      <c r="Q756">
        <v>0.51</v>
      </c>
      <c r="R756" t="s">
        <v>343</v>
      </c>
      <c r="S756">
        <v>1</v>
      </c>
    </row>
    <row r="757" spans="1:19" x14ac:dyDescent="0.25">
      <c r="A757" t="s">
        <v>29</v>
      </c>
      <c r="B757" t="s">
        <v>98</v>
      </c>
      <c r="C757">
        <v>840</v>
      </c>
      <c r="D757" t="s">
        <v>341</v>
      </c>
      <c r="E757">
        <v>29.23</v>
      </c>
      <c r="F757">
        <v>14.85</v>
      </c>
      <c r="G757">
        <v>12.28</v>
      </c>
      <c r="H757">
        <v>27.13</v>
      </c>
      <c r="I757" t="s">
        <v>343</v>
      </c>
      <c r="J757">
        <v>-27.23</v>
      </c>
      <c r="K757">
        <v>6.63</v>
      </c>
      <c r="L757" t="s">
        <v>346</v>
      </c>
      <c r="M757" s="1">
        <v>6.6299999999999998E-2</v>
      </c>
      <c r="N757" t="s">
        <v>350</v>
      </c>
      <c r="O757">
        <v>3.6</v>
      </c>
      <c r="P757" t="s">
        <v>344</v>
      </c>
      <c r="Q757">
        <v>0.69</v>
      </c>
      <c r="R757" t="s">
        <v>343</v>
      </c>
      <c r="S757">
        <v>1</v>
      </c>
    </row>
    <row r="758" spans="1:19" x14ac:dyDescent="0.25">
      <c r="A758" t="s">
        <v>29</v>
      </c>
      <c r="B758" t="s">
        <v>99</v>
      </c>
      <c r="C758">
        <v>860</v>
      </c>
      <c r="D758" t="s">
        <v>341</v>
      </c>
      <c r="E758">
        <v>29.23</v>
      </c>
      <c r="F758">
        <v>14.78</v>
      </c>
      <c r="G758">
        <v>13.44</v>
      </c>
      <c r="H758">
        <v>28.22</v>
      </c>
      <c r="I758" t="s">
        <v>343</v>
      </c>
      <c r="J758">
        <v>-25.64</v>
      </c>
      <c r="K758">
        <v>7.93</v>
      </c>
      <c r="L758" t="s">
        <v>346</v>
      </c>
      <c r="M758" s="1">
        <v>7.9299999999999995E-2</v>
      </c>
      <c r="N758" t="s">
        <v>350</v>
      </c>
      <c r="O758">
        <v>4.58</v>
      </c>
      <c r="P758" t="s">
        <v>343</v>
      </c>
      <c r="Q758">
        <v>1.67</v>
      </c>
      <c r="R758" t="s">
        <v>343</v>
      </c>
      <c r="S758">
        <v>1</v>
      </c>
    </row>
    <row r="759" spans="1:19" x14ac:dyDescent="0.25">
      <c r="A759" t="s">
        <v>29</v>
      </c>
      <c r="B759" t="s">
        <v>100</v>
      </c>
      <c r="C759">
        <v>880</v>
      </c>
      <c r="D759" t="s">
        <v>341</v>
      </c>
      <c r="E759">
        <v>29.23</v>
      </c>
      <c r="F759">
        <v>13.76</v>
      </c>
      <c r="G759">
        <v>14.24</v>
      </c>
      <c r="H759">
        <v>28</v>
      </c>
      <c r="I759" t="s">
        <v>343</v>
      </c>
      <c r="J759">
        <v>-24.26</v>
      </c>
      <c r="K759">
        <v>6.94</v>
      </c>
      <c r="L759" t="s">
        <v>346</v>
      </c>
      <c r="M759" s="1">
        <v>6.9400000000000003E-2</v>
      </c>
      <c r="N759" t="s">
        <v>350</v>
      </c>
      <c r="O759">
        <v>4.96</v>
      </c>
      <c r="P759" t="s">
        <v>343</v>
      </c>
      <c r="Q759">
        <v>1.47</v>
      </c>
      <c r="R759" t="s">
        <v>343</v>
      </c>
      <c r="S759">
        <v>1</v>
      </c>
    </row>
    <row r="760" spans="1:19" x14ac:dyDescent="0.25">
      <c r="A760" t="s">
        <v>29</v>
      </c>
      <c r="B760" t="s">
        <v>101</v>
      </c>
      <c r="C760">
        <v>900</v>
      </c>
      <c r="D760" t="s">
        <v>341</v>
      </c>
      <c r="E760">
        <v>29.23</v>
      </c>
      <c r="F760">
        <v>12.29</v>
      </c>
      <c r="G760">
        <v>14.94</v>
      </c>
      <c r="H760">
        <v>27.23</v>
      </c>
      <c r="I760" t="s">
        <v>343</v>
      </c>
      <c r="J760">
        <v>-22.94</v>
      </c>
      <c r="K760">
        <v>6.61</v>
      </c>
      <c r="L760" t="s">
        <v>346</v>
      </c>
      <c r="M760" s="1">
        <v>6.6100000000000006E-2</v>
      </c>
      <c r="N760" t="s">
        <v>350</v>
      </c>
      <c r="O760">
        <v>3.43</v>
      </c>
      <c r="P760" t="s">
        <v>344</v>
      </c>
      <c r="Q760">
        <v>1.92</v>
      </c>
      <c r="R760" t="s">
        <v>343</v>
      </c>
      <c r="S760">
        <v>1</v>
      </c>
    </row>
    <row r="761" spans="1:19" x14ac:dyDescent="0.25">
      <c r="A761" t="s">
        <v>29</v>
      </c>
      <c r="B761" t="s">
        <v>102</v>
      </c>
      <c r="C761">
        <v>920</v>
      </c>
      <c r="D761" t="s">
        <v>341</v>
      </c>
      <c r="E761">
        <v>29.23</v>
      </c>
      <c r="F761">
        <v>10.54</v>
      </c>
      <c r="G761">
        <v>15.93</v>
      </c>
      <c r="H761">
        <v>26.48</v>
      </c>
      <c r="I761" t="s">
        <v>343</v>
      </c>
      <c r="J761">
        <v>-21.5</v>
      </c>
      <c r="K761">
        <v>7.17</v>
      </c>
      <c r="L761" t="s">
        <v>346</v>
      </c>
      <c r="M761" s="1">
        <v>7.17E-2</v>
      </c>
      <c r="N761" t="s">
        <v>350</v>
      </c>
      <c r="O761">
        <v>3.13</v>
      </c>
      <c r="P761" t="s">
        <v>344</v>
      </c>
      <c r="Q761">
        <v>1.72</v>
      </c>
      <c r="R761" t="s">
        <v>343</v>
      </c>
      <c r="S761">
        <v>1</v>
      </c>
    </row>
    <row r="762" spans="1:19" x14ac:dyDescent="0.25">
      <c r="A762" t="s">
        <v>29</v>
      </c>
      <c r="B762" t="s">
        <v>103</v>
      </c>
      <c r="C762">
        <v>940</v>
      </c>
      <c r="D762" t="s">
        <v>341</v>
      </c>
      <c r="E762">
        <v>29.23</v>
      </c>
      <c r="F762">
        <v>11.16</v>
      </c>
      <c r="G762">
        <v>16.96</v>
      </c>
      <c r="H762">
        <v>28.12</v>
      </c>
      <c r="I762" t="s">
        <v>343</v>
      </c>
      <c r="J762">
        <v>-20.13</v>
      </c>
      <c r="K762">
        <v>6.87</v>
      </c>
      <c r="L762" t="s">
        <v>346</v>
      </c>
      <c r="M762" s="1">
        <v>6.8699999999999997E-2</v>
      </c>
      <c r="N762" t="s">
        <v>350</v>
      </c>
      <c r="O762">
        <v>2.58</v>
      </c>
      <c r="P762" t="s">
        <v>344</v>
      </c>
      <c r="Q762">
        <v>1.79</v>
      </c>
      <c r="R762" t="s">
        <v>343</v>
      </c>
      <c r="S762">
        <v>1</v>
      </c>
    </row>
    <row r="763" spans="1:19" x14ac:dyDescent="0.25">
      <c r="A763" t="s">
        <v>29</v>
      </c>
      <c r="B763" t="s">
        <v>104</v>
      </c>
      <c r="C763">
        <v>960</v>
      </c>
      <c r="D763" t="s">
        <v>341</v>
      </c>
      <c r="E763">
        <v>29.23</v>
      </c>
      <c r="F763">
        <v>11.66</v>
      </c>
      <c r="G763">
        <v>15.88</v>
      </c>
      <c r="H763">
        <v>27.55</v>
      </c>
      <c r="I763" t="s">
        <v>343</v>
      </c>
      <c r="J763">
        <v>-18.739999999999998</v>
      </c>
      <c r="K763">
        <v>6.94</v>
      </c>
      <c r="L763" t="s">
        <v>346</v>
      </c>
      <c r="M763" s="1">
        <v>6.9400000000000003E-2</v>
      </c>
      <c r="N763" t="s">
        <v>350</v>
      </c>
      <c r="O763">
        <v>2.72</v>
      </c>
      <c r="P763" t="s">
        <v>344</v>
      </c>
      <c r="Q763">
        <v>3.58</v>
      </c>
      <c r="R763" t="s">
        <v>344</v>
      </c>
      <c r="S763">
        <v>1</v>
      </c>
    </row>
    <row r="764" spans="1:19" x14ac:dyDescent="0.25">
      <c r="A764" t="s">
        <v>29</v>
      </c>
      <c r="B764" t="s">
        <v>105</v>
      </c>
      <c r="C764">
        <v>980</v>
      </c>
      <c r="D764" t="s">
        <v>341</v>
      </c>
      <c r="E764">
        <v>29.23</v>
      </c>
      <c r="F764">
        <v>12.06</v>
      </c>
      <c r="G764">
        <v>16.649999999999999</v>
      </c>
      <c r="H764">
        <v>28.71</v>
      </c>
      <c r="I764" t="s">
        <v>343</v>
      </c>
      <c r="J764">
        <v>-17.350000000000001</v>
      </c>
      <c r="K764">
        <v>6.94</v>
      </c>
      <c r="L764" t="s">
        <v>346</v>
      </c>
      <c r="M764" s="1">
        <v>6.9400000000000003E-2</v>
      </c>
      <c r="N764" t="s">
        <v>350</v>
      </c>
      <c r="O764">
        <v>1.1000000000000001</v>
      </c>
      <c r="P764" t="s">
        <v>343</v>
      </c>
      <c r="Q764">
        <v>3.14</v>
      </c>
      <c r="R764" t="s">
        <v>344</v>
      </c>
      <c r="S764">
        <v>1</v>
      </c>
    </row>
    <row r="765" spans="1:19" x14ac:dyDescent="0.25">
      <c r="A765" t="s">
        <v>29</v>
      </c>
      <c r="B765" t="s">
        <v>106</v>
      </c>
      <c r="C765">
        <v>1000</v>
      </c>
      <c r="D765" t="s">
        <v>341</v>
      </c>
      <c r="E765">
        <v>29.23</v>
      </c>
      <c r="F765">
        <v>12.1</v>
      </c>
      <c r="G765">
        <v>17.32</v>
      </c>
      <c r="H765">
        <v>29.42</v>
      </c>
      <c r="I765" t="s">
        <v>344</v>
      </c>
      <c r="J765">
        <v>-15.86</v>
      </c>
      <c r="K765">
        <v>7.43</v>
      </c>
      <c r="L765" t="s">
        <v>346</v>
      </c>
      <c r="M765" s="1">
        <v>7.4299999999999991E-2</v>
      </c>
      <c r="N765" t="s">
        <v>350</v>
      </c>
      <c r="O765">
        <v>1.42</v>
      </c>
      <c r="P765" t="s">
        <v>343</v>
      </c>
      <c r="Q765">
        <v>4.3099999999999996</v>
      </c>
      <c r="R765" t="s">
        <v>343</v>
      </c>
      <c r="S765">
        <v>1</v>
      </c>
    </row>
    <row r="766" spans="1:19" x14ac:dyDescent="0.25">
      <c r="A766" t="s">
        <v>29</v>
      </c>
      <c r="B766" t="s">
        <v>108</v>
      </c>
      <c r="C766">
        <v>1020</v>
      </c>
      <c r="D766" t="s">
        <v>341</v>
      </c>
      <c r="E766">
        <v>29.23</v>
      </c>
      <c r="F766">
        <v>12.66</v>
      </c>
      <c r="G766">
        <v>17.93</v>
      </c>
      <c r="H766">
        <v>30.59</v>
      </c>
      <c r="I766" t="s">
        <v>344</v>
      </c>
      <c r="J766">
        <v>-14.47</v>
      </c>
      <c r="K766">
        <v>6.94</v>
      </c>
      <c r="L766" t="s">
        <v>346</v>
      </c>
      <c r="M766" s="1">
        <v>6.9400000000000003E-2</v>
      </c>
      <c r="N766" t="s">
        <v>350</v>
      </c>
      <c r="O766">
        <v>0.94</v>
      </c>
      <c r="P766" t="s">
        <v>343</v>
      </c>
      <c r="Q766">
        <v>1.56</v>
      </c>
      <c r="R766" t="s">
        <v>343</v>
      </c>
      <c r="S766">
        <v>1</v>
      </c>
    </row>
    <row r="767" spans="1:19" x14ac:dyDescent="0.25">
      <c r="A767" t="s">
        <v>29</v>
      </c>
      <c r="B767" t="s">
        <v>109</v>
      </c>
      <c r="C767">
        <v>1040</v>
      </c>
      <c r="D767" t="s">
        <v>341</v>
      </c>
      <c r="E767">
        <v>29.23</v>
      </c>
      <c r="F767">
        <v>13.27</v>
      </c>
      <c r="G767">
        <v>17.18</v>
      </c>
      <c r="H767">
        <v>30.45</v>
      </c>
      <c r="I767" t="s">
        <v>344</v>
      </c>
      <c r="J767">
        <v>-12.94</v>
      </c>
      <c r="K767">
        <v>7.67</v>
      </c>
      <c r="L767" t="s">
        <v>346</v>
      </c>
      <c r="M767" s="1">
        <v>7.6700000000000004E-2</v>
      </c>
      <c r="N767" t="s">
        <v>350</v>
      </c>
      <c r="O767">
        <v>0.54</v>
      </c>
      <c r="P767" t="s">
        <v>343</v>
      </c>
      <c r="Q767">
        <v>1.57</v>
      </c>
      <c r="R767" t="s">
        <v>343</v>
      </c>
      <c r="S767">
        <v>1</v>
      </c>
    </row>
    <row r="768" spans="1:19" x14ac:dyDescent="0.25">
      <c r="A768" t="s">
        <v>29</v>
      </c>
      <c r="B768" t="s">
        <v>110</v>
      </c>
      <c r="C768">
        <v>1060</v>
      </c>
      <c r="D768" t="s">
        <v>341</v>
      </c>
      <c r="E768">
        <v>29.23</v>
      </c>
      <c r="F768">
        <v>13.51</v>
      </c>
      <c r="G768">
        <v>16.78</v>
      </c>
      <c r="H768">
        <v>30.29</v>
      </c>
      <c r="I768" t="s">
        <v>344</v>
      </c>
      <c r="J768">
        <v>-11.53</v>
      </c>
      <c r="K768">
        <v>7.06</v>
      </c>
      <c r="L768" t="s">
        <v>346</v>
      </c>
      <c r="M768" s="1">
        <v>7.0599999999999996E-2</v>
      </c>
      <c r="N768" t="s">
        <v>350</v>
      </c>
      <c r="O768">
        <v>1.59</v>
      </c>
      <c r="P768" t="s">
        <v>343</v>
      </c>
      <c r="Q768">
        <v>0.24</v>
      </c>
      <c r="R768" t="s">
        <v>343</v>
      </c>
      <c r="S768">
        <v>1</v>
      </c>
    </row>
    <row r="769" spans="1:19" x14ac:dyDescent="0.25">
      <c r="A769" t="s">
        <v>29</v>
      </c>
      <c r="B769" t="s">
        <v>111</v>
      </c>
      <c r="C769">
        <v>1080</v>
      </c>
      <c r="D769" t="s">
        <v>341</v>
      </c>
      <c r="E769">
        <v>29.23</v>
      </c>
      <c r="F769">
        <v>13.45</v>
      </c>
      <c r="G769">
        <v>15.75</v>
      </c>
      <c r="H769">
        <v>29.21</v>
      </c>
      <c r="I769" t="s">
        <v>343</v>
      </c>
      <c r="J769">
        <v>-10.06</v>
      </c>
      <c r="K769">
        <v>7.34</v>
      </c>
      <c r="L769" t="s">
        <v>346</v>
      </c>
      <c r="M769" s="1">
        <v>7.3399999999999993E-2</v>
      </c>
      <c r="N769" t="s">
        <v>350</v>
      </c>
      <c r="O769">
        <v>3.63</v>
      </c>
      <c r="P769" t="s">
        <v>344</v>
      </c>
      <c r="Q769">
        <v>0.33</v>
      </c>
      <c r="R769" t="s">
        <v>343</v>
      </c>
      <c r="S769">
        <v>1</v>
      </c>
    </row>
    <row r="770" spans="1:19" x14ac:dyDescent="0.25">
      <c r="A770" t="s">
        <v>29</v>
      </c>
      <c r="B770" t="s">
        <v>112</v>
      </c>
      <c r="C770">
        <v>1100</v>
      </c>
      <c r="D770" t="s">
        <v>341</v>
      </c>
      <c r="E770">
        <v>29.23</v>
      </c>
      <c r="F770">
        <v>13.51</v>
      </c>
      <c r="G770">
        <v>14.21</v>
      </c>
      <c r="H770">
        <v>27.72</v>
      </c>
      <c r="I770" t="s">
        <v>343</v>
      </c>
      <c r="J770">
        <v>-8.61</v>
      </c>
      <c r="K770">
        <v>7.26</v>
      </c>
      <c r="L770" t="s">
        <v>346</v>
      </c>
      <c r="M770" s="1">
        <v>7.2599999999999998E-2</v>
      </c>
      <c r="N770" t="s">
        <v>350</v>
      </c>
      <c r="O770">
        <v>2.2200000000000002</v>
      </c>
      <c r="P770" t="s">
        <v>344</v>
      </c>
      <c r="Q770">
        <v>0.63</v>
      </c>
      <c r="R770" t="s">
        <v>343</v>
      </c>
      <c r="S770">
        <v>1</v>
      </c>
    </row>
    <row r="771" spans="1:19" x14ac:dyDescent="0.25">
      <c r="A771" t="s">
        <v>29</v>
      </c>
      <c r="B771" t="s">
        <v>113</v>
      </c>
      <c r="C771">
        <v>1120</v>
      </c>
      <c r="D771" t="s">
        <v>341</v>
      </c>
      <c r="E771">
        <v>29.23</v>
      </c>
      <c r="F771">
        <v>13.84</v>
      </c>
      <c r="G771">
        <v>12.61</v>
      </c>
      <c r="H771">
        <v>26.45</v>
      </c>
      <c r="I771" t="s">
        <v>343</v>
      </c>
      <c r="J771">
        <v>-7.09</v>
      </c>
      <c r="K771">
        <v>7.58</v>
      </c>
      <c r="L771" t="s">
        <v>346</v>
      </c>
      <c r="M771" s="1">
        <v>7.5800000000000006E-2</v>
      </c>
      <c r="N771" t="s">
        <v>350</v>
      </c>
      <c r="O771">
        <v>2.23</v>
      </c>
      <c r="P771" t="s">
        <v>344</v>
      </c>
      <c r="Q771">
        <v>1.86</v>
      </c>
      <c r="R771" t="s">
        <v>343</v>
      </c>
      <c r="S771">
        <v>1</v>
      </c>
    </row>
    <row r="772" spans="1:19" x14ac:dyDescent="0.25">
      <c r="A772" t="s">
        <v>29</v>
      </c>
      <c r="B772" t="s">
        <v>114</v>
      </c>
      <c r="C772">
        <v>1140</v>
      </c>
      <c r="D772" t="s">
        <v>341</v>
      </c>
      <c r="E772">
        <v>29.23</v>
      </c>
      <c r="F772">
        <v>14.04</v>
      </c>
      <c r="G772">
        <v>11.11</v>
      </c>
      <c r="H772">
        <v>25.15</v>
      </c>
      <c r="I772" t="s">
        <v>343</v>
      </c>
      <c r="J772">
        <v>-5.71</v>
      </c>
      <c r="K772">
        <v>6.92</v>
      </c>
      <c r="L772" t="s">
        <v>346</v>
      </c>
      <c r="M772" s="1">
        <v>6.9199999999999998E-2</v>
      </c>
      <c r="N772" t="s">
        <v>350</v>
      </c>
      <c r="O772">
        <v>1.36</v>
      </c>
      <c r="P772" t="s">
        <v>343</v>
      </c>
      <c r="Q772">
        <v>1.9</v>
      </c>
      <c r="R772" t="s">
        <v>343</v>
      </c>
      <c r="S772">
        <v>1</v>
      </c>
    </row>
    <row r="773" spans="1:19" x14ac:dyDescent="0.25">
      <c r="A773" t="s">
        <v>29</v>
      </c>
      <c r="B773" t="s">
        <v>115</v>
      </c>
      <c r="C773">
        <v>1160</v>
      </c>
      <c r="D773" t="s">
        <v>341</v>
      </c>
      <c r="E773">
        <v>29.23</v>
      </c>
      <c r="F773">
        <v>13.73</v>
      </c>
      <c r="G773">
        <v>11.17</v>
      </c>
      <c r="H773">
        <v>24.89</v>
      </c>
      <c r="I773" t="s">
        <v>343</v>
      </c>
      <c r="J773">
        <v>-4.3499999999999996</v>
      </c>
      <c r="K773">
        <v>6.79</v>
      </c>
      <c r="L773" t="s">
        <v>346</v>
      </c>
      <c r="M773" s="1">
        <v>6.7900000000000002E-2</v>
      </c>
      <c r="N773" t="s">
        <v>350</v>
      </c>
      <c r="O773">
        <v>2.83</v>
      </c>
      <c r="P773" t="s">
        <v>344</v>
      </c>
      <c r="Q773">
        <v>1.66</v>
      </c>
      <c r="R773" t="s">
        <v>343</v>
      </c>
      <c r="S773">
        <v>1</v>
      </c>
    </row>
    <row r="774" spans="1:19" x14ac:dyDescent="0.25">
      <c r="A774" t="s">
        <v>29</v>
      </c>
      <c r="B774" t="s">
        <v>116</v>
      </c>
      <c r="C774">
        <v>1180</v>
      </c>
      <c r="D774" t="s">
        <v>341</v>
      </c>
      <c r="E774">
        <v>29.23</v>
      </c>
      <c r="F774">
        <v>13.25</v>
      </c>
      <c r="G774">
        <v>11.76</v>
      </c>
      <c r="H774">
        <v>25.01</v>
      </c>
      <c r="I774" t="s">
        <v>343</v>
      </c>
      <c r="J774">
        <v>-2.99</v>
      </c>
      <c r="K774">
        <v>6.8</v>
      </c>
      <c r="L774" t="s">
        <v>346</v>
      </c>
      <c r="M774" s="1">
        <v>6.8000000000000005E-2</v>
      </c>
      <c r="N774" t="s">
        <v>350</v>
      </c>
      <c r="O774">
        <v>2.4500000000000002</v>
      </c>
      <c r="P774" t="s">
        <v>344</v>
      </c>
      <c r="Q774">
        <v>1.34</v>
      </c>
      <c r="R774" t="s">
        <v>343</v>
      </c>
      <c r="S774">
        <v>1</v>
      </c>
    </row>
    <row r="775" spans="1:19" x14ac:dyDescent="0.25">
      <c r="A775" t="s">
        <v>29</v>
      </c>
      <c r="B775" t="s">
        <v>117</v>
      </c>
      <c r="C775">
        <v>1200</v>
      </c>
      <c r="D775" t="s">
        <v>341</v>
      </c>
      <c r="E775">
        <v>29.23</v>
      </c>
      <c r="F775">
        <v>12.91</v>
      </c>
      <c r="G775">
        <v>12.15</v>
      </c>
      <c r="H775">
        <v>25.06</v>
      </c>
      <c r="I775" t="s">
        <v>343</v>
      </c>
      <c r="J775">
        <v>-1.55</v>
      </c>
      <c r="K775">
        <v>7.22</v>
      </c>
      <c r="L775" t="s">
        <v>346</v>
      </c>
      <c r="M775" s="1">
        <v>7.22E-2</v>
      </c>
      <c r="N775" t="s">
        <v>350</v>
      </c>
      <c r="O775">
        <v>4.62</v>
      </c>
      <c r="P775" t="s">
        <v>343</v>
      </c>
      <c r="Q775">
        <v>0.97</v>
      </c>
      <c r="R775" t="s">
        <v>343</v>
      </c>
      <c r="S775">
        <v>1</v>
      </c>
    </row>
    <row r="776" spans="1:19" x14ac:dyDescent="0.25">
      <c r="A776" t="s">
        <v>29</v>
      </c>
      <c r="B776" t="s">
        <v>118</v>
      </c>
      <c r="C776">
        <v>1220</v>
      </c>
      <c r="D776" t="s">
        <v>341</v>
      </c>
      <c r="E776">
        <v>29.23</v>
      </c>
      <c r="F776">
        <v>12.1</v>
      </c>
      <c r="G776">
        <v>13.2</v>
      </c>
      <c r="H776">
        <v>25.29</v>
      </c>
      <c r="I776" t="s">
        <v>343</v>
      </c>
      <c r="J776">
        <v>-0.2</v>
      </c>
      <c r="K776">
        <v>6.76</v>
      </c>
      <c r="L776" t="s">
        <v>346</v>
      </c>
      <c r="M776" s="1">
        <v>6.7599999999999993E-2</v>
      </c>
      <c r="N776" t="s">
        <v>350</v>
      </c>
      <c r="O776">
        <v>4.18</v>
      </c>
      <c r="P776" t="s">
        <v>343</v>
      </c>
      <c r="Q776">
        <v>1.18</v>
      </c>
      <c r="R776" t="s">
        <v>343</v>
      </c>
      <c r="S776">
        <v>1</v>
      </c>
    </row>
    <row r="777" spans="1:19" x14ac:dyDescent="0.25">
      <c r="A777" t="s">
        <v>29</v>
      </c>
      <c r="B777" t="s">
        <v>119</v>
      </c>
      <c r="C777">
        <v>1240</v>
      </c>
      <c r="D777" t="s">
        <v>341</v>
      </c>
      <c r="E777">
        <v>29.23</v>
      </c>
      <c r="F777">
        <v>11.72</v>
      </c>
      <c r="G777">
        <v>13.7</v>
      </c>
      <c r="H777">
        <v>25.42</v>
      </c>
      <c r="I777" t="s">
        <v>343</v>
      </c>
      <c r="J777">
        <v>1.01</v>
      </c>
      <c r="K777">
        <v>6.01</v>
      </c>
      <c r="L777" t="s">
        <v>346</v>
      </c>
      <c r="M777" s="1">
        <v>6.0100000000000001E-2</v>
      </c>
      <c r="N777" t="s">
        <v>350</v>
      </c>
      <c r="O777">
        <v>3.58</v>
      </c>
      <c r="P777" t="s">
        <v>344</v>
      </c>
      <c r="Q777">
        <v>1.39</v>
      </c>
      <c r="R777" t="s">
        <v>343</v>
      </c>
      <c r="S777">
        <v>1</v>
      </c>
    </row>
    <row r="778" spans="1:19" x14ac:dyDescent="0.25">
      <c r="A778" t="s">
        <v>29</v>
      </c>
      <c r="B778" t="s">
        <v>120</v>
      </c>
      <c r="C778">
        <v>1260</v>
      </c>
      <c r="D778" t="s">
        <v>341</v>
      </c>
      <c r="E778">
        <v>29.23</v>
      </c>
      <c r="F778">
        <v>12.3</v>
      </c>
      <c r="G778">
        <v>14.16</v>
      </c>
      <c r="H778">
        <v>26.46</v>
      </c>
      <c r="I778" t="s">
        <v>343</v>
      </c>
      <c r="J778">
        <v>2.13</v>
      </c>
      <c r="K778">
        <v>5.62</v>
      </c>
      <c r="L778" t="s">
        <v>346</v>
      </c>
      <c r="M778" s="1">
        <v>5.62E-2</v>
      </c>
      <c r="N778" t="s">
        <v>350</v>
      </c>
      <c r="O778">
        <v>3.19</v>
      </c>
      <c r="P778" t="s">
        <v>344</v>
      </c>
      <c r="Q778">
        <v>0.73</v>
      </c>
      <c r="R778" t="s">
        <v>343</v>
      </c>
      <c r="S778">
        <v>1</v>
      </c>
    </row>
    <row r="779" spans="1:19" x14ac:dyDescent="0.25">
      <c r="A779" t="s">
        <v>29</v>
      </c>
      <c r="B779" t="s">
        <v>121</v>
      </c>
      <c r="C779">
        <v>1280</v>
      </c>
      <c r="D779" t="s">
        <v>341</v>
      </c>
      <c r="E779">
        <v>29.23</v>
      </c>
      <c r="F779">
        <v>12.56</v>
      </c>
      <c r="G779">
        <v>13.65</v>
      </c>
      <c r="H779">
        <v>26.2</v>
      </c>
      <c r="I779" t="s">
        <v>343</v>
      </c>
      <c r="J779">
        <v>4.09</v>
      </c>
      <c r="K779">
        <v>9.7899999999999991</v>
      </c>
      <c r="L779" t="s">
        <v>348</v>
      </c>
      <c r="M779" s="1">
        <v>9.7899999999999987E-2</v>
      </c>
      <c r="N779" t="s">
        <v>350</v>
      </c>
      <c r="O779">
        <v>2.38</v>
      </c>
      <c r="P779" t="s">
        <v>344</v>
      </c>
      <c r="Q779">
        <v>1.75</v>
      </c>
      <c r="R779" t="s">
        <v>343</v>
      </c>
      <c r="S779">
        <v>1</v>
      </c>
    </row>
    <row r="780" spans="1:19" x14ac:dyDescent="0.25">
      <c r="A780" t="s">
        <v>29</v>
      </c>
      <c r="B780" t="s">
        <v>123</v>
      </c>
      <c r="C780">
        <v>1300</v>
      </c>
      <c r="D780" t="s">
        <v>341</v>
      </c>
      <c r="E780">
        <v>29.23</v>
      </c>
      <c r="F780">
        <v>13.16</v>
      </c>
      <c r="G780">
        <v>12.89</v>
      </c>
      <c r="H780">
        <v>26.05</v>
      </c>
      <c r="I780" t="s">
        <v>343</v>
      </c>
      <c r="J780">
        <v>3.68</v>
      </c>
      <c r="K780">
        <v>-2.0299999999999998</v>
      </c>
      <c r="L780" t="s">
        <v>346</v>
      </c>
      <c r="M780" s="1">
        <v>2.0299999999999999E-2</v>
      </c>
      <c r="N780" t="s">
        <v>350</v>
      </c>
      <c r="O780">
        <v>0.93</v>
      </c>
      <c r="P780" t="s">
        <v>343</v>
      </c>
      <c r="Q780">
        <v>0.63</v>
      </c>
      <c r="R780" t="s">
        <v>343</v>
      </c>
      <c r="S780">
        <v>1</v>
      </c>
    </row>
    <row r="781" spans="1:19" x14ac:dyDescent="0.25">
      <c r="A781" t="s">
        <v>29</v>
      </c>
      <c r="B781" t="s">
        <v>124</v>
      </c>
      <c r="C781">
        <v>1320</v>
      </c>
      <c r="D781" t="s">
        <v>341</v>
      </c>
      <c r="E781">
        <v>29.23</v>
      </c>
      <c r="F781">
        <v>13.45</v>
      </c>
      <c r="G781">
        <v>11.87</v>
      </c>
      <c r="H781">
        <v>25.32</v>
      </c>
      <c r="I781" t="s">
        <v>343</v>
      </c>
      <c r="J781">
        <v>4.5599999999999996</v>
      </c>
      <c r="K781">
        <v>4.3899999999999997</v>
      </c>
      <c r="L781" t="s">
        <v>346</v>
      </c>
      <c r="M781" s="1">
        <v>4.3899999999999988E-2</v>
      </c>
      <c r="N781" t="s">
        <v>350</v>
      </c>
      <c r="O781">
        <v>3.97</v>
      </c>
      <c r="P781" t="s">
        <v>344</v>
      </c>
      <c r="Q781">
        <v>0.68</v>
      </c>
      <c r="R781" t="s">
        <v>343</v>
      </c>
      <c r="S781">
        <v>1</v>
      </c>
    </row>
    <row r="782" spans="1:19" x14ac:dyDescent="0.25">
      <c r="A782" t="s">
        <v>29</v>
      </c>
      <c r="B782" t="s">
        <v>125</v>
      </c>
      <c r="C782">
        <v>1340</v>
      </c>
      <c r="D782" t="s">
        <v>341</v>
      </c>
      <c r="E782">
        <v>29.23</v>
      </c>
      <c r="F782">
        <v>14.45</v>
      </c>
      <c r="G782">
        <v>12.89</v>
      </c>
      <c r="H782">
        <v>27.34</v>
      </c>
      <c r="I782" t="s">
        <v>343</v>
      </c>
      <c r="J782">
        <v>5.27</v>
      </c>
      <c r="K782">
        <v>3.54</v>
      </c>
      <c r="L782" t="s">
        <v>346</v>
      </c>
      <c r="M782" s="1">
        <v>3.5400000000000001E-2</v>
      </c>
      <c r="N782" t="s">
        <v>350</v>
      </c>
      <c r="O782">
        <v>4.5199999999999996</v>
      </c>
      <c r="P782" t="s">
        <v>343</v>
      </c>
      <c r="Q782">
        <v>-0.43</v>
      </c>
      <c r="R782" t="s">
        <v>343</v>
      </c>
      <c r="S782">
        <v>1</v>
      </c>
    </row>
    <row r="783" spans="1:19" x14ac:dyDescent="0.25">
      <c r="A783" t="s">
        <v>29</v>
      </c>
      <c r="B783" t="s">
        <v>126</v>
      </c>
      <c r="C783">
        <v>1360</v>
      </c>
      <c r="D783" t="s">
        <v>341</v>
      </c>
      <c r="E783">
        <v>29.23</v>
      </c>
      <c r="F783">
        <v>14.45</v>
      </c>
      <c r="G783">
        <v>15.57</v>
      </c>
      <c r="H783">
        <v>30.02</v>
      </c>
      <c r="I783" t="s">
        <v>344</v>
      </c>
      <c r="J783">
        <v>7.9</v>
      </c>
      <c r="K783">
        <v>13.17</v>
      </c>
      <c r="L783" t="s">
        <v>348</v>
      </c>
      <c r="M783" s="1">
        <v>0.13170000000000001</v>
      </c>
      <c r="N783" t="s">
        <v>350</v>
      </c>
      <c r="O783">
        <v>-2.34</v>
      </c>
      <c r="P783" t="s">
        <v>344</v>
      </c>
      <c r="Q783">
        <v>4.2</v>
      </c>
      <c r="R783" t="s">
        <v>343</v>
      </c>
      <c r="S783">
        <v>1</v>
      </c>
    </row>
    <row r="784" spans="1:19" x14ac:dyDescent="0.25">
      <c r="A784" t="s">
        <v>29</v>
      </c>
      <c r="B784" t="s">
        <v>127</v>
      </c>
      <c r="C784">
        <v>1380</v>
      </c>
      <c r="D784" t="s">
        <v>341</v>
      </c>
      <c r="E784">
        <v>29.23</v>
      </c>
      <c r="F784">
        <v>14.45</v>
      </c>
      <c r="G784">
        <v>15.57</v>
      </c>
      <c r="H784">
        <v>30.02</v>
      </c>
      <c r="I784" t="s">
        <v>344</v>
      </c>
      <c r="J784">
        <v>7.95</v>
      </c>
      <c r="K784">
        <v>0.23</v>
      </c>
      <c r="L784" t="s">
        <v>346</v>
      </c>
      <c r="M784" s="1">
        <v>2.3E-3</v>
      </c>
      <c r="N784" t="s">
        <v>349</v>
      </c>
      <c r="O784">
        <v>-3.75</v>
      </c>
      <c r="P784" t="s">
        <v>344</v>
      </c>
      <c r="Q784">
        <v>14.23</v>
      </c>
      <c r="R784" t="s">
        <v>343</v>
      </c>
      <c r="S784">
        <v>1</v>
      </c>
    </row>
    <row r="785" spans="1:19" x14ac:dyDescent="0.25">
      <c r="A785" t="s">
        <v>29</v>
      </c>
      <c r="B785" t="s">
        <v>128</v>
      </c>
      <c r="C785">
        <v>1400</v>
      </c>
      <c r="D785" t="s">
        <v>341</v>
      </c>
      <c r="E785">
        <v>29.23</v>
      </c>
      <c r="F785">
        <v>13.48</v>
      </c>
      <c r="G785">
        <v>15.57</v>
      </c>
      <c r="H785">
        <v>29.05</v>
      </c>
      <c r="I785" t="s">
        <v>343</v>
      </c>
      <c r="J785">
        <v>7.4</v>
      </c>
      <c r="K785">
        <v>-2.71</v>
      </c>
      <c r="L785" t="s">
        <v>346</v>
      </c>
      <c r="M785" s="1">
        <v>2.7099999999999999E-2</v>
      </c>
      <c r="N785" t="s">
        <v>350</v>
      </c>
      <c r="O785">
        <v>0.56999999999999995</v>
      </c>
      <c r="P785" t="s">
        <v>343</v>
      </c>
      <c r="Q785">
        <v>6.62</v>
      </c>
      <c r="R785" t="s">
        <v>343</v>
      </c>
      <c r="S785">
        <v>1</v>
      </c>
    </row>
    <row r="786" spans="1:19" x14ac:dyDescent="0.25">
      <c r="A786" t="s">
        <v>29</v>
      </c>
      <c r="B786" t="s">
        <v>129</v>
      </c>
      <c r="C786">
        <v>1420</v>
      </c>
      <c r="D786" t="s">
        <v>341</v>
      </c>
      <c r="E786">
        <v>29.23</v>
      </c>
      <c r="F786">
        <v>12.42</v>
      </c>
      <c r="G786">
        <v>13.68</v>
      </c>
      <c r="H786">
        <v>26.11</v>
      </c>
      <c r="I786" t="s">
        <v>343</v>
      </c>
      <c r="J786">
        <v>8.2799999999999994</v>
      </c>
      <c r="K786">
        <v>4.3600000000000003</v>
      </c>
      <c r="L786" t="s">
        <v>346</v>
      </c>
      <c r="M786" s="1">
        <v>4.36E-2</v>
      </c>
      <c r="N786" t="s">
        <v>350</v>
      </c>
      <c r="O786">
        <v>0.63</v>
      </c>
      <c r="P786" t="s">
        <v>343</v>
      </c>
      <c r="Q786">
        <v>6.5</v>
      </c>
      <c r="R786" t="s">
        <v>343</v>
      </c>
      <c r="S786">
        <v>1</v>
      </c>
    </row>
    <row r="787" spans="1:19" x14ac:dyDescent="0.25">
      <c r="A787" t="s">
        <v>29</v>
      </c>
      <c r="B787" t="s">
        <v>130</v>
      </c>
      <c r="C787">
        <v>1440</v>
      </c>
      <c r="D787" t="s">
        <v>341</v>
      </c>
      <c r="E787">
        <v>29.23</v>
      </c>
      <c r="F787">
        <v>12.43</v>
      </c>
      <c r="G787">
        <v>14.75</v>
      </c>
      <c r="H787">
        <v>27.18</v>
      </c>
      <c r="I787" t="s">
        <v>343</v>
      </c>
      <c r="J787">
        <v>9.36</v>
      </c>
      <c r="K787">
        <v>5.44</v>
      </c>
      <c r="L787" t="s">
        <v>346</v>
      </c>
      <c r="M787" s="1">
        <v>5.4399999999999997E-2</v>
      </c>
      <c r="N787" t="s">
        <v>350</v>
      </c>
      <c r="O787">
        <v>-1.06</v>
      </c>
      <c r="P787" t="s">
        <v>343</v>
      </c>
      <c r="Q787">
        <v>4.22</v>
      </c>
      <c r="R787" t="s">
        <v>343</v>
      </c>
      <c r="S787">
        <v>1</v>
      </c>
    </row>
    <row r="788" spans="1:19" x14ac:dyDescent="0.25">
      <c r="A788" t="s">
        <v>29</v>
      </c>
      <c r="B788" t="s">
        <v>131</v>
      </c>
      <c r="C788">
        <v>1460</v>
      </c>
      <c r="D788" t="s">
        <v>341</v>
      </c>
      <c r="E788">
        <v>29.23</v>
      </c>
      <c r="F788">
        <v>12.28</v>
      </c>
      <c r="G788">
        <v>14.75</v>
      </c>
      <c r="H788">
        <v>27.03</v>
      </c>
      <c r="I788" t="s">
        <v>343</v>
      </c>
      <c r="J788">
        <v>10.68</v>
      </c>
      <c r="K788">
        <v>6.59</v>
      </c>
      <c r="L788" t="s">
        <v>346</v>
      </c>
      <c r="M788" s="1">
        <v>6.59E-2</v>
      </c>
      <c r="N788" t="s">
        <v>350</v>
      </c>
      <c r="O788">
        <v>-0.75</v>
      </c>
      <c r="P788" t="s">
        <v>343</v>
      </c>
      <c r="Q788">
        <v>6.59</v>
      </c>
      <c r="R788" t="s">
        <v>343</v>
      </c>
      <c r="S788">
        <v>1</v>
      </c>
    </row>
    <row r="789" spans="1:19" x14ac:dyDescent="0.25">
      <c r="A789" t="s">
        <v>29</v>
      </c>
      <c r="B789" t="s">
        <v>132</v>
      </c>
      <c r="C789">
        <v>1480</v>
      </c>
      <c r="D789" t="s">
        <v>341</v>
      </c>
      <c r="E789">
        <v>29.23</v>
      </c>
      <c r="F789">
        <v>12.55</v>
      </c>
      <c r="G789">
        <v>15.41</v>
      </c>
      <c r="H789">
        <v>27.96</v>
      </c>
      <c r="I789" t="s">
        <v>343</v>
      </c>
      <c r="J789">
        <v>12.15</v>
      </c>
      <c r="K789">
        <v>7.36</v>
      </c>
      <c r="L789" t="s">
        <v>346</v>
      </c>
      <c r="M789" s="1">
        <v>7.3599999999999999E-2</v>
      </c>
      <c r="N789" t="s">
        <v>350</v>
      </c>
      <c r="O789">
        <v>-1.87</v>
      </c>
      <c r="P789" t="s">
        <v>343</v>
      </c>
      <c r="Q789">
        <v>6.71</v>
      </c>
      <c r="R789" t="s">
        <v>343</v>
      </c>
      <c r="S789">
        <v>1</v>
      </c>
    </row>
    <row r="790" spans="1:19" x14ac:dyDescent="0.25">
      <c r="A790" t="s">
        <v>29</v>
      </c>
      <c r="B790" t="s">
        <v>133</v>
      </c>
      <c r="C790">
        <v>1500</v>
      </c>
      <c r="D790" t="s">
        <v>341</v>
      </c>
      <c r="E790">
        <v>29.23</v>
      </c>
      <c r="F790">
        <v>12.65</v>
      </c>
      <c r="G790">
        <v>16.03</v>
      </c>
      <c r="H790">
        <v>28.69</v>
      </c>
      <c r="I790" t="s">
        <v>343</v>
      </c>
      <c r="J790">
        <v>13.75</v>
      </c>
      <c r="K790">
        <v>7.98</v>
      </c>
      <c r="L790" t="s">
        <v>346</v>
      </c>
      <c r="M790" s="1">
        <v>7.980000000000001E-2</v>
      </c>
      <c r="N790" t="s">
        <v>350</v>
      </c>
      <c r="O790">
        <v>-1.42</v>
      </c>
      <c r="P790" t="s">
        <v>343</v>
      </c>
      <c r="Q790">
        <v>7</v>
      </c>
      <c r="R790" t="s">
        <v>343</v>
      </c>
      <c r="S790">
        <v>1</v>
      </c>
    </row>
    <row r="791" spans="1:19" x14ac:dyDescent="0.25">
      <c r="A791" t="s">
        <v>29</v>
      </c>
      <c r="B791" t="s">
        <v>134</v>
      </c>
      <c r="C791">
        <v>1520</v>
      </c>
      <c r="D791" t="s">
        <v>341</v>
      </c>
      <c r="E791">
        <v>29.23</v>
      </c>
      <c r="F791">
        <v>13.73</v>
      </c>
      <c r="G791">
        <v>15.12</v>
      </c>
      <c r="H791">
        <v>28.86</v>
      </c>
      <c r="I791" t="s">
        <v>343</v>
      </c>
      <c r="J791">
        <v>15.24</v>
      </c>
      <c r="K791">
        <v>7.44</v>
      </c>
      <c r="L791" t="s">
        <v>346</v>
      </c>
      <c r="M791" s="1">
        <v>7.4400000000000008E-2</v>
      </c>
      <c r="N791" t="s">
        <v>350</v>
      </c>
      <c r="O791">
        <v>-1.35</v>
      </c>
      <c r="P791" t="s">
        <v>343</v>
      </c>
      <c r="Q791">
        <v>6.77</v>
      </c>
      <c r="R791" t="s">
        <v>343</v>
      </c>
      <c r="S791">
        <v>1</v>
      </c>
    </row>
    <row r="792" spans="1:19" x14ac:dyDescent="0.25">
      <c r="A792" t="s">
        <v>29</v>
      </c>
      <c r="B792" t="s">
        <v>135</v>
      </c>
      <c r="C792">
        <v>1540</v>
      </c>
      <c r="D792" t="s">
        <v>341</v>
      </c>
      <c r="E792">
        <v>29.23</v>
      </c>
      <c r="F792">
        <v>15.36</v>
      </c>
      <c r="G792">
        <v>15.61</v>
      </c>
      <c r="H792">
        <v>30.97</v>
      </c>
      <c r="I792" t="s">
        <v>344</v>
      </c>
      <c r="J792">
        <v>16.63</v>
      </c>
      <c r="K792">
        <v>6.98</v>
      </c>
      <c r="L792" t="s">
        <v>346</v>
      </c>
      <c r="M792" s="1">
        <v>6.9800000000000001E-2</v>
      </c>
      <c r="N792" t="s">
        <v>350</v>
      </c>
      <c r="O792">
        <v>-1.05</v>
      </c>
      <c r="P792" t="s">
        <v>343</v>
      </c>
      <c r="Q792">
        <v>4.79</v>
      </c>
      <c r="R792" t="s">
        <v>343</v>
      </c>
      <c r="S792">
        <v>1</v>
      </c>
    </row>
    <row r="793" spans="1:19" x14ac:dyDescent="0.25">
      <c r="A793" t="s">
        <v>29</v>
      </c>
      <c r="B793" t="s">
        <v>136</v>
      </c>
      <c r="C793">
        <v>1560</v>
      </c>
      <c r="D793" t="s">
        <v>341</v>
      </c>
      <c r="E793">
        <v>29.23</v>
      </c>
      <c r="F793">
        <v>16.11</v>
      </c>
      <c r="G793">
        <v>15.57</v>
      </c>
      <c r="H793">
        <v>31.68</v>
      </c>
      <c r="I793" t="s">
        <v>344</v>
      </c>
      <c r="J793">
        <v>18.2</v>
      </c>
      <c r="K793">
        <v>7.84</v>
      </c>
      <c r="L793" t="s">
        <v>346</v>
      </c>
      <c r="M793" s="1">
        <v>7.8399999999999997E-2</v>
      </c>
      <c r="N793" t="s">
        <v>350</v>
      </c>
      <c r="O793">
        <v>0.33</v>
      </c>
      <c r="P793" t="s">
        <v>343</v>
      </c>
      <c r="Q793">
        <v>4.42</v>
      </c>
      <c r="R793" t="s">
        <v>343</v>
      </c>
      <c r="S793">
        <v>1</v>
      </c>
    </row>
    <row r="794" spans="1:19" x14ac:dyDescent="0.25">
      <c r="A794" t="s">
        <v>29</v>
      </c>
      <c r="B794" t="s">
        <v>137</v>
      </c>
      <c r="C794">
        <v>1580</v>
      </c>
      <c r="D794" t="s">
        <v>341</v>
      </c>
      <c r="E794">
        <v>29.23</v>
      </c>
      <c r="F794">
        <v>15.87</v>
      </c>
      <c r="G794">
        <v>17.04</v>
      </c>
      <c r="H794">
        <v>32.909999999999997</v>
      </c>
      <c r="I794" t="s">
        <v>344</v>
      </c>
      <c r="J794">
        <v>19.63</v>
      </c>
      <c r="K794">
        <v>7.17</v>
      </c>
      <c r="L794" t="s">
        <v>346</v>
      </c>
      <c r="M794" s="1">
        <v>7.17E-2</v>
      </c>
      <c r="N794" t="s">
        <v>350</v>
      </c>
      <c r="O794">
        <v>-0.16</v>
      </c>
      <c r="P794" t="s">
        <v>343</v>
      </c>
      <c r="Q794">
        <v>3.39</v>
      </c>
      <c r="R794" t="s">
        <v>344</v>
      </c>
      <c r="S794">
        <v>1</v>
      </c>
    </row>
    <row r="795" spans="1:19" x14ac:dyDescent="0.25">
      <c r="A795" t="s">
        <v>29</v>
      </c>
      <c r="B795" t="s">
        <v>138</v>
      </c>
      <c r="C795">
        <v>1600</v>
      </c>
      <c r="D795" t="s">
        <v>341</v>
      </c>
      <c r="E795">
        <v>29.23</v>
      </c>
      <c r="F795">
        <v>16.11</v>
      </c>
      <c r="G795">
        <v>16.87</v>
      </c>
      <c r="H795">
        <v>32.99</v>
      </c>
      <c r="I795" t="s">
        <v>344</v>
      </c>
      <c r="J795">
        <v>21.19</v>
      </c>
      <c r="K795">
        <v>7.76</v>
      </c>
      <c r="L795" t="s">
        <v>346</v>
      </c>
      <c r="M795" s="1">
        <v>7.7600000000000002E-2</v>
      </c>
      <c r="N795" t="s">
        <v>350</v>
      </c>
      <c r="O795">
        <v>-0.45</v>
      </c>
      <c r="P795" t="s">
        <v>343</v>
      </c>
      <c r="Q795">
        <v>4.62</v>
      </c>
      <c r="R795" t="s">
        <v>343</v>
      </c>
      <c r="S795">
        <v>1</v>
      </c>
    </row>
    <row r="796" spans="1:19" x14ac:dyDescent="0.25">
      <c r="A796" t="s">
        <v>29</v>
      </c>
      <c r="B796" t="s">
        <v>139</v>
      </c>
      <c r="C796">
        <v>1620</v>
      </c>
      <c r="D796" t="s">
        <v>341</v>
      </c>
      <c r="E796">
        <v>29.23</v>
      </c>
      <c r="F796">
        <v>16.059999999999999</v>
      </c>
      <c r="G796">
        <v>16.87</v>
      </c>
      <c r="H796">
        <v>32.93</v>
      </c>
      <c r="I796" t="s">
        <v>344</v>
      </c>
      <c r="J796">
        <v>22.61</v>
      </c>
      <c r="K796">
        <v>7.12</v>
      </c>
      <c r="L796" t="s">
        <v>346</v>
      </c>
      <c r="M796" s="1">
        <v>7.1199999999999999E-2</v>
      </c>
      <c r="N796" t="s">
        <v>350</v>
      </c>
      <c r="O796">
        <v>-1.3</v>
      </c>
      <c r="P796" t="s">
        <v>343</v>
      </c>
      <c r="Q796">
        <v>4.1100000000000003</v>
      </c>
      <c r="R796" t="s">
        <v>343</v>
      </c>
      <c r="S796">
        <v>1</v>
      </c>
    </row>
    <row r="797" spans="1:19" x14ac:dyDescent="0.25">
      <c r="A797" t="s">
        <v>29</v>
      </c>
      <c r="B797" t="s">
        <v>140</v>
      </c>
      <c r="C797">
        <v>1640</v>
      </c>
      <c r="D797" t="s">
        <v>341</v>
      </c>
      <c r="E797">
        <v>29.23</v>
      </c>
      <c r="F797">
        <v>16.059999999999999</v>
      </c>
      <c r="G797">
        <v>17.940000000000001</v>
      </c>
      <c r="H797">
        <v>34</v>
      </c>
      <c r="I797" t="s">
        <v>344</v>
      </c>
      <c r="J797">
        <v>24.14</v>
      </c>
      <c r="K797">
        <v>7.64</v>
      </c>
      <c r="L797" t="s">
        <v>346</v>
      </c>
      <c r="M797" s="1">
        <v>7.6399999999999996E-2</v>
      </c>
      <c r="N797" t="s">
        <v>350</v>
      </c>
      <c r="O797">
        <v>-0.16</v>
      </c>
      <c r="P797" t="s">
        <v>343</v>
      </c>
      <c r="Q797">
        <v>3.9</v>
      </c>
      <c r="R797" t="s">
        <v>344</v>
      </c>
      <c r="S797">
        <v>1</v>
      </c>
    </row>
    <row r="798" spans="1:19" x14ac:dyDescent="0.25">
      <c r="A798" t="s">
        <v>29</v>
      </c>
      <c r="B798" t="s">
        <v>141</v>
      </c>
      <c r="C798">
        <v>1660</v>
      </c>
      <c r="D798" t="s">
        <v>341</v>
      </c>
      <c r="E798">
        <v>29.23</v>
      </c>
      <c r="F798">
        <v>16.05</v>
      </c>
      <c r="G798">
        <v>17.54</v>
      </c>
      <c r="H798">
        <v>33.590000000000003</v>
      </c>
      <c r="I798" t="s">
        <v>344</v>
      </c>
      <c r="J798">
        <v>25.52</v>
      </c>
      <c r="K798">
        <v>6.91</v>
      </c>
      <c r="L798" t="s">
        <v>346</v>
      </c>
      <c r="M798" s="1">
        <v>6.9099999999999995E-2</v>
      </c>
      <c r="N798" t="s">
        <v>350</v>
      </c>
      <c r="O798">
        <v>-1.47</v>
      </c>
      <c r="P798" t="s">
        <v>343</v>
      </c>
      <c r="Q798">
        <v>4.3099999999999996</v>
      </c>
      <c r="R798" t="s">
        <v>343</v>
      </c>
      <c r="S798">
        <v>1</v>
      </c>
    </row>
    <row r="799" spans="1:19" x14ac:dyDescent="0.25">
      <c r="A799" t="s">
        <v>29</v>
      </c>
      <c r="B799" t="s">
        <v>142</v>
      </c>
      <c r="C799">
        <v>1680</v>
      </c>
      <c r="D799" t="s">
        <v>341</v>
      </c>
      <c r="E799">
        <v>29.23</v>
      </c>
      <c r="F799">
        <v>15.98</v>
      </c>
      <c r="G799">
        <v>17.54</v>
      </c>
      <c r="H799">
        <v>33.520000000000003</v>
      </c>
      <c r="I799" t="s">
        <v>344</v>
      </c>
      <c r="J799">
        <v>26.89</v>
      </c>
      <c r="K799">
        <v>6.85</v>
      </c>
      <c r="L799" t="s">
        <v>346</v>
      </c>
      <c r="M799" s="1">
        <v>6.8499999999999991E-2</v>
      </c>
      <c r="N799" t="s">
        <v>350</v>
      </c>
      <c r="O799">
        <v>-1.1100000000000001</v>
      </c>
      <c r="P799" t="s">
        <v>343</v>
      </c>
      <c r="Q799">
        <v>4.6900000000000004</v>
      </c>
      <c r="R799" t="s">
        <v>343</v>
      </c>
      <c r="S799">
        <v>1</v>
      </c>
    </row>
    <row r="800" spans="1:19" x14ac:dyDescent="0.25">
      <c r="A800" t="s">
        <v>29</v>
      </c>
      <c r="B800" t="s">
        <v>143</v>
      </c>
      <c r="C800">
        <v>1700</v>
      </c>
      <c r="D800" t="s">
        <v>341</v>
      </c>
      <c r="E800">
        <v>29.23</v>
      </c>
      <c r="F800">
        <v>16.420000000000002</v>
      </c>
      <c r="G800">
        <v>16.8</v>
      </c>
      <c r="H800">
        <v>33.22</v>
      </c>
      <c r="I800" t="s">
        <v>344</v>
      </c>
      <c r="J800">
        <v>28.14</v>
      </c>
      <c r="K800">
        <v>6.27</v>
      </c>
      <c r="L800" t="s">
        <v>346</v>
      </c>
      <c r="M800" s="1">
        <v>6.2699999999999992E-2</v>
      </c>
      <c r="N800" t="s">
        <v>350</v>
      </c>
      <c r="O800">
        <v>-1.76</v>
      </c>
      <c r="P800" t="s">
        <v>343</v>
      </c>
      <c r="Q800">
        <v>4.8499999999999996</v>
      </c>
      <c r="R800" t="s">
        <v>343</v>
      </c>
      <c r="S800">
        <v>1</v>
      </c>
    </row>
    <row r="801" spans="1:19" x14ac:dyDescent="0.25">
      <c r="A801" t="s">
        <v>29</v>
      </c>
      <c r="B801" t="s">
        <v>144</v>
      </c>
      <c r="C801">
        <v>1720</v>
      </c>
      <c r="D801" t="s">
        <v>341</v>
      </c>
      <c r="E801">
        <v>29.23</v>
      </c>
      <c r="F801">
        <v>16.68</v>
      </c>
      <c r="G801">
        <v>17.37</v>
      </c>
      <c r="H801">
        <v>34.049999999999997</v>
      </c>
      <c r="I801" t="s">
        <v>344</v>
      </c>
      <c r="J801">
        <v>29.47</v>
      </c>
      <c r="K801">
        <v>6.61</v>
      </c>
      <c r="L801" t="s">
        <v>346</v>
      </c>
      <c r="M801" s="1">
        <v>6.6100000000000006E-2</v>
      </c>
      <c r="N801" t="s">
        <v>350</v>
      </c>
      <c r="O801">
        <v>-2.44</v>
      </c>
      <c r="P801" t="s">
        <v>344</v>
      </c>
      <c r="Q801">
        <v>3.96</v>
      </c>
      <c r="R801" t="s">
        <v>344</v>
      </c>
      <c r="S801">
        <v>1</v>
      </c>
    </row>
    <row r="802" spans="1:19" x14ac:dyDescent="0.25">
      <c r="A802" t="s">
        <v>29</v>
      </c>
      <c r="B802" t="s">
        <v>145</v>
      </c>
      <c r="C802">
        <v>1740</v>
      </c>
      <c r="D802" t="s">
        <v>341</v>
      </c>
      <c r="E802">
        <v>29.23</v>
      </c>
      <c r="F802">
        <v>15.51</v>
      </c>
      <c r="G802">
        <v>17.11</v>
      </c>
      <c r="H802">
        <v>32.619999999999997</v>
      </c>
      <c r="I802" t="s">
        <v>344</v>
      </c>
      <c r="J802">
        <v>30.94</v>
      </c>
      <c r="K802">
        <v>7.35</v>
      </c>
      <c r="L802" t="s">
        <v>346</v>
      </c>
      <c r="M802" s="1">
        <v>7.3499999999999996E-2</v>
      </c>
      <c r="N802" t="s">
        <v>350</v>
      </c>
      <c r="O802">
        <v>-1.67</v>
      </c>
      <c r="P802" t="s">
        <v>343</v>
      </c>
      <c r="Q802">
        <v>4.26</v>
      </c>
      <c r="R802" t="s">
        <v>343</v>
      </c>
      <c r="S802">
        <v>1</v>
      </c>
    </row>
    <row r="803" spans="1:19" x14ac:dyDescent="0.25">
      <c r="A803" t="s">
        <v>29</v>
      </c>
      <c r="B803" t="s">
        <v>146</v>
      </c>
      <c r="C803">
        <v>1760</v>
      </c>
      <c r="D803" t="s">
        <v>341</v>
      </c>
      <c r="E803">
        <v>29.23</v>
      </c>
      <c r="F803">
        <v>15.39</v>
      </c>
      <c r="G803">
        <v>17.559999999999999</v>
      </c>
      <c r="H803">
        <v>32.950000000000003</v>
      </c>
      <c r="I803" t="s">
        <v>344</v>
      </c>
      <c r="J803">
        <v>32.29</v>
      </c>
      <c r="K803">
        <v>6.77</v>
      </c>
      <c r="L803" t="s">
        <v>346</v>
      </c>
      <c r="M803" s="1">
        <v>6.7699999999999996E-2</v>
      </c>
      <c r="N803" t="s">
        <v>350</v>
      </c>
      <c r="O803">
        <v>-1.2</v>
      </c>
      <c r="P803" t="s">
        <v>343</v>
      </c>
      <c r="Q803">
        <v>3.47</v>
      </c>
      <c r="R803" t="s">
        <v>344</v>
      </c>
      <c r="S803">
        <v>1</v>
      </c>
    </row>
    <row r="804" spans="1:19" x14ac:dyDescent="0.25">
      <c r="A804" t="s">
        <v>29</v>
      </c>
      <c r="B804" t="s">
        <v>147</v>
      </c>
      <c r="C804">
        <v>1780</v>
      </c>
      <c r="D804" t="s">
        <v>341</v>
      </c>
      <c r="E804">
        <v>29.23</v>
      </c>
      <c r="F804">
        <v>14.58</v>
      </c>
      <c r="G804">
        <v>18.22</v>
      </c>
      <c r="H804">
        <v>32.799999999999997</v>
      </c>
      <c r="I804" t="s">
        <v>344</v>
      </c>
      <c r="J804">
        <v>33.81</v>
      </c>
      <c r="K804">
        <v>7.61</v>
      </c>
      <c r="L804" t="s">
        <v>346</v>
      </c>
      <c r="M804" s="1">
        <v>7.6100000000000001E-2</v>
      </c>
      <c r="N804" t="s">
        <v>350</v>
      </c>
      <c r="O804">
        <v>-0.87</v>
      </c>
      <c r="P804" t="s">
        <v>343</v>
      </c>
      <c r="Q804">
        <v>3.63</v>
      </c>
      <c r="R804" t="s">
        <v>344</v>
      </c>
      <c r="S804">
        <v>1</v>
      </c>
    </row>
    <row r="805" spans="1:19" x14ac:dyDescent="0.25">
      <c r="A805" t="s">
        <v>29</v>
      </c>
      <c r="B805" t="s">
        <v>148</v>
      </c>
      <c r="C805">
        <v>1800</v>
      </c>
      <c r="D805" t="s">
        <v>341</v>
      </c>
      <c r="E805">
        <v>29.23</v>
      </c>
      <c r="F805">
        <v>15.28</v>
      </c>
      <c r="G805">
        <v>18.05</v>
      </c>
      <c r="H805">
        <v>33.340000000000003</v>
      </c>
      <c r="I805" t="s">
        <v>344</v>
      </c>
      <c r="J805">
        <v>35.340000000000003</v>
      </c>
      <c r="K805">
        <v>7.65</v>
      </c>
      <c r="L805" t="s">
        <v>346</v>
      </c>
      <c r="M805" s="1">
        <v>7.6499999999999999E-2</v>
      </c>
      <c r="N805" t="s">
        <v>350</v>
      </c>
      <c r="O805">
        <v>-0.93</v>
      </c>
      <c r="P805" t="s">
        <v>343</v>
      </c>
      <c r="Q805">
        <v>4.13</v>
      </c>
      <c r="R805" t="s">
        <v>343</v>
      </c>
      <c r="S805">
        <v>1</v>
      </c>
    </row>
    <row r="806" spans="1:19" x14ac:dyDescent="0.25">
      <c r="A806" t="s">
        <v>29</v>
      </c>
      <c r="B806" t="s">
        <v>149</v>
      </c>
      <c r="C806">
        <v>1820</v>
      </c>
      <c r="D806" t="s">
        <v>341</v>
      </c>
      <c r="E806">
        <v>29.23</v>
      </c>
      <c r="F806">
        <v>15.18</v>
      </c>
      <c r="G806">
        <v>17.54</v>
      </c>
      <c r="H806">
        <v>32.72</v>
      </c>
      <c r="I806" t="s">
        <v>344</v>
      </c>
      <c r="J806">
        <v>37.049999999999997</v>
      </c>
      <c r="K806">
        <v>8.56</v>
      </c>
      <c r="L806" t="s">
        <v>347</v>
      </c>
      <c r="M806" s="1">
        <v>8.5600000000000009E-2</v>
      </c>
      <c r="N806" t="s">
        <v>350</v>
      </c>
      <c r="O806">
        <v>1.03</v>
      </c>
      <c r="P806" t="s">
        <v>343</v>
      </c>
      <c r="Q806">
        <v>5.01</v>
      </c>
      <c r="R806" t="s">
        <v>343</v>
      </c>
      <c r="S806">
        <v>1</v>
      </c>
    </row>
    <row r="807" spans="1:19" x14ac:dyDescent="0.25">
      <c r="A807" t="s">
        <v>29</v>
      </c>
      <c r="B807" t="s">
        <v>150</v>
      </c>
      <c r="C807">
        <v>1840</v>
      </c>
      <c r="D807" t="s">
        <v>341</v>
      </c>
      <c r="E807">
        <v>29.23</v>
      </c>
      <c r="F807">
        <v>14.67</v>
      </c>
      <c r="G807">
        <v>17.68</v>
      </c>
      <c r="H807">
        <v>32.35</v>
      </c>
      <c r="I807" t="s">
        <v>344</v>
      </c>
      <c r="J807">
        <v>38.56</v>
      </c>
      <c r="K807">
        <v>7.55</v>
      </c>
      <c r="L807" t="s">
        <v>346</v>
      </c>
      <c r="M807" s="1">
        <v>7.5499999999999998E-2</v>
      </c>
      <c r="N807" t="s">
        <v>350</v>
      </c>
      <c r="O807">
        <v>0.97</v>
      </c>
      <c r="P807" t="s">
        <v>343</v>
      </c>
      <c r="Q807">
        <v>4.25</v>
      </c>
      <c r="R807" t="s">
        <v>343</v>
      </c>
      <c r="S807">
        <v>1</v>
      </c>
    </row>
    <row r="808" spans="1:19" x14ac:dyDescent="0.25">
      <c r="A808" t="s">
        <v>29</v>
      </c>
      <c r="B808" t="s">
        <v>151</v>
      </c>
      <c r="C808">
        <v>1860</v>
      </c>
      <c r="D808" t="s">
        <v>341</v>
      </c>
      <c r="E808">
        <v>29.23</v>
      </c>
      <c r="F808">
        <v>15.17</v>
      </c>
      <c r="G808">
        <v>17.53</v>
      </c>
      <c r="H808">
        <v>32.700000000000003</v>
      </c>
      <c r="I808" t="s">
        <v>344</v>
      </c>
      <c r="J808">
        <v>40.25</v>
      </c>
      <c r="K808">
        <v>8.44</v>
      </c>
      <c r="L808" t="s">
        <v>347</v>
      </c>
      <c r="M808" s="1">
        <v>8.4399999999999989E-2</v>
      </c>
      <c r="N808" t="s">
        <v>350</v>
      </c>
      <c r="O808">
        <v>0.69</v>
      </c>
      <c r="P808" t="s">
        <v>343</v>
      </c>
      <c r="Q808">
        <v>4.17</v>
      </c>
      <c r="R808" t="s">
        <v>343</v>
      </c>
      <c r="S808">
        <v>1</v>
      </c>
    </row>
    <row r="809" spans="1:19" x14ac:dyDescent="0.25">
      <c r="A809" t="s">
        <v>29</v>
      </c>
      <c r="B809" t="s">
        <v>152</v>
      </c>
      <c r="C809">
        <v>1880</v>
      </c>
      <c r="D809" t="s">
        <v>341</v>
      </c>
      <c r="E809">
        <v>29.23</v>
      </c>
      <c r="F809">
        <v>15.24</v>
      </c>
      <c r="G809">
        <v>16.72</v>
      </c>
      <c r="H809">
        <v>31.96</v>
      </c>
      <c r="I809" t="s">
        <v>344</v>
      </c>
      <c r="J809">
        <v>41.76</v>
      </c>
      <c r="K809">
        <v>7.52</v>
      </c>
      <c r="L809" t="s">
        <v>346</v>
      </c>
      <c r="M809" s="1">
        <v>7.5199999999999989E-2</v>
      </c>
      <c r="N809" t="s">
        <v>350</v>
      </c>
      <c r="O809">
        <v>1.29</v>
      </c>
      <c r="P809" t="s">
        <v>343</v>
      </c>
      <c r="Q809">
        <v>2.65</v>
      </c>
      <c r="R809" t="s">
        <v>344</v>
      </c>
      <c r="S809">
        <v>1</v>
      </c>
    </row>
    <row r="810" spans="1:19" x14ac:dyDescent="0.25">
      <c r="A810" t="s">
        <v>29</v>
      </c>
      <c r="B810" t="s">
        <v>153</v>
      </c>
      <c r="C810">
        <v>1900</v>
      </c>
      <c r="D810" t="s">
        <v>341</v>
      </c>
      <c r="E810">
        <v>29.23</v>
      </c>
      <c r="F810">
        <v>15.45</v>
      </c>
      <c r="G810">
        <v>16.989999999999998</v>
      </c>
      <c r="H810">
        <v>32.44</v>
      </c>
      <c r="I810" t="s">
        <v>344</v>
      </c>
      <c r="J810">
        <v>43.41</v>
      </c>
      <c r="K810">
        <v>8.26</v>
      </c>
      <c r="L810" t="s">
        <v>347</v>
      </c>
      <c r="M810" s="1">
        <v>8.2599999999999993E-2</v>
      </c>
      <c r="N810" t="s">
        <v>350</v>
      </c>
      <c r="O810">
        <v>1.06</v>
      </c>
      <c r="P810" t="s">
        <v>343</v>
      </c>
      <c r="Q810">
        <v>2.88</v>
      </c>
      <c r="R810" t="s">
        <v>344</v>
      </c>
      <c r="S810">
        <v>1</v>
      </c>
    </row>
    <row r="811" spans="1:19" x14ac:dyDescent="0.25">
      <c r="A811" t="s">
        <v>29</v>
      </c>
      <c r="B811" t="s">
        <v>154</v>
      </c>
      <c r="C811">
        <v>1920</v>
      </c>
      <c r="D811" t="s">
        <v>341</v>
      </c>
      <c r="E811">
        <v>29.23</v>
      </c>
      <c r="F811">
        <v>14.72</v>
      </c>
      <c r="G811">
        <v>16.829999999999998</v>
      </c>
      <c r="H811">
        <v>31.55</v>
      </c>
      <c r="I811" t="s">
        <v>344</v>
      </c>
      <c r="J811">
        <v>45.06</v>
      </c>
      <c r="K811">
        <v>8.26</v>
      </c>
      <c r="L811" t="s">
        <v>347</v>
      </c>
      <c r="M811" s="1">
        <v>8.2599999999999993E-2</v>
      </c>
      <c r="N811" t="s">
        <v>350</v>
      </c>
      <c r="O811">
        <v>0.8</v>
      </c>
      <c r="P811" t="s">
        <v>343</v>
      </c>
      <c r="Q811">
        <v>4.2</v>
      </c>
      <c r="R811" t="s">
        <v>343</v>
      </c>
      <c r="S811">
        <v>1</v>
      </c>
    </row>
    <row r="812" spans="1:19" x14ac:dyDescent="0.25">
      <c r="A812" t="s">
        <v>29</v>
      </c>
      <c r="B812" t="s">
        <v>155</v>
      </c>
      <c r="C812">
        <v>1940</v>
      </c>
      <c r="D812" t="s">
        <v>341</v>
      </c>
      <c r="E812">
        <v>29.23</v>
      </c>
      <c r="F812">
        <v>14.55</v>
      </c>
      <c r="G812">
        <v>16.79</v>
      </c>
      <c r="H812">
        <v>31.33</v>
      </c>
      <c r="I812" t="s">
        <v>344</v>
      </c>
      <c r="J812">
        <v>46.66</v>
      </c>
      <c r="K812">
        <v>7.98</v>
      </c>
      <c r="L812" t="s">
        <v>346</v>
      </c>
      <c r="M812" s="1">
        <v>7.980000000000001E-2</v>
      </c>
      <c r="N812" t="s">
        <v>350</v>
      </c>
      <c r="O812">
        <v>0.75</v>
      </c>
      <c r="P812" t="s">
        <v>343</v>
      </c>
      <c r="Q812">
        <v>3.46</v>
      </c>
      <c r="R812" t="s">
        <v>344</v>
      </c>
      <c r="S812">
        <v>1</v>
      </c>
    </row>
    <row r="813" spans="1:19" x14ac:dyDescent="0.25">
      <c r="A813" t="s">
        <v>29</v>
      </c>
      <c r="B813" t="s">
        <v>156</v>
      </c>
      <c r="C813">
        <v>1960</v>
      </c>
      <c r="D813" t="s">
        <v>341</v>
      </c>
      <c r="E813">
        <v>29.23</v>
      </c>
      <c r="F813">
        <v>15.07</v>
      </c>
      <c r="G813">
        <v>16.18</v>
      </c>
      <c r="H813">
        <v>31.25</v>
      </c>
      <c r="I813" t="s">
        <v>344</v>
      </c>
      <c r="J813">
        <v>48.12</v>
      </c>
      <c r="K813">
        <v>7.3</v>
      </c>
      <c r="L813" t="s">
        <v>346</v>
      </c>
      <c r="M813" s="1">
        <v>7.2999999999999995E-2</v>
      </c>
      <c r="N813" t="s">
        <v>350</v>
      </c>
      <c r="O813">
        <v>0.64</v>
      </c>
      <c r="P813" t="s">
        <v>343</v>
      </c>
      <c r="Q813">
        <v>3.11</v>
      </c>
      <c r="R813" t="s">
        <v>344</v>
      </c>
      <c r="S813">
        <v>1</v>
      </c>
    </row>
    <row r="814" spans="1:19" x14ac:dyDescent="0.25">
      <c r="A814" t="s">
        <v>29</v>
      </c>
      <c r="B814" t="s">
        <v>157</v>
      </c>
      <c r="C814">
        <v>1980</v>
      </c>
      <c r="D814" t="s">
        <v>341</v>
      </c>
      <c r="E814">
        <v>29.23</v>
      </c>
      <c r="F814">
        <v>14.45</v>
      </c>
      <c r="G814">
        <v>15.86</v>
      </c>
      <c r="H814">
        <v>30.31</v>
      </c>
      <c r="I814" t="s">
        <v>344</v>
      </c>
      <c r="J814">
        <v>49.43</v>
      </c>
      <c r="K814">
        <v>6.56</v>
      </c>
      <c r="L814" t="s">
        <v>346</v>
      </c>
      <c r="M814" s="1">
        <v>6.5599999999999992E-2</v>
      </c>
      <c r="N814" t="s">
        <v>350</v>
      </c>
      <c r="O814">
        <v>-0.03</v>
      </c>
      <c r="P814" t="s">
        <v>343</v>
      </c>
      <c r="Q814">
        <v>2.33</v>
      </c>
      <c r="R814" t="s">
        <v>344</v>
      </c>
      <c r="S814">
        <v>1</v>
      </c>
    </row>
    <row r="815" spans="1:19" x14ac:dyDescent="0.25">
      <c r="A815" t="s">
        <v>29</v>
      </c>
      <c r="B815" t="s">
        <v>158</v>
      </c>
      <c r="C815">
        <v>2000</v>
      </c>
      <c r="D815" t="s">
        <v>341</v>
      </c>
      <c r="E815">
        <v>29.23</v>
      </c>
      <c r="F815">
        <v>13.26</v>
      </c>
      <c r="G815">
        <v>16.27</v>
      </c>
      <c r="H815">
        <v>29.53</v>
      </c>
      <c r="I815" t="s">
        <v>344</v>
      </c>
      <c r="J815">
        <v>50.93</v>
      </c>
      <c r="K815">
        <v>7.52</v>
      </c>
      <c r="L815" t="s">
        <v>346</v>
      </c>
      <c r="M815" s="1">
        <v>7.5199999999999989E-2</v>
      </c>
      <c r="N815" t="s">
        <v>350</v>
      </c>
      <c r="O815">
        <v>-0.35</v>
      </c>
      <c r="P815" t="s">
        <v>343</v>
      </c>
      <c r="Q815">
        <v>3.92</v>
      </c>
      <c r="R815" t="s">
        <v>344</v>
      </c>
      <c r="S815">
        <v>1</v>
      </c>
    </row>
    <row r="816" spans="1:19" x14ac:dyDescent="0.25">
      <c r="A816" t="s">
        <v>29</v>
      </c>
      <c r="B816" t="s">
        <v>159</v>
      </c>
      <c r="C816">
        <v>2020</v>
      </c>
      <c r="D816" t="s">
        <v>341</v>
      </c>
      <c r="E816">
        <v>29.23</v>
      </c>
      <c r="F816">
        <v>14.45</v>
      </c>
      <c r="G816">
        <v>16.2</v>
      </c>
      <c r="H816">
        <v>30.65</v>
      </c>
      <c r="I816" t="s">
        <v>344</v>
      </c>
      <c r="J816">
        <v>52.53</v>
      </c>
      <c r="K816">
        <v>7.97</v>
      </c>
      <c r="L816" t="s">
        <v>346</v>
      </c>
      <c r="M816" s="1">
        <v>7.9699999999999993E-2</v>
      </c>
      <c r="N816" t="s">
        <v>350</v>
      </c>
      <c r="O816">
        <v>-1.75</v>
      </c>
      <c r="P816" t="s">
        <v>343</v>
      </c>
      <c r="Q816">
        <v>4.95</v>
      </c>
      <c r="R816" t="s">
        <v>343</v>
      </c>
      <c r="S816">
        <v>1</v>
      </c>
    </row>
    <row r="817" spans="1:19" x14ac:dyDescent="0.25">
      <c r="A817" t="s">
        <v>29</v>
      </c>
      <c r="B817" t="s">
        <v>229</v>
      </c>
      <c r="C817">
        <v>2025.07</v>
      </c>
      <c r="D817" t="s">
        <v>341</v>
      </c>
      <c r="E817">
        <v>29.23</v>
      </c>
      <c r="F817">
        <v>17.5</v>
      </c>
      <c r="G817">
        <v>15.45</v>
      </c>
      <c r="H817">
        <v>32.950000000000003</v>
      </c>
      <c r="I817" t="s">
        <v>344</v>
      </c>
      <c r="J817">
        <v>52.7</v>
      </c>
      <c r="K817">
        <v>3.32</v>
      </c>
      <c r="L817" t="s">
        <v>346</v>
      </c>
      <c r="M817" s="1">
        <v>3.32E-2</v>
      </c>
      <c r="N817" t="s">
        <v>350</v>
      </c>
      <c r="O817">
        <v>-3.7</v>
      </c>
      <c r="P817" t="s">
        <v>344</v>
      </c>
      <c r="Q817">
        <v>4.67</v>
      </c>
      <c r="R817" t="s">
        <v>343</v>
      </c>
      <c r="S817">
        <v>0</v>
      </c>
    </row>
    <row r="818" spans="1:19" x14ac:dyDescent="0.25">
      <c r="A818" t="s">
        <v>30</v>
      </c>
      <c r="B818" t="s">
        <v>56</v>
      </c>
      <c r="C818">
        <v>0</v>
      </c>
      <c r="D818" t="s">
        <v>341</v>
      </c>
      <c r="E818">
        <v>29.23</v>
      </c>
      <c r="F818">
        <v>16.89</v>
      </c>
      <c r="G818">
        <v>16.2</v>
      </c>
      <c r="H818">
        <v>33.08</v>
      </c>
      <c r="I818" t="s">
        <v>344</v>
      </c>
      <c r="J818">
        <v>32.06</v>
      </c>
      <c r="L818" t="s">
        <v>345</v>
      </c>
      <c r="N818" t="s">
        <v>345</v>
      </c>
      <c r="O818">
        <v>4.09</v>
      </c>
      <c r="P818" t="s">
        <v>343</v>
      </c>
      <c r="Q818">
        <v>-7.3</v>
      </c>
      <c r="R818" t="s">
        <v>343</v>
      </c>
      <c r="S818">
        <v>1</v>
      </c>
    </row>
    <row r="819" spans="1:19" x14ac:dyDescent="0.25">
      <c r="A819" t="s">
        <v>30</v>
      </c>
      <c r="B819" t="s">
        <v>57</v>
      </c>
      <c r="C819">
        <v>20</v>
      </c>
      <c r="D819" t="s">
        <v>341</v>
      </c>
      <c r="E819">
        <v>29.23</v>
      </c>
      <c r="F819">
        <v>16.89</v>
      </c>
      <c r="G819">
        <v>15.45</v>
      </c>
      <c r="H819">
        <v>32.33</v>
      </c>
      <c r="I819" t="s">
        <v>344</v>
      </c>
      <c r="J819">
        <v>31.32</v>
      </c>
      <c r="K819">
        <v>-3.69</v>
      </c>
      <c r="L819" t="s">
        <v>346</v>
      </c>
      <c r="M819" s="1">
        <v>3.6900000000000002E-2</v>
      </c>
      <c r="N819" t="s">
        <v>350</v>
      </c>
      <c r="O819">
        <v>3.44</v>
      </c>
      <c r="P819" t="s">
        <v>344</v>
      </c>
      <c r="Q819">
        <v>-12.63</v>
      </c>
      <c r="R819" t="s">
        <v>343</v>
      </c>
      <c r="S819">
        <v>1</v>
      </c>
    </row>
    <row r="820" spans="1:19" x14ac:dyDescent="0.25">
      <c r="A820" t="s">
        <v>30</v>
      </c>
      <c r="B820" t="s">
        <v>58</v>
      </c>
      <c r="C820">
        <v>40</v>
      </c>
      <c r="D820" t="s">
        <v>341</v>
      </c>
      <c r="E820">
        <v>29.23</v>
      </c>
      <c r="F820">
        <v>15.49</v>
      </c>
      <c r="G820">
        <v>12.54</v>
      </c>
      <c r="H820">
        <v>28.02</v>
      </c>
      <c r="I820" t="s">
        <v>343</v>
      </c>
      <c r="J820">
        <v>30.11</v>
      </c>
      <c r="K820">
        <v>-6.01</v>
      </c>
      <c r="L820" t="s">
        <v>346</v>
      </c>
      <c r="M820" s="1">
        <v>6.0100000000000001E-2</v>
      </c>
      <c r="N820" t="s">
        <v>350</v>
      </c>
      <c r="O820">
        <v>2.06</v>
      </c>
      <c r="P820" t="s">
        <v>344</v>
      </c>
      <c r="Q820">
        <v>-3.24</v>
      </c>
      <c r="R820" t="s">
        <v>344</v>
      </c>
      <c r="S820">
        <v>1</v>
      </c>
    </row>
    <row r="821" spans="1:19" x14ac:dyDescent="0.25">
      <c r="A821" t="s">
        <v>30</v>
      </c>
      <c r="B821" t="s">
        <v>59</v>
      </c>
      <c r="C821">
        <v>60</v>
      </c>
      <c r="D821" t="s">
        <v>341</v>
      </c>
      <c r="E821">
        <v>29.23</v>
      </c>
      <c r="F821">
        <v>13.45</v>
      </c>
      <c r="G821">
        <v>14</v>
      </c>
      <c r="H821">
        <v>27.45</v>
      </c>
      <c r="I821" t="s">
        <v>343</v>
      </c>
      <c r="J821">
        <v>27.91</v>
      </c>
      <c r="K821">
        <v>-11</v>
      </c>
      <c r="L821" t="s">
        <v>348</v>
      </c>
      <c r="M821" s="1">
        <v>0.11</v>
      </c>
      <c r="N821" t="s">
        <v>350</v>
      </c>
      <c r="O821">
        <v>2.0699999999999998</v>
      </c>
      <c r="P821" t="s">
        <v>344</v>
      </c>
      <c r="Q821">
        <v>-1.24</v>
      </c>
      <c r="R821" t="s">
        <v>343</v>
      </c>
      <c r="S821">
        <v>1</v>
      </c>
    </row>
    <row r="822" spans="1:19" x14ac:dyDescent="0.25">
      <c r="A822" t="s">
        <v>30</v>
      </c>
      <c r="B822" t="s">
        <v>60</v>
      </c>
      <c r="C822">
        <v>80</v>
      </c>
      <c r="D822" t="s">
        <v>341</v>
      </c>
      <c r="E822">
        <v>29.23</v>
      </c>
      <c r="F822">
        <v>12.14</v>
      </c>
      <c r="G822">
        <v>13.75</v>
      </c>
      <c r="H822">
        <v>25.89</v>
      </c>
      <c r="I822" t="s">
        <v>343</v>
      </c>
      <c r="J822">
        <v>27.19</v>
      </c>
      <c r="K822">
        <v>-3.62</v>
      </c>
      <c r="L822" t="s">
        <v>346</v>
      </c>
      <c r="M822" s="1">
        <v>3.6200000000000003E-2</v>
      </c>
      <c r="N822" t="s">
        <v>350</v>
      </c>
      <c r="O822">
        <v>2.2000000000000002</v>
      </c>
      <c r="P822" t="s">
        <v>344</v>
      </c>
      <c r="Q822">
        <v>0.21</v>
      </c>
      <c r="R822" t="s">
        <v>343</v>
      </c>
      <c r="S822">
        <v>1</v>
      </c>
    </row>
    <row r="823" spans="1:19" x14ac:dyDescent="0.25">
      <c r="A823" t="s">
        <v>30</v>
      </c>
      <c r="B823" t="s">
        <v>61</v>
      </c>
      <c r="C823">
        <v>100</v>
      </c>
      <c r="D823" t="s">
        <v>341</v>
      </c>
      <c r="E823">
        <v>29.23</v>
      </c>
      <c r="F823">
        <v>11.25</v>
      </c>
      <c r="G823">
        <v>13.15</v>
      </c>
      <c r="H823">
        <v>24.4</v>
      </c>
      <c r="I823" t="s">
        <v>343</v>
      </c>
      <c r="J823">
        <v>26.1</v>
      </c>
      <c r="K823">
        <v>-5.47</v>
      </c>
      <c r="L823" t="s">
        <v>346</v>
      </c>
      <c r="M823" s="1">
        <v>5.4699999999999999E-2</v>
      </c>
      <c r="N823" t="s">
        <v>350</v>
      </c>
      <c r="O823">
        <v>1.56</v>
      </c>
      <c r="P823" t="s">
        <v>343</v>
      </c>
      <c r="Q823">
        <v>0.43</v>
      </c>
      <c r="R823" t="s">
        <v>343</v>
      </c>
      <c r="S823">
        <v>1</v>
      </c>
    </row>
    <row r="824" spans="1:19" x14ac:dyDescent="0.25">
      <c r="A824" t="s">
        <v>30</v>
      </c>
      <c r="B824" t="s">
        <v>62</v>
      </c>
      <c r="C824">
        <v>120</v>
      </c>
      <c r="D824" t="s">
        <v>341</v>
      </c>
      <c r="E824">
        <v>29.23</v>
      </c>
      <c r="F824">
        <v>9.17</v>
      </c>
      <c r="G824">
        <v>15.74</v>
      </c>
      <c r="H824">
        <v>24.91</v>
      </c>
      <c r="I824" t="s">
        <v>343</v>
      </c>
      <c r="J824">
        <v>24.49</v>
      </c>
      <c r="K824">
        <v>-8.0299999999999994</v>
      </c>
      <c r="L824" t="s">
        <v>347</v>
      </c>
      <c r="M824" s="1">
        <v>8.0299999999999996E-2</v>
      </c>
      <c r="N824" t="s">
        <v>350</v>
      </c>
      <c r="O824">
        <v>-0.17</v>
      </c>
      <c r="P824" t="s">
        <v>343</v>
      </c>
      <c r="Q824">
        <v>1.58</v>
      </c>
      <c r="R824" t="s">
        <v>343</v>
      </c>
      <c r="S824">
        <v>1</v>
      </c>
    </row>
    <row r="825" spans="1:19" x14ac:dyDescent="0.25">
      <c r="A825" t="s">
        <v>30</v>
      </c>
      <c r="B825" t="s">
        <v>63</v>
      </c>
      <c r="C825">
        <v>140</v>
      </c>
      <c r="D825" t="s">
        <v>341</v>
      </c>
      <c r="E825">
        <v>29.23</v>
      </c>
      <c r="F825">
        <v>9.73</v>
      </c>
      <c r="G825">
        <v>16.53</v>
      </c>
      <c r="H825">
        <v>26.26</v>
      </c>
      <c r="I825" t="s">
        <v>343</v>
      </c>
      <c r="J825">
        <v>22.94</v>
      </c>
      <c r="K825">
        <v>-7.74</v>
      </c>
      <c r="L825" t="s">
        <v>346</v>
      </c>
      <c r="M825" s="1">
        <v>7.7399999999999997E-2</v>
      </c>
      <c r="N825" t="s">
        <v>350</v>
      </c>
      <c r="O825">
        <v>2</v>
      </c>
      <c r="P825" t="s">
        <v>344</v>
      </c>
      <c r="Q825">
        <v>0.28000000000000003</v>
      </c>
      <c r="R825" t="s">
        <v>343</v>
      </c>
      <c r="S825">
        <v>1</v>
      </c>
    </row>
    <row r="826" spans="1:19" x14ac:dyDescent="0.25">
      <c r="A826" t="s">
        <v>30</v>
      </c>
      <c r="B826" t="s">
        <v>64</v>
      </c>
      <c r="C826">
        <v>160</v>
      </c>
      <c r="D826" t="s">
        <v>341</v>
      </c>
      <c r="E826">
        <v>29.23</v>
      </c>
      <c r="F826">
        <v>10.14</v>
      </c>
      <c r="G826">
        <v>15.9</v>
      </c>
      <c r="H826">
        <v>26.03</v>
      </c>
      <c r="I826" t="s">
        <v>343</v>
      </c>
      <c r="J826">
        <v>21.26</v>
      </c>
      <c r="K826">
        <v>-8.41</v>
      </c>
      <c r="L826" t="s">
        <v>347</v>
      </c>
      <c r="M826" s="1">
        <v>8.4100000000000008E-2</v>
      </c>
      <c r="N826" t="s">
        <v>350</v>
      </c>
      <c r="O826">
        <v>1.38</v>
      </c>
      <c r="P826" t="s">
        <v>343</v>
      </c>
      <c r="Q826">
        <v>0.14000000000000001</v>
      </c>
      <c r="R826" t="s">
        <v>343</v>
      </c>
      <c r="S826">
        <v>1</v>
      </c>
    </row>
    <row r="827" spans="1:19" x14ac:dyDescent="0.25">
      <c r="A827" t="s">
        <v>30</v>
      </c>
      <c r="B827" t="s">
        <v>65</v>
      </c>
      <c r="C827">
        <v>180</v>
      </c>
      <c r="D827" t="s">
        <v>341</v>
      </c>
      <c r="E827">
        <v>29.23</v>
      </c>
      <c r="F827">
        <v>9.3800000000000008</v>
      </c>
      <c r="G827">
        <v>15.38</v>
      </c>
      <c r="H827">
        <v>24.76</v>
      </c>
      <c r="I827" t="s">
        <v>343</v>
      </c>
      <c r="J827">
        <v>19.670000000000002</v>
      </c>
      <c r="K827">
        <v>-7.93</v>
      </c>
      <c r="L827" t="s">
        <v>346</v>
      </c>
      <c r="M827" s="1">
        <v>7.9299999999999995E-2</v>
      </c>
      <c r="N827" t="s">
        <v>350</v>
      </c>
      <c r="O827">
        <v>2.52</v>
      </c>
      <c r="P827" t="s">
        <v>344</v>
      </c>
      <c r="Q827">
        <v>-1.08</v>
      </c>
      <c r="R827" t="s">
        <v>343</v>
      </c>
      <c r="S827">
        <v>1</v>
      </c>
    </row>
    <row r="828" spans="1:19" x14ac:dyDescent="0.25">
      <c r="A828" t="s">
        <v>30</v>
      </c>
      <c r="B828" t="s">
        <v>66</v>
      </c>
      <c r="C828">
        <v>200</v>
      </c>
      <c r="D828" t="s">
        <v>341</v>
      </c>
      <c r="E828">
        <v>29.23</v>
      </c>
      <c r="F828">
        <v>9.5</v>
      </c>
      <c r="G828">
        <v>15.65</v>
      </c>
      <c r="H828">
        <v>25.15</v>
      </c>
      <c r="I828" t="s">
        <v>343</v>
      </c>
      <c r="J828">
        <v>18.36</v>
      </c>
      <c r="K828">
        <v>-6.55</v>
      </c>
      <c r="L828" t="s">
        <v>346</v>
      </c>
      <c r="M828" s="1">
        <v>6.5500000000000003E-2</v>
      </c>
      <c r="N828" t="s">
        <v>350</v>
      </c>
      <c r="O828">
        <v>1.1499999999999999</v>
      </c>
      <c r="P828" t="s">
        <v>343</v>
      </c>
      <c r="Q828">
        <v>-2.82</v>
      </c>
      <c r="R828" t="s">
        <v>344</v>
      </c>
      <c r="S828">
        <v>1</v>
      </c>
    </row>
    <row r="829" spans="1:19" x14ac:dyDescent="0.25">
      <c r="A829" t="s">
        <v>30</v>
      </c>
      <c r="B829" t="s">
        <v>67</v>
      </c>
      <c r="C829">
        <v>220</v>
      </c>
      <c r="D829" t="s">
        <v>341</v>
      </c>
      <c r="E829">
        <v>29.23</v>
      </c>
      <c r="F829">
        <v>10.52</v>
      </c>
      <c r="G829">
        <v>14.68</v>
      </c>
      <c r="H829">
        <v>25.2</v>
      </c>
      <c r="I829" t="s">
        <v>343</v>
      </c>
      <c r="J829">
        <v>17.059999999999999</v>
      </c>
      <c r="K829">
        <v>-6.54</v>
      </c>
      <c r="L829" t="s">
        <v>346</v>
      </c>
      <c r="M829" s="1">
        <v>6.54E-2</v>
      </c>
      <c r="N829" t="s">
        <v>350</v>
      </c>
      <c r="O829">
        <v>2.09</v>
      </c>
      <c r="P829" t="s">
        <v>344</v>
      </c>
      <c r="Q829">
        <v>-1.01</v>
      </c>
      <c r="R829" t="s">
        <v>343</v>
      </c>
      <c r="S829">
        <v>1</v>
      </c>
    </row>
    <row r="830" spans="1:19" x14ac:dyDescent="0.25">
      <c r="A830" t="s">
        <v>30</v>
      </c>
      <c r="B830" t="s">
        <v>68</v>
      </c>
      <c r="C830">
        <v>240</v>
      </c>
      <c r="D830" t="s">
        <v>341</v>
      </c>
      <c r="E830">
        <v>29.23</v>
      </c>
      <c r="F830">
        <v>11.7</v>
      </c>
      <c r="G830">
        <v>12.56</v>
      </c>
      <c r="H830">
        <v>24.26</v>
      </c>
      <c r="I830" t="s">
        <v>343</v>
      </c>
      <c r="J830">
        <v>15.46</v>
      </c>
      <c r="K830">
        <v>-7.96</v>
      </c>
      <c r="L830" t="s">
        <v>346</v>
      </c>
      <c r="M830" s="1">
        <v>7.9600000000000004E-2</v>
      </c>
      <c r="N830" t="s">
        <v>350</v>
      </c>
      <c r="O830">
        <v>2.13</v>
      </c>
      <c r="P830" t="s">
        <v>344</v>
      </c>
      <c r="Q830">
        <v>-0.56999999999999995</v>
      </c>
      <c r="R830" t="s">
        <v>343</v>
      </c>
      <c r="S830">
        <v>1</v>
      </c>
    </row>
    <row r="831" spans="1:19" x14ac:dyDescent="0.25">
      <c r="A831" t="s">
        <v>30</v>
      </c>
      <c r="B831" t="s">
        <v>69</v>
      </c>
      <c r="C831">
        <v>260</v>
      </c>
      <c r="D831" t="s">
        <v>341</v>
      </c>
      <c r="E831">
        <v>29.23</v>
      </c>
      <c r="F831">
        <v>13.59</v>
      </c>
      <c r="G831">
        <v>11.75</v>
      </c>
      <c r="H831">
        <v>25.34</v>
      </c>
      <c r="I831" t="s">
        <v>343</v>
      </c>
      <c r="J831">
        <v>13.82</v>
      </c>
      <c r="K831">
        <v>-8.1999999999999993</v>
      </c>
      <c r="L831" t="s">
        <v>347</v>
      </c>
      <c r="M831" s="1">
        <v>8.199999999999999E-2</v>
      </c>
      <c r="N831" t="s">
        <v>350</v>
      </c>
      <c r="O831">
        <v>4.2</v>
      </c>
      <c r="P831" t="s">
        <v>343</v>
      </c>
      <c r="Q831">
        <v>-1.22</v>
      </c>
      <c r="R831" t="s">
        <v>343</v>
      </c>
      <c r="S831">
        <v>1</v>
      </c>
    </row>
    <row r="832" spans="1:19" x14ac:dyDescent="0.25">
      <c r="A832" t="s">
        <v>30</v>
      </c>
      <c r="B832" t="s">
        <v>70</v>
      </c>
      <c r="C832">
        <v>280</v>
      </c>
      <c r="D832" t="s">
        <v>341</v>
      </c>
      <c r="E832">
        <v>29.23</v>
      </c>
      <c r="F832">
        <v>14.58</v>
      </c>
      <c r="G832">
        <v>12.87</v>
      </c>
      <c r="H832">
        <v>27.45</v>
      </c>
      <c r="I832" t="s">
        <v>343</v>
      </c>
      <c r="J832">
        <v>13.61</v>
      </c>
      <c r="K832">
        <v>-1.07</v>
      </c>
      <c r="L832" t="s">
        <v>346</v>
      </c>
      <c r="M832" s="1">
        <v>1.0699999999999999E-2</v>
      </c>
      <c r="N832" t="s">
        <v>349</v>
      </c>
      <c r="O832">
        <v>5.73</v>
      </c>
      <c r="P832" t="s">
        <v>343</v>
      </c>
      <c r="Q832">
        <v>1.82</v>
      </c>
      <c r="R832" t="s">
        <v>343</v>
      </c>
      <c r="S832">
        <v>1</v>
      </c>
    </row>
    <row r="833" spans="1:19" x14ac:dyDescent="0.25">
      <c r="A833" t="s">
        <v>30</v>
      </c>
      <c r="B833" t="s">
        <v>71</v>
      </c>
      <c r="C833">
        <v>300</v>
      </c>
      <c r="D833" t="s">
        <v>341</v>
      </c>
      <c r="E833">
        <v>29.23</v>
      </c>
      <c r="F833">
        <v>15.27</v>
      </c>
      <c r="G833">
        <v>13.53</v>
      </c>
      <c r="H833">
        <v>28.8</v>
      </c>
      <c r="I833" t="s">
        <v>343</v>
      </c>
      <c r="J833">
        <v>12.39</v>
      </c>
      <c r="K833">
        <v>-6.09</v>
      </c>
      <c r="L833" t="s">
        <v>346</v>
      </c>
      <c r="M833" s="1">
        <v>6.0900000000000003E-2</v>
      </c>
      <c r="N833" t="s">
        <v>350</v>
      </c>
      <c r="O833">
        <v>4.6900000000000004</v>
      </c>
      <c r="P833" t="s">
        <v>343</v>
      </c>
      <c r="Q833">
        <v>0.19</v>
      </c>
      <c r="R833" t="s">
        <v>343</v>
      </c>
      <c r="S833">
        <v>1</v>
      </c>
    </row>
    <row r="834" spans="1:19" x14ac:dyDescent="0.25">
      <c r="A834" t="s">
        <v>30</v>
      </c>
      <c r="B834" t="s">
        <v>72</v>
      </c>
      <c r="C834">
        <v>320</v>
      </c>
      <c r="D834" t="s">
        <v>341</v>
      </c>
      <c r="E834">
        <v>29.23</v>
      </c>
      <c r="F834">
        <v>14.96</v>
      </c>
      <c r="G834">
        <v>13.53</v>
      </c>
      <c r="H834">
        <v>28.5</v>
      </c>
      <c r="I834" t="s">
        <v>343</v>
      </c>
      <c r="J834">
        <v>9.42</v>
      </c>
      <c r="K834">
        <v>-14.85</v>
      </c>
      <c r="L834" t="s">
        <v>348</v>
      </c>
      <c r="M834" s="1">
        <v>0.14849999999999999</v>
      </c>
      <c r="N834" t="s">
        <v>350</v>
      </c>
      <c r="O834">
        <v>0.47</v>
      </c>
      <c r="P834" t="s">
        <v>343</v>
      </c>
      <c r="Q834">
        <v>-1.68</v>
      </c>
      <c r="R834" t="s">
        <v>343</v>
      </c>
      <c r="S834">
        <v>1</v>
      </c>
    </row>
    <row r="835" spans="1:19" x14ac:dyDescent="0.25">
      <c r="A835" t="s">
        <v>30</v>
      </c>
      <c r="B835" t="s">
        <v>73</v>
      </c>
      <c r="C835">
        <v>340</v>
      </c>
      <c r="D835" t="s">
        <v>341</v>
      </c>
      <c r="E835">
        <v>29.23</v>
      </c>
      <c r="F835">
        <v>14.96</v>
      </c>
      <c r="G835">
        <v>13.53</v>
      </c>
      <c r="H835">
        <v>28.5</v>
      </c>
      <c r="I835" t="s">
        <v>343</v>
      </c>
      <c r="J835">
        <v>7.47</v>
      </c>
      <c r="K835">
        <v>-9.7799999999999994</v>
      </c>
      <c r="L835" t="s">
        <v>348</v>
      </c>
      <c r="M835" s="1">
        <v>9.7799999999999998E-2</v>
      </c>
      <c r="N835" t="s">
        <v>350</v>
      </c>
      <c r="O835">
        <v>1.63</v>
      </c>
      <c r="P835" t="s">
        <v>343</v>
      </c>
      <c r="Q835">
        <v>-3.82</v>
      </c>
      <c r="R835" t="s">
        <v>344</v>
      </c>
      <c r="S835">
        <v>1</v>
      </c>
    </row>
    <row r="836" spans="1:19" x14ac:dyDescent="0.25">
      <c r="A836" t="s">
        <v>30</v>
      </c>
      <c r="B836" t="s">
        <v>74</v>
      </c>
      <c r="C836">
        <v>360</v>
      </c>
      <c r="D836" t="s">
        <v>341</v>
      </c>
      <c r="E836">
        <v>29.23</v>
      </c>
      <c r="F836">
        <v>14</v>
      </c>
      <c r="G836">
        <v>12.85</v>
      </c>
      <c r="H836">
        <v>26.85</v>
      </c>
      <c r="I836" t="s">
        <v>343</v>
      </c>
      <c r="J836">
        <v>7.22</v>
      </c>
      <c r="K836">
        <v>-1.25</v>
      </c>
      <c r="L836" t="s">
        <v>346</v>
      </c>
      <c r="M836" s="1">
        <v>1.2500000000000001E-2</v>
      </c>
      <c r="N836" t="s">
        <v>349</v>
      </c>
      <c r="O836">
        <v>2.15</v>
      </c>
      <c r="P836" t="s">
        <v>344</v>
      </c>
      <c r="Q836">
        <v>-3.31</v>
      </c>
      <c r="R836" t="s">
        <v>344</v>
      </c>
      <c r="S836">
        <v>1</v>
      </c>
    </row>
    <row r="837" spans="1:19" x14ac:dyDescent="0.25">
      <c r="A837" t="s">
        <v>30</v>
      </c>
      <c r="B837" t="s">
        <v>75</v>
      </c>
      <c r="C837">
        <v>380</v>
      </c>
      <c r="D837" t="s">
        <v>341</v>
      </c>
      <c r="E837">
        <v>29.23</v>
      </c>
      <c r="F837">
        <v>13.17</v>
      </c>
      <c r="G837">
        <v>12.58</v>
      </c>
      <c r="H837">
        <v>25.75</v>
      </c>
      <c r="I837" t="s">
        <v>343</v>
      </c>
      <c r="J837">
        <v>4.1500000000000004</v>
      </c>
      <c r="K837">
        <v>-15.31</v>
      </c>
      <c r="L837" t="s">
        <v>348</v>
      </c>
      <c r="M837" s="1">
        <v>0.15310000000000001</v>
      </c>
      <c r="N837" t="s">
        <v>350</v>
      </c>
      <c r="O837">
        <v>0.81</v>
      </c>
      <c r="P837" t="s">
        <v>343</v>
      </c>
      <c r="Q837">
        <v>-1.25</v>
      </c>
      <c r="R837" t="s">
        <v>343</v>
      </c>
      <c r="S837">
        <v>1</v>
      </c>
    </row>
    <row r="838" spans="1:19" x14ac:dyDescent="0.25">
      <c r="A838" t="s">
        <v>30</v>
      </c>
      <c r="B838" t="s">
        <v>76</v>
      </c>
      <c r="C838">
        <v>400</v>
      </c>
      <c r="D838" t="s">
        <v>341</v>
      </c>
      <c r="E838">
        <v>29.23</v>
      </c>
      <c r="F838">
        <v>12.15</v>
      </c>
      <c r="G838">
        <v>13.23</v>
      </c>
      <c r="H838">
        <v>25.37</v>
      </c>
      <c r="I838" t="s">
        <v>343</v>
      </c>
      <c r="J838">
        <v>2.58</v>
      </c>
      <c r="K838">
        <v>-7.87</v>
      </c>
      <c r="L838" t="s">
        <v>346</v>
      </c>
      <c r="M838" s="1">
        <v>7.8700000000000006E-2</v>
      </c>
      <c r="N838" t="s">
        <v>350</v>
      </c>
      <c r="O838">
        <v>0</v>
      </c>
      <c r="P838" t="s">
        <v>343</v>
      </c>
      <c r="Q838">
        <v>-1.19</v>
      </c>
      <c r="R838" t="s">
        <v>343</v>
      </c>
      <c r="S838">
        <v>1</v>
      </c>
    </row>
    <row r="839" spans="1:19" x14ac:dyDescent="0.25">
      <c r="A839" t="s">
        <v>30</v>
      </c>
      <c r="B839" t="s">
        <v>77</v>
      </c>
      <c r="C839">
        <v>420</v>
      </c>
      <c r="D839" t="s">
        <v>341</v>
      </c>
      <c r="E839">
        <v>29.23</v>
      </c>
      <c r="F839">
        <v>12.02</v>
      </c>
      <c r="G839">
        <v>14.45</v>
      </c>
      <c r="H839">
        <v>26.47</v>
      </c>
      <c r="I839" t="s">
        <v>343</v>
      </c>
      <c r="J839">
        <v>0.91</v>
      </c>
      <c r="K839">
        <v>-8.3800000000000008</v>
      </c>
      <c r="L839" t="s">
        <v>347</v>
      </c>
      <c r="M839" s="1">
        <v>8.3800000000000013E-2</v>
      </c>
      <c r="N839" t="s">
        <v>350</v>
      </c>
      <c r="O839">
        <v>-0.76</v>
      </c>
      <c r="P839" t="s">
        <v>343</v>
      </c>
      <c r="Q839">
        <v>0.17</v>
      </c>
      <c r="R839" t="s">
        <v>343</v>
      </c>
      <c r="S839">
        <v>1</v>
      </c>
    </row>
    <row r="840" spans="1:19" x14ac:dyDescent="0.25">
      <c r="A840" t="s">
        <v>30</v>
      </c>
      <c r="B840" t="s">
        <v>78</v>
      </c>
      <c r="C840">
        <v>440</v>
      </c>
      <c r="D840" t="s">
        <v>341</v>
      </c>
      <c r="E840">
        <v>29.23</v>
      </c>
      <c r="F840">
        <v>11</v>
      </c>
      <c r="G840">
        <v>14.63</v>
      </c>
      <c r="H840">
        <v>25.63</v>
      </c>
      <c r="I840" t="s">
        <v>343</v>
      </c>
      <c r="J840">
        <v>-0.76</v>
      </c>
      <c r="K840">
        <v>-8.31</v>
      </c>
      <c r="L840" t="s">
        <v>347</v>
      </c>
      <c r="M840" s="1">
        <v>8.3100000000000007E-2</v>
      </c>
      <c r="N840" t="s">
        <v>350</v>
      </c>
      <c r="O840">
        <v>-2.65</v>
      </c>
      <c r="P840" t="s">
        <v>344</v>
      </c>
      <c r="Q840">
        <v>-0.28000000000000003</v>
      </c>
      <c r="R840" t="s">
        <v>343</v>
      </c>
      <c r="S840">
        <v>1</v>
      </c>
    </row>
    <row r="841" spans="1:19" x14ac:dyDescent="0.25">
      <c r="A841" t="s">
        <v>30</v>
      </c>
      <c r="B841" t="s">
        <v>79</v>
      </c>
      <c r="C841">
        <v>460</v>
      </c>
      <c r="D841" t="s">
        <v>341</v>
      </c>
      <c r="E841">
        <v>29.23</v>
      </c>
      <c r="F841">
        <v>12.15</v>
      </c>
      <c r="G841">
        <v>13.58</v>
      </c>
      <c r="H841">
        <v>25.73</v>
      </c>
      <c r="I841" t="s">
        <v>343</v>
      </c>
      <c r="J841">
        <v>-2.3199999999999998</v>
      </c>
      <c r="K841">
        <v>-7.84</v>
      </c>
      <c r="L841" t="s">
        <v>346</v>
      </c>
      <c r="M841" s="1">
        <v>7.8399999999999997E-2</v>
      </c>
      <c r="N841" t="s">
        <v>350</v>
      </c>
      <c r="O841">
        <v>-2.54</v>
      </c>
      <c r="P841" t="s">
        <v>344</v>
      </c>
      <c r="Q841">
        <v>0.15</v>
      </c>
      <c r="R841" t="s">
        <v>343</v>
      </c>
      <c r="S841">
        <v>1</v>
      </c>
    </row>
    <row r="842" spans="1:19" x14ac:dyDescent="0.25">
      <c r="A842" t="s">
        <v>30</v>
      </c>
      <c r="B842" t="s">
        <v>80</v>
      </c>
      <c r="C842">
        <v>480</v>
      </c>
      <c r="D842" t="s">
        <v>341</v>
      </c>
      <c r="E842">
        <v>29.23</v>
      </c>
      <c r="F842">
        <v>12.02</v>
      </c>
      <c r="G842">
        <v>13.7</v>
      </c>
      <c r="H842">
        <v>25.73</v>
      </c>
      <c r="I842" t="s">
        <v>343</v>
      </c>
      <c r="J842">
        <v>-3.82</v>
      </c>
      <c r="K842">
        <v>-7.47</v>
      </c>
      <c r="L842" t="s">
        <v>346</v>
      </c>
      <c r="M842" s="1">
        <v>7.4700000000000003E-2</v>
      </c>
      <c r="N842" t="s">
        <v>350</v>
      </c>
      <c r="O842">
        <v>-1.46</v>
      </c>
      <c r="P842" t="s">
        <v>343</v>
      </c>
      <c r="Q842">
        <v>1.03</v>
      </c>
      <c r="R842" t="s">
        <v>343</v>
      </c>
      <c r="S842">
        <v>1</v>
      </c>
    </row>
    <row r="843" spans="1:19" x14ac:dyDescent="0.25">
      <c r="A843" t="s">
        <v>30</v>
      </c>
      <c r="B843" t="s">
        <v>81</v>
      </c>
      <c r="C843">
        <v>500</v>
      </c>
      <c r="D843" t="s">
        <v>341</v>
      </c>
      <c r="E843">
        <v>29.23</v>
      </c>
      <c r="F843">
        <v>11.55</v>
      </c>
      <c r="G843">
        <v>12.87</v>
      </c>
      <c r="H843">
        <v>24.42</v>
      </c>
      <c r="I843" t="s">
        <v>343</v>
      </c>
      <c r="J843">
        <v>-5.19</v>
      </c>
      <c r="K843">
        <v>-6.84</v>
      </c>
      <c r="L843" t="s">
        <v>346</v>
      </c>
      <c r="M843" s="1">
        <v>6.8400000000000002E-2</v>
      </c>
      <c r="N843" t="s">
        <v>350</v>
      </c>
      <c r="O843">
        <v>-2.06</v>
      </c>
      <c r="P843" t="s">
        <v>344</v>
      </c>
      <c r="Q843">
        <v>1.7</v>
      </c>
      <c r="R843" t="s">
        <v>343</v>
      </c>
      <c r="S843">
        <v>1</v>
      </c>
    </row>
    <row r="844" spans="1:19" x14ac:dyDescent="0.25">
      <c r="A844" t="s">
        <v>30</v>
      </c>
      <c r="B844" t="s">
        <v>82</v>
      </c>
      <c r="C844">
        <v>520</v>
      </c>
      <c r="D844" t="s">
        <v>341</v>
      </c>
      <c r="E844">
        <v>29.23</v>
      </c>
      <c r="F844">
        <v>12.55</v>
      </c>
      <c r="G844">
        <v>12.48</v>
      </c>
      <c r="H844">
        <v>25.03</v>
      </c>
      <c r="I844" t="s">
        <v>343</v>
      </c>
      <c r="J844">
        <v>-6.74</v>
      </c>
      <c r="K844">
        <v>-7.78</v>
      </c>
      <c r="L844" t="s">
        <v>346</v>
      </c>
      <c r="M844" s="1">
        <v>7.7800000000000008E-2</v>
      </c>
      <c r="N844" t="s">
        <v>350</v>
      </c>
      <c r="O844">
        <v>-1.36</v>
      </c>
      <c r="P844" t="s">
        <v>343</v>
      </c>
      <c r="Q844">
        <v>0.56000000000000005</v>
      </c>
      <c r="R844" t="s">
        <v>343</v>
      </c>
      <c r="S844">
        <v>1</v>
      </c>
    </row>
    <row r="845" spans="1:19" x14ac:dyDescent="0.25">
      <c r="A845" t="s">
        <v>30</v>
      </c>
      <c r="B845" t="s">
        <v>83</v>
      </c>
      <c r="C845">
        <v>540</v>
      </c>
      <c r="D845" t="s">
        <v>341</v>
      </c>
      <c r="E845">
        <v>29.23</v>
      </c>
      <c r="F845">
        <v>13.03</v>
      </c>
      <c r="G845">
        <v>11.53</v>
      </c>
      <c r="H845">
        <v>24.56</v>
      </c>
      <c r="I845" t="s">
        <v>343</v>
      </c>
      <c r="J845">
        <v>-8.36</v>
      </c>
      <c r="K845">
        <v>-8.09</v>
      </c>
      <c r="L845" t="s">
        <v>347</v>
      </c>
      <c r="M845" s="1">
        <v>8.09E-2</v>
      </c>
      <c r="N845" t="s">
        <v>350</v>
      </c>
      <c r="O845">
        <v>-0.2</v>
      </c>
      <c r="P845" t="s">
        <v>343</v>
      </c>
      <c r="Q845">
        <v>-0.36</v>
      </c>
      <c r="R845" t="s">
        <v>343</v>
      </c>
      <c r="S845">
        <v>1</v>
      </c>
    </row>
    <row r="846" spans="1:19" x14ac:dyDescent="0.25">
      <c r="A846" t="s">
        <v>30</v>
      </c>
      <c r="B846" t="s">
        <v>84</v>
      </c>
      <c r="C846">
        <v>560</v>
      </c>
      <c r="D846" t="s">
        <v>341</v>
      </c>
      <c r="E846">
        <v>29.23</v>
      </c>
      <c r="F846">
        <v>12.72</v>
      </c>
      <c r="G846">
        <v>10.69</v>
      </c>
      <c r="H846">
        <v>23.41</v>
      </c>
      <c r="I846" t="s">
        <v>343</v>
      </c>
      <c r="J846">
        <v>-9.9600000000000009</v>
      </c>
      <c r="K846">
        <v>-8</v>
      </c>
      <c r="L846" t="s">
        <v>347</v>
      </c>
      <c r="M846" s="1">
        <v>0.08</v>
      </c>
      <c r="N846" t="s">
        <v>350</v>
      </c>
      <c r="O846">
        <v>-0.12</v>
      </c>
      <c r="P846" t="s">
        <v>343</v>
      </c>
      <c r="Q846">
        <v>-0.12</v>
      </c>
      <c r="R846" t="s">
        <v>343</v>
      </c>
      <c r="S846">
        <v>1</v>
      </c>
    </row>
    <row r="847" spans="1:19" x14ac:dyDescent="0.25">
      <c r="A847" t="s">
        <v>30</v>
      </c>
      <c r="B847" t="s">
        <v>85</v>
      </c>
      <c r="C847">
        <v>580</v>
      </c>
      <c r="D847" t="s">
        <v>341</v>
      </c>
      <c r="E847">
        <v>29.23</v>
      </c>
      <c r="F847">
        <v>12</v>
      </c>
      <c r="G847">
        <v>10.48</v>
      </c>
      <c r="H847">
        <v>22.48</v>
      </c>
      <c r="I847" t="s">
        <v>343</v>
      </c>
      <c r="J847">
        <v>-11.48</v>
      </c>
      <c r="K847">
        <v>-7.6</v>
      </c>
      <c r="L847" t="s">
        <v>346</v>
      </c>
      <c r="M847" s="1">
        <v>7.5999999999999998E-2</v>
      </c>
      <c r="N847" t="s">
        <v>350</v>
      </c>
      <c r="O847">
        <v>-0.66</v>
      </c>
      <c r="P847" t="s">
        <v>343</v>
      </c>
      <c r="Q847">
        <v>-1</v>
      </c>
      <c r="R847" t="s">
        <v>343</v>
      </c>
      <c r="S847">
        <v>1</v>
      </c>
    </row>
    <row r="848" spans="1:19" x14ac:dyDescent="0.25">
      <c r="A848" t="s">
        <v>30</v>
      </c>
      <c r="B848" t="s">
        <v>86</v>
      </c>
      <c r="C848">
        <v>600</v>
      </c>
      <c r="D848" t="s">
        <v>341</v>
      </c>
      <c r="E848">
        <v>29.23</v>
      </c>
      <c r="F848">
        <v>12.24</v>
      </c>
      <c r="G848">
        <v>10.09</v>
      </c>
      <c r="H848">
        <v>22.33</v>
      </c>
      <c r="I848" t="s">
        <v>343</v>
      </c>
      <c r="J848">
        <v>-12.88</v>
      </c>
      <c r="K848">
        <v>-7.01</v>
      </c>
      <c r="L848" t="s">
        <v>346</v>
      </c>
      <c r="M848" s="1">
        <v>7.0099999999999996E-2</v>
      </c>
      <c r="N848" t="s">
        <v>350</v>
      </c>
      <c r="O848">
        <v>-0.71</v>
      </c>
      <c r="P848" t="s">
        <v>343</v>
      </c>
      <c r="Q848">
        <v>-0.28000000000000003</v>
      </c>
      <c r="R848" t="s">
        <v>343</v>
      </c>
      <c r="S848">
        <v>1</v>
      </c>
    </row>
    <row r="849" spans="1:19" x14ac:dyDescent="0.25">
      <c r="A849" t="s">
        <v>30</v>
      </c>
      <c r="B849" t="s">
        <v>87</v>
      </c>
      <c r="C849">
        <v>620</v>
      </c>
      <c r="D849" t="s">
        <v>341</v>
      </c>
      <c r="E849">
        <v>29.23</v>
      </c>
      <c r="F849">
        <v>12.31</v>
      </c>
      <c r="G849">
        <v>10.58</v>
      </c>
      <c r="H849">
        <v>22.9</v>
      </c>
      <c r="I849" t="s">
        <v>343</v>
      </c>
      <c r="J849">
        <v>-14.19</v>
      </c>
      <c r="K849">
        <v>-6.56</v>
      </c>
      <c r="L849" t="s">
        <v>346</v>
      </c>
      <c r="M849" s="1">
        <v>6.5599999999999992E-2</v>
      </c>
      <c r="N849" t="s">
        <v>350</v>
      </c>
      <c r="O849">
        <v>-0.31</v>
      </c>
      <c r="P849" t="s">
        <v>343</v>
      </c>
      <c r="Q849">
        <v>-1.0900000000000001</v>
      </c>
      <c r="R849" t="s">
        <v>343</v>
      </c>
      <c r="S849">
        <v>1</v>
      </c>
    </row>
    <row r="850" spans="1:19" x14ac:dyDescent="0.25">
      <c r="A850" t="s">
        <v>30</v>
      </c>
      <c r="B850" t="s">
        <v>88</v>
      </c>
      <c r="C850">
        <v>640</v>
      </c>
      <c r="D850" t="s">
        <v>341</v>
      </c>
      <c r="E850">
        <v>29.23</v>
      </c>
      <c r="F850">
        <v>13.13</v>
      </c>
      <c r="G850">
        <v>10.45</v>
      </c>
      <c r="H850">
        <v>23.58</v>
      </c>
      <c r="I850" t="s">
        <v>343</v>
      </c>
      <c r="J850">
        <v>-15.84</v>
      </c>
      <c r="K850">
        <v>-8.24</v>
      </c>
      <c r="L850" t="s">
        <v>347</v>
      </c>
      <c r="M850" s="1">
        <v>8.2400000000000001E-2</v>
      </c>
      <c r="N850" t="s">
        <v>350</v>
      </c>
      <c r="O850">
        <v>-0.85</v>
      </c>
      <c r="P850" t="s">
        <v>343</v>
      </c>
      <c r="Q850">
        <v>-0.34</v>
      </c>
      <c r="R850" t="s">
        <v>343</v>
      </c>
      <c r="S850">
        <v>1</v>
      </c>
    </row>
    <row r="851" spans="1:19" x14ac:dyDescent="0.25">
      <c r="A851" t="s">
        <v>30</v>
      </c>
      <c r="B851" t="s">
        <v>89</v>
      </c>
      <c r="C851">
        <v>660</v>
      </c>
      <c r="D851" t="s">
        <v>341</v>
      </c>
      <c r="E851">
        <v>29.23</v>
      </c>
      <c r="F851">
        <v>14.64</v>
      </c>
      <c r="G851">
        <v>11.54</v>
      </c>
      <c r="H851">
        <v>26.18</v>
      </c>
      <c r="I851" t="s">
        <v>343</v>
      </c>
      <c r="J851">
        <v>-17.03</v>
      </c>
      <c r="K851">
        <v>-5.92</v>
      </c>
      <c r="L851" t="s">
        <v>346</v>
      </c>
      <c r="M851" s="1">
        <v>5.9200000000000003E-2</v>
      </c>
      <c r="N851" t="s">
        <v>350</v>
      </c>
      <c r="O851">
        <v>0.73</v>
      </c>
      <c r="P851" t="s">
        <v>343</v>
      </c>
      <c r="Q851">
        <v>-1.52</v>
      </c>
      <c r="R851" t="s">
        <v>343</v>
      </c>
      <c r="S851">
        <v>1</v>
      </c>
    </row>
    <row r="852" spans="1:19" x14ac:dyDescent="0.25">
      <c r="A852" t="s">
        <v>30</v>
      </c>
      <c r="B852" t="s">
        <v>90</v>
      </c>
      <c r="C852">
        <v>680</v>
      </c>
      <c r="D852" t="s">
        <v>341</v>
      </c>
      <c r="E852">
        <v>29.23</v>
      </c>
      <c r="F852">
        <v>14.86</v>
      </c>
      <c r="G852">
        <v>11.93</v>
      </c>
      <c r="H852">
        <v>26.79</v>
      </c>
      <c r="I852" t="s">
        <v>343</v>
      </c>
      <c r="J852">
        <v>-18.2</v>
      </c>
      <c r="K852">
        <v>-5.88</v>
      </c>
      <c r="L852" t="s">
        <v>346</v>
      </c>
      <c r="M852" s="1">
        <v>5.8799999999999998E-2</v>
      </c>
      <c r="N852" t="s">
        <v>350</v>
      </c>
      <c r="O852">
        <v>1.41</v>
      </c>
      <c r="P852" t="s">
        <v>343</v>
      </c>
      <c r="Q852">
        <v>0.43</v>
      </c>
      <c r="R852" t="s">
        <v>343</v>
      </c>
      <c r="S852">
        <v>1</v>
      </c>
    </row>
    <row r="853" spans="1:19" x14ac:dyDescent="0.25">
      <c r="A853" t="s">
        <v>30</v>
      </c>
      <c r="B853" t="s">
        <v>91</v>
      </c>
      <c r="C853">
        <v>700</v>
      </c>
      <c r="D853" t="s">
        <v>341</v>
      </c>
      <c r="E853">
        <v>29.23</v>
      </c>
      <c r="F853">
        <v>17.07</v>
      </c>
      <c r="G853">
        <v>13.19</v>
      </c>
      <c r="H853">
        <v>30.26</v>
      </c>
      <c r="I853" t="s">
        <v>344</v>
      </c>
      <c r="J853">
        <v>-17.440000000000001</v>
      </c>
      <c r="K853">
        <v>3.83</v>
      </c>
      <c r="L853" t="s">
        <v>346</v>
      </c>
      <c r="M853" s="1">
        <v>3.8300000000000001E-2</v>
      </c>
      <c r="N853" t="s">
        <v>350</v>
      </c>
      <c r="O853">
        <v>3.91</v>
      </c>
      <c r="P853" t="s">
        <v>344</v>
      </c>
      <c r="Q853">
        <v>0.3</v>
      </c>
      <c r="R853" t="s">
        <v>343</v>
      </c>
      <c r="S853">
        <v>1</v>
      </c>
    </row>
    <row r="854" spans="1:19" x14ac:dyDescent="0.25">
      <c r="A854" t="s">
        <v>30</v>
      </c>
      <c r="B854" t="s">
        <v>92</v>
      </c>
      <c r="C854">
        <v>720</v>
      </c>
      <c r="D854" t="s">
        <v>341</v>
      </c>
      <c r="E854">
        <v>29.23</v>
      </c>
      <c r="F854">
        <v>20</v>
      </c>
      <c r="G854">
        <v>18.25</v>
      </c>
      <c r="H854">
        <v>38.25</v>
      </c>
      <c r="I854" t="s">
        <v>344</v>
      </c>
      <c r="J854">
        <v>-19.690000000000001</v>
      </c>
      <c r="K854">
        <v>-11.25</v>
      </c>
      <c r="L854" t="s">
        <v>348</v>
      </c>
      <c r="M854" s="1">
        <v>0.1125</v>
      </c>
      <c r="N854" t="s">
        <v>350</v>
      </c>
      <c r="O854">
        <v>5.78</v>
      </c>
      <c r="P854" t="s">
        <v>343</v>
      </c>
      <c r="Q854">
        <v>-1.38</v>
      </c>
      <c r="R854" t="s">
        <v>343</v>
      </c>
      <c r="S854">
        <v>1</v>
      </c>
    </row>
    <row r="855" spans="1:19" x14ac:dyDescent="0.25">
      <c r="A855" t="s">
        <v>30</v>
      </c>
      <c r="B855" t="s">
        <v>93</v>
      </c>
      <c r="C855">
        <v>740</v>
      </c>
      <c r="D855" t="s">
        <v>341</v>
      </c>
      <c r="E855">
        <v>29.23</v>
      </c>
      <c r="F855">
        <v>20</v>
      </c>
      <c r="G855">
        <v>17.61</v>
      </c>
      <c r="H855">
        <v>37.61</v>
      </c>
      <c r="I855" t="s">
        <v>344</v>
      </c>
      <c r="J855">
        <v>-20.350000000000001</v>
      </c>
      <c r="K855">
        <v>-3.3</v>
      </c>
      <c r="L855" t="s">
        <v>346</v>
      </c>
      <c r="M855" s="1">
        <v>3.3000000000000002E-2</v>
      </c>
      <c r="N855" t="s">
        <v>350</v>
      </c>
      <c r="O855">
        <v>1.38</v>
      </c>
      <c r="P855" t="s">
        <v>343</v>
      </c>
      <c r="Q855">
        <v>13.33</v>
      </c>
      <c r="R855" t="s">
        <v>343</v>
      </c>
      <c r="S855">
        <v>1</v>
      </c>
    </row>
    <row r="856" spans="1:19" x14ac:dyDescent="0.25">
      <c r="A856" t="s">
        <v>30</v>
      </c>
      <c r="B856" t="s">
        <v>94</v>
      </c>
      <c r="C856">
        <v>760</v>
      </c>
      <c r="D856" t="s">
        <v>341</v>
      </c>
      <c r="E856">
        <v>29.23</v>
      </c>
      <c r="F856">
        <v>20</v>
      </c>
      <c r="G856">
        <v>17.61</v>
      </c>
      <c r="H856">
        <v>37.61</v>
      </c>
      <c r="I856" t="s">
        <v>344</v>
      </c>
      <c r="J856">
        <v>-21.64</v>
      </c>
      <c r="K856">
        <v>-6.47</v>
      </c>
      <c r="L856" t="s">
        <v>346</v>
      </c>
      <c r="M856" s="1">
        <v>6.4699999999999994E-2</v>
      </c>
      <c r="N856" t="s">
        <v>350</v>
      </c>
      <c r="O856">
        <v>-5.46</v>
      </c>
      <c r="P856" t="s">
        <v>343</v>
      </c>
      <c r="Q856">
        <v>1.62</v>
      </c>
      <c r="R856" t="s">
        <v>343</v>
      </c>
      <c r="S856">
        <v>1</v>
      </c>
    </row>
    <row r="857" spans="1:19" x14ac:dyDescent="0.25">
      <c r="A857" t="s">
        <v>30</v>
      </c>
      <c r="B857" t="s">
        <v>95</v>
      </c>
      <c r="C857">
        <v>780</v>
      </c>
      <c r="D857" t="s">
        <v>341</v>
      </c>
      <c r="E857">
        <v>29.23</v>
      </c>
      <c r="F857">
        <v>14.25</v>
      </c>
      <c r="G857">
        <v>14</v>
      </c>
      <c r="H857">
        <v>28.25</v>
      </c>
      <c r="I857" t="s">
        <v>343</v>
      </c>
      <c r="J857">
        <v>-22.4</v>
      </c>
      <c r="K857">
        <v>-3.77</v>
      </c>
      <c r="L857" t="s">
        <v>346</v>
      </c>
      <c r="M857" s="1">
        <v>3.7699999999999997E-2</v>
      </c>
      <c r="N857" t="s">
        <v>350</v>
      </c>
      <c r="O857">
        <v>-4.1100000000000003</v>
      </c>
      <c r="P857" t="s">
        <v>343</v>
      </c>
      <c r="Q857">
        <v>-2.12</v>
      </c>
      <c r="R857" t="s">
        <v>344</v>
      </c>
      <c r="S857">
        <v>1</v>
      </c>
    </row>
    <row r="858" spans="1:19" x14ac:dyDescent="0.25">
      <c r="A858" t="s">
        <v>30</v>
      </c>
      <c r="B858" t="s">
        <v>96</v>
      </c>
      <c r="C858">
        <v>800</v>
      </c>
      <c r="D858" t="s">
        <v>341</v>
      </c>
      <c r="E858">
        <v>29.23</v>
      </c>
      <c r="F858">
        <v>11.43</v>
      </c>
      <c r="G858">
        <v>12.72</v>
      </c>
      <c r="H858">
        <v>24.15</v>
      </c>
      <c r="I858" t="s">
        <v>343</v>
      </c>
      <c r="J858">
        <v>-21.53</v>
      </c>
      <c r="K858">
        <v>4.34</v>
      </c>
      <c r="L858" t="s">
        <v>346</v>
      </c>
      <c r="M858" s="1">
        <v>4.3400000000000001E-2</v>
      </c>
      <c r="N858" t="s">
        <v>350</v>
      </c>
      <c r="O858">
        <v>-1.56</v>
      </c>
      <c r="P858" t="s">
        <v>343</v>
      </c>
      <c r="Q858">
        <v>-0.1</v>
      </c>
      <c r="R858" t="s">
        <v>343</v>
      </c>
      <c r="S858">
        <v>1</v>
      </c>
    </row>
    <row r="859" spans="1:19" x14ac:dyDescent="0.25">
      <c r="A859" t="s">
        <v>30</v>
      </c>
      <c r="B859" t="s">
        <v>97</v>
      </c>
      <c r="C859">
        <v>820</v>
      </c>
      <c r="D859" t="s">
        <v>341</v>
      </c>
      <c r="E859">
        <v>29.23</v>
      </c>
      <c r="F859">
        <v>11.5</v>
      </c>
      <c r="G859">
        <v>11.73</v>
      </c>
      <c r="H859">
        <v>23.23</v>
      </c>
      <c r="I859" t="s">
        <v>343</v>
      </c>
      <c r="J859">
        <v>-23.73</v>
      </c>
      <c r="K859">
        <v>-10.99</v>
      </c>
      <c r="L859" t="s">
        <v>348</v>
      </c>
      <c r="M859" s="1">
        <v>0.1099</v>
      </c>
      <c r="N859" t="s">
        <v>350</v>
      </c>
      <c r="O859">
        <v>-2.2000000000000002</v>
      </c>
      <c r="P859" t="s">
        <v>344</v>
      </c>
      <c r="Q859">
        <v>1.3</v>
      </c>
      <c r="R859" t="s">
        <v>343</v>
      </c>
      <c r="S859">
        <v>1</v>
      </c>
    </row>
    <row r="860" spans="1:19" x14ac:dyDescent="0.25">
      <c r="A860" t="s">
        <v>30</v>
      </c>
      <c r="B860" t="s">
        <v>98</v>
      </c>
      <c r="C860">
        <v>840</v>
      </c>
      <c r="D860" t="s">
        <v>341</v>
      </c>
      <c r="E860">
        <v>29.23</v>
      </c>
      <c r="F860">
        <v>11.75</v>
      </c>
      <c r="G860">
        <v>11.96</v>
      </c>
      <c r="H860">
        <v>23.71</v>
      </c>
      <c r="I860" t="s">
        <v>343</v>
      </c>
      <c r="J860">
        <v>-24.54</v>
      </c>
      <c r="K860">
        <v>-4.08</v>
      </c>
      <c r="L860" t="s">
        <v>346</v>
      </c>
      <c r="M860" s="1">
        <v>4.0800000000000003E-2</v>
      </c>
      <c r="N860" t="s">
        <v>350</v>
      </c>
      <c r="O860">
        <v>-4.16</v>
      </c>
      <c r="P860" t="s">
        <v>343</v>
      </c>
      <c r="Q860">
        <v>-0.71</v>
      </c>
      <c r="R860" t="s">
        <v>343</v>
      </c>
      <c r="S860">
        <v>1</v>
      </c>
    </row>
    <row r="861" spans="1:19" x14ac:dyDescent="0.25">
      <c r="A861" t="s">
        <v>30</v>
      </c>
      <c r="B861" t="s">
        <v>99</v>
      </c>
      <c r="C861">
        <v>860</v>
      </c>
      <c r="D861" t="s">
        <v>341</v>
      </c>
      <c r="E861">
        <v>29.23</v>
      </c>
      <c r="F861">
        <v>11.54</v>
      </c>
      <c r="G861">
        <v>11.4</v>
      </c>
      <c r="H861">
        <v>22.95</v>
      </c>
      <c r="I861" t="s">
        <v>343</v>
      </c>
      <c r="J861">
        <v>-24.73</v>
      </c>
      <c r="K861">
        <v>-0.92</v>
      </c>
      <c r="L861" t="s">
        <v>346</v>
      </c>
      <c r="M861" s="1">
        <v>9.1999999999999998E-3</v>
      </c>
      <c r="N861" t="s">
        <v>349</v>
      </c>
      <c r="O861">
        <v>-0.92</v>
      </c>
      <c r="P861" t="s">
        <v>343</v>
      </c>
      <c r="Q861">
        <v>0.95</v>
      </c>
      <c r="R861" t="s">
        <v>343</v>
      </c>
      <c r="S861">
        <v>1</v>
      </c>
    </row>
    <row r="862" spans="1:19" x14ac:dyDescent="0.25">
      <c r="A862" t="s">
        <v>30</v>
      </c>
      <c r="B862" t="s">
        <v>100</v>
      </c>
      <c r="C862">
        <v>880</v>
      </c>
      <c r="D862" t="s">
        <v>341</v>
      </c>
      <c r="E862">
        <v>29.23</v>
      </c>
      <c r="F862">
        <v>12.73</v>
      </c>
      <c r="G862">
        <v>11.8</v>
      </c>
      <c r="H862">
        <v>24.53</v>
      </c>
      <c r="I862" t="s">
        <v>343</v>
      </c>
      <c r="J862">
        <v>-24.84</v>
      </c>
      <c r="K862">
        <v>-0.55000000000000004</v>
      </c>
      <c r="L862" t="s">
        <v>346</v>
      </c>
      <c r="M862" s="1">
        <v>5.5000000000000014E-3</v>
      </c>
      <c r="N862" t="s">
        <v>349</v>
      </c>
      <c r="O862">
        <v>-2.44</v>
      </c>
      <c r="P862" t="s">
        <v>344</v>
      </c>
      <c r="Q862">
        <v>0.51</v>
      </c>
      <c r="R862" t="s">
        <v>343</v>
      </c>
      <c r="S862">
        <v>1</v>
      </c>
    </row>
    <row r="863" spans="1:19" x14ac:dyDescent="0.25">
      <c r="A863" t="s">
        <v>30</v>
      </c>
      <c r="B863" t="s">
        <v>101</v>
      </c>
      <c r="C863">
        <v>900</v>
      </c>
      <c r="D863" t="s">
        <v>341</v>
      </c>
      <c r="E863">
        <v>29.23</v>
      </c>
      <c r="F863">
        <v>13.43</v>
      </c>
      <c r="G863">
        <v>12</v>
      </c>
      <c r="H863">
        <v>25.43</v>
      </c>
      <c r="I863" t="s">
        <v>343</v>
      </c>
      <c r="J863">
        <v>-24.95</v>
      </c>
      <c r="K863">
        <v>-0.56000000000000005</v>
      </c>
      <c r="L863" t="s">
        <v>346</v>
      </c>
      <c r="M863" s="1">
        <v>5.6000000000000008E-3</v>
      </c>
      <c r="N863" t="s">
        <v>349</v>
      </c>
      <c r="O863">
        <v>-1.08</v>
      </c>
      <c r="P863" t="s">
        <v>343</v>
      </c>
      <c r="Q863">
        <v>3.44</v>
      </c>
      <c r="R863" t="s">
        <v>344</v>
      </c>
      <c r="S863">
        <v>1</v>
      </c>
    </row>
    <row r="864" spans="1:19" x14ac:dyDescent="0.25">
      <c r="A864" t="s">
        <v>30</v>
      </c>
      <c r="B864" t="s">
        <v>102</v>
      </c>
      <c r="C864">
        <v>920</v>
      </c>
      <c r="D864" t="s">
        <v>341</v>
      </c>
      <c r="E864">
        <v>29.23</v>
      </c>
      <c r="F864">
        <v>13.5</v>
      </c>
      <c r="G864">
        <v>14.44</v>
      </c>
      <c r="H864">
        <v>27.94</v>
      </c>
      <c r="I864" t="s">
        <v>343</v>
      </c>
      <c r="J864">
        <v>-25.51</v>
      </c>
      <c r="K864">
        <v>-2.82</v>
      </c>
      <c r="L864" t="s">
        <v>346</v>
      </c>
      <c r="M864" s="1">
        <v>2.8199999999999999E-2</v>
      </c>
      <c r="N864" t="s">
        <v>350</v>
      </c>
      <c r="O864">
        <v>-3.77</v>
      </c>
      <c r="P864" t="s">
        <v>344</v>
      </c>
      <c r="Q864">
        <v>2.67</v>
      </c>
      <c r="R864" t="s">
        <v>344</v>
      </c>
      <c r="S864">
        <v>1</v>
      </c>
    </row>
    <row r="865" spans="1:19" x14ac:dyDescent="0.25">
      <c r="A865" t="s">
        <v>30</v>
      </c>
      <c r="B865" t="s">
        <v>103</v>
      </c>
      <c r="C865">
        <v>940</v>
      </c>
      <c r="D865" t="s">
        <v>341</v>
      </c>
      <c r="E865">
        <v>29.23</v>
      </c>
      <c r="F865">
        <v>13.71</v>
      </c>
      <c r="G865">
        <v>14.12</v>
      </c>
      <c r="H865">
        <v>27.83</v>
      </c>
      <c r="I865" t="s">
        <v>343</v>
      </c>
      <c r="J865">
        <v>-26.31</v>
      </c>
      <c r="K865">
        <v>-3.98</v>
      </c>
      <c r="L865" t="s">
        <v>346</v>
      </c>
      <c r="M865" s="1">
        <v>3.9800000000000002E-2</v>
      </c>
      <c r="N865" t="s">
        <v>350</v>
      </c>
      <c r="O865">
        <v>-3.57</v>
      </c>
      <c r="P865" t="s">
        <v>344</v>
      </c>
      <c r="Q865">
        <v>0.49</v>
      </c>
      <c r="R865" t="s">
        <v>343</v>
      </c>
      <c r="S865">
        <v>1</v>
      </c>
    </row>
    <row r="866" spans="1:19" x14ac:dyDescent="0.25">
      <c r="A866" t="s">
        <v>30</v>
      </c>
      <c r="B866" t="s">
        <v>104</v>
      </c>
      <c r="C866">
        <v>960</v>
      </c>
      <c r="D866" t="s">
        <v>341</v>
      </c>
      <c r="E866">
        <v>29.23</v>
      </c>
      <c r="F866">
        <v>13</v>
      </c>
      <c r="G866">
        <v>14.45</v>
      </c>
      <c r="H866">
        <v>27.45</v>
      </c>
      <c r="I866" t="s">
        <v>343</v>
      </c>
      <c r="J866">
        <v>-27.26</v>
      </c>
      <c r="K866">
        <v>-4.76</v>
      </c>
      <c r="L866" t="s">
        <v>346</v>
      </c>
      <c r="M866" s="1">
        <v>4.7600000000000003E-2</v>
      </c>
      <c r="N866" t="s">
        <v>350</v>
      </c>
      <c r="O866">
        <v>-2.5499999999999998</v>
      </c>
      <c r="P866" t="s">
        <v>344</v>
      </c>
      <c r="Q866">
        <v>0.47</v>
      </c>
      <c r="R866" t="s">
        <v>343</v>
      </c>
      <c r="S866">
        <v>1</v>
      </c>
    </row>
    <row r="867" spans="1:19" x14ac:dyDescent="0.25">
      <c r="A867" t="s">
        <v>30</v>
      </c>
      <c r="B867" t="s">
        <v>105</v>
      </c>
      <c r="C867">
        <v>980</v>
      </c>
      <c r="D867" t="s">
        <v>341</v>
      </c>
      <c r="E867">
        <v>29.23</v>
      </c>
      <c r="F867">
        <v>13.21</v>
      </c>
      <c r="G867">
        <v>16.48</v>
      </c>
      <c r="H867">
        <v>29.69</v>
      </c>
      <c r="I867" t="s">
        <v>344</v>
      </c>
      <c r="J867">
        <v>-28.15</v>
      </c>
      <c r="K867">
        <v>-4.47</v>
      </c>
      <c r="L867" t="s">
        <v>346</v>
      </c>
      <c r="M867" s="1">
        <v>4.4699999999999997E-2</v>
      </c>
      <c r="N867" t="s">
        <v>350</v>
      </c>
      <c r="O867">
        <v>0.5</v>
      </c>
      <c r="P867" t="s">
        <v>343</v>
      </c>
      <c r="Q867">
        <v>1.01</v>
      </c>
      <c r="R867" t="s">
        <v>343</v>
      </c>
      <c r="S867">
        <v>1</v>
      </c>
    </row>
    <row r="868" spans="1:19" x14ac:dyDescent="0.25">
      <c r="A868" t="s">
        <v>30</v>
      </c>
      <c r="B868" t="s">
        <v>106</v>
      </c>
      <c r="C868">
        <v>1000</v>
      </c>
      <c r="D868" t="s">
        <v>341</v>
      </c>
      <c r="E868">
        <v>29.23</v>
      </c>
      <c r="F868">
        <v>12.84</v>
      </c>
      <c r="G868">
        <v>17.489999999999998</v>
      </c>
      <c r="H868">
        <v>30.33</v>
      </c>
      <c r="I868" t="s">
        <v>344</v>
      </c>
      <c r="J868">
        <v>-29.03</v>
      </c>
      <c r="K868">
        <v>-4.4000000000000004</v>
      </c>
      <c r="L868" t="s">
        <v>346</v>
      </c>
      <c r="M868" s="1">
        <v>4.3999999999999997E-2</v>
      </c>
      <c r="N868" t="s">
        <v>350</v>
      </c>
      <c r="O868">
        <v>1.01</v>
      </c>
      <c r="P868" t="s">
        <v>343</v>
      </c>
      <c r="Q868">
        <v>1.45</v>
      </c>
      <c r="R868" t="s">
        <v>343</v>
      </c>
      <c r="S868">
        <v>1</v>
      </c>
    </row>
    <row r="869" spans="1:19" x14ac:dyDescent="0.25">
      <c r="A869" t="s">
        <v>30</v>
      </c>
      <c r="B869" t="s">
        <v>108</v>
      </c>
      <c r="C869">
        <v>1020</v>
      </c>
      <c r="D869" t="s">
        <v>341</v>
      </c>
      <c r="E869">
        <v>29.23</v>
      </c>
      <c r="F869">
        <v>12.96</v>
      </c>
      <c r="G869">
        <v>16.48</v>
      </c>
      <c r="H869">
        <v>29.44</v>
      </c>
      <c r="I869" t="s">
        <v>344</v>
      </c>
      <c r="J869">
        <v>-29.63</v>
      </c>
      <c r="K869">
        <v>-2.99</v>
      </c>
      <c r="L869" t="s">
        <v>346</v>
      </c>
      <c r="M869" s="1">
        <v>2.9899999999999999E-2</v>
      </c>
      <c r="N869" t="s">
        <v>350</v>
      </c>
      <c r="O869">
        <v>0.4</v>
      </c>
      <c r="P869" t="s">
        <v>343</v>
      </c>
      <c r="Q869">
        <v>3.37</v>
      </c>
      <c r="R869" t="s">
        <v>344</v>
      </c>
      <c r="S869">
        <v>1</v>
      </c>
    </row>
    <row r="870" spans="1:19" x14ac:dyDescent="0.25">
      <c r="A870" t="s">
        <v>30</v>
      </c>
      <c r="B870" t="s">
        <v>109</v>
      </c>
      <c r="C870">
        <v>1040</v>
      </c>
      <c r="D870" t="s">
        <v>341</v>
      </c>
      <c r="E870">
        <v>29.23</v>
      </c>
      <c r="F870">
        <v>12.84</v>
      </c>
      <c r="G870">
        <v>15.48</v>
      </c>
      <c r="H870">
        <v>28.31</v>
      </c>
      <c r="I870" t="s">
        <v>343</v>
      </c>
      <c r="J870">
        <v>-29.97</v>
      </c>
      <c r="K870">
        <v>-1.67</v>
      </c>
      <c r="L870" t="s">
        <v>346</v>
      </c>
      <c r="M870" s="1">
        <v>1.67E-2</v>
      </c>
      <c r="N870" t="s">
        <v>349</v>
      </c>
      <c r="O870">
        <v>-0.8</v>
      </c>
      <c r="P870" t="s">
        <v>343</v>
      </c>
      <c r="Q870">
        <v>2.68</v>
      </c>
      <c r="R870" t="s">
        <v>344</v>
      </c>
      <c r="S870">
        <v>1</v>
      </c>
    </row>
    <row r="871" spans="1:19" x14ac:dyDescent="0.25">
      <c r="A871" t="s">
        <v>30</v>
      </c>
      <c r="B871" t="s">
        <v>110</v>
      </c>
      <c r="C871">
        <v>1060</v>
      </c>
      <c r="D871" t="s">
        <v>341</v>
      </c>
      <c r="E871">
        <v>29.23</v>
      </c>
      <c r="F871">
        <v>12.7</v>
      </c>
      <c r="G871">
        <v>16.48</v>
      </c>
      <c r="H871">
        <v>29.18</v>
      </c>
      <c r="I871" t="s">
        <v>343</v>
      </c>
      <c r="J871">
        <v>-30.08</v>
      </c>
      <c r="K871">
        <v>-0.55000000000000004</v>
      </c>
      <c r="L871" t="s">
        <v>346</v>
      </c>
      <c r="M871" s="1">
        <v>5.5000000000000014E-3</v>
      </c>
      <c r="N871" t="s">
        <v>349</v>
      </c>
      <c r="O871">
        <v>-0.9</v>
      </c>
      <c r="P871" t="s">
        <v>343</v>
      </c>
      <c r="Q871">
        <v>2.0099999999999998</v>
      </c>
      <c r="R871" t="s">
        <v>344</v>
      </c>
      <c r="S871">
        <v>1</v>
      </c>
    </row>
    <row r="872" spans="1:19" x14ac:dyDescent="0.25">
      <c r="A872" t="s">
        <v>30</v>
      </c>
      <c r="B872" t="s">
        <v>111</v>
      </c>
      <c r="C872">
        <v>1080</v>
      </c>
      <c r="D872" t="s">
        <v>341</v>
      </c>
      <c r="E872">
        <v>29.23</v>
      </c>
      <c r="F872">
        <v>14.41</v>
      </c>
      <c r="G872">
        <v>15.48</v>
      </c>
      <c r="H872">
        <v>29.89</v>
      </c>
      <c r="I872" t="s">
        <v>344</v>
      </c>
      <c r="J872">
        <v>-29.97</v>
      </c>
      <c r="K872">
        <v>0.52</v>
      </c>
      <c r="L872" t="s">
        <v>346</v>
      </c>
      <c r="M872" s="1">
        <v>5.1999999999999998E-3</v>
      </c>
      <c r="N872" t="s">
        <v>349</v>
      </c>
      <c r="O872">
        <v>-3.43</v>
      </c>
      <c r="P872" t="s">
        <v>344</v>
      </c>
      <c r="Q872">
        <v>5.4</v>
      </c>
      <c r="R872" t="s">
        <v>343</v>
      </c>
      <c r="S872">
        <v>1</v>
      </c>
    </row>
    <row r="873" spans="1:19" x14ac:dyDescent="0.25">
      <c r="A873" t="s">
        <v>30</v>
      </c>
      <c r="B873" t="s">
        <v>230</v>
      </c>
      <c r="C873">
        <v>1097.866</v>
      </c>
      <c r="D873" t="s">
        <v>341</v>
      </c>
      <c r="E873">
        <v>29.23</v>
      </c>
      <c r="F873">
        <v>16.329999999999998</v>
      </c>
      <c r="G873">
        <v>14.95</v>
      </c>
      <c r="H873">
        <v>31.28</v>
      </c>
      <c r="I873" t="s">
        <v>344</v>
      </c>
      <c r="J873">
        <v>-29.27</v>
      </c>
      <c r="K873">
        <v>3.95</v>
      </c>
      <c r="L873" t="s">
        <v>346</v>
      </c>
      <c r="M873" s="1">
        <v>3.95E-2</v>
      </c>
      <c r="N873" t="s">
        <v>350</v>
      </c>
      <c r="O873">
        <v>-5.03</v>
      </c>
      <c r="P873" t="s">
        <v>343</v>
      </c>
      <c r="Q873">
        <v>1.92</v>
      </c>
      <c r="R873" t="s">
        <v>343</v>
      </c>
      <c r="S873">
        <v>0</v>
      </c>
    </row>
    <row r="874" spans="1:19" x14ac:dyDescent="0.25">
      <c r="A874" t="s">
        <v>31</v>
      </c>
      <c r="B874" t="s">
        <v>56</v>
      </c>
      <c r="C874">
        <v>0</v>
      </c>
      <c r="D874" t="s">
        <v>341</v>
      </c>
      <c r="E874">
        <v>29.23</v>
      </c>
      <c r="F874">
        <v>16.670000000000002</v>
      </c>
      <c r="G874">
        <v>16.18</v>
      </c>
      <c r="H874">
        <v>32.85</v>
      </c>
      <c r="I874" t="s">
        <v>344</v>
      </c>
      <c r="J874">
        <v>54.05</v>
      </c>
      <c r="L874" t="s">
        <v>345</v>
      </c>
      <c r="N874" t="s">
        <v>345</v>
      </c>
      <c r="O874">
        <v>-2.66</v>
      </c>
      <c r="P874" t="s">
        <v>344</v>
      </c>
      <c r="Q874">
        <v>-2.12</v>
      </c>
      <c r="R874" t="s">
        <v>344</v>
      </c>
      <c r="S874">
        <v>1</v>
      </c>
    </row>
    <row r="875" spans="1:19" x14ac:dyDescent="0.25">
      <c r="A875" t="s">
        <v>31</v>
      </c>
      <c r="B875" t="s">
        <v>57</v>
      </c>
      <c r="C875">
        <v>20</v>
      </c>
      <c r="D875" t="s">
        <v>341</v>
      </c>
      <c r="E875">
        <v>29.23</v>
      </c>
      <c r="F875">
        <v>16.329999999999998</v>
      </c>
      <c r="G875">
        <v>14.95</v>
      </c>
      <c r="H875">
        <v>31.28</v>
      </c>
      <c r="I875" t="s">
        <v>344</v>
      </c>
      <c r="J875">
        <v>55.22</v>
      </c>
      <c r="K875">
        <v>5.87</v>
      </c>
      <c r="L875" t="s">
        <v>346</v>
      </c>
      <c r="M875" s="1">
        <v>5.8700000000000002E-2</v>
      </c>
      <c r="N875" t="s">
        <v>350</v>
      </c>
      <c r="O875">
        <v>-0.44</v>
      </c>
      <c r="P875" t="s">
        <v>343</v>
      </c>
      <c r="Q875">
        <v>4.6100000000000003</v>
      </c>
      <c r="R875" t="s">
        <v>343</v>
      </c>
      <c r="S875">
        <v>1</v>
      </c>
    </row>
    <row r="876" spans="1:19" x14ac:dyDescent="0.25">
      <c r="A876" t="s">
        <v>31</v>
      </c>
      <c r="B876" t="s">
        <v>58</v>
      </c>
      <c r="C876">
        <v>40</v>
      </c>
      <c r="D876" t="s">
        <v>341</v>
      </c>
      <c r="E876">
        <v>29.23</v>
      </c>
      <c r="F876">
        <v>14.25</v>
      </c>
      <c r="G876">
        <v>16.18</v>
      </c>
      <c r="H876">
        <v>30.44</v>
      </c>
      <c r="I876" t="s">
        <v>344</v>
      </c>
      <c r="J876">
        <v>54.79</v>
      </c>
      <c r="K876">
        <v>-2.15</v>
      </c>
      <c r="L876" t="s">
        <v>346</v>
      </c>
      <c r="M876" s="1">
        <v>2.1499999999999998E-2</v>
      </c>
      <c r="N876" t="s">
        <v>350</v>
      </c>
      <c r="O876">
        <v>-1.82</v>
      </c>
      <c r="P876" t="s">
        <v>343</v>
      </c>
      <c r="Q876">
        <v>4.01</v>
      </c>
      <c r="R876" t="s">
        <v>343</v>
      </c>
      <c r="S876">
        <v>1</v>
      </c>
    </row>
    <row r="877" spans="1:19" x14ac:dyDescent="0.25">
      <c r="A877" t="s">
        <v>31</v>
      </c>
      <c r="B877" t="s">
        <v>59</v>
      </c>
      <c r="C877">
        <v>60</v>
      </c>
      <c r="D877" t="s">
        <v>341</v>
      </c>
      <c r="E877">
        <v>29.23</v>
      </c>
      <c r="F877">
        <v>13.53</v>
      </c>
      <c r="G877">
        <v>17.84</v>
      </c>
      <c r="H877">
        <v>31.37</v>
      </c>
      <c r="I877" t="s">
        <v>344</v>
      </c>
      <c r="J877">
        <v>55.29</v>
      </c>
      <c r="K877">
        <v>2.5</v>
      </c>
      <c r="L877" t="s">
        <v>346</v>
      </c>
      <c r="M877" s="1">
        <v>2.5000000000000001E-2</v>
      </c>
      <c r="N877" t="s">
        <v>350</v>
      </c>
      <c r="O877">
        <v>-0.57999999999999996</v>
      </c>
      <c r="P877" t="s">
        <v>343</v>
      </c>
      <c r="Q877">
        <v>3.9</v>
      </c>
      <c r="R877" t="s">
        <v>344</v>
      </c>
      <c r="S877">
        <v>1</v>
      </c>
    </row>
    <row r="878" spans="1:19" x14ac:dyDescent="0.25">
      <c r="A878" t="s">
        <v>31</v>
      </c>
      <c r="B878" t="s">
        <v>60</v>
      </c>
      <c r="C878">
        <v>80</v>
      </c>
      <c r="D878" t="s">
        <v>341</v>
      </c>
      <c r="E878">
        <v>29.23</v>
      </c>
      <c r="F878">
        <v>13.04</v>
      </c>
      <c r="G878">
        <v>17.670000000000002</v>
      </c>
      <c r="H878">
        <v>30.71</v>
      </c>
      <c r="I878" t="s">
        <v>344</v>
      </c>
      <c r="J878">
        <v>55.86</v>
      </c>
      <c r="K878">
        <v>2.83</v>
      </c>
      <c r="L878" t="s">
        <v>346</v>
      </c>
      <c r="M878" s="1">
        <v>2.8299999999999999E-2</v>
      </c>
      <c r="N878" t="s">
        <v>350</v>
      </c>
      <c r="O878">
        <v>-0.17</v>
      </c>
      <c r="P878" t="s">
        <v>343</v>
      </c>
      <c r="Q878">
        <v>4.87</v>
      </c>
      <c r="R878" t="s">
        <v>343</v>
      </c>
      <c r="S878">
        <v>1</v>
      </c>
    </row>
    <row r="879" spans="1:19" x14ac:dyDescent="0.25">
      <c r="A879" t="s">
        <v>31</v>
      </c>
      <c r="B879" t="s">
        <v>61</v>
      </c>
      <c r="C879">
        <v>100</v>
      </c>
      <c r="D879" t="s">
        <v>341</v>
      </c>
      <c r="E879">
        <v>29.23</v>
      </c>
      <c r="F879">
        <v>13.46</v>
      </c>
      <c r="G879">
        <v>16.55</v>
      </c>
      <c r="H879">
        <v>30.01</v>
      </c>
      <c r="I879" t="s">
        <v>344</v>
      </c>
      <c r="J879">
        <v>56.35</v>
      </c>
      <c r="K879">
        <v>2.44</v>
      </c>
      <c r="L879" t="s">
        <v>346</v>
      </c>
      <c r="M879" s="1">
        <v>2.4400000000000002E-2</v>
      </c>
      <c r="N879" t="s">
        <v>350</v>
      </c>
      <c r="O879">
        <v>-0.49</v>
      </c>
      <c r="P879" t="s">
        <v>343</v>
      </c>
      <c r="Q879">
        <v>5.0599999999999996</v>
      </c>
      <c r="R879" t="s">
        <v>343</v>
      </c>
      <c r="S879">
        <v>1</v>
      </c>
    </row>
    <row r="880" spans="1:19" x14ac:dyDescent="0.25">
      <c r="A880" t="s">
        <v>31</v>
      </c>
      <c r="B880" t="s">
        <v>62</v>
      </c>
      <c r="C880">
        <v>120</v>
      </c>
      <c r="D880" t="s">
        <v>341</v>
      </c>
      <c r="E880">
        <v>29.23</v>
      </c>
      <c r="F880">
        <v>13.29</v>
      </c>
      <c r="G880">
        <v>14.96</v>
      </c>
      <c r="H880">
        <v>28.25</v>
      </c>
      <c r="I880" t="s">
        <v>343</v>
      </c>
      <c r="J880">
        <v>57.03</v>
      </c>
      <c r="K880">
        <v>3.39</v>
      </c>
      <c r="L880" t="s">
        <v>346</v>
      </c>
      <c r="M880" s="1">
        <v>3.39E-2</v>
      </c>
      <c r="N880" t="s">
        <v>350</v>
      </c>
      <c r="O880">
        <v>0.76</v>
      </c>
      <c r="P880" t="s">
        <v>343</v>
      </c>
      <c r="Q880">
        <v>5.35</v>
      </c>
      <c r="R880" t="s">
        <v>343</v>
      </c>
      <c r="S880">
        <v>1</v>
      </c>
    </row>
    <row r="881" spans="1:19" x14ac:dyDescent="0.25">
      <c r="A881" t="s">
        <v>31</v>
      </c>
      <c r="B881" t="s">
        <v>63</v>
      </c>
      <c r="C881">
        <v>140</v>
      </c>
      <c r="D881" t="s">
        <v>341</v>
      </c>
      <c r="E881">
        <v>29.23</v>
      </c>
      <c r="F881">
        <v>13.59</v>
      </c>
      <c r="G881">
        <v>14.15</v>
      </c>
      <c r="H881">
        <v>27.74</v>
      </c>
      <c r="I881" t="s">
        <v>343</v>
      </c>
      <c r="J881">
        <v>57.73</v>
      </c>
      <c r="K881">
        <v>3.54</v>
      </c>
      <c r="L881" t="s">
        <v>346</v>
      </c>
      <c r="M881" s="1">
        <v>3.5400000000000001E-2</v>
      </c>
      <c r="N881" t="s">
        <v>350</v>
      </c>
      <c r="O881">
        <v>0.15</v>
      </c>
      <c r="P881" t="s">
        <v>343</v>
      </c>
      <c r="Q881">
        <v>4.54</v>
      </c>
      <c r="R881" t="s">
        <v>343</v>
      </c>
      <c r="S881">
        <v>1</v>
      </c>
    </row>
    <row r="882" spans="1:19" x14ac:dyDescent="0.25">
      <c r="A882" t="s">
        <v>31</v>
      </c>
      <c r="B882" t="s">
        <v>64</v>
      </c>
      <c r="C882">
        <v>160</v>
      </c>
      <c r="D882" t="s">
        <v>341</v>
      </c>
      <c r="E882">
        <v>29.23</v>
      </c>
      <c r="F882">
        <v>13.75</v>
      </c>
      <c r="G882">
        <v>14.42</v>
      </c>
      <c r="H882">
        <v>28.16</v>
      </c>
      <c r="I882" t="s">
        <v>343</v>
      </c>
      <c r="J882">
        <v>58.57</v>
      </c>
      <c r="K882">
        <v>4.2</v>
      </c>
      <c r="L882" t="s">
        <v>346</v>
      </c>
      <c r="M882" s="1">
        <v>4.2000000000000003E-2</v>
      </c>
      <c r="N882" t="s">
        <v>350</v>
      </c>
      <c r="O882">
        <v>1.79</v>
      </c>
      <c r="P882" t="s">
        <v>343</v>
      </c>
      <c r="Q882">
        <v>4.76</v>
      </c>
      <c r="R882" t="s">
        <v>343</v>
      </c>
      <c r="S882">
        <v>1</v>
      </c>
    </row>
    <row r="883" spans="1:19" x14ac:dyDescent="0.25">
      <c r="A883" t="s">
        <v>31</v>
      </c>
      <c r="B883" t="s">
        <v>65</v>
      </c>
      <c r="C883">
        <v>180</v>
      </c>
      <c r="D883" t="s">
        <v>341</v>
      </c>
      <c r="E883">
        <v>29.23</v>
      </c>
      <c r="F883">
        <v>13.5</v>
      </c>
      <c r="G883">
        <v>14.75</v>
      </c>
      <c r="H883">
        <v>28.25</v>
      </c>
      <c r="I883" t="s">
        <v>343</v>
      </c>
      <c r="J883">
        <v>59.53</v>
      </c>
      <c r="K883">
        <v>4.79</v>
      </c>
      <c r="L883" t="s">
        <v>346</v>
      </c>
      <c r="M883" s="1">
        <v>4.7899999999999998E-2</v>
      </c>
      <c r="N883" t="s">
        <v>350</v>
      </c>
      <c r="O883">
        <v>2.65</v>
      </c>
      <c r="P883" t="s">
        <v>344</v>
      </c>
      <c r="Q883">
        <v>4.4400000000000004</v>
      </c>
      <c r="R883" t="s">
        <v>343</v>
      </c>
      <c r="S883">
        <v>1</v>
      </c>
    </row>
    <row r="884" spans="1:19" x14ac:dyDescent="0.25">
      <c r="A884" t="s">
        <v>31</v>
      </c>
      <c r="B884" t="s">
        <v>66</v>
      </c>
      <c r="C884">
        <v>200</v>
      </c>
      <c r="D884" t="s">
        <v>341</v>
      </c>
      <c r="E884">
        <v>29.23</v>
      </c>
      <c r="F884">
        <v>12.65</v>
      </c>
      <c r="G884">
        <v>15.21</v>
      </c>
      <c r="H884">
        <v>27.86</v>
      </c>
      <c r="I884" t="s">
        <v>343</v>
      </c>
      <c r="J884">
        <v>60.5</v>
      </c>
      <c r="K884">
        <v>4.8600000000000003</v>
      </c>
      <c r="L884" t="s">
        <v>346</v>
      </c>
      <c r="M884" s="1">
        <v>4.8599999999999997E-2</v>
      </c>
      <c r="N884" t="s">
        <v>350</v>
      </c>
      <c r="O884">
        <v>2.4900000000000002</v>
      </c>
      <c r="P884" t="s">
        <v>344</v>
      </c>
      <c r="Q884">
        <v>3.54</v>
      </c>
      <c r="R884" t="s">
        <v>344</v>
      </c>
      <c r="S884">
        <v>1</v>
      </c>
    </row>
    <row r="885" spans="1:19" x14ac:dyDescent="0.25">
      <c r="A885" t="s">
        <v>31</v>
      </c>
      <c r="B885" t="s">
        <v>67</v>
      </c>
      <c r="C885">
        <v>220</v>
      </c>
      <c r="D885" t="s">
        <v>341</v>
      </c>
      <c r="E885">
        <v>29.23</v>
      </c>
      <c r="F885">
        <v>12.52</v>
      </c>
      <c r="G885">
        <v>14.65</v>
      </c>
      <c r="H885">
        <v>27.17</v>
      </c>
      <c r="I885" t="s">
        <v>343</v>
      </c>
      <c r="J885">
        <v>61.69</v>
      </c>
      <c r="K885">
        <v>5.92</v>
      </c>
      <c r="L885" t="s">
        <v>346</v>
      </c>
      <c r="M885" s="1">
        <v>5.9200000000000003E-2</v>
      </c>
      <c r="N885" t="s">
        <v>350</v>
      </c>
      <c r="O885">
        <v>2.0499999999999998</v>
      </c>
      <c r="P885" t="s">
        <v>344</v>
      </c>
      <c r="Q885">
        <v>4.83</v>
      </c>
      <c r="R885" t="s">
        <v>343</v>
      </c>
      <c r="S885">
        <v>1</v>
      </c>
    </row>
    <row r="886" spans="1:19" x14ac:dyDescent="0.25">
      <c r="A886" t="s">
        <v>31</v>
      </c>
      <c r="B886" t="s">
        <v>68</v>
      </c>
      <c r="C886">
        <v>240</v>
      </c>
      <c r="D886" t="s">
        <v>341</v>
      </c>
      <c r="E886">
        <v>29.23</v>
      </c>
      <c r="F886">
        <v>12.69</v>
      </c>
      <c r="G886">
        <v>14.29</v>
      </c>
      <c r="H886">
        <v>26.98</v>
      </c>
      <c r="I886" t="s">
        <v>343</v>
      </c>
      <c r="J886">
        <v>62.99</v>
      </c>
      <c r="K886">
        <v>6.49</v>
      </c>
      <c r="L886" t="s">
        <v>346</v>
      </c>
      <c r="M886" s="1">
        <v>6.4899999999999999E-2</v>
      </c>
      <c r="N886" t="s">
        <v>350</v>
      </c>
      <c r="O886">
        <v>2.68</v>
      </c>
      <c r="P886" t="s">
        <v>344</v>
      </c>
      <c r="Q886">
        <v>5.07</v>
      </c>
      <c r="R886" t="s">
        <v>343</v>
      </c>
      <c r="S886">
        <v>1</v>
      </c>
    </row>
    <row r="887" spans="1:19" x14ac:dyDescent="0.25">
      <c r="A887" t="s">
        <v>31</v>
      </c>
      <c r="B887" t="s">
        <v>69</v>
      </c>
      <c r="C887">
        <v>260</v>
      </c>
      <c r="D887" t="s">
        <v>341</v>
      </c>
      <c r="E887">
        <v>29.23</v>
      </c>
      <c r="F887">
        <v>12.73</v>
      </c>
      <c r="G887">
        <v>13.19</v>
      </c>
      <c r="H887">
        <v>25.92</v>
      </c>
      <c r="I887" t="s">
        <v>343</v>
      </c>
      <c r="J887">
        <v>64.44</v>
      </c>
      <c r="K887">
        <v>7.24</v>
      </c>
      <c r="L887" t="s">
        <v>346</v>
      </c>
      <c r="M887" s="1">
        <v>7.2400000000000006E-2</v>
      </c>
      <c r="N887" t="s">
        <v>350</v>
      </c>
      <c r="O887">
        <v>2.78</v>
      </c>
      <c r="P887" t="s">
        <v>344</v>
      </c>
      <c r="Q887">
        <v>5.26</v>
      </c>
      <c r="R887" t="s">
        <v>343</v>
      </c>
      <c r="S887">
        <v>1</v>
      </c>
    </row>
    <row r="888" spans="1:19" x14ac:dyDescent="0.25">
      <c r="A888" t="s">
        <v>31</v>
      </c>
      <c r="B888" t="s">
        <v>70</v>
      </c>
      <c r="C888">
        <v>280</v>
      </c>
      <c r="D888" t="s">
        <v>341</v>
      </c>
      <c r="E888">
        <v>29.23</v>
      </c>
      <c r="F888">
        <v>12.55</v>
      </c>
      <c r="G888">
        <v>12.43</v>
      </c>
      <c r="H888">
        <v>24.98</v>
      </c>
      <c r="I888" t="s">
        <v>343</v>
      </c>
      <c r="J888">
        <v>65.91</v>
      </c>
      <c r="K888">
        <v>7.38</v>
      </c>
      <c r="L888" t="s">
        <v>346</v>
      </c>
      <c r="M888" s="1">
        <v>7.3800000000000004E-2</v>
      </c>
      <c r="N888" t="s">
        <v>350</v>
      </c>
      <c r="O888">
        <v>3.17</v>
      </c>
      <c r="P888" t="s">
        <v>344</v>
      </c>
      <c r="Q888">
        <v>4.79</v>
      </c>
      <c r="R888" t="s">
        <v>343</v>
      </c>
      <c r="S888">
        <v>1</v>
      </c>
    </row>
    <row r="889" spans="1:19" x14ac:dyDescent="0.25">
      <c r="A889" t="s">
        <v>31</v>
      </c>
      <c r="B889" t="s">
        <v>71</v>
      </c>
      <c r="C889">
        <v>300</v>
      </c>
      <c r="D889" t="s">
        <v>341</v>
      </c>
      <c r="E889">
        <v>29.23</v>
      </c>
      <c r="F889">
        <v>12.42</v>
      </c>
      <c r="G889">
        <v>11.75</v>
      </c>
      <c r="H889">
        <v>24.17</v>
      </c>
      <c r="I889" t="s">
        <v>343</v>
      </c>
      <c r="J889">
        <v>67.31</v>
      </c>
      <c r="K889">
        <v>6.99</v>
      </c>
      <c r="L889" t="s">
        <v>346</v>
      </c>
      <c r="M889" s="1">
        <v>6.9900000000000004E-2</v>
      </c>
      <c r="N889" t="s">
        <v>350</v>
      </c>
      <c r="O889">
        <v>2.85</v>
      </c>
      <c r="P889" t="s">
        <v>344</v>
      </c>
      <c r="Q889">
        <v>5.16</v>
      </c>
      <c r="R889" t="s">
        <v>343</v>
      </c>
      <c r="S889">
        <v>1</v>
      </c>
    </row>
    <row r="890" spans="1:19" x14ac:dyDescent="0.25">
      <c r="A890" t="s">
        <v>31</v>
      </c>
      <c r="B890" t="s">
        <v>72</v>
      </c>
      <c r="C890">
        <v>320</v>
      </c>
      <c r="D890" t="s">
        <v>341</v>
      </c>
      <c r="E890">
        <v>29.23</v>
      </c>
      <c r="F890">
        <v>12.84</v>
      </c>
      <c r="G890">
        <v>11.24</v>
      </c>
      <c r="H890">
        <v>24.08</v>
      </c>
      <c r="I890" t="s">
        <v>343</v>
      </c>
      <c r="J890">
        <v>68.540000000000006</v>
      </c>
      <c r="K890">
        <v>6.14</v>
      </c>
      <c r="L890" t="s">
        <v>346</v>
      </c>
      <c r="M890" s="1">
        <v>6.1400000000000003E-2</v>
      </c>
      <c r="N890" t="s">
        <v>350</v>
      </c>
      <c r="O890">
        <v>2.92</v>
      </c>
      <c r="P890" t="s">
        <v>344</v>
      </c>
      <c r="Q890">
        <v>4.99</v>
      </c>
      <c r="R890" t="s">
        <v>343</v>
      </c>
      <c r="S890">
        <v>1</v>
      </c>
    </row>
    <row r="891" spans="1:19" x14ac:dyDescent="0.25">
      <c r="A891" t="s">
        <v>31</v>
      </c>
      <c r="B891" t="s">
        <v>73</v>
      </c>
      <c r="C891">
        <v>340</v>
      </c>
      <c r="D891" t="s">
        <v>341</v>
      </c>
      <c r="E891">
        <v>29.23</v>
      </c>
      <c r="F891">
        <v>13.46</v>
      </c>
      <c r="G891">
        <v>12.19</v>
      </c>
      <c r="H891">
        <v>25.65</v>
      </c>
      <c r="I891" t="s">
        <v>343</v>
      </c>
      <c r="J891">
        <v>70.040000000000006</v>
      </c>
      <c r="K891">
        <v>7.54</v>
      </c>
      <c r="L891" t="s">
        <v>346</v>
      </c>
      <c r="M891" s="1">
        <v>7.5399999999999995E-2</v>
      </c>
      <c r="N891" t="s">
        <v>350</v>
      </c>
      <c r="O891">
        <v>2.0099999999999998</v>
      </c>
      <c r="P891" t="s">
        <v>344</v>
      </c>
      <c r="Q891">
        <v>5.85</v>
      </c>
      <c r="R891" t="s">
        <v>343</v>
      </c>
      <c r="S891">
        <v>1</v>
      </c>
    </row>
    <row r="892" spans="1:19" x14ac:dyDescent="0.25">
      <c r="A892" t="s">
        <v>31</v>
      </c>
      <c r="B892" t="s">
        <v>74</v>
      </c>
      <c r="C892">
        <v>360</v>
      </c>
      <c r="D892" t="s">
        <v>341</v>
      </c>
      <c r="E892">
        <v>29.23</v>
      </c>
      <c r="F892">
        <v>13.76</v>
      </c>
      <c r="G892">
        <v>11.91</v>
      </c>
      <c r="H892">
        <v>25.67</v>
      </c>
      <c r="I892" t="s">
        <v>343</v>
      </c>
      <c r="J892">
        <v>71.5</v>
      </c>
      <c r="K892">
        <v>7.27</v>
      </c>
      <c r="L892" t="s">
        <v>346</v>
      </c>
      <c r="M892" s="1">
        <v>7.2700000000000001E-2</v>
      </c>
      <c r="N892" t="s">
        <v>350</v>
      </c>
      <c r="O892">
        <v>-0.64</v>
      </c>
      <c r="P892" t="s">
        <v>343</v>
      </c>
      <c r="Q892">
        <v>5.9</v>
      </c>
      <c r="R892" t="s">
        <v>343</v>
      </c>
      <c r="S892">
        <v>1</v>
      </c>
    </row>
    <row r="893" spans="1:19" x14ac:dyDescent="0.25">
      <c r="A893" t="s">
        <v>31</v>
      </c>
      <c r="B893" t="s">
        <v>75</v>
      </c>
      <c r="C893">
        <v>380</v>
      </c>
      <c r="D893" t="s">
        <v>341</v>
      </c>
      <c r="E893">
        <v>29.23</v>
      </c>
      <c r="F893">
        <v>14.99</v>
      </c>
      <c r="G893">
        <v>12.23</v>
      </c>
      <c r="H893">
        <v>27.22</v>
      </c>
      <c r="I893" t="s">
        <v>343</v>
      </c>
      <c r="J893">
        <v>73.069999999999993</v>
      </c>
      <c r="K893">
        <v>7.84</v>
      </c>
      <c r="L893" t="s">
        <v>346</v>
      </c>
      <c r="M893" s="1">
        <v>7.8399999999999997E-2</v>
      </c>
      <c r="N893" t="s">
        <v>350</v>
      </c>
      <c r="O893">
        <v>-0.9</v>
      </c>
      <c r="P893" t="s">
        <v>343</v>
      </c>
      <c r="Q893">
        <v>7.4</v>
      </c>
      <c r="R893" t="s">
        <v>343</v>
      </c>
      <c r="S893">
        <v>1</v>
      </c>
    </row>
    <row r="894" spans="1:19" x14ac:dyDescent="0.25">
      <c r="A894" t="s">
        <v>31</v>
      </c>
      <c r="B894" t="s">
        <v>76</v>
      </c>
      <c r="C894">
        <v>400</v>
      </c>
      <c r="D894" t="s">
        <v>341</v>
      </c>
      <c r="E894">
        <v>29.23</v>
      </c>
      <c r="F894">
        <v>15.47</v>
      </c>
      <c r="G894">
        <v>10.79</v>
      </c>
      <c r="H894">
        <v>26.26</v>
      </c>
      <c r="I894" t="s">
        <v>343</v>
      </c>
      <c r="J894">
        <v>74.55</v>
      </c>
      <c r="K894">
        <v>7.4</v>
      </c>
      <c r="L894" t="s">
        <v>346</v>
      </c>
      <c r="M894" s="1">
        <v>7.400000000000001E-2</v>
      </c>
      <c r="N894" t="s">
        <v>350</v>
      </c>
      <c r="O894">
        <v>-1.08</v>
      </c>
      <c r="P894" t="s">
        <v>343</v>
      </c>
      <c r="Q894">
        <v>6.61</v>
      </c>
      <c r="R894" t="s">
        <v>343</v>
      </c>
      <c r="S894">
        <v>1</v>
      </c>
    </row>
    <row r="895" spans="1:19" x14ac:dyDescent="0.25">
      <c r="A895" t="s">
        <v>31</v>
      </c>
      <c r="B895" t="s">
        <v>77</v>
      </c>
      <c r="C895">
        <v>420</v>
      </c>
      <c r="D895" t="s">
        <v>341</v>
      </c>
      <c r="E895">
        <v>29.23</v>
      </c>
      <c r="F895">
        <v>14.4</v>
      </c>
      <c r="G895">
        <v>11.66</v>
      </c>
      <c r="H895">
        <v>26.06</v>
      </c>
      <c r="I895" t="s">
        <v>343</v>
      </c>
      <c r="J895">
        <v>76.239999999999995</v>
      </c>
      <c r="K895">
        <v>8.4600000000000009</v>
      </c>
      <c r="L895" t="s">
        <v>347</v>
      </c>
      <c r="M895" s="1">
        <v>8.4600000000000009E-2</v>
      </c>
      <c r="N895" t="s">
        <v>350</v>
      </c>
      <c r="O895">
        <v>-1.92</v>
      </c>
      <c r="P895" t="s">
        <v>343</v>
      </c>
      <c r="Q895">
        <v>5.56</v>
      </c>
      <c r="R895" t="s">
        <v>343</v>
      </c>
      <c r="S895">
        <v>1</v>
      </c>
    </row>
    <row r="896" spans="1:19" x14ac:dyDescent="0.25">
      <c r="A896" t="s">
        <v>31</v>
      </c>
      <c r="B896" t="s">
        <v>78</v>
      </c>
      <c r="C896">
        <v>440</v>
      </c>
      <c r="D896" t="s">
        <v>341</v>
      </c>
      <c r="E896">
        <v>29.23</v>
      </c>
      <c r="F896">
        <v>14.79</v>
      </c>
      <c r="G896">
        <v>11.57</v>
      </c>
      <c r="H896">
        <v>26.35</v>
      </c>
      <c r="I896" t="s">
        <v>343</v>
      </c>
      <c r="J896">
        <v>77.92</v>
      </c>
      <c r="K896">
        <v>8.3800000000000008</v>
      </c>
      <c r="L896" t="s">
        <v>347</v>
      </c>
      <c r="M896" s="1">
        <v>8.3800000000000013E-2</v>
      </c>
      <c r="N896" t="s">
        <v>350</v>
      </c>
      <c r="O896">
        <v>-0.83</v>
      </c>
      <c r="P896" t="s">
        <v>343</v>
      </c>
      <c r="Q896">
        <v>3.32</v>
      </c>
      <c r="R896" t="s">
        <v>344</v>
      </c>
      <c r="S896">
        <v>1</v>
      </c>
    </row>
    <row r="897" spans="1:19" x14ac:dyDescent="0.25">
      <c r="A897" t="s">
        <v>31</v>
      </c>
      <c r="B897" t="s">
        <v>79</v>
      </c>
      <c r="C897">
        <v>460</v>
      </c>
      <c r="D897" t="s">
        <v>341</v>
      </c>
      <c r="E897">
        <v>29.23</v>
      </c>
      <c r="F897">
        <v>16.23</v>
      </c>
      <c r="G897">
        <v>11.01</v>
      </c>
      <c r="H897">
        <v>27.24</v>
      </c>
      <c r="I897" t="s">
        <v>343</v>
      </c>
      <c r="J897">
        <v>79.45</v>
      </c>
      <c r="K897">
        <v>7.67</v>
      </c>
      <c r="L897" t="s">
        <v>346</v>
      </c>
      <c r="M897" s="1">
        <v>7.6700000000000004E-2</v>
      </c>
      <c r="N897" t="s">
        <v>350</v>
      </c>
      <c r="O897">
        <v>1.01</v>
      </c>
      <c r="P897" t="s">
        <v>343</v>
      </c>
      <c r="Q897">
        <v>2.3199999999999998</v>
      </c>
      <c r="R897" t="s">
        <v>344</v>
      </c>
      <c r="S897">
        <v>1</v>
      </c>
    </row>
    <row r="898" spans="1:19" x14ac:dyDescent="0.25">
      <c r="A898" t="s">
        <v>31</v>
      </c>
      <c r="B898" t="s">
        <v>80</v>
      </c>
      <c r="C898">
        <v>480</v>
      </c>
      <c r="D898" t="s">
        <v>341</v>
      </c>
      <c r="E898">
        <v>29.23</v>
      </c>
      <c r="F898">
        <v>15.01</v>
      </c>
      <c r="G898">
        <v>11.32</v>
      </c>
      <c r="H898">
        <v>26.33</v>
      </c>
      <c r="I898" t="s">
        <v>343</v>
      </c>
      <c r="J898">
        <v>80.23</v>
      </c>
      <c r="K898">
        <v>3.91</v>
      </c>
      <c r="L898" t="s">
        <v>346</v>
      </c>
      <c r="M898" s="1">
        <v>3.9100000000000003E-2</v>
      </c>
      <c r="N898" t="s">
        <v>350</v>
      </c>
      <c r="O898">
        <v>-2.31</v>
      </c>
      <c r="P898" t="s">
        <v>344</v>
      </c>
      <c r="Q898">
        <v>4.1399999999999997</v>
      </c>
      <c r="R898" t="s">
        <v>343</v>
      </c>
      <c r="S898">
        <v>1</v>
      </c>
    </row>
    <row r="899" spans="1:19" x14ac:dyDescent="0.25">
      <c r="A899" t="s">
        <v>31</v>
      </c>
      <c r="B899" t="s">
        <v>81</v>
      </c>
      <c r="C899">
        <v>500</v>
      </c>
      <c r="D899" t="s">
        <v>341</v>
      </c>
      <c r="E899">
        <v>29.23</v>
      </c>
      <c r="F899">
        <v>20</v>
      </c>
      <c r="G899">
        <v>20</v>
      </c>
      <c r="H899">
        <v>40</v>
      </c>
      <c r="I899" t="s">
        <v>344</v>
      </c>
      <c r="J899">
        <v>82.31</v>
      </c>
      <c r="K899">
        <v>10.39</v>
      </c>
      <c r="L899" t="s">
        <v>348</v>
      </c>
      <c r="M899" s="1">
        <v>0.10390000000000001</v>
      </c>
      <c r="N899" t="s">
        <v>350</v>
      </c>
      <c r="O899">
        <v>-2.64</v>
      </c>
      <c r="P899" t="s">
        <v>344</v>
      </c>
      <c r="Q899">
        <v>1.07</v>
      </c>
      <c r="R899" t="s">
        <v>343</v>
      </c>
      <c r="S899">
        <v>1</v>
      </c>
    </row>
    <row r="900" spans="1:19" x14ac:dyDescent="0.25">
      <c r="A900" t="s">
        <v>31</v>
      </c>
      <c r="B900" t="s">
        <v>82</v>
      </c>
      <c r="C900">
        <v>520</v>
      </c>
      <c r="D900" t="s">
        <v>341</v>
      </c>
      <c r="E900">
        <v>29.23</v>
      </c>
      <c r="F900">
        <v>20</v>
      </c>
      <c r="G900">
        <v>20</v>
      </c>
      <c r="H900">
        <v>40</v>
      </c>
      <c r="I900" t="s">
        <v>344</v>
      </c>
      <c r="J900">
        <v>80.709999999999994</v>
      </c>
      <c r="K900">
        <v>-8</v>
      </c>
      <c r="L900" t="s">
        <v>347</v>
      </c>
      <c r="M900" s="1">
        <v>0.08</v>
      </c>
      <c r="N900" t="s">
        <v>350</v>
      </c>
      <c r="O900">
        <v>-9.41</v>
      </c>
      <c r="P900" t="s">
        <v>343</v>
      </c>
      <c r="Q900">
        <v>4.5</v>
      </c>
      <c r="R900" t="s">
        <v>343</v>
      </c>
      <c r="S900">
        <v>1</v>
      </c>
    </row>
    <row r="901" spans="1:19" x14ac:dyDescent="0.25">
      <c r="A901" t="s">
        <v>31</v>
      </c>
      <c r="B901" t="s">
        <v>83</v>
      </c>
      <c r="C901">
        <v>540</v>
      </c>
      <c r="D901" t="s">
        <v>341</v>
      </c>
      <c r="E901">
        <v>29.23</v>
      </c>
      <c r="F901">
        <v>20</v>
      </c>
      <c r="G901">
        <v>20</v>
      </c>
      <c r="H901">
        <v>40</v>
      </c>
      <c r="I901" t="s">
        <v>344</v>
      </c>
      <c r="J901">
        <v>81.319999999999993</v>
      </c>
      <c r="K901">
        <v>3.03</v>
      </c>
      <c r="L901" t="s">
        <v>346</v>
      </c>
      <c r="M901" s="1">
        <v>3.0300000000000001E-2</v>
      </c>
      <c r="N901" t="s">
        <v>350</v>
      </c>
      <c r="O901">
        <v>1.57</v>
      </c>
      <c r="P901" t="s">
        <v>343</v>
      </c>
      <c r="Q901">
        <v>2.2400000000000002</v>
      </c>
      <c r="R901" t="s">
        <v>344</v>
      </c>
      <c r="S901">
        <v>1</v>
      </c>
    </row>
    <row r="902" spans="1:19" x14ac:dyDescent="0.25">
      <c r="A902" t="s">
        <v>31</v>
      </c>
      <c r="B902" t="s">
        <v>84</v>
      </c>
      <c r="C902">
        <v>560</v>
      </c>
      <c r="D902" t="s">
        <v>341</v>
      </c>
      <c r="E902">
        <v>29.23</v>
      </c>
      <c r="F902">
        <v>20</v>
      </c>
      <c r="G902">
        <v>20</v>
      </c>
      <c r="H902">
        <v>40</v>
      </c>
      <c r="I902" t="s">
        <v>344</v>
      </c>
      <c r="J902">
        <v>82.5</v>
      </c>
      <c r="K902">
        <v>5.91</v>
      </c>
      <c r="L902" t="s">
        <v>346</v>
      </c>
      <c r="M902" s="1">
        <v>5.91E-2</v>
      </c>
      <c r="N902" t="s">
        <v>350</v>
      </c>
      <c r="O902">
        <v>-0.15</v>
      </c>
      <c r="P902" t="s">
        <v>343</v>
      </c>
      <c r="Q902">
        <v>2.08</v>
      </c>
      <c r="R902" t="s">
        <v>344</v>
      </c>
      <c r="S902">
        <v>1</v>
      </c>
    </row>
    <row r="903" spans="1:19" x14ac:dyDescent="0.25">
      <c r="A903" t="s">
        <v>31</v>
      </c>
      <c r="B903" t="s">
        <v>85</v>
      </c>
      <c r="C903">
        <v>580</v>
      </c>
      <c r="D903" t="s">
        <v>341</v>
      </c>
      <c r="E903">
        <v>29.23</v>
      </c>
      <c r="F903">
        <v>20</v>
      </c>
      <c r="G903">
        <v>20</v>
      </c>
      <c r="H903">
        <v>40</v>
      </c>
      <c r="I903" t="s">
        <v>344</v>
      </c>
      <c r="J903">
        <v>83.82</v>
      </c>
      <c r="K903">
        <v>6.63</v>
      </c>
      <c r="L903" t="s">
        <v>346</v>
      </c>
      <c r="M903" s="1">
        <v>6.6299999999999998E-2</v>
      </c>
      <c r="N903" t="s">
        <v>350</v>
      </c>
      <c r="O903">
        <v>5.5</v>
      </c>
      <c r="P903" t="s">
        <v>343</v>
      </c>
      <c r="Q903">
        <v>-0.39</v>
      </c>
      <c r="R903" t="s">
        <v>343</v>
      </c>
      <c r="S903">
        <v>1</v>
      </c>
    </row>
    <row r="904" spans="1:19" x14ac:dyDescent="0.25">
      <c r="A904" t="s">
        <v>31</v>
      </c>
      <c r="B904" t="s">
        <v>86</v>
      </c>
      <c r="C904">
        <v>600</v>
      </c>
      <c r="D904" t="s">
        <v>341</v>
      </c>
      <c r="E904">
        <v>29.23</v>
      </c>
      <c r="F904">
        <v>17.95</v>
      </c>
      <c r="G904">
        <v>20</v>
      </c>
      <c r="H904">
        <v>37.950000000000003</v>
      </c>
      <c r="I904" t="s">
        <v>344</v>
      </c>
      <c r="J904">
        <v>85.37</v>
      </c>
      <c r="K904">
        <v>7.73</v>
      </c>
      <c r="L904" t="s">
        <v>346</v>
      </c>
      <c r="M904" s="1">
        <v>7.7300000000000008E-2</v>
      </c>
      <c r="N904" t="s">
        <v>350</v>
      </c>
      <c r="O904">
        <v>1.67</v>
      </c>
      <c r="P904" t="s">
        <v>343</v>
      </c>
      <c r="Q904">
        <v>0.72</v>
      </c>
      <c r="R904" t="s">
        <v>343</v>
      </c>
      <c r="S904">
        <v>1</v>
      </c>
    </row>
    <row r="905" spans="1:19" x14ac:dyDescent="0.25">
      <c r="A905" t="s">
        <v>31</v>
      </c>
      <c r="B905" t="s">
        <v>87</v>
      </c>
      <c r="C905">
        <v>620</v>
      </c>
      <c r="D905" t="s">
        <v>341</v>
      </c>
      <c r="E905">
        <v>29.23</v>
      </c>
      <c r="F905">
        <v>15.7</v>
      </c>
      <c r="G905">
        <v>17.27</v>
      </c>
      <c r="H905">
        <v>32.97</v>
      </c>
      <c r="I905" t="s">
        <v>344</v>
      </c>
      <c r="J905">
        <v>86.81</v>
      </c>
      <c r="K905">
        <v>7.19</v>
      </c>
      <c r="L905" t="s">
        <v>346</v>
      </c>
      <c r="M905" s="1">
        <v>7.1900000000000006E-2</v>
      </c>
      <c r="N905" t="s">
        <v>350</v>
      </c>
      <c r="O905">
        <v>1.67</v>
      </c>
      <c r="P905" t="s">
        <v>343</v>
      </c>
      <c r="Q905">
        <v>0.76</v>
      </c>
      <c r="R905" t="s">
        <v>343</v>
      </c>
      <c r="S905">
        <v>1</v>
      </c>
    </row>
    <row r="906" spans="1:19" x14ac:dyDescent="0.25">
      <c r="A906" t="s">
        <v>31</v>
      </c>
      <c r="B906" t="s">
        <v>88</v>
      </c>
      <c r="C906">
        <v>640</v>
      </c>
      <c r="D906" t="s">
        <v>341</v>
      </c>
      <c r="E906">
        <v>29.23</v>
      </c>
      <c r="F906">
        <v>15.87</v>
      </c>
      <c r="G906">
        <v>16.43</v>
      </c>
      <c r="H906">
        <v>32.29</v>
      </c>
      <c r="I906" t="s">
        <v>344</v>
      </c>
      <c r="J906">
        <v>88.22</v>
      </c>
      <c r="K906">
        <v>7.06</v>
      </c>
      <c r="L906" t="s">
        <v>346</v>
      </c>
      <c r="M906" s="1">
        <v>7.0599999999999996E-2</v>
      </c>
      <c r="N906" t="s">
        <v>350</v>
      </c>
      <c r="O906">
        <v>3.34</v>
      </c>
      <c r="P906" t="s">
        <v>344</v>
      </c>
      <c r="Q906">
        <v>-1.52</v>
      </c>
      <c r="R906" t="s">
        <v>343</v>
      </c>
      <c r="S906">
        <v>1</v>
      </c>
    </row>
    <row r="907" spans="1:19" x14ac:dyDescent="0.25">
      <c r="A907" t="s">
        <v>31</v>
      </c>
      <c r="B907" t="s">
        <v>89</v>
      </c>
      <c r="C907">
        <v>660</v>
      </c>
      <c r="D907" t="s">
        <v>341</v>
      </c>
      <c r="E907">
        <v>29.23</v>
      </c>
      <c r="F907">
        <v>15.75</v>
      </c>
      <c r="G907">
        <v>17.11</v>
      </c>
      <c r="H907">
        <v>32.85</v>
      </c>
      <c r="I907" t="s">
        <v>344</v>
      </c>
      <c r="J907">
        <v>89.76</v>
      </c>
      <c r="K907">
        <v>7.73</v>
      </c>
      <c r="L907" t="s">
        <v>346</v>
      </c>
      <c r="M907" s="1">
        <v>7.7300000000000008E-2</v>
      </c>
      <c r="N907" t="s">
        <v>350</v>
      </c>
      <c r="O907">
        <v>2.85</v>
      </c>
      <c r="P907" t="s">
        <v>344</v>
      </c>
      <c r="Q907">
        <v>-0.2</v>
      </c>
      <c r="R907" t="s">
        <v>343</v>
      </c>
      <c r="S907">
        <v>1</v>
      </c>
    </row>
    <row r="908" spans="1:19" x14ac:dyDescent="0.25">
      <c r="A908" t="s">
        <v>31</v>
      </c>
      <c r="B908" t="s">
        <v>90</v>
      </c>
      <c r="C908">
        <v>680</v>
      </c>
      <c r="D908" t="s">
        <v>341</v>
      </c>
      <c r="E908">
        <v>29.23</v>
      </c>
      <c r="F908">
        <v>14.52</v>
      </c>
      <c r="G908">
        <v>17.96</v>
      </c>
      <c r="H908">
        <v>32.47</v>
      </c>
      <c r="I908" t="s">
        <v>344</v>
      </c>
      <c r="J908">
        <v>91.21</v>
      </c>
      <c r="K908">
        <v>7.22</v>
      </c>
      <c r="L908" t="s">
        <v>346</v>
      </c>
      <c r="M908" s="1">
        <v>7.22E-2</v>
      </c>
      <c r="N908" t="s">
        <v>350</v>
      </c>
      <c r="O908">
        <v>2.79</v>
      </c>
      <c r="P908" t="s">
        <v>344</v>
      </c>
      <c r="Q908">
        <v>-0.44</v>
      </c>
      <c r="R908" t="s">
        <v>343</v>
      </c>
      <c r="S908">
        <v>1</v>
      </c>
    </row>
    <row r="909" spans="1:19" x14ac:dyDescent="0.25">
      <c r="A909" t="s">
        <v>31</v>
      </c>
      <c r="B909" t="s">
        <v>91</v>
      </c>
      <c r="C909">
        <v>700</v>
      </c>
      <c r="D909" t="s">
        <v>341</v>
      </c>
      <c r="E909">
        <v>29.23</v>
      </c>
      <c r="F909">
        <v>14.54</v>
      </c>
      <c r="G909">
        <v>17.489999999999998</v>
      </c>
      <c r="H909">
        <v>32.03</v>
      </c>
      <c r="I909" t="s">
        <v>344</v>
      </c>
      <c r="J909">
        <v>92.7</v>
      </c>
      <c r="K909">
        <v>7.45</v>
      </c>
      <c r="L909" t="s">
        <v>346</v>
      </c>
      <c r="M909" s="1">
        <v>7.4499999999999997E-2</v>
      </c>
      <c r="N909" t="s">
        <v>350</v>
      </c>
      <c r="O909">
        <v>2.75</v>
      </c>
      <c r="P909" t="s">
        <v>344</v>
      </c>
      <c r="Q909">
        <v>-0.18</v>
      </c>
      <c r="R909" t="s">
        <v>343</v>
      </c>
      <c r="S909">
        <v>1</v>
      </c>
    </row>
    <row r="910" spans="1:19" x14ac:dyDescent="0.25">
      <c r="A910" t="s">
        <v>31</v>
      </c>
      <c r="B910" t="s">
        <v>92</v>
      </c>
      <c r="C910">
        <v>720</v>
      </c>
      <c r="D910" t="s">
        <v>341</v>
      </c>
      <c r="E910">
        <v>29.23</v>
      </c>
      <c r="F910">
        <v>16.45</v>
      </c>
      <c r="G910">
        <v>17.96</v>
      </c>
      <c r="H910">
        <v>34.409999999999997</v>
      </c>
      <c r="I910" t="s">
        <v>344</v>
      </c>
      <c r="J910">
        <v>94.23</v>
      </c>
      <c r="K910">
        <v>7.64</v>
      </c>
      <c r="L910" t="s">
        <v>346</v>
      </c>
      <c r="M910" s="1">
        <v>7.6399999999999996E-2</v>
      </c>
      <c r="N910" t="s">
        <v>350</v>
      </c>
      <c r="O910">
        <v>2.33</v>
      </c>
      <c r="P910" t="s">
        <v>344</v>
      </c>
      <c r="Q910">
        <v>0.11</v>
      </c>
      <c r="R910" t="s">
        <v>343</v>
      </c>
      <c r="S910">
        <v>1</v>
      </c>
    </row>
    <row r="911" spans="1:19" x14ac:dyDescent="0.25">
      <c r="A911" t="s">
        <v>31</v>
      </c>
      <c r="B911" t="s">
        <v>93</v>
      </c>
      <c r="C911">
        <v>740</v>
      </c>
      <c r="D911" t="s">
        <v>341</v>
      </c>
      <c r="E911">
        <v>29.23</v>
      </c>
      <c r="F911">
        <v>20</v>
      </c>
      <c r="G911">
        <v>17.96</v>
      </c>
      <c r="H911">
        <v>37.96</v>
      </c>
      <c r="I911" t="s">
        <v>344</v>
      </c>
      <c r="J911">
        <v>95.86</v>
      </c>
      <c r="K911">
        <v>8.16</v>
      </c>
      <c r="L911" t="s">
        <v>347</v>
      </c>
      <c r="M911" s="1">
        <v>8.1600000000000006E-2</v>
      </c>
      <c r="N911" t="s">
        <v>350</v>
      </c>
      <c r="O911">
        <v>1.1299999999999999</v>
      </c>
      <c r="P911" t="s">
        <v>343</v>
      </c>
      <c r="Q911">
        <v>0.02</v>
      </c>
      <c r="R911" t="s">
        <v>343</v>
      </c>
      <c r="S911">
        <v>1</v>
      </c>
    </row>
    <row r="912" spans="1:19" x14ac:dyDescent="0.25">
      <c r="A912" t="s">
        <v>31</v>
      </c>
      <c r="B912" t="s">
        <v>94</v>
      </c>
      <c r="C912">
        <v>760</v>
      </c>
      <c r="D912" t="s">
        <v>341</v>
      </c>
      <c r="E912">
        <v>29.23</v>
      </c>
      <c r="F912">
        <v>20</v>
      </c>
      <c r="G912">
        <v>18.25</v>
      </c>
      <c r="H912">
        <v>38.25</v>
      </c>
      <c r="I912" t="s">
        <v>344</v>
      </c>
      <c r="J912">
        <v>98.92</v>
      </c>
      <c r="K912">
        <v>15.3</v>
      </c>
      <c r="L912" t="s">
        <v>348</v>
      </c>
      <c r="M912" s="1">
        <v>0.153</v>
      </c>
      <c r="N912" t="s">
        <v>350</v>
      </c>
      <c r="O912">
        <v>-0.52</v>
      </c>
      <c r="P912" t="s">
        <v>343</v>
      </c>
      <c r="Q912">
        <v>3.28</v>
      </c>
      <c r="R912" t="s">
        <v>344</v>
      </c>
      <c r="S912">
        <v>1</v>
      </c>
    </row>
    <row r="913" spans="1:19" x14ac:dyDescent="0.25">
      <c r="A913" t="s">
        <v>31</v>
      </c>
      <c r="B913" t="s">
        <v>95</v>
      </c>
      <c r="C913">
        <v>780</v>
      </c>
      <c r="D913" t="s">
        <v>341</v>
      </c>
      <c r="E913">
        <v>29.23</v>
      </c>
      <c r="F913">
        <v>20</v>
      </c>
      <c r="G913">
        <v>17.95</v>
      </c>
      <c r="H913">
        <v>37.950000000000003</v>
      </c>
      <c r="I913" t="s">
        <v>344</v>
      </c>
      <c r="J913">
        <v>100.52</v>
      </c>
      <c r="K913">
        <v>8.0299999999999994</v>
      </c>
      <c r="L913" t="s">
        <v>347</v>
      </c>
      <c r="M913" s="1">
        <v>8.0299999999999996E-2</v>
      </c>
      <c r="N913" t="s">
        <v>350</v>
      </c>
      <c r="O913">
        <v>-0.37</v>
      </c>
      <c r="P913" t="s">
        <v>343</v>
      </c>
      <c r="Q913">
        <v>5.45</v>
      </c>
      <c r="R913" t="s">
        <v>343</v>
      </c>
      <c r="S913">
        <v>1</v>
      </c>
    </row>
    <row r="914" spans="1:19" x14ac:dyDescent="0.25">
      <c r="A914" t="s">
        <v>31</v>
      </c>
      <c r="B914" t="s">
        <v>96</v>
      </c>
      <c r="C914">
        <v>800</v>
      </c>
      <c r="D914" t="s">
        <v>341</v>
      </c>
      <c r="E914">
        <v>29.23</v>
      </c>
      <c r="F914">
        <v>20</v>
      </c>
      <c r="G914">
        <v>18.25</v>
      </c>
      <c r="H914">
        <v>38.25</v>
      </c>
      <c r="I914" t="s">
        <v>344</v>
      </c>
      <c r="J914">
        <v>100.92</v>
      </c>
      <c r="K914">
        <v>2</v>
      </c>
      <c r="L914" t="s">
        <v>346</v>
      </c>
      <c r="M914" s="1">
        <v>0.02</v>
      </c>
      <c r="N914" t="s">
        <v>349</v>
      </c>
      <c r="O914">
        <v>-2.67</v>
      </c>
      <c r="P914" t="s">
        <v>344</v>
      </c>
      <c r="Q914">
        <v>6.81</v>
      </c>
      <c r="R914" t="s">
        <v>343</v>
      </c>
      <c r="S914">
        <v>1</v>
      </c>
    </row>
    <row r="915" spans="1:19" x14ac:dyDescent="0.25">
      <c r="A915" t="s">
        <v>31</v>
      </c>
      <c r="B915" t="s">
        <v>97</v>
      </c>
      <c r="C915">
        <v>820</v>
      </c>
      <c r="D915" t="s">
        <v>341</v>
      </c>
      <c r="E915">
        <v>29.23</v>
      </c>
      <c r="F915">
        <v>14.07</v>
      </c>
      <c r="G915">
        <v>14.36</v>
      </c>
      <c r="H915">
        <v>28.43</v>
      </c>
      <c r="I915" t="s">
        <v>343</v>
      </c>
      <c r="J915">
        <v>102.93</v>
      </c>
      <c r="K915">
        <v>10.039999999999999</v>
      </c>
      <c r="L915" t="s">
        <v>348</v>
      </c>
      <c r="M915" s="1">
        <v>0.1004</v>
      </c>
      <c r="N915" t="s">
        <v>350</v>
      </c>
      <c r="O915">
        <v>-0.85</v>
      </c>
      <c r="P915" t="s">
        <v>343</v>
      </c>
      <c r="Q915">
        <v>4.53</v>
      </c>
      <c r="R915" t="s">
        <v>343</v>
      </c>
      <c r="S915">
        <v>1</v>
      </c>
    </row>
    <row r="916" spans="1:19" x14ac:dyDescent="0.25">
      <c r="A916" t="s">
        <v>31</v>
      </c>
      <c r="B916" t="s">
        <v>98</v>
      </c>
      <c r="C916">
        <v>840</v>
      </c>
      <c r="D916" t="s">
        <v>341</v>
      </c>
      <c r="E916">
        <v>29.23</v>
      </c>
      <c r="F916">
        <v>14.07</v>
      </c>
      <c r="G916">
        <v>15.1</v>
      </c>
      <c r="H916">
        <v>29.17</v>
      </c>
      <c r="I916" t="s">
        <v>343</v>
      </c>
      <c r="J916">
        <v>104.6</v>
      </c>
      <c r="K916">
        <v>8.34</v>
      </c>
      <c r="L916" t="s">
        <v>347</v>
      </c>
      <c r="M916" s="1">
        <v>8.3400000000000002E-2</v>
      </c>
      <c r="N916" t="s">
        <v>350</v>
      </c>
      <c r="O916">
        <v>-2.48</v>
      </c>
      <c r="P916" t="s">
        <v>344</v>
      </c>
      <c r="Q916">
        <v>6.27</v>
      </c>
      <c r="R916" t="s">
        <v>343</v>
      </c>
      <c r="S916">
        <v>1</v>
      </c>
    </row>
    <row r="917" spans="1:19" x14ac:dyDescent="0.25">
      <c r="A917" t="s">
        <v>31</v>
      </c>
      <c r="B917" t="s">
        <v>99</v>
      </c>
      <c r="C917">
        <v>860</v>
      </c>
      <c r="D917" t="s">
        <v>341</v>
      </c>
      <c r="E917">
        <v>29.23</v>
      </c>
      <c r="F917">
        <v>12.54</v>
      </c>
      <c r="G917">
        <v>15.1</v>
      </c>
      <c r="H917">
        <v>27.64</v>
      </c>
      <c r="I917" t="s">
        <v>343</v>
      </c>
      <c r="J917">
        <v>105.9</v>
      </c>
      <c r="K917">
        <v>6.49</v>
      </c>
      <c r="L917" t="s">
        <v>346</v>
      </c>
      <c r="M917" s="1">
        <v>6.4899999999999999E-2</v>
      </c>
      <c r="N917" t="s">
        <v>350</v>
      </c>
      <c r="O917">
        <v>-2.15</v>
      </c>
      <c r="P917" t="s">
        <v>344</v>
      </c>
      <c r="Q917">
        <v>5.19</v>
      </c>
      <c r="R917" t="s">
        <v>343</v>
      </c>
      <c r="S917">
        <v>1</v>
      </c>
    </row>
    <row r="918" spans="1:19" x14ac:dyDescent="0.25">
      <c r="A918" t="s">
        <v>31</v>
      </c>
      <c r="B918" t="s">
        <v>100</v>
      </c>
      <c r="C918">
        <v>880</v>
      </c>
      <c r="D918" t="s">
        <v>341</v>
      </c>
      <c r="E918">
        <v>29.23</v>
      </c>
      <c r="F918">
        <v>13.07</v>
      </c>
      <c r="G918">
        <v>15.39</v>
      </c>
      <c r="H918">
        <v>28.45</v>
      </c>
      <c r="I918" t="s">
        <v>343</v>
      </c>
      <c r="J918">
        <v>107.27</v>
      </c>
      <c r="K918">
        <v>6.87</v>
      </c>
      <c r="L918" t="s">
        <v>346</v>
      </c>
      <c r="M918" s="1">
        <v>6.8699999999999997E-2</v>
      </c>
      <c r="N918" t="s">
        <v>350</v>
      </c>
      <c r="O918">
        <v>-1.91</v>
      </c>
      <c r="P918" t="s">
        <v>343</v>
      </c>
      <c r="Q918">
        <v>4.75</v>
      </c>
      <c r="R918" t="s">
        <v>343</v>
      </c>
      <c r="S918">
        <v>1</v>
      </c>
    </row>
    <row r="919" spans="1:19" x14ac:dyDescent="0.25">
      <c r="A919" t="s">
        <v>31</v>
      </c>
      <c r="B919" t="s">
        <v>101</v>
      </c>
      <c r="C919">
        <v>900</v>
      </c>
      <c r="D919" t="s">
        <v>341</v>
      </c>
      <c r="E919">
        <v>29.23</v>
      </c>
      <c r="F919">
        <v>13.07</v>
      </c>
      <c r="G919">
        <v>16.07</v>
      </c>
      <c r="H919">
        <v>29.13</v>
      </c>
      <c r="I919" t="s">
        <v>343</v>
      </c>
      <c r="J919">
        <v>108.78</v>
      </c>
      <c r="K919">
        <v>7.53</v>
      </c>
      <c r="L919" t="s">
        <v>346</v>
      </c>
      <c r="M919" s="1">
        <v>7.5300000000000006E-2</v>
      </c>
      <c r="N919" t="s">
        <v>350</v>
      </c>
      <c r="O919">
        <v>0.09</v>
      </c>
      <c r="P919" t="s">
        <v>343</v>
      </c>
      <c r="Q919">
        <v>4.47</v>
      </c>
      <c r="R919" t="s">
        <v>343</v>
      </c>
      <c r="S919">
        <v>1</v>
      </c>
    </row>
    <row r="920" spans="1:19" x14ac:dyDescent="0.25">
      <c r="A920" t="s">
        <v>31</v>
      </c>
      <c r="B920" t="s">
        <v>102</v>
      </c>
      <c r="C920">
        <v>920</v>
      </c>
      <c r="D920" t="s">
        <v>341</v>
      </c>
      <c r="E920">
        <v>29.23</v>
      </c>
      <c r="F920">
        <v>13.74</v>
      </c>
      <c r="G920">
        <v>15.67</v>
      </c>
      <c r="H920">
        <v>29.41</v>
      </c>
      <c r="I920" t="s">
        <v>344</v>
      </c>
      <c r="J920">
        <v>110.28</v>
      </c>
      <c r="K920">
        <v>7.49</v>
      </c>
      <c r="L920" t="s">
        <v>346</v>
      </c>
      <c r="M920" s="1">
        <v>7.4900000000000008E-2</v>
      </c>
      <c r="N920" t="s">
        <v>350</v>
      </c>
      <c r="O920">
        <v>-0.54</v>
      </c>
      <c r="P920" t="s">
        <v>343</v>
      </c>
      <c r="Q920">
        <v>4.05</v>
      </c>
      <c r="R920" t="s">
        <v>343</v>
      </c>
      <c r="S920">
        <v>1</v>
      </c>
    </row>
    <row r="921" spans="1:19" x14ac:dyDescent="0.25">
      <c r="A921" t="s">
        <v>31</v>
      </c>
      <c r="B921" t="s">
        <v>103</v>
      </c>
      <c r="C921">
        <v>940</v>
      </c>
      <c r="D921" t="s">
        <v>341</v>
      </c>
      <c r="E921">
        <v>29.23</v>
      </c>
      <c r="F921">
        <v>14.93</v>
      </c>
      <c r="G921">
        <v>14.87</v>
      </c>
      <c r="H921">
        <v>29.8</v>
      </c>
      <c r="I921" t="s">
        <v>344</v>
      </c>
      <c r="J921">
        <v>111.83</v>
      </c>
      <c r="K921">
        <v>7.78</v>
      </c>
      <c r="L921" t="s">
        <v>346</v>
      </c>
      <c r="M921" s="1">
        <v>7.7800000000000008E-2</v>
      </c>
      <c r="N921" t="s">
        <v>350</v>
      </c>
      <c r="O921">
        <v>-0.47</v>
      </c>
      <c r="P921" t="s">
        <v>343</v>
      </c>
      <c r="Q921">
        <v>4.82</v>
      </c>
      <c r="R921" t="s">
        <v>343</v>
      </c>
      <c r="S921">
        <v>1</v>
      </c>
    </row>
    <row r="922" spans="1:19" x14ac:dyDescent="0.25">
      <c r="A922" t="s">
        <v>31</v>
      </c>
      <c r="B922" t="s">
        <v>104</v>
      </c>
      <c r="C922">
        <v>960</v>
      </c>
      <c r="D922" t="s">
        <v>341</v>
      </c>
      <c r="E922">
        <v>29.23</v>
      </c>
      <c r="F922">
        <v>16.100000000000001</v>
      </c>
      <c r="G922">
        <v>13.82</v>
      </c>
      <c r="H922">
        <v>29.92</v>
      </c>
      <c r="I922" t="s">
        <v>344</v>
      </c>
      <c r="J922">
        <v>113.45</v>
      </c>
      <c r="K922">
        <v>8.08</v>
      </c>
      <c r="L922" t="s">
        <v>347</v>
      </c>
      <c r="M922" s="1">
        <v>8.0799999999999997E-2</v>
      </c>
      <c r="N922" t="s">
        <v>350</v>
      </c>
      <c r="O922">
        <v>2.68</v>
      </c>
      <c r="P922" t="s">
        <v>344</v>
      </c>
      <c r="Q922">
        <v>5.9</v>
      </c>
      <c r="R922" t="s">
        <v>343</v>
      </c>
      <c r="S922">
        <v>1</v>
      </c>
    </row>
    <row r="923" spans="1:19" x14ac:dyDescent="0.25">
      <c r="A923" t="s">
        <v>31</v>
      </c>
      <c r="B923" t="s">
        <v>105</v>
      </c>
      <c r="C923">
        <v>980</v>
      </c>
      <c r="D923" t="s">
        <v>341</v>
      </c>
      <c r="E923">
        <v>29.23</v>
      </c>
      <c r="F923">
        <v>15.18</v>
      </c>
      <c r="G923">
        <v>13.82</v>
      </c>
      <c r="H923">
        <v>29.01</v>
      </c>
      <c r="I923" t="s">
        <v>343</v>
      </c>
      <c r="J923">
        <v>115.66</v>
      </c>
      <c r="K923">
        <v>11.05</v>
      </c>
      <c r="L923" t="s">
        <v>348</v>
      </c>
      <c r="M923" s="1">
        <v>0.1105</v>
      </c>
      <c r="N923" t="s">
        <v>350</v>
      </c>
      <c r="O923">
        <v>1.82</v>
      </c>
      <c r="P923" t="s">
        <v>343</v>
      </c>
      <c r="Q923">
        <v>-4.18</v>
      </c>
      <c r="R923" t="s">
        <v>343</v>
      </c>
      <c r="S923">
        <v>1</v>
      </c>
    </row>
    <row r="924" spans="1:19" x14ac:dyDescent="0.25">
      <c r="A924" t="s">
        <v>31</v>
      </c>
      <c r="B924" t="s">
        <v>231</v>
      </c>
      <c r="C924">
        <v>984.78200000000004</v>
      </c>
      <c r="D924" t="s">
        <v>341</v>
      </c>
      <c r="E924">
        <v>29.23</v>
      </c>
      <c r="F924">
        <v>14.74</v>
      </c>
      <c r="G924">
        <v>13.82</v>
      </c>
      <c r="H924">
        <v>28.56</v>
      </c>
      <c r="I924" t="s">
        <v>343</v>
      </c>
      <c r="J924">
        <v>116</v>
      </c>
      <c r="K924">
        <v>7.15</v>
      </c>
      <c r="L924" t="s">
        <v>346</v>
      </c>
      <c r="M924" s="1">
        <v>7.1500000000000008E-2</v>
      </c>
      <c r="N924" t="s">
        <v>350</v>
      </c>
      <c r="O924">
        <v>2.54</v>
      </c>
      <c r="P924" t="s">
        <v>344</v>
      </c>
      <c r="Q924">
        <v>-2.21</v>
      </c>
      <c r="R924" t="s">
        <v>344</v>
      </c>
      <c r="S924">
        <v>0</v>
      </c>
    </row>
    <row r="925" spans="1:19" x14ac:dyDescent="0.25">
      <c r="A925" t="s">
        <v>32</v>
      </c>
      <c r="B925" t="s">
        <v>56</v>
      </c>
      <c r="C925">
        <v>0</v>
      </c>
      <c r="D925" t="s">
        <v>341</v>
      </c>
      <c r="E925">
        <v>29.23</v>
      </c>
      <c r="F925">
        <v>14.03</v>
      </c>
      <c r="G925">
        <v>15.4</v>
      </c>
      <c r="H925">
        <v>29.43</v>
      </c>
      <c r="I925" t="s">
        <v>344</v>
      </c>
      <c r="J925">
        <v>117.83</v>
      </c>
      <c r="L925" t="s">
        <v>345</v>
      </c>
      <c r="N925" t="s">
        <v>345</v>
      </c>
      <c r="O925">
        <v>1.52</v>
      </c>
      <c r="P925" t="s">
        <v>343</v>
      </c>
      <c r="Q925">
        <v>1.08</v>
      </c>
      <c r="R925" t="s">
        <v>343</v>
      </c>
      <c r="S925">
        <v>1</v>
      </c>
    </row>
    <row r="926" spans="1:19" x14ac:dyDescent="0.25">
      <c r="A926" t="s">
        <v>32</v>
      </c>
      <c r="B926" t="s">
        <v>57</v>
      </c>
      <c r="C926">
        <v>20</v>
      </c>
      <c r="D926" t="s">
        <v>341</v>
      </c>
      <c r="E926">
        <v>29.23</v>
      </c>
      <c r="F926">
        <v>12.92</v>
      </c>
      <c r="G926">
        <v>15.84</v>
      </c>
      <c r="H926">
        <v>28.77</v>
      </c>
      <c r="I926" t="s">
        <v>343</v>
      </c>
      <c r="J926">
        <v>118.65</v>
      </c>
      <c r="K926">
        <v>4.07</v>
      </c>
      <c r="L926" t="s">
        <v>346</v>
      </c>
      <c r="M926" s="1">
        <v>4.07E-2</v>
      </c>
      <c r="N926" t="s">
        <v>350</v>
      </c>
      <c r="O926">
        <v>0.73</v>
      </c>
      <c r="P926" t="s">
        <v>343</v>
      </c>
      <c r="Q926">
        <v>2.87</v>
      </c>
      <c r="R926" t="s">
        <v>344</v>
      </c>
      <c r="S926">
        <v>1</v>
      </c>
    </row>
    <row r="927" spans="1:19" x14ac:dyDescent="0.25">
      <c r="A927" t="s">
        <v>32</v>
      </c>
      <c r="B927" t="s">
        <v>58</v>
      </c>
      <c r="C927">
        <v>40</v>
      </c>
      <c r="D927" t="s">
        <v>341</v>
      </c>
      <c r="E927">
        <v>29.23</v>
      </c>
      <c r="F927">
        <v>14.03</v>
      </c>
      <c r="G927">
        <v>15.4</v>
      </c>
      <c r="H927">
        <v>29.43</v>
      </c>
      <c r="I927" t="s">
        <v>344</v>
      </c>
      <c r="J927">
        <v>119.58</v>
      </c>
      <c r="K927">
        <v>4.6500000000000004</v>
      </c>
      <c r="L927" t="s">
        <v>346</v>
      </c>
      <c r="M927" s="1">
        <v>4.6500000000000007E-2</v>
      </c>
      <c r="N927" t="s">
        <v>350</v>
      </c>
      <c r="O927">
        <v>2.93</v>
      </c>
      <c r="P927" t="s">
        <v>344</v>
      </c>
      <c r="Q927">
        <v>5.07</v>
      </c>
      <c r="R927" t="s">
        <v>343</v>
      </c>
      <c r="S927">
        <v>1</v>
      </c>
    </row>
    <row r="928" spans="1:19" x14ac:dyDescent="0.25">
      <c r="A928" t="s">
        <v>32</v>
      </c>
      <c r="B928" t="s">
        <v>59</v>
      </c>
      <c r="C928">
        <v>60</v>
      </c>
      <c r="D928" t="s">
        <v>341</v>
      </c>
      <c r="E928">
        <v>29.23</v>
      </c>
      <c r="F928">
        <v>14.35</v>
      </c>
      <c r="G928">
        <v>15.61</v>
      </c>
      <c r="H928">
        <v>29.97</v>
      </c>
      <c r="I928" t="s">
        <v>344</v>
      </c>
      <c r="J928">
        <v>120.1</v>
      </c>
      <c r="K928">
        <v>2.63</v>
      </c>
      <c r="L928" t="s">
        <v>346</v>
      </c>
      <c r="M928" s="1">
        <v>2.63E-2</v>
      </c>
      <c r="N928" t="s">
        <v>350</v>
      </c>
      <c r="O928">
        <v>2.25</v>
      </c>
      <c r="P928" t="s">
        <v>344</v>
      </c>
      <c r="Q928">
        <v>4.5</v>
      </c>
      <c r="R928" t="s">
        <v>343</v>
      </c>
      <c r="S928">
        <v>1</v>
      </c>
    </row>
    <row r="929" spans="1:19" x14ac:dyDescent="0.25">
      <c r="A929" t="s">
        <v>32</v>
      </c>
      <c r="B929" t="s">
        <v>60</v>
      </c>
      <c r="C929">
        <v>80</v>
      </c>
      <c r="D929" t="s">
        <v>341</v>
      </c>
      <c r="E929">
        <v>29.23</v>
      </c>
      <c r="F929">
        <v>14.41</v>
      </c>
      <c r="G929">
        <v>15.49</v>
      </c>
      <c r="H929">
        <v>29.9</v>
      </c>
      <c r="I929" t="s">
        <v>344</v>
      </c>
      <c r="J929">
        <v>120.99</v>
      </c>
      <c r="K929">
        <v>4.43</v>
      </c>
      <c r="L929" t="s">
        <v>346</v>
      </c>
      <c r="M929" s="1">
        <v>4.4299999999999999E-2</v>
      </c>
      <c r="N929" t="s">
        <v>350</v>
      </c>
      <c r="O929">
        <v>2.74</v>
      </c>
      <c r="P929" t="s">
        <v>344</v>
      </c>
      <c r="Q929">
        <v>4.3600000000000003</v>
      </c>
      <c r="R929" t="s">
        <v>343</v>
      </c>
      <c r="S929">
        <v>1</v>
      </c>
    </row>
    <row r="930" spans="1:19" x14ac:dyDescent="0.25">
      <c r="A930" t="s">
        <v>32</v>
      </c>
      <c r="B930" t="s">
        <v>61</v>
      </c>
      <c r="C930">
        <v>100</v>
      </c>
      <c r="D930" t="s">
        <v>341</v>
      </c>
      <c r="E930">
        <v>29.23</v>
      </c>
      <c r="F930">
        <v>14.75</v>
      </c>
      <c r="G930">
        <v>15.74</v>
      </c>
      <c r="H930">
        <v>30.49</v>
      </c>
      <c r="I930" t="s">
        <v>344</v>
      </c>
      <c r="J930">
        <v>121.92</v>
      </c>
      <c r="K930">
        <v>4.6900000000000004</v>
      </c>
      <c r="L930" t="s">
        <v>346</v>
      </c>
      <c r="M930" s="1">
        <v>4.6899999999999997E-2</v>
      </c>
      <c r="N930" t="s">
        <v>350</v>
      </c>
      <c r="O930">
        <v>2.5299999999999998</v>
      </c>
      <c r="P930" t="s">
        <v>344</v>
      </c>
      <c r="Q930">
        <v>4.84</v>
      </c>
      <c r="R930" t="s">
        <v>343</v>
      </c>
      <c r="S930">
        <v>1</v>
      </c>
    </row>
    <row r="931" spans="1:19" x14ac:dyDescent="0.25">
      <c r="A931" t="s">
        <v>32</v>
      </c>
      <c r="B931" t="s">
        <v>62</v>
      </c>
      <c r="C931">
        <v>120</v>
      </c>
      <c r="D931" t="s">
        <v>341</v>
      </c>
      <c r="E931">
        <v>29.23</v>
      </c>
      <c r="F931">
        <v>15.2</v>
      </c>
      <c r="G931">
        <v>15.69</v>
      </c>
      <c r="H931">
        <v>30.89</v>
      </c>
      <c r="I931" t="s">
        <v>344</v>
      </c>
      <c r="J931">
        <v>122.84</v>
      </c>
      <c r="K931">
        <v>4.5599999999999996</v>
      </c>
      <c r="L931" t="s">
        <v>346</v>
      </c>
      <c r="M931" s="1">
        <v>4.5599999999999988E-2</v>
      </c>
      <c r="N931" t="s">
        <v>350</v>
      </c>
      <c r="O931">
        <v>-0.31</v>
      </c>
      <c r="P931" t="s">
        <v>343</v>
      </c>
      <c r="Q931">
        <v>5.81</v>
      </c>
      <c r="R931" t="s">
        <v>343</v>
      </c>
      <c r="S931">
        <v>1</v>
      </c>
    </row>
    <row r="932" spans="1:19" x14ac:dyDescent="0.25">
      <c r="A932" t="s">
        <v>32</v>
      </c>
      <c r="B932" t="s">
        <v>63</v>
      </c>
      <c r="C932">
        <v>140</v>
      </c>
      <c r="D932" t="s">
        <v>341</v>
      </c>
      <c r="E932">
        <v>29.23</v>
      </c>
      <c r="F932">
        <v>18.420000000000002</v>
      </c>
      <c r="G932">
        <v>15.22</v>
      </c>
      <c r="H932">
        <v>33.64</v>
      </c>
      <c r="I932" t="s">
        <v>344</v>
      </c>
      <c r="J932">
        <v>123.83</v>
      </c>
      <c r="K932">
        <v>4.95</v>
      </c>
      <c r="L932" t="s">
        <v>346</v>
      </c>
      <c r="M932" s="1">
        <v>4.9500000000000002E-2</v>
      </c>
      <c r="N932" t="s">
        <v>350</v>
      </c>
      <c r="O932">
        <v>-0.69</v>
      </c>
      <c r="P932" t="s">
        <v>343</v>
      </c>
      <c r="Q932">
        <v>5.73</v>
      </c>
      <c r="R932" t="s">
        <v>343</v>
      </c>
      <c r="S932">
        <v>1</v>
      </c>
    </row>
    <row r="933" spans="1:19" x14ac:dyDescent="0.25">
      <c r="A933" t="s">
        <v>32</v>
      </c>
      <c r="B933" t="s">
        <v>64</v>
      </c>
      <c r="C933">
        <v>160</v>
      </c>
      <c r="D933" t="s">
        <v>341</v>
      </c>
      <c r="E933">
        <v>29.23</v>
      </c>
      <c r="F933">
        <v>18.420000000000002</v>
      </c>
      <c r="G933">
        <v>15.69</v>
      </c>
      <c r="H933">
        <v>34.119999999999997</v>
      </c>
      <c r="I933" t="s">
        <v>344</v>
      </c>
      <c r="J933">
        <v>124.91</v>
      </c>
      <c r="K933">
        <v>5.42</v>
      </c>
      <c r="L933" t="s">
        <v>346</v>
      </c>
      <c r="M933" s="1">
        <v>5.4199999999999998E-2</v>
      </c>
      <c r="N933" t="s">
        <v>350</v>
      </c>
      <c r="O933">
        <v>1.36</v>
      </c>
      <c r="P933" t="s">
        <v>343</v>
      </c>
      <c r="Q933">
        <v>4.05</v>
      </c>
      <c r="R933" t="s">
        <v>343</v>
      </c>
      <c r="S933">
        <v>1</v>
      </c>
    </row>
    <row r="934" spans="1:19" x14ac:dyDescent="0.25">
      <c r="A934" t="s">
        <v>32</v>
      </c>
      <c r="B934" t="s">
        <v>65</v>
      </c>
      <c r="C934">
        <v>180</v>
      </c>
      <c r="D934" t="s">
        <v>341</v>
      </c>
      <c r="E934">
        <v>29.23</v>
      </c>
      <c r="F934">
        <v>18.420000000000002</v>
      </c>
      <c r="G934">
        <v>16.05</v>
      </c>
      <c r="H934">
        <v>34.479999999999997</v>
      </c>
      <c r="I934" t="s">
        <v>344</v>
      </c>
      <c r="J934">
        <v>126.17</v>
      </c>
      <c r="K934">
        <v>6.3</v>
      </c>
      <c r="L934" t="s">
        <v>346</v>
      </c>
      <c r="M934" s="1">
        <v>6.3E-2</v>
      </c>
      <c r="N934" t="s">
        <v>350</v>
      </c>
      <c r="O934">
        <v>3</v>
      </c>
      <c r="P934" t="s">
        <v>344</v>
      </c>
      <c r="Q934">
        <v>2.77</v>
      </c>
      <c r="R934" t="s">
        <v>344</v>
      </c>
      <c r="S934">
        <v>1</v>
      </c>
    </row>
    <row r="935" spans="1:19" x14ac:dyDescent="0.25">
      <c r="A935" t="s">
        <v>32</v>
      </c>
      <c r="B935" t="s">
        <v>66</v>
      </c>
      <c r="C935">
        <v>200</v>
      </c>
      <c r="D935" t="s">
        <v>341</v>
      </c>
      <c r="E935">
        <v>29.23</v>
      </c>
      <c r="F935">
        <v>15.54</v>
      </c>
      <c r="G935">
        <v>15.98</v>
      </c>
      <c r="H935">
        <v>31.52</v>
      </c>
      <c r="I935" t="s">
        <v>344</v>
      </c>
      <c r="J935">
        <v>127.48</v>
      </c>
      <c r="K935">
        <v>6.57</v>
      </c>
      <c r="L935" t="s">
        <v>346</v>
      </c>
      <c r="M935" s="1">
        <v>6.5700000000000008E-2</v>
      </c>
      <c r="N935" t="s">
        <v>350</v>
      </c>
      <c r="O935">
        <v>1.78</v>
      </c>
      <c r="P935" t="s">
        <v>343</v>
      </c>
      <c r="Q935">
        <v>5.12</v>
      </c>
      <c r="R935" t="s">
        <v>343</v>
      </c>
      <c r="S935">
        <v>1</v>
      </c>
    </row>
    <row r="936" spans="1:19" x14ac:dyDescent="0.25">
      <c r="A936" t="s">
        <v>32</v>
      </c>
      <c r="B936" t="s">
        <v>67</v>
      </c>
      <c r="C936">
        <v>220</v>
      </c>
      <c r="D936" t="s">
        <v>341</v>
      </c>
      <c r="E936">
        <v>29.23</v>
      </c>
      <c r="F936">
        <v>15.54</v>
      </c>
      <c r="G936">
        <v>15.26</v>
      </c>
      <c r="H936">
        <v>30.81</v>
      </c>
      <c r="I936" t="s">
        <v>344</v>
      </c>
      <c r="J936">
        <v>128.78</v>
      </c>
      <c r="K936">
        <v>6.5</v>
      </c>
      <c r="L936" t="s">
        <v>346</v>
      </c>
      <c r="M936" s="1">
        <v>6.5000000000000002E-2</v>
      </c>
      <c r="N936" t="s">
        <v>350</v>
      </c>
      <c r="O936">
        <v>2.82</v>
      </c>
      <c r="P936" t="s">
        <v>344</v>
      </c>
      <c r="Q936">
        <v>7.21</v>
      </c>
      <c r="R936" t="s">
        <v>343</v>
      </c>
      <c r="S936">
        <v>1</v>
      </c>
    </row>
    <row r="937" spans="1:19" x14ac:dyDescent="0.25">
      <c r="A937" t="s">
        <v>32</v>
      </c>
      <c r="B937" t="s">
        <v>68</v>
      </c>
      <c r="C937">
        <v>240</v>
      </c>
      <c r="D937" t="s">
        <v>341</v>
      </c>
      <c r="E937">
        <v>29.23</v>
      </c>
      <c r="F937">
        <v>14.65</v>
      </c>
      <c r="G937">
        <v>14.92</v>
      </c>
      <c r="H937">
        <v>29.57</v>
      </c>
      <c r="I937" t="s">
        <v>344</v>
      </c>
      <c r="J937">
        <v>130.06</v>
      </c>
      <c r="K937">
        <v>6.41</v>
      </c>
      <c r="L937" t="s">
        <v>346</v>
      </c>
      <c r="M937" s="1">
        <v>6.4100000000000004E-2</v>
      </c>
      <c r="N937" t="s">
        <v>350</v>
      </c>
      <c r="O937">
        <v>3.54</v>
      </c>
      <c r="P937" t="s">
        <v>344</v>
      </c>
      <c r="Q937">
        <v>6.59</v>
      </c>
      <c r="R937" t="s">
        <v>343</v>
      </c>
      <c r="S937">
        <v>1</v>
      </c>
    </row>
    <row r="938" spans="1:19" x14ac:dyDescent="0.25">
      <c r="A938" t="s">
        <v>32</v>
      </c>
      <c r="B938" t="s">
        <v>69</v>
      </c>
      <c r="C938">
        <v>260</v>
      </c>
      <c r="D938" t="s">
        <v>341</v>
      </c>
      <c r="E938">
        <v>29.23</v>
      </c>
      <c r="F938">
        <v>15.97</v>
      </c>
      <c r="G938">
        <v>14.53</v>
      </c>
      <c r="H938">
        <v>30.5</v>
      </c>
      <c r="I938" t="s">
        <v>344</v>
      </c>
      <c r="J938">
        <v>131.37</v>
      </c>
      <c r="K938">
        <v>6.5</v>
      </c>
      <c r="L938" t="s">
        <v>346</v>
      </c>
      <c r="M938" s="1">
        <v>6.5000000000000002E-2</v>
      </c>
      <c r="N938" t="s">
        <v>350</v>
      </c>
      <c r="O938">
        <v>3.59</v>
      </c>
      <c r="P938" t="s">
        <v>344</v>
      </c>
      <c r="Q938">
        <v>5.1100000000000003</v>
      </c>
      <c r="R938" t="s">
        <v>343</v>
      </c>
      <c r="S938">
        <v>1</v>
      </c>
    </row>
    <row r="939" spans="1:19" x14ac:dyDescent="0.25">
      <c r="A939" t="s">
        <v>32</v>
      </c>
      <c r="B939" t="s">
        <v>70</v>
      </c>
      <c r="C939">
        <v>280</v>
      </c>
      <c r="D939" t="s">
        <v>341</v>
      </c>
      <c r="E939">
        <v>29.23</v>
      </c>
      <c r="F939">
        <v>16.77</v>
      </c>
      <c r="G939">
        <v>14.45</v>
      </c>
      <c r="H939">
        <v>31.22</v>
      </c>
      <c r="I939" t="s">
        <v>344</v>
      </c>
      <c r="J939">
        <v>132.85</v>
      </c>
      <c r="K939">
        <v>7.44</v>
      </c>
      <c r="L939" t="s">
        <v>346</v>
      </c>
      <c r="M939" s="1">
        <v>7.4400000000000008E-2</v>
      </c>
      <c r="N939" t="s">
        <v>350</v>
      </c>
      <c r="O939">
        <v>2.79</v>
      </c>
      <c r="P939" t="s">
        <v>344</v>
      </c>
      <c r="Q939">
        <v>5.22</v>
      </c>
      <c r="R939" t="s">
        <v>343</v>
      </c>
      <c r="S939">
        <v>1</v>
      </c>
    </row>
    <row r="940" spans="1:19" x14ac:dyDescent="0.25">
      <c r="A940" t="s">
        <v>32</v>
      </c>
      <c r="B940" t="s">
        <v>71</v>
      </c>
      <c r="C940">
        <v>300</v>
      </c>
      <c r="D940" t="s">
        <v>341</v>
      </c>
      <c r="E940">
        <v>29.23</v>
      </c>
      <c r="F940">
        <v>16.600000000000001</v>
      </c>
      <c r="G940">
        <v>14.38</v>
      </c>
      <c r="H940">
        <v>30.98</v>
      </c>
      <c r="I940" t="s">
        <v>344</v>
      </c>
      <c r="J940">
        <v>134.46</v>
      </c>
      <c r="K940">
        <v>8.02</v>
      </c>
      <c r="L940" t="s">
        <v>347</v>
      </c>
      <c r="M940" s="1">
        <v>8.0199999999999994E-2</v>
      </c>
      <c r="N940" t="s">
        <v>350</v>
      </c>
      <c r="O940">
        <v>2.87</v>
      </c>
      <c r="P940" t="s">
        <v>344</v>
      </c>
      <c r="Q940">
        <v>4.93</v>
      </c>
      <c r="R940" t="s">
        <v>343</v>
      </c>
      <c r="S940">
        <v>1</v>
      </c>
    </row>
    <row r="941" spans="1:19" x14ac:dyDescent="0.25">
      <c r="A941" t="s">
        <v>32</v>
      </c>
      <c r="B941" t="s">
        <v>72</v>
      </c>
      <c r="C941">
        <v>320</v>
      </c>
      <c r="D941" t="s">
        <v>341</v>
      </c>
      <c r="E941">
        <v>29.23</v>
      </c>
      <c r="F941">
        <v>16.48</v>
      </c>
      <c r="G941">
        <v>13.37</v>
      </c>
      <c r="H941">
        <v>29.85</v>
      </c>
      <c r="I941" t="s">
        <v>344</v>
      </c>
      <c r="J941">
        <v>135.9</v>
      </c>
      <c r="K941">
        <v>7.23</v>
      </c>
      <c r="L941" t="s">
        <v>346</v>
      </c>
      <c r="M941" s="1">
        <v>7.2300000000000003E-2</v>
      </c>
      <c r="N941" t="s">
        <v>350</v>
      </c>
      <c r="O941">
        <v>2.88</v>
      </c>
      <c r="P941" t="s">
        <v>344</v>
      </c>
      <c r="Q941">
        <v>4.7300000000000004</v>
      </c>
      <c r="R941" t="s">
        <v>343</v>
      </c>
      <c r="S941">
        <v>1</v>
      </c>
    </row>
    <row r="942" spans="1:19" x14ac:dyDescent="0.25">
      <c r="A942" t="s">
        <v>32</v>
      </c>
      <c r="B942" t="s">
        <v>73</v>
      </c>
      <c r="C942">
        <v>340</v>
      </c>
      <c r="D942" t="s">
        <v>341</v>
      </c>
      <c r="E942">
        <v>29.23</v>
      </c>
      <c r="F942">
        <v>16.12</v>
      </c>
      <c r="G942">
        <v>14</v>
      </c>
      <c r="H942">
        <v>30.12</v>
      </c>
      <c r="I942" t="s">
        <v>344</v>
      </c>
      <c r="J942">
        <v>137.35</v>
      </c>
      <c r="K942">
        <v>7.23</v>
      </c>
      <c r="L942" t="s">
        <v>346</v>
      </c>
      <c r="M942" s="1">
        <v>7.2300000000000003E-2</v>
      </c>
      <c r="N942" t="s">
        <v>350</v>
      </c>
      <c r="O942">
        <v>2.83</v>
      </c>
      <c r="P942" t="s">
        <v>344</v>
      </c>
      <c r="Q942">
        <v>4.8</v>
      </c>
      <c r="R942" t="s">
        <v>343</v>
      </c>
      <c r="S942">
        <v>1</v>
      </c>
    </row>
    <row r="943" spans="1:19" x14ac:dyDescent="0.25">
      <c r="A943" t="s">
        <v>32</v>
      </c>
      <c r="B943" t="s">
        <v>74</v>
      </c>
      <c r="C943">
        <v>360</v>
      </c>
      <c r="D943" t="s">
        <v>341</v>
      </c>
      <c r="E943">
        <v>29.23</v>
      </c>
      <c r="F943">
        <v>15.39</v>
      </c>
      <c r="G943">
        <v>14.83</v>
      </c>
      <c r="H943">
        <v>30.22</v>
      </c>
      <c r="I943" t="s">
        <v>344</v>
      </c>
      <c r="J943">
        <v>138.80000000000001</v>
      </c>
      <c r="K943">
        <v>7.23</v>
      </c>
      <c r="L943" t="s">
        <v>346</v>
      </c>
      <c r="M943" s="1">
        <v>7.2300000000000003E-2</v>
      </c>
      <c r="N943" t="s">
        <v>350</v>
      </c>
      <c r="O943">
        <v>2.9</v>
      </c>
      <c r="P943" t="s">
        <v>344</v>
      </c>
      <c r="Q943">
        <v>5.45</v>
      </c>
      <c r="R943" t="s">
        <v>343</v>
      </c>
      <c r="S943">
        <v>1</v>
      </c>
    </row>
    <row r="944" spans="1:19" x14ac:dyDescent="0.25">
      <c r="A944" t="s">
        <v>32</v>
      </c>
      <c r="B944" t="s">
        <v>75</v>
      </c>
      <c r="C944">
        <v>380</v>
      </c>
      <c r="D944" t="s">
        <v>341</v>
      </c>
      <c r="E944">
        <v>29.23</v>
      </c>
      <c r="F944">
        <v>14.49</v>
      </c>
      <c r="G944">
        <v>15.37</v>
      </c>
      <c r="H944">
        <v>29.85</v>
      </c>
      <c r="I944" t="s">
        <v>344</v>
      </c>
      <c r="J944">
        <v>140.12</v>
      </c>
      <c r="K944">
        <v>6.61</v>
      </c>
      <c r="L944" t="s">
        <v>346</v>
      </c>
      <c r="M944" s="1">
        <v>6.6100000000000006E-2</v>
      </c>
      <c r="N944" t="s">
        <v>350</v>
      </c>
      <c r="O944">
        <v>2.1800000000000002</v>
      </c>
      <c r="P944" t="s">
        <v>344</v>
      </c>
      <c r="Q944">
        <v>6.25</v>
      </c>
      <c r="R944" t="s">
        <v>343</v>
      </c>
      <c r="S944">
        <v>1</v>
      </c>
    </row>
    <row r="945" spans="1:19" x14ac:dyDescent="0.25">
      <c r="A945" t="s">
        <v>32</v>
      </c>
      <c r="B945" t="s">
        <v>76</v>
      </c>
      <c r="C945">
        <v>400</v>
      </c>
      <c r="D945" t="s">
        <v>341</v>
      </c>
      <c r="E945">
        <v>29.23</v>
      </c>
      <c r="F945">
        <v>13.98</v>
      </c>
      <c r="G945">
        <v>15.85</v>
      </c>
      <c r="H945">
        <v>29.82</v>
      </c>
      <c r="I945" t="s">
        <v>344</v>
      </c>
      <c r="J945">
        <v>141.53</v>
      </c>
      <c r="K945">
        <v>7.05</v>
      </c>
      <c r="L945" t="s">
        <v>346</v>
      </c>
      <c r="M945" s="1">
        <v>7.0499999999999993E-2</v>
      </c>
      <c r="N945" t="s">
        <v>350</v>
      </c>
      <c r="O945">
        <v>3.57</v>
      </c>
      <c r="P945" t="s">
        <v>344</v>
      </c>
      <c r="Q945">
        <v>5.96</v>
      </c>
      <c r="R945" t="s">
        <v>343</v>
      </c>
      <c r="S945">
        <v>1</v>
      </c>
    </row>
    <row r="946" spans="1:19" x14ac:dyDescent="0.25">
      <c r="A946" t="s">
        <v>32</v>
      </c>
      <c r="B946" t="s">
        <v>77</v>
      </c>
      <c r="C946">
        <v>420</v>
      </c>
      <c r="D946" t="s">
        <v>341</v>
      </c>
      <c r="E946">
        <v>29.23</v>
      </c>
      <c r="F946">
        <v>15.57</v>
      </c>
      <c r="G946">
        <v>16.71</v>
      </c>
      <c r="H946">
        <v>32.28</v>
      </c>
      <c r="I946" t="s">
        <v>344</v>
      </c>
      <c r="J946">
        <v>142.9</v>
      </c>
      <c r="K946">
        <v>6.83</v>
      </c>
      <c r="L946" t="s">
        <v>346</v>
      </c>
      <c r="M946" s="1">
        <v>6.83E-2</v>
      </c>
      <c r="N946" t="s">
        <v>350</v>
      </c>
      <c r="O946">
        <v>3.86</v>
      </c>
      <c r="P946" t="s">
        <v>344</v>
      </c>
      <c r="Q946">
        <v>5.13</v>
      </c>
      <c r="R946" t="s">
        <v>343</v>
      </c>
      <c r="S946">
        <v>1</v>
      </c>
    </row>
    <row r="947" spans="1:19" x14ac:dyDescent="0.25">
      <c r="A947" t="s">
        <v>32</v>
      </c>
      <c r="B947" t="s">
        <v>78</v>
      </c>
      <c r="C947">
        <v>440</v>
      </c>
      <c r="D947" t="s">
        <v>341</v>
      </c>
      <c r="E947">
        <v>29.23</v>
      </c>
      <c r="F947">
        <v>15.19</v>
      </c>
      <c r="G947">
        <v>17.170000000000002</v>
      </c>
      <c r="H947">
        <v>32.36</v>
      </c>
      <c r="I947" t="s">
        <v>344</v>
      </c>
      <c r="J947">
        <v>144.22</v>
      </c>
      <c r="K947">
        <v>6.61</v>
      </c>
      <c r="L947" t="s">
        <v>346</v>
      </c>
      <c r="M947" s="1">
        <v>6.6100000000000006E-2</v>
      </c>
      <c r="N947" t="s">
        <v>350</v>
      </c>
      <c r="O947">
        <v>1.77</v>
      </c>
      <c r="P947" t="s">
        <v>343</v>
      </c>
      <c r="Q947">
        <v>4.62</v>
      </c>
      <c r="R947" t="s">
        <v>343</v>
      </c>
      <c r="S947">
        <v>1</v>
      </c>
    </row>
    <row r="948" spans="1:19" x14ac:dyDescent="0.25">
      <c r="A948" t="s">
        <v>32</v>
      </c>
      <c r="B948" t="s">
        <v>79</v>
      </c>
      <c r="C948">
        <v>460</v>
      </c>
      <c r="D948" t="s">
        <v>341</v>
      </c>
      <c r="E948">
        <v>29.23</v>
      </c>
      <c r="F948">
        <v>15.99</v>
      </c>
      <c r="G948">
        <v>20</v>
      </c>
      <c r="H948">
        <v>35.99</v>
      </c>
      <c r="I948" t="s">
        <v>344</v>
      </c>
      <c r="J948">
        <v>145.6</v>
      </c>
      <c r="K948">
        <v>6.92</v>
      </c>
      <c r="L948" t="s">
        <v>346</v>
      </c>
      <c r="M948" s="1">
        <v>6.9199999999999998E-2</v>
      </c>
      <c r="N948" t="s">
        <v>350</v>
      </c>
      <c r="O948">
        <v>2.2000000000000002</v>
      </c>
      <c r="P948" t="s">
        <v>344</v>
      </c>
      <c r="Q948">
        <v>3.4</v>
      </c>
      <c r="R948" t="s">
        <v>344</v>
      </c>
      <c r="S948">
        <v>1</v>
      </c>
    </row>
    <row r="949" spans="1:19" x14ac:dyDescent="0.25">
      <c r="A949" t="s">
        <v>32</v>
      </c>
      <c r="B949" t="s">
        <v>80</v>
      </c>
      <c r="C949">
        <v>480</v>
      </c>
      <c r="D949" t="s">
        <v>341</v>
      </c>
      <c r="E949">
        <v>29.23</v>
      </c>
      <c r="F949">
        <v>16.260000000000002</v>
      </c>
      <c r="G949">
        <v>20</v>
      </c>
      <c r="H949">
        <v>36.26</v>
      </c>
      <c r="I949" t="s">
        <v>344</v>
      </c>
      <c r="J949">
        <v>147.11000000000001</v>
      </c>
      <c r="K949">
        <v>7.56</v>
      </c>
      <c r="L949" t="s">
        <v>346</v>
      </c>
      <c r="M949" s="1">
        <v>7.5600000000000001E-2</v>
      </c>
      <c r="N949" t="s">
        <v>350</v>
      </c>
      <c r="O949">
        <v>1.58</v>
      </c>
      <c r="P949" t="s">
        <v>343</v>
      </c>
      <c r="Q949">
        <v>2.7</v>
      </c>
      <c r="R949" t="s">
        <v>344</v>
      </c>
      <c r="S949">
        <v>1</v>
      </c>
    </row>
    <row r="950" spans="1:19" x14ac:dyDescent="0.25">
      <c r="A950" t="s">
        <v>32</v>
      </c>
      <c r="B950" t="s">
        <v>81</v>
      </c>
      <c r="C950">
        <v>500</v>
      </c>
      <c r="D950" t="s">
        <v>341</v>
      </c>
      <c r="E950">
        <v>29.23</v>
      </c>
      <c r="F950">
        <v>15.69</v>
      </c>
      <c r="G950">
        <v>20</v>
      </c>
      <c r="H950">
        <v>35.69</v>
      </c>
      <c r="I950" t="s">
        <v>344</v>
      </c>
      <c r="J950">
        <v>148.71</v>
      </c>
      <c r="K950">
        <v>7.95</v>
      </c>
      <c r="L950" t="s">
        <v>346</v>
      </c>
      <c r="M950" s="1">
        <v>7.9500000000000001E-2</v>
      </c>
      <c r="N950" t="s">
        <v>350</v>
      </c>
      <c r="O950">
        <v>0.79</v>
      </c>
      <c r="P950" t="s">
        <v>343</v>
      </c>
      <c r="Q950">
        <v>3.82</v>
      </c>
      <c r="R950" t="s">
        <v>344</v>
      </c>
      <c r="S950">
        <v>1</v>
      </c>
    </row>
    <row r="951" spans="1:19" x14ac:dyDescent="0.25">
      <c r="A951" t="s">
        <v>32</v>
      </c>
      <c r="B951" t="s">
        <v>82</v>
      </c>
      <c r="C951">
        <v>520</v>
      </c>
      <c r="D951" t="s">
        <v>341</v>
      </c>
      <c r="E951">
        <v>29.23</v>
      </c>
      <c r="F951">
        <v>16.600000000000001</v>
      </c>
      <c r="G951">
        <v>20</v>
      </c>
      <c r="H951">
        <v>36.6</v>
      </c>
      <c r="I951" t="s">
        <v>344</v>
      </c>
      <c r="J951">
        <v>150.28</v>
      </c>
      <c r="K951">
        <v>7.86</v>
      </c>
      <c r="L951" t="s">
        <v>346</v>
      </c>
      <c r="M951" s="1">
        <v>7.8600000000000003E-2</v>
      </c>
      <c r="N951" t="s">
        <v>350</v>
      </c>
      <c r="O951">
        <v>-1.59</v>
      </c>
      <c r="P951" t="s">
        <v>343</v>
      </c>
      <c r="Q951">
        <v>4.6900000000000004</v>
      </c>
      <c r="R951" t="s">
        <v>343</v>
      </c>
      <c r="S951">
        <v>1</v>
      </c>
    </row>
    <row r="952" spans="1:19" x14ac:dyDescent="0.25">
      <c r="A952" t="s">
        <v>32</v>
      </c>
      <c r="B952" t="s">
        <v>83</v>
      </c>
      <c r="C952">
        <v>540</v>
      </c>
      <c r="D952" t="s">
        <v>341</v>
      </c>
      <c r="E952">
        <v>29.23</v>
      </c>
      <c r="F952">
        <v>16.54</v>
      </c>
      <c r="G952">
        <v>20</v>
      </c>
      <c r="H952">
        <v>36.54</v>
      </c>
      <c r="I952" t="s">
        <v>344</v>
      </c>
      <c r="J952">
        <v>151.63999999999999</v>
      </c>
      <c r="K952">
        <v>6.82</v>
      </c>
      <c r="L952" t="s">
        <v>346</v>
      </c>
      <c r="M952" s="1">
        <v>6.8199999999999997E-2</v>
      </c>
      <c r="N952" t="s">
        <v>350</v>
      </c>
      <c r="O952">
        <v>0.75</v>
      </c>
      <c r="P952" t="s">
        <v>343</v>
      </c>
      <c r="Q952">
        <v>5.22</v>
      </c>
      <c r="R952" t="s">
        <v>343</v>
      </c>
      <c r="S952">
        <v>1</v>
      </c>
    </row>
    <row r="953" spans="1:19" x14ac:dyDescent="0.25">
      <c r="A953" t="s">
        <v>32</v>
      </c>
      <c r="B953" t="s">
        <v>84</v>
      </c>
      <c r="C953">
        <v>560</v>
      </c>
      <c r="D953" t="s">
        <v>341</v>
      </c>
      <c r="E953">
        <v>29.23</v>
      </c>
      <c r="F953">
        <v>17.649999999999999</v>
      </c>
      <c r="G953">
        <v>20</v>
      </c>
      <c r="H953">
        <v>37.65</v>
      </c>
      <c r="I953" t="s">
        <v>344</v>
      </c>
      <c r="J953">
        <v>152.71</v>
      </c>
      <c r="K953">
        <v>5.35</v>
      </c>
      <c r="L953" t="s">
        <v>346</v>
      </c>
      <c r="M953" s="1">
        <v>5.3499999999999999E-2</v>
      </c>
      <c r="N953" t="s">
        <v>350</v>
      </c>
      <c r="O953">
        <v>-0.19</v>
      </c>
      <c r="P953" t="s">
        <v>343</v>
      </c>
      <c r="Q953">
        <v>1.51</v>
      </c>
      <c r="R953" t="s">
        <v>343</v>
      </c>
      <c r="S953">
        <v>1</v>
      </c>
    </row>
    <row r="954" spans="1:19" x14ac:dyDescent="0.25">
      <c r="A954" t="s">
        <v>32</v>
      </c>
      <c r="B954" t="s">
        <v>85</v>
      </c>
      <c r="C954">
        <v>580</v>
      </c>
      <c r="D954" t="s">
        <v>341</v>
      </c>
      <c r="E954">
        <v>29.23</v>
      </c>
      <c r="F954">
        <v>17.98</v>
      </c>
      <c r="G954">
        <v>20</v>
      </c>
      <c r="H954">
        <v>37.979999999999997</v>
      </c>
      <c r="I954" t="s">
        <v>344</v>
      </c>
      <c r="J954">
        <v>153.76</v>
      </c>
      <c r="K954">
        <v>5.25</v>
      </c>
      <c r="L954" t="s">
        <v>346</v>
      </c>
      <c r="M954" s="1">
        <v>5.2499999999999998E-2</v>
      </c>
      <c r="N954" t="s">
        <v>350</v>
      </c>
      <c r="O954">
        <v>1.53</v>
      </c>
      <c r="P954" t="s">
        <v>343</v>
      </c>
      <c r="Q954">
        <v>-0.41</v>
      </c>
      <c r="R954" t="s">
        <v>343</v>
      </c>
      <c r="S954">
        <v>1</v>
      </c>
    </row>
    <row r="955" spans="1:19" x14ac:dyDescent="0.25">
      <c r="A955" t="s">
        <v>32</v>
      </c>
      <c r="B955" t="s">
        <v>86</v>
      </c>
      <c r="C955">
        <v>600</v>
      </c>
      <c r="D955" t="s">
        <v>341</v>
      </c>
      <c r="E955">
        <v>29.23</v>
      </c>
      <c r="F955">
        <v>17.98</v>
      </c>
      <c r="G955">
        <v>17.34</v>
      </c>
      <c r="H955">
        <v>35.32</v>
      </c>
      <c r="I955" t="s">
        <v>344</v>
      </c>
      <c r="J955">
        <v>153.96</v>
      </c>
      <c r="K955">
        <v>0.97</v>
      </c>
      <c r="L955" t="s">
        <v>346</v>
      </c>
      <c r="M955" s="1">
        <v>9.7000000000000003E-3</v>
      </c>
      <c r="N955" t="s">
        <v>349</v>
      </c>
      <c r="O955">
        <v>-0.75</v>
      </c>
      <c r="P955" t="s">
        <v>343</v>
      </c>
      <c r="Q955">
        <v>0.61</v>
      </c>
      <c r="R955" t="s">
        <v>343</v>
      </c>
      <c r="S955">
        <v>1</v>
      </c>
    </row>
    <row r="956" spans="1:19" x14ac:dyDescent="0.25">
      <c r="A956" t="s">
        <v>32</v>
      </c>
      <c r="B956" t="s">
        <v>87</v>
      </c>
      <c r="C956">
        <v>620</v>
      </c>
      <c r="D956" t="s">
        <v>341</v>
      </c>
      <c r="E956">
        <v>29.23</v>
      </c>
      <c r="F956">
        <v>17.98</v>
      </c>
      <c r="G956">
        <v>20</v>
      </c>
      <c r="H956">
        <v>37.979999999999997</v>
      </c>
      <c r="I956" t="s">
        <v>344</v>
      </c>
      <c r="J956">
        <v>154.24</v>
      </c>
      <c r="K956">
        <v>1.42</v>
      </c>
      <c r="L956" t="s">
        <v>346</v>
      </c>
      <c r="M956" s="1">
        <v>1.4200000000000001E-2</v>
      </c>
      <c r="N956" t="s">
        <v>349</v>
      </c>
      <c r="O956">
        <v>1.38</v>
      </c>
      <c r="P956" t="s">
        <v>343</v>
      </c>
      <c r="Q956">
        <v>1.76</v>
      </c>
      <c r="R956" t="s">
        <v>343</v>
      </c>
      <c r="S956">
        <v>1</v>
      </c>
    </row>
    <row r="957" spans="1:19" x14ac:dyDescent="0.25">
      <c r="A957" t="s">
        <v>32</v>
      </c>
      <c r="B957" t="s">
        <v>88</v>
      </c>
      <c r="C957">
        <v>640</v>
      </c>
      <c r="D957" t="s">
        <v>341</v>
      </c>
      <c r="E957">
        <v>29.23</v>
      </c>
      <c r="F957">
        <v>16.739999999999998</v>
      </c>
      <c r="G957">
        <v>20</v>
      </c>
      <c r="H957">
        <v>36.74</v>
      </c>
      <c r="I957" t="s">
        <v>344</v>
      </c>
      <c r="J957">
        <v>155.16</v>
      </c>
      <c r="K957">
        <v>4.59</v>
      </c>
      <c r="L957" t="s">
        <v>346</v>
      </c>
      <c r="M957" s="1">
        <v>4.5900000000000003E-2</v>
      </c>
      <c r="N957" t="s">
        <v>350</v>
      </c>
      <c r="O957">
        <v>1.51</v>
      </c>
      <c r="P957" t="s">
        <v>343</v>
      </c>
      <c r="Q957">
        <v>-2.2000000000000002</v>
      </c>
      <c r="R957" t="s">
        <v>344</v>
      </c>
      <c r="S957">
        <v>1</v>
      </c>
    </row>
    <row r="958" spans="1:19" x14ac:dyDescent="0.25">
      <c r="A958" t="s">
        <v>32</v>
      </c>
      <c r="B958" t="s">
        <v>89</v>
      </c>
      <c r="C958">
        <v>660</v>
      </c>
      <c r="D958" t="s">
        <v>341</v>
      </c>
      <c r="E958">
        <v>29.23</v>
      </c>
      <c r="F958">
        <v>14.54</v>
      </c>
      <c r="G958">
        <v>17.07</v>
      </c>
      <c r="H958">
        <v>31.61</v>
      </c>
      <c r="I958" t="s">
        <v>344</v>
      </c>
      <c r="J958">
        <v>154.09</v>
      </c>
      <c r="K958">
        <v>-5.33</v>
      </c>
      <c r="L958" t="s">
        <v>346</v>
      </c>
      <c r="M958" s="1">
        <v>5.33E-2</v>
      </c>
      <c r="N958" t="s">
        <v>350</v>
      </c>
      <c r="O958">
        <v>-0.8</v>
      </c>
      <c r="P958" t="s">
        <v>343</v>
      </c>
      <c r="Q958">
        <v>3.08</v>
      </c>
      <c r="R958" t="s">
        <v>344</v>
      </c>
      <c r="S958">
        <v>1</v>
      </c>
    </row>
    <row r="959" spans="1:19" x14ac:dyDescent="0.25">
      <c r="A959" t="s">
        <v>32</v>
      </c>
      <c r="B959" t="s">
        <v>90</v>
      </c>
      <c r="C959">
        <v>680</v>
      </c>
      <c r="D959" t="s">
        <v>341</v>
      </c>
      <c r="E959">
        <v>29.23</v>
      </c>
      <c r="F959">
        <v>13.56</v>
      </c>
      <c r="G959">
        <v>16.13</v>
      </c>
      <c r="H959">
        <v>29.69</v>
      </c>
      <c r="I959" t="s">
        <v>344</v>
      </c>
      <c r="J959">
        <v>154.06</v>
      </c>
      <c r="K959">
        <v>-0.17</v>
      </c>
      <c r="L959" t="s">
        <v>346</v>
      </c>
      <c r="M959" s="1">
        <v>1.6999999999999999E-3</v>
      </c>
      <c r="N959" t="s">
        <v>349</v>
      </c>
      <c r="O959">
        <v>-1.86</v>
      </c>
      <c r="P959" t="s">
        <v>343</v>
      </c>
      <c r="Q959">
        <v>1.97</v>
      </c>
      <c r="R959" t="s">
        <v>343</v>
      </c>
      <c r="S959">
        <v>1</v>
      </c>
    </row>
    <row r="960" spans="1:19" x14ac:dyDescent="0.25">
      <c r="A960" t="s">
        <v>32</v>
      </c>
      <c r="B960" t="s">
        <v>91</v>
      </c>
      <c r="C960">
        <v>700</v>
      </c>
      <c r="D960" t="s">
        <v>341</v>
      </c>
      <c r="E960">
        <v>29.23</v>
      </c>
      <c r="F960">
        <v>14.72</v>
      </c>
      <c r="G960">
        <v>17.07</v>
      </c>
      <c r="H960">
        <v>31.79</v>
      </c>
      <c r="I960" t="s">
        <v>344</v>
      </c>
      <c r="J960">
        <v>154.04</v>
      </c>
      <c r="K960">
        <v>-0.1</v>
      </c>
      <c r="L960" t="s">
        <v>346</v>
      </c>
      <c r="M960" s="1">
        <v>1E-3</v>
      </c>
      <c r="N960" t="s">
        <v>349</v>
      </c>
      <c r="O960">
        <v>-2.97</v>
      </c>
      <c r="P960" t="s">
        <v>344</v>
      </c>
      <c r="Q960">
        <v>0.77</v>
      </c>
      <c r="R960" t="s">
        <v>343</v>
      </c>
      <c r="S960">
        <v>1</v>
      </c>
    </row>
    <row r="961" spans="1:19" x14ac:dyDescent="0.25">
      <c r="A961" t="s">
        <v>32</v>
      </c>
      <c r="B961" t="s">
        <v>92</v>
      </c>
      <c r="C961">
        <v>720</v>
      </c>
      <c r="D961" t="s">
        <v>341</v>
      </c>
      <c r="E961">
        <v>29.23</v>
      </c>
      <c r="F961">
        <v>16.77</v>
      </c>
      <c r="G961">
        <v>15.72</v>
      </c>
      <c r="H961">
        <v>32.479999999999997</v>
      </c>
      <c r="I961" t="s">
        <v>344</v>
      </c>
      <c r="J961">
        <v>155.53</v>
      </c>
      <c r="K961">
        <v>7.44</v>
      </c>
      <c r="L961" t="s">
        <v>346</v>
      </c>
      <c r="M961" s="1">
        <v>7.4400000000000008E-2</v>
      </c>
      <c r="N961" t="s">
        <v>350</v>
      </c>
      <c r="O961">
        <v>-2.06</v>
      </c>
      <c r="P961" t="s">
        <v>344</v>
      </c>
      <c r="Q961">
        <v>0.45</v>
      </c>
      <c r="R961" t="s">
        <v>343</v>
      </c>
      <c r="S961">
        <v>1</v>
      </c>
    </row>
    <row r="962" spans="1:19" x14ac:dyDescent="0.25">
      <c r="A962" t="s">
        <v>32</v>
      </c>
      <c r="B962" t="s">
        <v>93</v>
      </c>
      <c r="C962">
        <v>740</v>
      </c>
      <c r="D962" t="s">
        <v>341</v>
      </c>
      <c r="E962">
        <v>29.23</v>
      </c>
      <c r="F962">
        <v>16.77</v>
      </c>
      <c r="G962">
        <v>13.43</v>
      </c>
      <c r="H962">
        <v>30.19</v>
      </c>
      <c r="I962" t="s">
        <v>344</v>
      </c>
      <c r="J962">
        <v>155.74</v>
      </c>
      <c r="K962">
        <v>1.0900000000000001</v>
      </c>
      <c r="L962" t="s">
        <v>346</v>
      </c>
      <c r="M962" s="1">
        <v>1.09E-2</v>
      </c>
      <c r="N962" t="s">
        <v>349</v>
      </c>
      <c r="O962">
        <v>-2.83</v>
      </c>
      <c r="P962" t="s">
        <v>344</v>
      </c>
      <c r="Q962">
        <v>4.47</v>
      </c>
      <c r="R962" t="s">
        <v>343</v>
      </c>
      <c r="S962">
        <v>1</v>
      </c>
    </row>
    <row r="963" spans="1:19" x14ac:dyDescent="0.25">
      <c r="A963" t="s">
        <v>32</v>
      </c>
      <c r="B963" t="s">
        <v>94</v>
      </c>
      <c r="C963">
        <v>760</v>
      </c>
      <c r="D963" t="s">
        <v>341</v>
      </c>
      <c r="E963">
        <v>29.23</v>
      </c>
      <c r="F963">
        <v>16.77</v>
      </c>
      <c r="G963">
        <v>13.94</v>
      </c>
      <c r="H963">
        <v>30.7</v>
      </c>
      <c r="I963" t="s">
        <v>344</v>
      </c>
      <c r="J963">
        <v>154.19</v>
      </c>
      <c r="K963">
        <v>-7.77</v>
      </c>
      <c r="L963" t="s">
        <v>346</v>
      </c>
      <c r="M963" s="1">
        <v>7.7699999999999991E-2</v>
      </c>
      <c r="N963" t="s">
        <v>350</v>
      </c>
      <c r="O963">
        <v>-3.84</v>
      </c>
      <c r="P963" t="s">
        <v>344</v>
      </c>
      <c r="Q963">
        <v>5.0199999999999996</v>
      </c>
      <c r="R963" t="s">
        <v>343</v>
      </c>
      <c r="S963">
        <v>1</v>
      </c>
    </row>
    <row r="964" spans="1:19" x14ac:dyDescent="0.25">
      <c r="A964" t="s">
        <v>32</v>
      </c>
      <c r="B964" t="s">
        <v>95</v>
      </c>
      <c r="C964">
        <v>780</v>
      </c>
      <c r="D964" t="s">
        <v>341</v>
      </c>
      <c r="E964">
        <v>29.23</v>
      </c>
      <c r="F964">
        <v>15.63</v>
      </c>
      <c r="G964">
        <v>14.58</v>
      </c>
      <c r="H964">
        <v>30.21</v>
      </c>
      <c r="I964" t="s">
        <v>344</v>
      </c>
      <c r="J964">
        <v>155.55000000000001</v>
      </c>
      <c r="K964">
        <v>6.82</v>
      </c>
      <c r="L964" t="s">
        <v>346</v>
      </c>
      <c r="M964" s="1">
        <v>6.8199999999999997E-2</v>
      </c>
      <c r="N964" t="s">
        <v>350</v>
      </c>
      <c r="O964">
        <v>-2.36</v>
      </c>
      <c r="P964" t="s">
        <v>344</v>
      </c>
      <c r="Q964">
        <v>3.87</v>
      </c>
      <c r="R964" t="s">
        <v>344</v>
      </c>
      <c r="S964">
        <v>1</v>
      </c>
    </row>
    <row r="965" spans="1:19" x14ac:dyDescent="0.25">
      <c r="A965" t="s">
        <v>32</v>
      </c>
      <c r="B965" t="s">
        <v>96</v>
      </c>
      <c r="C965">
        <v>800</v>
      </c>
      <c r="D965" t="s">
        <v>341</v>
      </c>
      <c r="E965">
        <v>29.23</v>
      </c>
      <c r="F965">
        <v>15.63</v>
      </c>
      <c r="G965">
        <v>15.57</v>
      </c>
      <c r="H965">
        <v>31.21</v>
      </c>
      <c r="I965" t="s">
        <v>344</v>
      </c>
      <c r="J965">
        <v>153.84</v>
      </c>
      <c r="K965">
        <v>-8.6</v>
      </c>
      <c r="L965" t="s">
        <v>347</v>
      </c>
      <c r="M965" s="1">
        <v>8.5999999999999993E-2</v>
      </c>
      <c r="N965" t="s">
        <v>350</v>
      </c>
      <c r="O965">
        <v>-4.63</v>
      </c>
      <c r="P965" t="s">
        <v>343</v>
      </c>
      <c r="Q965">
        <v>3.97</v>
      </c>
      <c r="R965" t="s">
        <v>344</v>
      </c>
      <c r="S965">
        <v>1</v>
      </c>
    </row>
    <row r="966" spans="1:19" x14ac:dyDescent="0.25">
      <c r="A966" t="s">
        <v>32</v>
      </c>
      <c r="B966" t="s">
        <v>97</v>
      </c>
      <c r="C966">
        <v>820</v>
      </c>
      <c r="D966" t="s">
        <v>341</v>
      </c>
      <c r="E966">
        <v>29.23</v>
      </c>
      <c r="F966">
        <v>15.63</v>
      </c>
      <c r="G966">
        <v>17.13</v>
      </c>
      <c r="H966">
        <v>32.76</v>
      </c>
      <c r="I966" t="s">
        <v>344</v>
      </c>
      <c r="J966">
        <v>153.65</v>
      </c>
      <c r="K966">
        <v>-0.94</v>
      </c>
      <c r="L966" t="s">
        <v>346</v>
      </c>
      <c r="M966" s="1">
        <v>9.3999999999999986E-3</v>
      </c>
      <c r="N966" t="s">
        <v>349</v>
      </c>
      <c r="O966">
        <v>-5</v>
      </c>
      <c r="P966" t="s">
        <v>343</v>
      </c>
      <c r="Q966">
        <v>2.69</v>
      </c>
      <c r="R966" t="s">
        <v>344</v>
      </c>
      <c r="S966">
        <v>1</v>
      </c>
    </row>
    <row r="967" spans="1:19" x14ac:dyDescent="0.25">
      <c r="A967" t="s">
        <v>32</v>
      </c>
      <c r="B967" t="s">
        <v>98</v>
      </c>
      <c r="C967">
        <v>840</v>
      </c>
      <c r="D967" t="s">
        <v>341</v>
      </c>
      <c r="E967">
        <v>29.23</v>
      </c>
      <c r="F967">
        <v>15.68</v>
      </c>
      <c r="G967">
        <v>15.75</v>
      </c>
      <c r="H967">
        <v>31.43</v>
      </c>
      <c r="I967" t="s">
        <v>344</v>
      </c>
      <c r="J967">
        <v>155.06</v>
      </c>
      <c r="K967">
        <v>7.06</v>
      </c>
      <c r="L967" t="s">
        <v>346</v>
      </c>
      <c r="M967" s="1">
        <v>7.0599999999999996E-2</v>
      </c>
      <c r="N967" t="s">
        <v>350</v>
      </c>
      <c r="O967">
        <v>-3.2</v>
      </c>
      <c r="P967" t="s">
        <v>344</v>
      </c>
      <c r="Q967">
        <v>1.93</v>
      </c>
      <c r="R967" t="s">
        <v>343</v>
      </c>
      <c r="S967">
        <v>1</v>
      </c>
    </row>
    <row r="968" spans="1:19" x14ac:dyDescent="0.25">
      <c r="A968" t="s">
        <v>32</v>
      </c>
      <c r="B968" t="s">
        <v>99</v>
      </c>
      <c r="C968">
        <v>860</v>
      </c>
      <c r="D968" t="s">
        <v>341</v>
      </c>
      <c r="E968">
        <v>29.23</v>
      </c>
      <c r="F968">
        <v>17.09</v>
      </c>
      <c r="G968">
        <v>15.75</v>
      </c>
      <c r="H968">
        <v>32.840000000000003</v>
      </c>
      <c r="I968" t="s">
        <v>344</v>
      </c>
      <c r="J968">
        <v>154.16999999999999</v>
      </c>
      <c r="K968">
        <v>-4.46</v>
      </c>
      <c r="L968" t="s">
        <v>346</v>
      </c>
      <c r="M968" s="1">
        <v>4.4600000000000001E-2</v>
      </c>
      <c r="N968" t="s">
        <v>350</v>
      </c>
      <c r="O968">
        <v>-2.21</v>
      </c>
      <c r="P968" t="s">
        <v>344</v>
      </c>
      <c r="Q968">
        <v>3.15</v>
      </c>
      <c r="R968" t="s">
        <v>344</v>
      </c>
      <c r="S968">
        <v>1</v>
      </c>
    </row>
    <row r="969" spans="1:19" x14ac:dyDescent="0.25">
      <c r="A969" t="s">
        <v>32</v>
      </c>
      <c r="B969" t="s">
        <v>100</v>
      </c>
      <c r="C969">
        <v>880</v>
      </c>
      <c r="D969" t="s">
        <v>341</v>
      </c>
      <c r="E969">
        <v>29.23</v>
      </c>
      <c r="F969">
        <v>16.36</v>
      </c>
      <c r="G969">
        <v>14.8</v>
      </c>
      <c r="H969">
        <v>31.16</v>
      </c>
      <c r="I969" t="s">
        <v>344</v>
      </c>
      <c r="J969">
        <v>154.96</v>
      </c>
      <c r="K969">
        <v>3.93</v>
      </c>
      <c r="L969" t="s">
        <v>346</v>
      </c>
      <c r="M969" s="1">
        <v>3.9300000000000002E-2</v>
      </c>
      <c r="N969" t="s">
        <v>350</v>
      </c>
      <c r="O969">
        <v>-3.3</v>
      </c>
      <c r="P969" t="s">
        <v>344</v>
      </c>
      <c r="Q969">
        <v>2.0699999999999998</v>
      </c>
      <c r="R969" t="s">
        <v>344</v>
      </c>
      <c r="S969">
        <v>1</v>
      </c>
    </row>
    <row r="970" spans="1:19" x14ac:dyDescent="0.25">
      <c r="A970" t="s">
        <v>32</v>
      </c>
      <c r="B970" t="s">
        <v>101</v>
      </c>
      <c r="C970">
        <v>900</v>
      </c>
      <c r="D970" t="s">
        <v>341</v>
      </c>
      <c r="E970">
        <v>29.23</v>
      </c>
      <c r="F970">
        <v>16.53</v>
      </c>
      <c r="G970">
        <v>15.94</v>
      </c>
      <c r="H970">
        <v>32.479999999999997</v>
      </c>
      <c r="I970" t="s">
        <v>344</v>
      </c>
      <c r="J970">
        <v>153.85</v>
      </c>
      <c r="K970">
        <v>-5.53</v>
      </c>
      <c r="L970" t="s">
        <v>346</v>
      </c>
      <c r="M970" s="1">
        <v>5.5300000000000002E-2</v>
      </c>
      <c r="N970" t="s">
        <v>350</v>
      </c>
      <c r="O970">
        <v>-3.83</v>
      </c>
      <c r="P970" t="s">
        <v>344</v>
      </c>
      <c r="Q970">
        <v>2.59</v>
      </c>
      <c r="R970" t="s">
        <v>344</v>
      </c>
      <c r="S970">
        <v>1</v>
      </c>
    </row>
    <row r="971" spans="1:19" x14ac:dyDescent="0.25">
      <c r="A971" t="s">
        <v>32</v>
      </c>
      <c r="B971" t="s">
        <v>102</v>
      </c>
      <c r="C971">
        <v>920</v>
      </c>
      <c r="D971" t="s">
        <v>341</v>
      </c>
      <c r="E971">
        <v>29.23</v>
      </c>
      <c r="F971">
        <v>16.309999999999999</v>
      </c>
      <c r="G971">
        <v>20</v>
      </c>
      <c r="H971">
        <v>36.31</v>
      </c>
      <c r="I971" t="s">
        <v>344</v>
      </c>
      <c r="J971">
        <v>155.24</v>
      </c>
      <c r="K971">
        <v>6.98</v>
      </c>
      <c r="L971" t="s">
        <v>346</v>
      </c>
      <c r="M971" s="1">
        <v>6.9800000000000001E-2</v>
      </c>
      <c r="N971" t="s">
        <v>350</v>
      </c>
      <c r="O971">
        <v>-4.17</v>
      </c>
      <c r="P971" t="s">
        <v>343</v>
      </c>
      <c r="Q971">
        <v>-1.04</v>
      </c>
      <c r="R971" t="s">
        <v>343</v>
      </c>
      <c r="S971">
        <v>1</v>
      </c>
    </row>
    <row r="972" spans="1:19" x14ac:dyDescent="0.25">
      <c r="A972" t="s">
        <v>32</v>
      </c>
      <c r="B972" t="s">
        <v>103</v>
      </c>
      <c r="C972">
        <v>940</v>
      </c>
      <c r="D972" t="s">
        <v>341</v>
      </c>
      <c r="E972">
        <v>29.23</v>
      </c>
      <c r="F972">
        <v>15.95</v>
      </c>
      <c r="G972">
        <v>20</v>
      </c>
      <c r="H972">
        <v>35.950000000000003</v>
      </c>
      <c r="I972" t="s">
        <v>344</v>
      </c>
      <c r="J972">
        <v>153.69999999999999</v>
      </c>
      <c r="K972">
        <v>-7.72</v>
      </c>
      <c r="L972" t="s">
        <v>346</v>
      </c>
      <c r="M972" s="1">
        <v>7.7199999999999991E-2</v>
      </c>
      <c r="N972" t="s">
        <v>350</v>
      </c>
      <c r="O972">
        <v>-3.98</v>
      </c>
      <c r="P972" t="s">
        <v>344</v>
      </c>
      <c r="Q972">
        <v>3.2</v>
      </c>
      <c r="R972" t="s">
        <v>344</v>
      </c>
      <c r="S972">
        <v>1</v>
      </c>
    </row>
    <row r="973" spans="1:19" x14ac:dyDescent="0.25">
      <c r="A973" t="s">
        <v>32</v>
      </c>
      <c r="B973" t="s">
        <v>104</v>
      </c>
      <c r="C973">
        <v>960</v>
      </c>
      <c r="D973" t="s">
        <v>341</v>
      </c>
      <c r="E973">
        <v>29.23</v>
      </c>
      <c r="F973">
        <v>16.03</v>
      </c>
      <c r="G973">
        <v>20</v>
      </c>
      <c r="H973">
        <v>36.03</v>
      </c>
      <c r="I973" t="s">
        <v>344</v>
      </c>
      <c r="J973">
        <v>155.41</v>
      </c>
      <c r="K973">
        <v>8.5500000000000007</v>
      </c>
      <c r="L973" t="s">
        <v>347</v>
      </c>
      <c r="M973" s="1">
        <v>8.5500000000000007E-2</v>
      </c>
      <c r="N973" t="s">
        <v>350</v>
      </c>
      <c r="O973">
        <v>-4.24</v>
      </c>
      <c r="P973" t="s">
        <v>343</v>
      </c>
      <c r="Q973">
        <v>0.22</v>
      </c>
      <c r="R973" t="s">
        <v>343</v>
      </c>
      <c r="S973">
        <v>1</v>
      </c>
    </row>
    <row r="974" spans="1:19" x14ac:dyDescent="0.25">
      <c r="A974" t="s">
        <v>32</v>
      </c>
      <c r="B974" t="s">
        <v>105</v>
      </c>
      <c r="C974">
        <v>980</v>
      </c>
      <c r="D974" t="s">
        <v>341</v>
      </c>
      <c r="E974">
        <v>29.23</v>
      </c>
      <c r="F974">
        <v>15.65</v>
      </c>
      <c r="G974">
        <v>14.55</v>
      </c>
      <c r="H974">
        <v>30.2</v>
      </c>
      <c r="I974" t="s">
        <v>344</v>
      </c>
      <c r="J974">
        <v>153.38999999999999</v>
      </c>
      <c r="K974">
        <v>-10.11</v>
      </c>
      <c r="L974" t="s">
        <v>348</v>
      </c>
      <c r="M974" s="1">
        <v>0.1011</v>
      </c>
      <c r="N974" t="s">
        <v>350</v>
      </c>
      <c r="O974">
        <v>-4.2300000000000004</v>
      </c>
      <c r="P974" t="s">
        <v>343</v>
      </c>
      <c r="Q974">
        <v>5.42</v>
      </c>
      <c r="R974" t="s">
        <v>343</v>
      </c>
      <c r="S974">
        <v>1</v>
      </c>
    </row>
    <row r="975" spans="1:19" x14ac:dyDescent="0.25">
      <c r="A975" t="s">
        <v>32</v>
      </c>
      <c r="B975" t="s">
        <v>106</v>
      </c>
      <c r="C975">
        <v>1000</v>
      </c>
      <c r="D975" t="s">
        <v>341</v>
      </c>
      <c r="E975">
        <v>29.23</v>
      </c>
      <c r="F975">
        <v>16.010000000000002</v>
      </c>
      <c r="G975">
        <v>14.54</v>
      </c>
      <c r="H975">
        <v>30.55</v>
      </c>
      <c r="I975" t="s">
        <v>344</v>
      </c>
      <c r="J975">
        <v>153.38</v>
      </c>
      <c r="K975">
        <v>-0.02</v>
      </c>
      <c r="L975" t="s">
        <v>346</v>
      </c>
      <c r="M975" s="1">
        <v>2.0000000000000001E-4</v>
      </c>
      <c r="N975" t="s">
        <v>349</v>
      </c>
      <c r="O975">
        <v>-3.14</v>
      </c>
      <c r="P975" t="s">
        <v>344</v>
      </c>
      <c r="Q975">
        <v>5.17</v>
      </c>
      <c r="R975" t="s">
        <v>343</v>
      </c>
      <c r="S975">
        <v>1</v>
      </c>
    </row>
    <row r="976" spans="1:19" x14ac:dyDescent="0.25">
      <c r="A976" t="s">
        <v>32</v>
      </c>
      <c r="B976" t="s">
        <v>108</v>
      </c>
      <c r="C976">
        <v>1020</v>
      </c>
      <c r="D976" t="s">
        <v>341</v>
      </c>
      <c r="E976">
        <v>29.23</v>
      </c>
      <c r="F976">
        <v>15.27</v>
      </c>
      <c r="G976">
        <v>14.66</v>
      </c>
      <c r="H976">
        <v>29.93</v>
      </c>
      <c r="I976" t="s">
        <v>344</v>
      </c>
      <c r="J976">
        <v>153.33000000000001</v>
      </c>
      <c r="K976">
        <v>-0.27</v>
      </c>
      <c r="L976" t="s">
        <v>346</v>
      </c>
      <c r="M976" s="1">
        <v>2.7000000000000001E-3</v>
      </c>
      <c r="N976" t="s">
        <v>349</v>
      </c>
      <c r="O976">
        <v>-2.25</v>
      </c>
      <c r="P976" t="s">
        <v>344</v>
      </c>
      <c r="Q976">
        <v>6.83</v>
      </c>
      <c r="R976" t="s">
        <v>343</v>
      </c>
      <c r="S976">
        <v>1</v>
      </c>
    </row>
    <row r="977" spans="1:19" x14ac:dyDescent="0.25">
      <c r="A977" t="s">
        <v>32</v>
      </c>
      <c r="B977" t="s">
        <v>109</v>
      </c>
      <c r="C977">
        <v>1040</v>
      </c>
      <c r="D977" t="s">
        <v>341</v>
      </c>
      <c r="E977">
        <v>29.23</v>
      </c>
      <c r="F977">
        <v>14.79</v>
      </c>
      <c r="G977">
        <v>14.96</v>
      </c>
      <c r="H977">
        <v>29.75</v>
      </c>
      <c r="I977" t="s">
        <v>344</v>
      </c>
      <c r="J977">
        <v>153.16999999999999</v>
      </c>
      <c r="K977">
        <v>-0.81</v>
      </c>
      <c r="L977" t="s">
        <v>346</v>
      </c>
      <c r="M977" s="1">
        <v>8.1000000000000013E-3</v>
      </c>
      <c r="N977" t="s">
        <v>349</v>
      </c>
      <c r="O977">
        <v>-2.91</v>
      </c>
      <c r="P977" t="s">
        <v>344</v>
      </c>
      <c r="Q977">
        <v>7.31</v>
      </c>
      <c r="R977" t="s">
        <v>343</v>
      </c>
      <c r="S977">
        <v>1</v>
      </c>
    </row>
    <row r="978" spans="1:19" x14ac:dyDescent="0.25">
      <c r="A978" t="s">
        <v>32</v>
      </c>
      <c r="B978" t="s">
        <v>110</v>
      </c>
      <c r="C978">
        <v>1060</v>
      </c>
      <c r="D978" t="s">
        <v>341</v>
      </c>
      <c r="E978">
        <v>29.23</v>
      </c>
      <c r="F978">
        <v>15.24</v>
      </c>
      <c r="G978">
        <v>16.48</v>
      </c>
      <c r="H978">
        <v>31.73</v>
      </c>
      <c r="I978" t="s">
        <v>344</v>
      </c>
      <c r="J978">
        <v>153.03</v>
      </c>
      <c r="K978">
        <v>-0.72</v>
      </c>
      <c r="L978" t="s">
        <v>346</v>
      </c>
      <c r="M978" s="1">
        <v>7.1999999999999998E-3</v>
      </c>
      <c r="N978" t="s">
        <v>349</v>
      </c>
      <c r="O978">
        <v>-2.02</v>
      </c>
      <c r="P978" t="s">
        <v>344</v>
      </c>
      <c r="Q978">
        <v>5.78</v>
      </c>
      <c r="R978" t="s">
        <v>343</v>
      </c>
      <c r="S978">
        <v>1</v>
      </c>
    </row>
    <row r="979" spans="1:19" x14ac:dyDescent="0.25">
      <c r="A979" t="s">
        <v>32</v>
      </c>
      <c r="B979" t="s">
        <v>111</v>
      </c>
      <c r="C979">
        <v>1080</v>
      </c>
      <c r="D979" t="s">
        <v>341</v>
      </c>
      <c r="E979">
        <v>29.23</v>
      </c>
      <c r="F979">
        <v>15.48</v>
      </c>
      <c r="G979">
        <v>16.48</v>
      </c>
      <c r="H979">
        <v>31.97</v>
      </c>
      <c r="I979" t="s">
        <v>344</v>
      </c>
      <c r="J979">
        <v>152.88999999999999</v>
      </c>
      <c r="K979">
        <v>-0.7</v>
      </c>
      <c r="L979" t="s">
        <v>346</v>
      </c>
      <c r="M979" s="1">
        <v>6.9999999999999993E-3</v>
      </c>
      <c r="N979" t="s">
        <v>349</v>
      </c>
      <c r="O979">
        <v>-1.1000000000000001</v>
      </c>
      <c r="P979" t="s">
        <v>343</v>
      </c>
      <c r="Q979">
        <v>5.93</v>
      </c>
      <c r="R979" t="s">
        <v>343</v>
      </c>
      <c r="S979">
        <v>1</v>
      </c>
    </row>
    <row r="980" spans="1:19" x14ac:dyDescent="0.25">
      <c r="A980" t="s">
        <v>32</v>
      </c>
      <c r="B980" t="s">
        <v>112</v>
      </c>
      <c r="C980">
        <v>1100</v>
      </c>
      <c r="D980" t="s">
        <v>341</v>
      </c>
      <c r="E980">
        <v>29.23</v>
      </c>
      <c r="F980">
        <v>15.64</v>
      </c>
      <c r="G980">
        <v>16.88</v>
      </c>
      <c r="H980">
        <v>32.520000000000003</v>
      </c>
      <c r="I980" t="s">
        <v>344</v>
      </c>
      <c r="J980">
        <v>152.66999999999999</v>
      </c>
      <c r="K980">
        <v>-1.08</v>
      </c>
      <c r="L980" t="s">
        <v>346</v>
      </c>
      <c r="M980" s="1">
        <v>1.0800000000000001E-2</v>
      </c>
      <c r="N980" t="s">
        <v>349</v>
      </c>
      <c r="O980">
        <v>-2.1800000000000002</v>
      </c>
      <c r="P980" t="s">
        <v>344</v>
      </c>
      <c r="Q980">
        <v>5.55</v>
      </c>
      <c r="R980" t="s">
        <v>343</v>
      </c>
      <c r="S980">
        <v>1</v>
      </c>
    </row>
    <row r="981" spans="1:19" x14ac:dyDescent="0.25">
      <c r="A981" t="s">
        <v>32</v>
      </c>
      <c r="B981" t="s">
        <v>113</v>
      </c>
      <c r="C981">
        <v>1120</v>
      </c>
      <c r="D981" t="s">
        <v>341</v>
      </c>
      <c r="E981">
        <v>29.23</v>
      </c>
      <c r="F981">
        <v>16.260000000000002</v>
      </c>
      <c r="G981">
        <v>16.68</v>
      </c>
      <c r="H981">
        <v>32.93</v>
      </c>
      <c r="I981" t="s">
        <v>344</v>
      </c>
      <c r="J981">
        <v>152.55000000000001</v>
      </c>
      <c r="K981">
        <v>-0.59</v>
      </c>
      <c r="L981" t="s">
        <v>346</v>
      </c>
      <c r="M981" s="1">
        <v>5.8999999999999999E-3</v>
      </c>
      <c r="N981" t="s">
        <v>349</v>
      </c>
      <c r="O981">
        <v>-2.59</v>
      </c>
      <c r="P981" t="s">
        <v>344</v>
      </c>
      <c r="Q981">
        <v>5.41</v>
      </c>
      <c r="R981" t="s">
        <v>343</v>
      </c>
      <c r="S981">
        <v>1</v>
      </c>
    </row>
    <row r="982" spans="1:19" x14ac:dyDescent="0.25">
      <c r="A982" t="s">
        <v>32</v>
      </c>
      <c r="B982" t="s">
        <v>114</v>
      </c>
      <c r="C982">
        <v>1140</v>
      </c>
      <c r="D982" t="s">
        <v>341</v>
      </c>
      <c r="E982">
        <v>29.23</v>
      </c>
      <c r="F982">
        <v>15.96</v>
      </c>
      <c r="G982">
        <v>16.45</v>
      </c>
      <c r="H982">
        <v>32.409999999999997</v>
      </c>
      <c r="I982" t="s">
        <v>344</v>
      </c>
      <c r="J982">
        <v>152.62</v>
      </c>
      <c r="K982">
        <v>0.34</v>
      </c>
      <c r="L982" t="s">
        <v>346</v>
      </c>
      <c r="M982" s="1">
        <v>3.3999999999999998E-3</v>
      </c>
      <c r="N982" t="s">
        <v>349</v>
      </c>
      <c r="O982">
        <v>-1.85</v>
      </c>
      <c r="P982" t="s">
        <v>343</v>
      </c>
      <c r="Q982">
        <v>5.37</v>
      </c>
      <c r="R982" t="s">
        <v>343</v>
      </c>
      <c r="S982">
        <v>1</v>
      </c>
    </row>
    <row r="983" spans="1:19" x14ac:dyDescent="0.25">
      <c r="A983" t="s">
        <v>32</v>
      </c>
      <c r="B983" t="s">
        <v>115</v>
      </c>
      <c r="C983">
        <v>1160</v>
      </c>
      <c r="D983" t="s">
        <v>341</v>
      </c>
      <c r="E983">
        <v>29.23</v>
      </c>
      <c r="F983">
        <v>16.48</v>
      </c>
      <c r="G983">
        <v>15.86</v>
      </c>
      <c r="H983">
        <v>32.340000000000003</v>
      </c>
      <c r="I983" t="s">
        <v>344</v>
      </c>
      <c r="J983">
        <v>152.63999999999999</v>
      </c>
      <c r="K983">
        <v>0.11</v>
      </c>
      <c r="L983" t="s">
        <v>346</v>
      </c>
      <c r="M983" s="1">
        <v>1.1000000000000001E-3</v>
      </c>
      <c r="N983" t="s">
        <v>349</v>
      </c>
      <c r="O983">
        <v>-1.42</v>
      </c>
      <c r="P983" t="s">
        <v>343</v>
      </c>
      <c r="Q983">
        <v>5.2</v>
      </c>
      <c r="R983" t="s">
        <v>343</v>
      </c>
      <c r="S983">
        <v>1</v>
      </c>
    </row>
    <row r="984" spans="1:19" x14ac:dyDescent="0.25">
      <c r="A984" t="s">
        <v>32</v>
      </c>
      <c r="B984" t="s">
        <v>116</v>
      </c>
      <c r="C984">
        <v>1180</v>
      </c>
      <c r="D984" t="s">
        <v>341</v>
      </c>
      <c r="E984">
        <v>29.23</v>
      </c>
      <c r="F984">
        <v>16.78</v>
      </c>
      <c r="G984">
        <v>15.86</v>
      </c>
      <c r="H984">
        <v>32.64</v>
      </c>
      <c r="I984" t="s">
        <v>344</v>
      </c>
      <c r="J984">
        <v>152.57</v>
      </c>
      <c r="K984">
        <v>-0.37</v>
      </c>
      <c r="L984" t="s">
        <v>346</v>
      </c>
      <c r="M984" s="1">
        <v>3.7000000000000002E-3</v>
      </c>
      <c r="N984" t="s">
        <v>349</v>
      </c>
      <c r="O984">
        <v>-1.04</v>
      </c>
      <c r="P984" t="s">
        <v>343</v>
      </c>
      <c r="Q984">
        <v>4.3099999999999996</v>
      </c>
      <c r="R984" t="s">
        <v>343</v>
      </c>
      <c r="S984">
        <v>1</v>
      </c>
    </row>
    <row r="985" spans="1:19" x14ac:dyDescent="0.25">
      <c r="A985" t="s">
        <v>32</v>
      </c>
      <c r="B985" t="s">
        <v>117</v>
      </c>
      <c r="C985">
        <v>1200</v>
      </c>
      <c r="D985" t="s">
        <v>341</v>
      </c>
      <c r="E985">
        <v>29.23</v>
      </c>
      <c r="F985">
        <v>17.559999999999999</v>
      </c>
      <c r="G985">
        <v>14.59</v>
      </c>
      <c r="H985">
        <v>32.159999999999997</v>
      </c>
      <c r="I985" t="s">
        <v>344</v>
      </c>
      <c r="J985">
        <v>152.41</v>
      </c>
      <c r="K985">
        <v>-0.77</v>
      </c>
      <c r="L985" t="s">
        <v>346</v>
      </c>
      <c r="M985" s="1">
        <v>7.7000000000000002E-3</v>
      </c>
      <c r="N985" t="s">
        <v>349</v>
      </c>
      <c r="O985">
        <v>-1.72</v>
      </c>
      <c r="P985" t="s">
        <v>343</v>
      </c>
      <c r="Q985">
        <v>2.98</v>
      </c>
      <c r="R985" t="s">
        <v>344</v>
      </c>
      <c r="S985">
        <v>1</v>
      </c>
    </row>
    <row r="986" spans="1:19" x14ac:dyDescent="0.25">
      <c r="A986" t="s">
        <v>32</v>
      </c>
      <c r="B986" t="s">
        <v>118</v>
      </c>
      <c r="C986">
        <v>1220</v>
      </c>
      <c r="D986" t="s">
        <v>341</v>
      </c>
      <c r="E986">
        <v>29.23</v>
      </c>
      <c r="F986">
        <v>17.559999999999999</v>
      </c>
      <c r="G986">
        <v>14.74</v>
      </c>
      <c r="H986">
        <v>32.31</v>
      </c>
      <c r="I986" t="s">
        <v>344</v>
      </c>
      <c r="J986">
        <v>153.74</v>
      </c>
      <c r="K986">
        <v>6.62</v>
      </c>
      <c r="L986" t="s">
        <v>346</v>
      </c>
      <c r="M986" s="1">
        <v>6.6199999999999995E-2</v>
      </c>
      <c r="N986" t="s">
        <v>350</v>
      </c>
      <c r="O986">
        <v>-1.69</v>
      </c>
      <c r="P986" t="s">
        <v>343</v>
      </c>
      <c r="Q986">
        <v>3.12</v>
      </c>
      <c r="R986" t="s">
        <v>344</v>
      </c>
      <c r="S986">
        <v>1</v>
      </c>
    </row>
    <row r="987" spans="1:19" x14ac:dyDescent="0.25">
      <c r="A987" t="s">
        <v>32</v>
      </c>
      <c r="B987" t="s">
        <v>119</v>
      </c>
      <c r="C987">
        <v>1240</v>
      </c>
      <c r="D987" t="s">
        <v>341</v>
      </c>
      <c r="E987">
        <v>29.23</v>
      </c>
      <c r="F987">
        <v>17.75</v>
      </c>
      <c r="G987">
        <v>15.91</v>
      </c>
      <c r="H987">
        <v>33.659999999999997</v>
      </c>
      <c r="I987" t="s">
        <v>344</v>
      </c>
      <c r="J987">
        <v>153.57</v>
      </c>
      <c r="K987">
        <v>-0.84</v>
      </c>
      <c r="L987" t="s">
        <v>346</v>
      </c>
      <c r="M987" s="1">
        <v>8.3999999999999995E-3</v>
      </c>
      <c r="N987" t="s">
        <v>349</v>
      </c>
      <c r="O987">
        <v>-1.04</v>
      </c>
      <c r="P987" t="s">
        <v>343</v>
      </c>
      <c r="Q987">
        <v>2.46</v>
      </c>
      <c r="R987" t="s">
        <v>344</v>
      </c>
      <c r="S987">
        <v>1</v>
      </c>
    </row>
    <row r="988" spans="1:19" x14ac:dyDescent="0.25">
      <c r="A988" t="s">
        <v>32</v>
      </c>
      <c r="B988" t="s">
        <v>120</v>
      </c>
      <c r="C988">
        <v>1260</v>
      </c>
      <c r="D988" t="s">
        <v>341</v>
      </c>
      <c r="E988">
        <v>29.23</v>
      </c>
      <c r="F988">
        <v>15.05</v>
      </c>
      <c r="G988">
        <v>13.41</v>
      </c>
      <c r="H988">
        <v>28.46</v>
      </c>
      <c r="I988" t="s">
        <v>343</v>
      </c>
      <c r="J988">
        <v>151.9</v>
      </c>
      <c r="K988">
        <v>-8.3699999999999992</v>
      </c>
      <c r="L988" t="s">
        <v>347</v>
      </c>
      <c r="M988" s="1">
        <v>8.3699999999999997E-2</v>
      </c>
      <c r="N988" t="s">
        <v>350</v>
      </c>
      <c r="O988">
        <v>-2.3199999999999998</v>
      </c>
      <c r="P988" t="s">
        <v>344</v>
      </c>
      <c r="Q988">
        <v>3.32</v>
      </c>
      <c r="R988" t="s">
        <v>344</v>
      </c>
      <c r="S988">
        <v>1</v>
      </c>
    </row>
    <row r="989" spans="1:19" x14ac:dyDescent="0.25">
      <c r="A989" t="s">
        <v>32</v>
      </c>
      <c r="B989" t="s">
        <v>121</v>
      </c>
      <c r="C989">
        <v>1280</v>
      </c>
      <c r="D989" t="s">
        <v>341</v>
      </c>
      <c r="E989">
        <v>29.23</v>
      </c>
      <c r="F989">
        <v>13.74</v>
      </c>
      <c r="G989">
        <v>12.43</v>
      </c>
      <c r="H989">
        <v>26.17</v>
      </c>
      <c r="I989" t="s">
        <v>343</v>
      </c>
      <c r="J989">
        <v>151.63</v>
      </c>
      <c r="K989">
        <v>-1.36</v>
      </c>
      <c r="L989" t="s">
        <v>346</v>
      </c>
      <c r="M989" s="1">
        <v>1.3599999999999999E-2</v>
      </c>
      <c r="N989" t="s">
        <v>349</v>
      </c>
      <c r="O989">
        <v>-2.95</v>
      </c>
      <c r="P989" t="s">
        <v>344</v>
      </c>
      <c r="Q989">
        <v>5.97</v>
      </c>
      <c r="R989" t="s">
        <v>343</v>
      </c>
      <c r="S989">
        <v>1</v>
      </c>
    </row>
    <row r="990" spans="1:19" x14ac:dyDescent="0.25">
      <c r="A990" t="s">
        <v>32</v>
      </c>
      <c r="B990" t="s">
        <v>123</v>
      </c>
      <c r="C990">
        <v>1300</v>
      </c>
      <c r="D990" t="s">
        <v>341</v>
      </c>
      <c r="E990">
        <v>29.23</v>
      </c>
      <c r="F990">
        <v>14.07</v>
      </c>
      <c r="G990">
        <v>13.63</v>
      </c>
      <c r="H990">
        <v>27.69</v>
      </c>
      <c r="I990" t="s">
        <v>343</v>
      </c>
      <c r="J990">
        <v>152.13999999999999</v>
      </c>
      <c r="K990">
        <v>2.5499999999999998</v>
      </c>
      <c r="L990" t="s">
        <v>346</v>
      </c>
      <c r="M990" s="1">
        <v>2.5499999999999998E-2</v>
      </c>
      <c r="N990" t="s">
        <v>350</v>
      </c>
      <c r="O990">
        <v>-2.76</v>
      </c>
      <c r="P990" t="s">
        <v>344</v>
      </c>
      <c r="Q990">
        <v>4.21</v>
      </c>
      <c r="R990" t="s">
        <v>343</v>
      </c>
      <c r="S990">
        <v>1</v>
      </c>
    </row>
    <row r="991" spans="1:19" x14ac:dyDescent="0.25">
      <c r="A991" t="s">
        <v>32</v>
      </c>
      <c r="B991" t="s">
        <v>124</v>
      </c>
      <c r="C991">
        <v>1320</v>
      </c>
      <c r="D991" t="s">
        <v>341</v>
      </c>
      <c r="E991">
        <v>29.23</v>
      </c>
      <c r="F991">
        <v>15.13</v>
      </c>
      <c r="G991">
        <v>14.88</v>
      </c>
      <c r="H991">
        <v>30.01</v>
      </c>
      <c r="I991" t="s">
        <v>344</v>
      </c>
      <c r="J991">
        <v>151.19</v>
      </c>
      <c r="K991">
        <v>-4.72</v>
      </c>
      <c r="L991" t="s">
        <v>346</v>
      </c>
      <c r="M991" s="1">
        <v>4.7199999999999999E-2</v>
      </c>
      <c r="N991" t="s">
        <v>350</v>
      </c>
      <c r="O991">
        <v>-6.08</v>
      </c>
      <c r="P991" t="s">
        <v>343</v>
      </c>
      <c r="Q991">
        <v>4.8899999999999997</v>
      </c>
      <c r="R991" t="s">
        <v>343</v>
      </c>
      <c r="S991">
        <v>1</v>
      </c>
    </row>
    <row r="992" spans="1:19" x14ac:dyDescent="0.25">
      <c r="A992" t="s">
        <v>32</v>
      </c>
      <c r="B992" t="s">
        <v>125</v>
      </c>
      <c r="C992">
        <v>1340</v>
      </c>
      <c r="D992" t="s">
        <v>341</v>
      </c>
      <c r="E992">
        <v>29.23</v>
      </c>
      <c r="F992">
        <v>15.13</v>
      </c>
      <c r="G992">
        <v>15.74</v>
      </c>
      <c r="H992">
        <v>30.87</v>
      </c>
      <c r="I992" t="s">
        <v>344</v>
      </c>
      <c r="J992">
        <v>151.24</v>
      </c>
      <c r="K992">
        <v>0.26</v>
      </c>
      <c r="L992" t="s">
        <v>346</v>
      </c>
      <c r="M992" s="1">
        <v>2.5999999999999999E-3</v>
      </c>
      <c r="N992" t="s">
        <v>349</v>
      </c>
      <c r="O992">
        <v>-7.23</v>
      </c>
      <c r="P992" t="s">
        <v>343</v>
      </c>
      <c r="Q992">
        <v>5.68</v>
      </c>
      <c r="R992" t="s">
        <v>343</v>
      </c>
      <c r="S992">
        <v>1</v>
      </c>
    </row>
    <row r="993" spans="1:19" x14ac:dyDescent="0.25">
      <c r="A993" t="s">
        <v>32</v>
      </c>
      <c r="B993" t="s">
        <v>126</v>
      </c>
      <c r="C993">
        <v>1360</v>
      </c>
      <c r="D993" t="s">
        <v>341</v>
      </c>
      <c r="E993">
        <v>29.23</v>
      </c>
      <c r="F993">
        <v>15.13</v>
      </c>
      <c r="G993">
        <v>15.06</v>
      </c>
      <c r="H993">
        <v>30.19</v>
      </c>
      <c r="I993" t="s">
        <v>344</v>
      </c>
      <c r="J993">
        <v>151.38999999999999</v>
      </c>
      <c r="K993">
        <v>0.72</v>
      </c>
      <c r="L993" t="s">
        <v>346</v>
      </c>
      <c r="M993" s="1">
        <v>7.1999999999999998E-3</v>
      </c>
      <c r="N993" t="s">
        <v>349</v>
      </c>
      <c r="O993">
        <v>-5</v>
      </c>
      <c r="P993" t="s">
        <v>343</v>
      </c>
      <c r="Q993">
        <v>6.37</v>
      </c>
      <c r="R993" t="s">
        <v>343</v>
      </c>
      <c r="S993">
        <v>1</v>
      </c>
    </row>
    <row r="994" spans="1:19" x14ac:dyDescent="0.25">
      <c r="A994" t="s">
        <v>32</v>
      </c>
      <c r="B994" t="s">
        <v>127</v>
      </c>
      <c r="C994">
        <v>1380</v>
      </c>
      <c r="D994" t="s">
        <v>341</v>
      </c>
      <c r="E994">
        <v>29.23</v>
      </c>
      <c r="F994">
        <v>14.07</v>
      </c>
      <c r="G994">
        <v>15.06</v>
      </c>
      <c r="H994">
        <v>29.13</v>
      </c>
      <c r="I994" t="s">
        <v>343</v>
      </c>
      <c r="J994">
        <v>151.61000000000001</v>
      </c>
      <c r="K994">
        <v>1.1200000000000001</v>
      </c>
      <c r="L994" t="s">
        <v>346</v>
      </c>
      <c r="M994" s="1">
        <v>1.12E-2</v>
      </c>
      <c r="N994" t="s">
        <v>349</v>
      </c>
      <c r="O994">
        <v>-3.61</v>
      </c>
      <c r="P994" t="s">
        <v>344</v>
      </c>
      <c r="Q994">
        <v>5.79</v>
      </c>
      <c r="R994" t="s">
        <v>343</v>
      </c>
      <c r="S994">
        <v>1</v>
      </c>
    </row>
    <row r="995" spans="1:19" x14ac:dyDescent="0.25">
      <c r="A995" t="s">
        <v>32</v>
      </c>
      <c r="B995" t="s">
        <v>128</v>
      </c>
      <c r="C995">
        <v>1400</v>
      </c>
      <c r="D995" t="s">
        <v>341</v>
      </c>
      <c r="E995">
        <v>29.23</v>
      </c>
      <c r="F995">
        <v>13.72</v>
      </c>
      <c r="G995">
        <v>13.6</v>
      </c>
      <c r="H995">
        <v>27.33</v>
      </c>
      <c r="I995" t="s">
        <v>343</v>
      </c>
      <c r="J995">
        <v>153.1</v>
      </c>
      <c r="K995">
        <v>7.45</v>
      </c>
      <c r="L995" t="s">
        <v>346</v>
      </c>
      <c r="M995" s="1">
        <v>7.4499999999999997E-2</v>
      </c>
      <c r="N995" t="s">
        <v>350</v>
      </c>
      <c r="O995">
        <v>-2.93</v>
      </c>
      <c r="P995" t="s">
        <v>344</v>
      </c>
      <c r="Q995">
        <v>5.35</v>
      </c>
      <c r="R995" t="s">
        <v>343</v>
      </c>
      <c r="S995">
        <v>1</v>
      </c>
    </row>
    <row r="996" spans="1:19" x14ac:dyDescent="0.25">
      <c r="A996" t="s">
        <v>32</v>
      </c>
      <c r="B996" t="s">
        <v>129</v>
      </c>
      <c r="C996">
        <v>1420</v>
      </c>
      <c r="D996" t="s">
        <v>341</v>
      </c>
      <c r="E996">
        <v>29.23</v>
      </c>
      <c r="F996">
        <v>14.1</v>
      </c>
      <c r="G996">
        <v>13.6</v>
      </c>
      <c r="H996">
        <v>27.7</v>
      </c>
      <c r="I996" t="s">
        <v>343</v>
      </c>
      <c r="J996">
        <v>151.72999999999999</v>
      </c>
      <c r="K996">
        <v>-6.87</v>
      </c>
      <c r="L996" t="s">
        <v>346</v>
      </c>
      <c r="M996" s="1">
        <v>6.8699999999999997E-2</v>
      </c>
      <c r="N996" t="s">
        <v>350</v>
      </c>
      <c r="O996">
        <v>-5.18</v>
      </c>
      <c r="P996" t="s">
        <v>343</v>
      </c>
      <c r="Q996">
        <v>4.6100000000000003</v>
      </c>
      <c r="R996" t="s">
        <v>343</v>
      </c>
      <c r="S996">
        <v>1</v>
      </c>
    </row>
    <row r="997" spans="1:19" x14ac:dyDescent="0.25">
      <c r="A997" t="s">
        <v>32</v>
      </c>
      <c r="B997" t="s">
        <v>130</v>
      </c>
      <c r="C997">
        <v>1440</v>
      </c>
      <c r="D997" t="s">
        <v>341</v>
      </c>
      <c r="E997">
        <v>29.23</v>
      </c>
      <c r="F997">
        <v>14.31</v>
      </c>
      <c r="G997">
        <v>13.6</v>
      </c>
      <c r="H997">
        <v>27.91</v>
      </c>
      <c r="I997" t="s">
        <v>343</v>
      </c>
      <c r="J997">
        <v>151.78</v>
      </c>
      <c r="K997">
        <v>0.27</v>
      </c>
      <c r="L997" t="s">
        <v>346</v>
      </c>
      <c r="M997" s="1">
        <v>2.7000000000000001E-3</v>
      </c>
      <c r="N997" t="s">
        <v>349</v>
      </c>
      <c r="O997">
        <v>-4</v>
      </c>
      <c r="P997" t="s">
        <v>344</v>
      </c>
      <c r="Q997">
        <v>4.54</v>
      </c>
      <c r="R997" t="s">
        <v>343</v>
      </c>
      <c r="S997">
        <v>1</v>
      </c>
    </row>
    <row r="998" spans="1:19" x14ac:dyDescent="0.25">
      <c r="A998" t="s">
        <v>32</v>
      </c>
      <c r="B998" t="s">
        <v>131</v>
      </c>
      <c r="C998">
        <v>1460</v>
      </c>
      <c r="D998" t="s">
        <v>341</v>
      </c>
      <c r="E998">
        <v>29.23</v>
      </c>
      <c r="F998">
        <v>14.62</v>
      </c>
      <c r="G998">
        <v>13.06</v>
      </c>
      <c r="H998">
        <v>27.69</v>
      </c>
      <c r="I998" t="s">
        <v>343</v>
      </c>
      <c r="J998">
        <v>153.4</v>
      </c>
      <c r="K998">
        <v>8.1</v>
      </c>
      <c r="L998" t="s">
        <v>347</v>
      </c>
      <c r="M998" s="1">
        <v>8.1000000000000003E-2</v>
      </c>
      <c r="N998" t="s">
        <v>350</v>
      </c>
      <c r="O998">
        <v>-2.69</v>
      </c>
      <c r="P998" t="s">
        <v>344</v>
      </c>
      <c r="Q998">
        <v>4.4400000000000004</v>
      </c>
      <c r="R998" t="s">
        <v>343</v>
      </c>
      <c r="S998">
        <v>1</v>
      </c>
    </row>
    <row r="999" spans="1:19" x14ac:dyDescent="0.25">
      <c r="A999" t="s">
        <v>32</v>
      </c>
      <c r="B999" t="s">
        <v>132</v>
      </c>
      <c r="C999">
        <v>1480</v>
      </c>
      <c r="D999" t="s">
        <v>341</v>
      </c>
      <c r="E999">
        <v>29.23</v>
      </c>
      <c r="F999">
        <v>14.08</v>
      </c>
      <c r="G999">
        <v>13.1</v>
      </c>
      <c r="H999">
        <v>27.18</v>
      </c>
      <c r="I999" t="s">
        <v>343</v>
      </c>
      <c r="J999">
        <v>151.85</v>
      </c>
      <c r="K999">
        <v>-7.76</v>
      </c>
      <c r="L999" t="s">
        <v>346</v>
      </c>
      <c r="M999" s="1">
        <v>7.7600000000000002E-2</v>
      </c>
      <c r="N999" t="s">
        <v>350</v>
      </c>
      <c r="O999">
        <v>-2.97</v>
      </c>
      <c r="P999" t="s">
        <v>344</v>
      </c>
      <c r="Q999">
        <v>5.47</v>
      </c>
      <c r="R999" t="s">
        <v>343</v>
      </c>
      <c r="S999">
        <v>1</v>
      </c>
    </row>
    <row r="1000" spans="1:19" x14ac:dyDescent="0.25">
      <c r="A1000" t="s">
        <v>32</v>
      </c>
      <c r="B1000" t="s">
        <v>133</v>
      </c>
      <c r="C1000">
        <v>1500</v>
      </c>
      <c r="D1000" t="s">
        <v>341</v>
      </c>
      <c r="E1000">
        <v>29.23</v>
      </c>
      <c r="F1000">
        <v>13.73</v>
      </c>
      <c r="G1000">
        <v>13.67</v>
      </c>
      <c r="H1000">
        <v>27.39</v>
      </c>
      <c r="I1000" t="s">
        <v>343</v>
      </c>
      <c r="J1000">
        <v>151.87</v>
      </c>
      <c r="K1000">
        <v>0.08</v>
      </c>
      <c r="L1000" t="s">
        <v>346</v>
      </c>
      <c r="M1000" s="1">
        <v>8.0000000000000004E-4</v>
      </c>
      <c r="N1000" t="s">
        <v>349</v>
      </c>
      <c r="O1000">
        <v>-3.33</v>
      </c>
      <c r="P1000" t="s">
        <v>344</v>
      </c>
      <c r="Q1000">
        <v>6.1</v>
      </c>
      <c r="R1000" t="s">
        <v>343</v>
      </c>
      <c r="S1000">
        <v>1</v>
      </c>
    </row>
    <row r="1001" spans="1:19" x14ac:dyDescent="0.25">
      <c r="A1001" t="s">
        <v>32</v>
      </c>
      <c r="B1001" t="s">
        <v>134</v>
      </c>
      <c r="C1001">
        <v>1520</v>
      </c>
      <c r="D1001" t="s">
        <v>341</v>
      </c>
      <c r="E1001">
        <v>29.23</v>
      </c>
      <c r="F1001">
        <v>14.8</v>
      </c>
      <c r="G1001">
        <v>14.59</v>
      </c>
      <c r="H1001">
        <v>29.39</v>
      </c>
      <c r="I1001" t="s">
        <v>344</v>
      </c>
      <c r="J1001">
        <v>151.75</v>
      </c>
      <c r="K1001">
        <v>-0.6</v>
      </c>
      <c r="L1001" t="s">
        <v>346</v>
      </c>
      <c r="M1001" s="1">
        <v>6.0000000000000001E-3</v>
      </c>
      <c r="N1001" t="s">
        <v>349</v>
      </c>
      <c r="O1001">
        <v>-2.76</v>
      </c>
      <c r="P1001" t="s">
        <v>344</v>
      </c>
      <c r="Q1001">
        <v>5.46</v>
      </c>
      <c r="R1001" t="s">
        <v>343</v>
      </c>
      <c r="S1001">
        <v>1</v>
      </c>
    </row>
    <row r="1002" spans="1:19" x14ac:dyDescent="0.25">
      <c r="A1002" t="s">
        <v>32</v>
      </c>
      <c r="B1002" t="s">
        <v>135</v>
      </c>
      <c r="C1002">
        <v>1540</v>
      </c>
      <c r="D1002" t="s">
        <v>341</v>
      </c>
      <c r="E1002">
        <v>29.23</v>
      </c>
      <c r="F1002">
        <v>16.97</v>
      </c>
      <c r="G1002">
        <v>15.15</v>
      </c>
      <c r="H1002">
        <v>32.119999999999997</v>
      </c>
      <c r="I1002" t="s">
        <v>344</v>
      </c>
      <c r="J1002">
        <v>151.61000000000001</v>
      </c>
      <c r="K1002">
        <v>-0.67</v>
      </c>
      <c r="L1002" t="s">
        <v>346</v>
      </c>
      <c r="M1002" s="1">
        <v>6.7000000000000002E-3</v>
      </c>
      <c r="N1002" t="s">
        <v>349</v>
      </c>
      <c r="O1002">
        <v>-4.0199999999999996</v>
      </c>
      <c r="P1002" t="s">
        <v>343</v>
      </c>
      <c r="Q1002">
        <v>3.91</v>
      </c>
      <c r="R1002" t="s">
        <v>344</v>
      </c>
      <c r="S1002">
        <v>1</v>
      </c>
    </row>
    <row r="1003" spans="1:19" x14ac:dyDescent="0.25">
      <c r="A1003" t="s">
        <v>32</v>
      </c>
      <c r="B1003" t="s">
        <v>136</v>
      </c>
      <c r="C1003">
        <v>1560</v>
      </c>
      <c r="D1003" t="s">
        <v>341</v>
      </c>
      <c r="E1003">
        <v>29.23</v>
      </c>
      <c r="F1003">
        <v>17.760000000000002</v>
      </c>
      <c r="G1003">
        <v>15.55</v>
      </c>
      <c r="H1003">
        <v>33.31</v>
      </c>
      <c r="I1003" t="s">
        <v>344</v>
      </c>
      <c r="J1003">
        <v>151.38999999999999</v>
      </c>
      <c r="K1003">
        <v>-1.1399999999999999</v>
      </c>
      <c r="L1003" t="s">
        <v>346</v>
      </c>
      <c r="M1003" s="1">
        <v>1.14E-2</v>
      </c>
      <c r="N1003" t="s">
        <v>349</v>
      </c>
      <c r="O1003">
        <v>-4.43</v>
      </c>
      <c r="P1003" t="s">
        <v>343</v>
      </c>
      <c r="Q1003">
        <v>2.73</v>
      </c>
      <c r="R1003" t="s">
        <v>344</v>
      </c>
      <c r="S1003">
        <v>1</v>
      </c>
    </row>
    <row r="1004" spans="1:19" x14ac:dyDescent="0.25">
      <c r="A1004" t="s">
        <v>32</v>
      </c>
      <c r="B1004" t="s">
        <v>137</v>
      </c>
      <c r="C1004">
        <v>1580</v>
      </c>
      <c r="D1004" t="s">
        <v>341</v>
      </c>
      <c r="E1004">
        <v>29.23</v>
      </c>
      <c r="F1004">
        <v>17.02</v>
      </c>
      <c r="G1004">
        <v>16.02</v>
      </c>
      <c r="H1004">
        <v>33.049999999999997</v>
      </c>
      <c r="I1004" t="s">
        <v>344</v>
      </c>
      <c r="J1004">
        <v>153.05000000000001</v>
      </c>
      <c r="K1004">
        <v>8.3000000000000007</v>
      </c>
      <c r="L1004" t="s">
        <v>347</v>
      </c>
      <c r="M1004" s="1">
        <v>8.3000000000000004E-2</v>
      </c>
      <c r="N1004" t="s">
        <v>350</v>
      </c>
      <c r="O1004">
        <v>-1.67</v>
      </c>
      <c r="P1004" t="s">
        <v>343</v>
      </c>
      <c r="Q1004">
        <v>2.11</v>
      </c>
      <c r="R1004" t="s">
        <v>344</v>
      </c>
      <c r="S1004">
        <v>1</v>
      </c>
    </row>
    <row r="1005" spans="1:19" x14ac:dyDescent="0.25">
      <c r="A1005" t="s">
        <v>32</v>
      </c>
      <c r="B1005" t="s">
        <v>138</v>
      </c>
      <c r="C1005">
        <v>1600</v>
      </c>
      <c r="D1005" t="s">
        <v>341</v>
      </c>
      <c r="E1005">
        <v>29.23</v>
      </c>
      <c r="F1005">
        <v>20</v>
      </c>
      <c r="G1005">
        <v>16.510000000000002</v>
      </c>
      <c r="H1005">
        <v>36.51</v>
      </c>
      <c r="I1005" t="s">
        <v>344</v>
      </c>
      <c r="J1005">
        <v>151.32</v>
      </c>
      <c r="K1005">
        <v>-8.6199999999999992</v>
      </c>
      <c r="L1005" t="s">
        <v>347</v>
      </c>
      <c r="M1005" s="1">
        <v>8.6199999999999999E-2</v>
      </c>
      <c r="N1005" t="s">
        <v>350</v>
      </c>
      <c r="O1005">
        <v>-3.42</v>
      </c>
      <c r="P1005" t="s">
        <v>344</v>
      </c>
      <c r="Q1005">
        <v>3.22</v>
      </c>
      <c r="R1005" t="s">
        <v>344</v>
      </c>
      <c r="S1005">
        <v>1</v>
      </c>
    </row>
    <row r="1006" spans="1:19" x14ac:dyDescent="0.25">
      <c r="A1006" t="s">
        <v>32</v>
      </c>
      <c r="B1006" t="s">
        <v>139</v>
      </c>
      <c r="C1006">
        <v>1620</v>
      </c>
      <c r="D1006" t="s">
        <v>341</v>
      </c>
      <c r="E1006">
        <v>29.23</v>
      </c>
      <c r="F1006">
        <v>20</v>
      </c>
      <c r="G1006">
        <v>17.059999999999999</v>
      </c>
      <c r="H1006">
        <v>37.06</v>
      </c>
      <c r="I1006" t="s">
        <v>344</v>
      </c>
      <c r="J1006">
        <v>151.44</v>
      </c>
      <c r="K1006">
        <v>0.57999999999999996</v>
      </c>
      <c r="L1006" t="s">
        <v>346</v>
      </c>
      <c r="M1006" s="1">
        <v>5.7999999999999996E-3</v>
      </c>
      <c r="N1006" t="s">
        <v>349</v>
      </c>
      <c r="O1006">
        <v>-1.47</v>
      </c>
      <c r="P1006" t="s">
        <v>343</v>
      </c>
      <c r="Q1006">
        <v>3.96</v>
      </c>
      <c r="R1006" t="s">
        <v>344</v>
      </c>
      <c r="S1006">
        <v>1</v>
      </c>
    </row>
    <row r="1007" spans="1:19" x14ac:dyDescent="0.25">
      <c r="A1007" t="s">
        <v>32</v>
      </c>
      <c r="B1007" t="s">
        <v>140</v>
      </c>
      <c r="C1007">
        <v>1640</v>
      </c>
      <c r="D1007" t="s">
        <v>341</v>
      </c>
      <c r="E1007">
        <v>29.23</v>
      </c>
      <c r="F1007">
        <v>20</v>
      </c>
      <c r="G1007">
        <v>17.059999999999999</v>
      </c>
      <c r="H1007">
        <v>37.06</v>
      </c>
      <c r="I1007" t="s">
        <v>344</v>
      </c>
      <c r="J1007">
        <v>150.97999999999999</v>
      </c>
      <c r="K1007">
        <v>-2.27</v>
      </c>
      <c r="L1007" t="s">
        <v>346</v>
      </c>
      <c r="M1007" s="1">
        <v>2.2700000000000001E-2</v>
      </c>
      <c r="N1007" t="s">
        <v>350</v>
      </c>
      <c r="O1007">
        <v>-3.25</v>
      </c>
      <c r="P1007" t="s">
        <v>344</v>
      </c>
      <c r="Q1007">
        <v>1.65</v>
      </c>
      <c r="R1007" t="s">
        <v>343</v>
      </c>
      <c r="S1007">
        <v>1</v>
      </c>
    </row>
    <row r="1008" spans="1:19" x14ac:dyDescent="0.25">
      <c r="A1008" t="s">
        <v>32</v>
      </c>
      <c r="B1008" t="s">
        <v>141</v>
      </c>
      <c r="C1008">
        <v>1660</v>
      </c>
      <c r="D1008" t="s">
        <v>341</v>
      </c>
      <c r="E1008">
        <v>29.23</v>
      </c>
      <c r="F1008">
        <v>13.53</v>
      </c>
      <c r="G1008">
        <v>17.09</v>
      </c>
      <c r="H1008">
        <v>30.62</v>
      </c>
      <c r="I1008" t="s">
        <v>344</v>
      </c>
      <c r="J1008">
        <v>151.52000000000001</v>
      </c>
      <c r="K1008">
        <v>2.69</v>
      </c>
      <c r="L1008" t="s">
        <v>346</v>
      </c>
      <c r="M1008" s="1">
        <v>2.69E-2</v>
      </c>
      <c r="N1008" t="s">
        <v>350</v>
      </c>
      <c r="O1008">
        <v>-1.31</v>
      </c>
      <c r="P1008" t="s">
        <v>343</v>
      </c>
      <c r="Q1008">
        <v>4.26</v>
      </c>
      <c r="R1008" t="s">
        <v>343</v>
      </c>
      <c r="S1008">
        <v>1</v>
      </c>
    </row>
    <row r="1009" spans="1:19" x14ac:dyDescent="0.25">
      <c r="A1009" t="s">
        <v>32</v>
      </c>
      <c r="B1009" t="s">
        <v>142</v>
      </c>
      <c r="C1009">
        <v>1680</v>
      </c>
      <c r="D1009" t="s">
        <v>341</v>
      </c>
      <c r="E1009">
        <v>29.23</v>
      </c>
      <c r="F1009">
        <v>12.08</v>
      </c>
      <c r="G1009">
        <v>15.68</v>
      </c>
      <c r="H1009">
        <v>27.76</v>
      </c>
      <c r="I1009" t="s">
        <v>343</v>
      </c>
      <c r="J1009">
        <v>150.21</v>
      </c>
      <c r="K1009">
        <v>-6.54</v>
      </c>
      <c r="L1009" t="s">
        <v>346</v>
      </c>
      <c r="M1009" s="1">
        <v>6.54E-2</v>
      </c>
      <c r="N1009" t="s">
        <v>350</v>
      </c>
      <c r="O1009">
        <v>-1.36</v>
      </c>
      <c r="P1009" t="s">
        <v>343</v>
      </c>
      <c r="Q1009">
        <v>4.99</v>
      </c>
      <c r="R1009" t="s">
        <v>343</v>
      </c>
      <c r="S1009">
        <v>1</v>
      </c>
    </row>
    <row r="1010" spans="1:19" x14ac:dyDescent="0.25">
      <c r="A1010" t="s">
        <v>32</v>
      </c>
      <c r="B1010" t="s">
        <v>143</v>
      </c>
      <c r="C1010">
        <v>1700</v>
      </c>
      <c r="D1010" t="s">
        <v>341</v>
      </c>
      <c r="E1010">
        <v>29.23</v>
      </c>
      <c r="F1010">
        <v>12.31</v>
      </c>
      <c r="G1010">
        <v>13.91</v>
      </c>
      <c r="H1010">
        <v>26.22</v>
      </c>
      <c r="I1010" t="s">
        <v>343</v>
      </c>
      <c r="J1010">
        <v>149.57</v>
      </c>
      <c r="K1010">
        <v>-3.23</v>
      </c>
      <c r="L1010" t="s">
        <v>346</v>
      </c>
      <c r="M1010" s="1">
        <v>3.2300000000000002E-2</v>
      </c>
      <c r="N1010" t="s">
        <v>350</v>
      </c>
      <c r="O1010">
        <v>-0.63</v>
      </c>
      <c r="P1010" t="s">
        <v>343</v>
      </c>
      <c r="Q1010">
        <v>4.9800000000000004</v>
      </c>
      <c r="R1010" t="s">
        <v>343</v>
      </c>
      <c r="S1010">
        <v>1</v>
      </c>
    </row>
    <row r="1011" spans="1:19" x14ac:dyDescent="0.25">
      <c r="A1011" t="s">
        <v>32</v>
      </c>
      <c r="B1011" t="s">
        <v>144</v>
      </c>
      <c r="C1011">
        <v>1720</v>
      </c>
      <c r="D1011" t="s">
        <v>341</v>
      </c>
      <c r="E1011">
        <v>29.23</v>
      </c>
      <c r="F1011">
        <v>12.07</v>
      </c>
      <c r="G1011">
        <v>12.83</v>
      </c>
      <c r="H1011">
        <v>24.9</v>
      </c>
      <c r="I1011" t="s">
        <v>343</v>
      </c>
      <c r="J1011">
        <v>148.96</v>
      </c>
      <c r="K1011">
        <v>-3.06</v>
      </c>
      <c r="L1011" t="s">
        <v>346</v>
      </c>
      <c r="M1011" s="1">
        <v>3.0599999999999999E-2</v>
      </c>
      <c r="N1011" t="s">
        <v>350</v>
      </c>
      <c r="O1011">
        <v>-0.28000000000000003</v>
      </c>
      <c r="P1011" t="s">
        <v>343</v>
      </c>
      <c r="Q1011">
        <v>4.37</v>
      </c>
      <c r="R1011" t="s">
        <v>343</v>
      </c>
      <c r="S1011">
        <v>1</v>
      </c>
    </row>
    <row r="1012" spans="1:19" x14ac:dyDescent="0.25">
      <c r="A1012" t="s">
        <v>32</v>
      </c>
      <c r="B1012" t="s">
        <v>145</v>
      </c>
      <c r="C1012">
        <v>1740</v>
      </c>
      <c r="D1012" t="s">
        <v>341</v>
      </c>
      <c r="E1012">
        <v>29.23</v>
      </c>
      <c r="F1012">
        <v>12.25</v>
      </c>
      <c r="G1012">
        <v>13.91</v>
      </c>
      <c r="H1012">
        <v>26.16</v>
      </c>
      <c r="I1012" t="s">
        <v>343</v>
      </c>
      <c r="J1012">
        <v>148.47</v>
      </c>
      <c r="K1012">
        <v>-2.4300000000000002</v>
      </c>
      <c r="L1012" t="s">
        <v>346</v>
      </c>
      <c r="M1012" s="1">
        <v>2.4299999999999999E-2</v>
      </c>
      <c r="N1012" t="s">
        <v>350</v>
      </c>
      <c r="O1012">
        <v>-1.02</v>
      </c>
      <c r="P1012" t="s">
        <v>343</v>
      </c>
      <c r="Q1012">
        <v>4.91</v>
      </c>
      <c r="R1012" t="s">
        <v>343</v>
      </c>
      <c r="S1012">
        <v>1</v>
      </c>
    </row>
    <row r="1013" spans="1:19" x14ac:dyDescent="0.25">
      <c r="A1013" t="s">
        <v>32</v>
      </c>
      <c r="B1013" t="s">
        <v>146</v>
      </c>
      <c r="C1013">
        <v>1760</v>
      </c>
      <c r="D1013" t="s">
        <v>341</v>
      </c>
      <c r="E1013">
        <v>29.23</v>
      </c>
      <c r="F1013">
        <v>13.63</v>
      </c>
      <c r="G1013">
        <v>20</v>
      </c>
      <c r="H1013">
        <v>33.630000000000003</v>
      </c>
      <c r="I1013" t="s">
        <v>344</v>
      </c>
      <c r="J1013">
        <v>147.91999999999999</v>
      </c>
      <c r="K1013">
        <v>-2.73</v>
      </c>
      <c r="L1013" t="s">
        <v>346</v>
      </c>
      <c r="M1013" s="1">
        <v>2.7300000000000001E-2</v>
      </c>
      <c r="N1013" t="s">
        <v>350</v>
      </c>
      <c r="O1013">
        <v>-1.89</v>
      </c>
      <c r="P1013" t="s">
        <v>343</v>
      </c>
      <c r="Q1013">
        <v>4.87</v>
      </c>
      <c r="R1013" t="s">
        <v>343</v>
      </c>
      <c r="S1013">
        <v>1</v>
      </c>
    </row>
    <row r="1014" spans="1:19" x14ac:dyDescent="0.25">
      <c r="A1014" t="s">
        <v>32</v>
      </c>
      <c r="B1014" t="s">
        <v>147</v>
      </c>
      <c r="C1014">
        <v>1780</v>
      </c>
      <c r="D1014" t="s">
        <v>341</v>
      </c>
      <c r="E1014">
        <v>29.23</v>
      </c>
      <c r="F1014">
        <v>17.41</v>
      </c>
      <c r="G1014">
        <v>20</v>
      </c>
      <c r="H1014">
        <v>37.409999999999997</v>
      </c>
      <c r="I1014" t="s">
        <v>344</v>
      </c>
      <c r="J1014">
        <v>147.30000000000001</v>
      </c>
      <c r="K1014">
        <v>-3.1</v>
      </c>
      <c r="L1014" t="s">
        <v>346</v>
      </c>
      <c r="M1014" s="1">
        <v>3.1E-2</v>
      </c>
      <c r="N1014" t="s">
        <v>350</v>
      </c>
      <c r="O1014">
        <v>-1.39</v>
      </c>
      <c r="P1014" t="s">
        <v>343</v>
      </c>
      <c r="Q1014">
        <v>2.0699999999999998</v>
      </c>
      <c r="R1014" t="s">
        <v>344</v>
      </c>
      <c r="S1014">
        <v>1</v>
      </c>
    </row>
    <row r="1015" spans="1:19" x14ac:dyDescent="0.25">
      <c r="A1015" t="s">
        <v>32</v>
      </c>
      <c r="B1015" t="s">
        <v>148</v>
      </c>
      <c r="C1015">
        <v>1800</v>
      </c>
      <c r="D1015" t="s">
        <v>341</v>
      </c>
      <c r="E1015">
        <v>29.23</v>
      </c>
      <c r="F1015">
        <v>20</v>
      </c>
      <c r="G1015">
        <v>20</v>
      </c>
      <c r="H1015">
        <v>40</v>
      </c>
      <c r="I1015" t="s">
        <v>344</v>
      </c>
      <c r="J1015">
        <v>146.6</v>
      </c>
      <c r="K1015">
        <v>-3.54</v>
      </c>
      <c r="L1015" t="s">
        <v>346</v>
      </c>
      <c r="M1015" s="1">
        <v>3.5400000000000001E-2</v>
      </c>
      <c r="N1015" t="s">
        <v>350</v>
      </c>
      <c r="O1015">
        <v>-4.97</v>
      </c>
      <c r="P1015" t="s">
        <v>343</v>
      </c>
      <c r="Q1015">
        <v>1.0900000000000001</v>
      </c>
      <c r="R1015" t="s">
        <v>343</v>
      </c>
      <c r="S1015">
        <v>1</v>
      </c>
    </row>
    <row r="1016" spans="1:19" x14ac:dyDescent="0.25">
      <c r="A1016" t="s">
        <v>32</v>
      </c>
      <c r="B1016" t="s">
        <v>149</v>
      </c>
      <c r="C1016">
        <v>1820</v>
      </c>
      <c r="D1016" t="s">
        <v>341</v>
      </c>
      <c r="E1016">
        <v>29.23</v>
      </c>
      <c r="F1016">
        <v>20</v>
      </c>
      <c r="G1016">
        <v>15.57</v>
      </c>
      <c r="H1016">
        <v>35.57</v>
      </c>
      <c r="I1016" t="s">
        <v>344</v>
      </c>
      <c r="J1016">
        <v>146.11000000000001</v>
      </c>
      <c r="K1016">
        <v>-2.42</v>
      </c>
      <c r="L1016" t="s">
        <v>346</v>
      </c>
      <c r="M1016" s="1">
        <v>2.4199999999999999E-2</v>
      </c>
      <c r="N1016" t="s">
        <v>350</v>
      </c>
      <c r="O1016">
        <v>-6.71</v>
      </c>
      <c r="P1016" t="s">
        <v>343</v>
      </c>
      <c r="Q1016">
        <v>5.01</v>
      </c>
      <c r="R1016" t="s">
        <v>343</v>
      </c>
      <c r="S1016">
        <v>1</v>
      </c>
    </row>
    <row r="1017" spans="1:19" x14ac:dyDescent="0.25">
      <c r="A1017" t="s">
        <v>32</v>
      </c>
      <c r="B1017" t="s">
        <v>150</v>
      </c>
      <c r="C1017">
        <v>1840</v>
      </c>
      <c r="D1017" t="s">
        <v>341</v>
      </c>
      <c r="E1017">
        <v>29.23</v>
      </c>
      <c r="F1017">
        <v>20</v>
      </c>
      <c r="G1017">
        <v>16.16</v>
      </c>
      <c r="H1017">
        <v>36.159999999999997</v>
      </c>
      <c r="I1017" t="s">
        <v>344</v>
      </c>
      <c r="J1017">
        <v>145.78</v>
      </c>
      <c r="K1017">
        <v>-1.66</v>
      </c>
      <c r="L1017" t="s">
        <v>346</v>
      </c>
      <c r="M1017" s="1">
        <v>1.66E-2</v>
      </c>
      <c r="N1017" t="s">
        <v>349</v>
      </c>
      <c r="O1017">
        <v>-6.82</v>
      </c>
      <c r="P1017" t="s">
        <v>343</v>
      </c>
      <c r="Q1017">
        <v>6.27</v>
      </c>
      <c r="R1017" t="s">
        <v>343</v>
      </c>
      <c r="S1017">
        <v>1</v>
      </c>
    </row>
    <row r="1018" spans="1:19" x14ac:dyDescent="0.25">
      <c r="A1018" t="s">
        <v>32</v>
      </c>
      <c r="B1018" t="s">
        <v>151</v>
      </c>
      <c r="C1018">
        <v>1860</v>
      </c>
      <c r="D1018" t="s">
        <v>341</v>
      </c>
      <c r="E1018">
        <v>29.23</v>
      </c>
      <c r="F1018">
        <v>20</v>
      </c>
      <c r="G1018">
        <v>16.22</v>
      </c>
      <c r="H1018">
        <v>36.22</v>
      </c>
      <c r="I1018" t="s">
        <v>344</v>
      </c>
      <c r="J1018">
        <v>145.69</v>
      </c>
      <c r="K1018">
        <v>-0.47</v>
      </c>
      <c r="L1018" t="s">
        <v>346</v>
      </c>
      <c r="M1018" s="1">
        <v>4.6999999999999993E-3</v>
      </c>
      <c r="N1018" t="s">
        <v>349</v>
      </c>
      <c r="O1018">
        <v>-4.33</v>
      </c>
      <c r="P1018" t="s">
        <v>343</v>
      </c>
      <c r="Q1018">
        <v>6.04</v>
      </c>
      <c r="R1018" t="s">
        <v>343</v>
      </c>
      <c r="S1018">
        <v>1</v>
      </c>
    </row>
    <row r="1019" spans="1:19" x14ac:dyDescent="0.25">
      <c r="A1019" t="s">
        <v>32</v>
      </c>
      <c r="B1019" t="s">
        <v>152</v>
      </c>
      <c r="C1019">
        <v>1880</v>
      </c>
      <c r="D1019" t="s">
        <v>341</v>
      </c>
      <c r="E1019">
        <v>29.23</v>
      </c>
      <c r="F1019">
        <v>15.98</v>
      </c>
      <c r="G1019">
        <v>14.75</v>
      </c>
      <c r="H1019">
        <v>30.73</v>
      </c>
      <c r="I1019" t="s">
        <v>344</v>
      </c>
      <c r="J1019">
        <v>145.46</v>
      </c>
      <c r="K1019">
        <v>-1.1100000000000001</v>
      </c>
      <c r="L1019" t="s">
        <v>346</v>
      </c>
      <c r="M1019" s="1">
        <v>1.11E-2</v>
      </c>
      <c r="N1019" t="s">
        <v>349</v>
      </c>
      <c r="O1019">
        <v>-1.87</v>
      </c>
      <c r="P1019" t="s">
        <v>343</v>
      </c>
      <c r="Q1019">
        <v>5.48</v>
      </c>
      <c r="R1019" t="s">
        <v>343</v>
      </c>
      <c r="S1019">
        <v>1</v>
      </c>
    </row>
    <row r="1020" spans="1:19" x14ac:dyDescent="0.25">
      <c r="A1020" t="s">
        <v>32</v>
      </c>
      <c r="B1020" t="s">
        <v>153</v>
      </c>
      <c r="C1020">
        <v>1900</v>
      </c>
      <c r="D1020" t="s">
        <v>341</v>
      </c>
      <c r="E1020">
        <v>29.23</v>
      </c>
      <c r="F1020">
        <v>15.98</v>
      </c>
      <c r="G1020">
        <v>16.22</v>
      </c>
      <c r="H1020">
        <v>32.200000000000003</v>
      </c>
      <c r="I1020" t="s">
        <v>344</v>
      </c>
      <c r="J1020">
        <v>145.21</v>
      </c>
      <c r="K1020">
        <v>-1.26</v>
      </c>
      <c r="L1020" t="s">
        <v>346</v>
      </c>
      <c r="M1020" s="1">
        <v>1.26E-2</v>
      </c>
      <c r="N1020" t="s">
        <v>349</v>
      </c>
      <c r="O1020">
        <v>-0.55000000000000004</v>
      </c>
      <c r="P1020" t="s">
        <v>343</v>
      </c>
      <c r="Q1020">
        <v>-1.38</v>
      </c>
      <c r="R1020" t="s">
        <v>343</v>
      </c>
      <c r="S1020">
        <v>1</v>
      </c>
    </row>
    <row r="1021" spans="1:19" x14ac:dyDescent="0.25">
      <c r="A1021" t="s">
        <v>32</v>
      </c>
      <c r="B1021" t="s">
        <v>154</v>
      </c>
      <c r="C1021">
        <v>1920</v>
      </c>
      <c r="D1021" t="s">
        <v>341</v>
      </c>
      <c r="E1021">
        <v>29.23</v>
      </c>
      <c r="F1021">
        <v>16.260000000000002</v>
      </c>
      <c r="G1021">
        <v>16.75</v>
      </c>
      <c r="H1021">
        <v>33.01</v>
      </c>
      <c r="I1021" t="s">
        <v>344</v>
      </c>
      <c r="J1021">
        <v>144.88</v>
      </c>
      <c r="K1021">
        <v>-1.65</v>
      </c>
      <c r="L1021" t="s">
        <v>346</v>
      </c>
      <c r="M1021" s="1">
        <v>1.6500000000000001E-2</v>
      </c>
      <c r="N1021" t="s">
        <v>349</v>
      </c>
      <c r="O1021">
        <v>-1.43</v>
      </c>
      <c r="P1021" t="s">
        <v>343</v>
      </c>
      <c r="Q1021">
        <v>1.48</v>
      </c>
      <c r="R1021" t="s">
        <v>343</v>
      </c>
      <c r="S1021">
        <v>1</v>
      </c>
    </row>
    <row r="1022" spans="1:19" x14ac:dyDescent="0.25">
      <c r="A1022" t="s">
        <v>32</v>
      </c>
      <c r="B1022" t="s">
        <v>155</v>
      </c>
      <c r="C1022">
        <v>1940</v>
      </c>
      <c r="D1022" t="s">
        <v>341</v>
      </c>
      <c r="E1022">
        <v>29.23</v>
      </c>
      <c r="F1022">
        <v>16.600000000000001</v>
      </c>
      <c r="G1022">
        <v>16.75</v>
      </c>
      <c r="H1022">
        <v>33.35</v>
      </c>
      <c r="I1022" t="s">
        <v>344</v>
      </c>
      <c r="J1022">
        <v>144.43</v>
      </c>
      <c r="K1022">
        <v>-2.27</v>
      </c>
      <c r="L1022" t="s">
        <v>346</v>
      </c>
      <c r="M1022" s="1">
        <v>2.2700000000000001E-2</v>
      </c>
      <c r="N1022" t="s">
        <v>350</v>
      </c>
      <c r="O1022">
        <v>-1.93</v>
      </c>
      <c r="P1022" t="s">
        <v>343</v>
      </c>
      <c r="Q1022">
        <v>3.99</v>
      </c>
      <c r="R1022" t="s">
        <v>344</v>
      </c>
      <c r="S1022">
        <v>1</v>
      </c>
    </row>
    <row r="1023" spans="1:19" x14ac:dyDescent="0.25">
      <c r="A1023" t="s">
        <v>32</v>
      </c>
      <c r="B1023" t="s">
        <v>156</v>
      </c>
      <c r="C1023">
        <v>1960</v>
      </c>
      <c r="D1023" t="s">
        <v>341</v>
      </c>
      <c r="E1023">
        <v>29.23</v>
      </c>
      <c r="F1023">
        <v>15.45</v>
      </c>
      <c r="G1023">
        <v>16.98</v>
      </c>
      <c r="H1023">
        <v>32.43</v>
      </c>
      <c r="I1023" t="s">
        <v>344</v>
      </c>
      <c r="J1023">
        <v>143.96</v>
      </c>
      <c r="K1023">
        <v>-2.3199999999999998</v>
      </c>
      <c r="L1023" t="s">
        <v>346</v>
      </c>
      <c r="M1023" s="1">
        <v>2.3199999999999998E-2</v>
      </c>
      <c r="N1023" t="s">
        <v>350</v>
      </c>
      <c r="O1023">
        <v>-1.53</v>
      </c>
      <c r="P1023" t="s">
        <v>343</v>
      </c>
      <c r="Q1023">
        <v>6.06</v>
      </c>
      <c r="R1023" t="s">
        <v>343</v>
      </c>
      <c r="S1023">
        <v>1</v>
      </c>
    </row>
    <row r="1024" spans="1:19" x14ac:dyDescent="0.25">
      <c r="A1024" t="s">
        <v>32</v>
      </c>
      <c r="B1024" t="s">
        <v>157</v>
      </c>
      <c r="C1024">
        <v>1980</v>
      </c>
      <c r="D1024" t="s">
        <v>341</v>
      </c>
      <c r="E1024">
        <v>29.23</v>
      </c>
      <c r="F1024">
        <v>15.89</v>
      </c>
      <c r="G1024">
        <v>16.59</v>
      </c>
      <c r="H1024">
        <v>32.479999999999997</v>
      </c>
      <c r="I1024" t="s">
        <v>344</v>
      </c>
      <c r="J1024">
        <v>143.5</v>
      </c>
      <c r="K1024">
        <v>-2.2999999999999998</v>
      </c>
      <c r="L1024" t="s">
        <v>346</v>
      </c>
      <c r="M1024" s="1">
        <v>2.3E-2</v>
      </c>
      <c r="N1024" t="s">
        <v>350</v>
      </c>
      <c r="O1024">
        <v>-4.62</v>
      </c>
      <c r="P1024" t="s">
        <v>343</v>
      </c>
      <c r="Q1024">
        <v>3.36</v>
      </c>
      <c r="R1024" t="s">
        <v>344</v>
      </c>
      <c r="S1024">
        <v>1</v>
      </c>
    </row>
    <row r="1025" spans="1:19" x14ac:dyDescent="0.25">
      <c r="A1025" t="s">
        <v>32</v>
      </c>
      <c r="B1025" t="s">
        <v>158</v>
      </c>
      <c r="C1025">
        <v>2000</v>
      </c>
      <c r="D1025" t="s">
        <v>341</v>
      </c>
      <c r="E1025">
        <v>29.23</v>
      </c>
      <c r="F1025">
        <v>17.2</v>
      </c>
      <c r="G1025">
        <v>15.55</v>
      </c>
      <c r="H1025">
        <v>32.75</v>
      </c>
      <c r="I1025" t="s">
        <v>344</v>
      </c>
      <c r="J1025">
        <v>144.13999999999999</v>
      </c>
      <c r="K1025">
        <v>3.19</v>
      </c>
      <c r="L1025" t="s">
        <v>346</v>
      </c>
      <c r="M1025" s="1">
        <v>3.1899999999999998E-2</v>
      </c>
      <c r="N1025" t="s">
        <v>350</v>
      </c>
      <c r="O1025">
        <v>-4.51</v>
      </c>
      <c r="P1025" t="s">
        <v>343</v>
      </c>
      <c r="Q1025">
        <v>3.86</v>
      </c>
      <c r="R1025" t="s">
        <v>344</v>
      </c>
      <c r="S1025">
        <v>1</v>
      </c>
    </row>
    <row r="1026" spans="1:19" x14ac:dyDescent="0.25">
      <c r="A1026" t="s">
        <v>32</v>
      </c>
      <c r="B1026" t="s">
        <v>232</v>
      </c>
      <c r="C1026">
        <v>2007.1279999999999</v>
      </c>
      <c r="D1026" t="s">
        <v>341</v>
      </c>
      <c r="E1026">
        <v>29.23</v>
      </c>
      <c r="F1026">
        <v>17.510000000000002</v>
      </c>
      <c r="G1026">
        <v>15.53</v>
      </c>
      <c r="H1026">
        <v>33.04</v>
      </c>
      <c r="I1026" t="s">
        <v>344</v>
      </c>
      <c r="J1026">
        <v>143.38</v>
      </c>
      <c r="K1026">
        <v>-10.73</v>
      </c>
      <c r="L1026" t="s">
        <v>348</v>
      </c>
      <c r="M1026" s="1">
        <v>0.10730000000000001</v>
      </c>
      <c r="N1026" t="s">
        <v>350</v>
      </c>
      <c r="O1026">
        <v>-4.3499999999999996</v>
      </c>
      <c r="P1026" t="s">
        <v>343</v>
      </c>
      <c r="Q1026">
        <v>3.41</v>
      </c>
      <c r="R1026" t="s">
        <v>344</v>
      </c>
      <c r="S1026">
        <v>0</v>
      </c>
    </row>
    <row r="1027" spans="1:19" x14ac:dyDescent="0.25">
      <c r="A1027" t="s">
        <v>33</v>
      </c>
      <c r="B1027" t="s">
        <v>56</v>
      </c>
      <c r="C1027">
        <v>0</v>
      </c>
      <c r="D1027" t="s">
        <v>341</v>
      </c>
      <c r="E1027">
        <v>29.23</v>
      </c>
      <c r="F1027">
        <v>16.75</v>
      </c>
      <c r="G1027">
        <v>15.99</v>
      </c>
      <c r="H1027">
        <v>32.74</v>
      </c>
      <c r="I1027" t="s">
        <v>344</v>
      </c>
      <c r="J1027">
        <v>17.18</v>
      </c>
      <c r="L1027" t="s">
        <v>345</v>
      </c>
      <c r="N1027" t="s">
        <v>345</v>
      </c>
      <c r="O1027">
        <v>7.57</v>
      </c>
      <c r="P1027" t="s">
        <v>343</v>
      </c>
      <c r="Q1027">
        <v>2.34</v>
      </c>
      <c r="R1027" t="s">
        <v>344</v>
      </c>
      <c r="S1027">
        <v>1</v>
      </c>
    </row>
    <row r="1028" spans="1:19" x14ac:dyDescent="0.25">
      <c r="A1028" t="s">
        <v>33</v>
      </c>
      <c r="B1028" t="s">
        <v>57</v>
      </c>
      <c r="C1028">
        <v>20</v>
      </c>
      <c r="D1028" t="s">
        <v>341</v>
      </c>
      <c r="E1028">
        <v>29.23</v>
      </c>
      <c r="F1028">
        <v>14.35</v>
      </c>
      <c r="G1028">
        <v>15.53</v>
      </c>
      <c r="H1028">
        <v>29.87</v>
      </c>
      <c r="I1028" t="s">
        <v>344</v>
      </c>
      <c r="J1028">
        <v>18.399999999999999</v>
      </c>
      <c r="K1028">
        <v>6.12</v>
      </c>
      <c r="L1028" t="s">
        <v>346</v>
      </c>
      <c r="M1028" s="1">
        <v>6.1199999999999997E-2</v>
      </c>
      <c r="N1028" t="s">
        <v>350</v>
      </c>
      <c r="O1028">
        <v>10.62</v>
      </c>
      <c r="P1028" t="s">
        <v>343</v>
      </c>
      <c r="Q1028">
        <v>-1.07</v>
      </c>
      <c r="R1028" t="s">
        <v>343</v>
      </c>
      <c r="S1028">
        <v>1</v>
      </c>
    </row>
    <row r="1029" spans="1:19" x14ac:dyDescent="0.25">
      <c r="A1029" t="s">
        <v>33</v>
      </c>
      <c r="B1029" t="s">
        <v>58</v>
      </c>
      <c r="C1029">
        <v>40</v>
      </c>
      <c r="D1029" t="s">
        <v>341</v>
      </c>
      <c r="E1029">
        <v>29.23</v>
      </c>
      <c r="F1029">
        <v>14.37</v>
      </c>
      <c r="G1029">
        <v>12.68</v>
      </c>
      <c r="H1029">
        <v>27.05</v>
      </c>
      <c r="I1029" t="s">
        <v>343</v>
      </c>
      <c r="J1029">
        <v>18.25</v>
      </c>
      <c r="K1029">
        <v>-0.77</v>
      </c>
      <c r="L1029" t="s">
        <v>346</v>
      </c>
      <c r="M1029" s="1">
        <v>7.7000000000000002E-3</v>
      </c>
      <c r="N1029" t="s">
        <v>349</v>
      </c>
      <c r="O1029">
        <v>3.42</v>
      </c>
      <c r="P1029" t="s">
        <v>344</v>
      </c>
      <c r="Q1029">
        <v>0.77</v>
      </c>
      <c r="R1029" t="s">
        <v>343</v>
      </c>
      <c r="S1029">
        <v>1</v>
      </c>
    </row>
    <row r="1030" spans="1:19" x14ac:dyDescent="0.25">
      <c r="A1030" t="s">
        <v>33</v>
      </c>
      <c r="B1030" t="s">
        <v>59</v>
      </c>
      <c r="C1030">
        <v>60</v>
      </c>
      <c r="D1030" t="s">
        <v>341</v>
      </c>
      <c r="E1030">
        <v>29.23</v>
      </c>
      <c r="F1030">
        <v>13.33</v>
      </c>
      <c r="G1030">
        <v>12.2</v>
      </c>
      <c r="H1030">
        <v>25.54</v>
      </c>
      <c r="I1030" t="s">
        <v>343</v>
      </c>
      <c r="J1030">
        <v>18.93</v>
      </c>
      <c r="K1030">
        <v>3.41</v>
      </c>
      <c r="L1030" t="s">
        <v>346</v>
      </c>
      <c r="M1030" s="1">
        <v>3.4099999999999998E-2</v>
      </c>
      <c r="N1030" t="s">
        <v>350</v>
      </c>
      <c r="O1030">
        <v>2.1</v>
      </c>
      <c r="P1030" t="s">
        <v>344</v>
      </c>
      <c r="Q1030">
        <v>-0.08</v>
      </c>
      <c r="R1030" t="s">
        <v>343</v>
      </c>
      <c r="S1030">
        <v>1</v>
      </c>
    </row>
    <row r="1031" spans="1:19" x14ac:dyDescent="0.25">
      <c r="A1031" t="s">
        <v>33</v>
      </c>
      <c r="B1031" t="s">
        <v>60</v>
      </c>
      <c r="C1031">
        <v>80</v>
      </c>
      <c r="D1031" t="s">
        <v>341</v>
      </c>
      <c r="E1031">
        <v>29.23</v>
      </c>
      <c r="F1031">
        <v>15.5</v>
      </c>
      <c r="G1031">
        <v>10.92</v>
      </c>
      <c r="H1031">
        <v>26.42</v>
      </c>
      <c r="I1031" t="s">
        <v>343</v>
      </c>
      <c r="J1031">
        <v>20.09</v>
      </c>
      <c r="K1031">
        <v>5.8</v>
      </c>
      <c r="L1031" t="s">
        <v>346</v>
      </c>
      <c r="M1031" s="1">
        <v>5.8000000000000003E-2</v>
      </c>
      <c r="N1031" t="s">
        <v>350</v>
      </c>
      <c r="O1031">
        <v>2.86</v>
      </c>
      <c r="P1031" t="s">
        <v>344</v>
      </c>
      <c r="Q1031">
        <v>0.98</v>
      </c>
      <c r="R1031" t="s">
        <v>343</v>
      </c>
      <c r="S1031">
        <v>1</v>
      </c>
    </row>
    <row r="1032" spans="1:19" x14ac:dyDescent="0.25">
      <c r="A1032" t="s">
        <v>33</v>
      </c>
      <c r="B1032" t="s">
        <v>61</v>
      </c>
      <c r="C1032">
        <v>100</v>
      </c>
      <c r="D1032" t="s">
        <v>341</v>
      </c>
      <c r="E1032">
        <v>29.23</v>
      </c>
      <c r="F1032">
        <v>18.010000000000002</v>
      </c>
      <c r="G1032">
        <v>10.92</v>
      </c>
      <c r="H1032">
        <v>28.93</v>
      </c>
      <c r="I1032" t="s">
        <v>343</v>
      </c>
      <c r="J1032">
        <v>21.5</v>
      </c>
      <c r="K1032">
        <v>7.03</v>
      </c>
      <c r="L1032" t="s">
        <v>346</v>
      </c>
      <c r="M1032" s="1">
        <v>7.0300000000000001E-2</v>
      </c>
      <c r="N1032" t="s">
        <v>350</v>
      </c>
      <c r="O1032">
        <v>2</v>
      </c>
      <c r="P1032" t="s">
        <v>344</v>
      </c>
      <c r="Q1032">
        <v>0.56000000000000005</v>
      </c>
      <c r="R1032" t="s">
        <v>343</v>
      </c>
      <c r="S1032">
        <v>1</v>
      </c>
    </row>
    <row r="1033" spans="1:19" x14ac:dyDescent="0.25">
      <c r="A1033" t="s">
        <v>33</v>
      </c>
      <c r="B1033" t="s">
        <v>62</v>
      </c>
      <c r="C1033">
        <v>120</v>
      </c>
      <c r="D1033" t="s">
        <v>341</v>
      </c>
      <c r="E1033">
        <v>29.23</v>
      </c>
      <c r="F1033">
        <v>17.510000000000002</v>
      </c>
      <c r="G1033">
        <v>10.92</v>
      </c>
      <c r="H1033">
        <v>28.43</v>
      </c>
      <c r="I1033" t="s">
        <v>343</v>
      </c>
      <c r="J1033">
        <v>22.9</v>
      </c>
      <c r="K1033">
        <v>7.01</v>
      </c>
      <c r="L1033" t="s">
        <v>346</v>
      </c>
      <c r="M1033" s="1">
        <v>7.0099999999999996E-2</v>
      </c>
      <c r="N1033" t="s">
        <v>350</v>
      </c>
      <c r="O1033">
        <v>1.47</v>
      </c>
      <c r="P1033" t="s">
        <v>343</v>
      </c>
      <c r="Q1033">
        <v>-2.06</v>
      </c>
      <c r="R1033" t="s">
        <v>344</v>
      </c>
      <c r="S1033">
        <v>1</v>
      </c>
    </row>
    <row r="1034" spans="1:19" x14ac:dyDescent="0.25">
      <c r="A1034" t="s">
        <v>33</v>
      </c>
      <c r="B1034" t="s">
        <v>63</v>
      </c>
      <c r="C1034">
        <v>140</v>
      </c>
      <c r="D1034" t="s">
        <v>341</v>
      </c>
      <c r="E1034">
        <v>29.23</v>
      </c>
      <c r="F1034">
        <v>18.010000000000002</v>
      </c>
      <c r="G1034">
        <v>17.5</v>
      </c>
      <c r="H1034">
        <v>35.51</v>
      </c>
      <c r="I1034" t="s">
        <v>344</v>
      </c>
      <c r="J1034">
        <v>24.48</v>
      </c>
      <c r="K1034">
        <v>7.9</v>
      </c>
      <c r="L1034" t="s">
        <v>346</v>
      </c>
      <c r="M1034" s="1">
        <v>7.9000000000000001E-2</v>
      </c>
      <c r="N1034" t="s">
        <v>350</v>
      </c>
      <c r="O1034">
        <v>2.63</v>
      </c>
      <c r="P1034" t="s">
        <v>344</v>
      </c>
      <c r="Q1034">
        <v>-83.32</v>
      </c>
      <c r="R1034" t="s">
        <v>343</v>
      </c>
      <c r="S1034">
        <v>1</v>
      </c>
    </row>
    <row r="1035" spans="1:19" x14ac:dyDescent="0.25">
      <c r="A1035" t="s">
        <v>33</v>
      </c>
      <c r="B1035" t="s">
        <v>64</v>
      </c>
      <c r="C1035">
        <v>160</v>
      </c>
      <c r="D1035" t="s">
        <v>341</v>
      </c>
      <c r="E1035">
        <v>29.23</v>
      </c>
      <c r="F1035">
        <v>18.18</v>
      </c>
      <c r="G1035">
        <v>17.25</v>
      </c>
      <c r="H1035">
        <v>35.43</v>
      </c>
      <c r="I1035" t="s">
        <v>344</v>
      </c>
      <c r="J1035">
        <v>26.2</v>
      </c>
      <c r="K1035">
        <v>8.59</v>
      </c>
      <c r="L1035" t="s">
        <v>347</v>
      </c>
      <c r="M1035" s="1">
        <v>8.5900000000000004E-2</v>
      </c>
      <c r="N1035" t="s">
        <v>350</v>
      </c>
      <c r="O1035">
        <v>2.6</v>
      </c>
      <c r="P1035" t="s">
        <v>344</v>
      </c>
      <c r="Q1035">
        <v>-82.53</v>
      </c>
      <c r="R1035" t="s">
        <v>343</v>
      </c>
      <c r="S1035">
        <v>1</v>
      </c>
    </row>
    <row r="1036" spans="1:19" x14ac:dyDescent="0.25">
      <c r="A1036" t="s">
        <v>33</v>
      </c>
      <c r="B1036" t="s">
        <v>65</v>
      </c>
      <c r="C1036">
        <v>180</v>
      </c>
      <c r="D1036" t="s">
        <v>341</v>
      </c>
      <c r="E1036">
        <v>29.23</v>
      </c>
      <c r="F1036">
        <v>17.809999999999999</v>
      </c>
      <c r="G1036">
        <v>16.489999999999998</v>
      </c>
      <c r="H1036">
        <v>34.299999999999997</v>
      </c>
      <c r="I1036" t="s">
        <v>344</v>
      </c>
      <c r="J1036">
        <v>28.03</v>
      </c>
      <c r="K1036">
        <v>9.17</v>
      </c>
      <c r="L1036" t="s">
        <v>348</v>
      </c>
      <c r="M1036" s="1">
        <v>9.1700000000000004E-2</v>
      </c>
      <c r="N1036" t="s">
        <v>350</v>
      </c>
      <c r="O1036">
        <v>3.08</v>
      </c>
      <c r="P1036" t="s">
        <v>344</v>
      </c>
      <c r="Q1036">
        <v>2.86</v>
      </c>
      <c r="R1036" t="s">
        <v>344</v>
      </c>
      <c r="S1036">
        <v>1</v>
      </c>
    </row>
    <row r="1037" spans="1:19" x14ac:dyDescent="0.25">
      <c r="A1037" t="s">
        <v>33</v>
      </c>
      <c r="B1037" t="s">
        <v>66</v>
      </c>
      <c r="C1037">
        <v>200</v>
      </c>
      <c r="D1037" t="s">
        <v>341</v>
      </c>
      <c r="E1037">
        <v>29.23</v>
      </c>
      <c r="F1037">
        <v>17.809999999999999</v>
      </c>
      <c r="G1037">
        <v>17.93</v>
      </c>
      <c r="H1037">
        <v>35.729999999999997</v>
      </c>
      <c r="I1037" t="s">
        <v>344</v>
      </c>
      <c r="J1037">
        <v>29.77</v>
      </c>
      <c r="K1037">
        <v>8.6999999999999993</v>
      </c>
      <c r="L1037" t="s">
        <v>347</v>
      </c>
      <c r="M1037" s="1">
        <v>8.6999999999999994E-2</v>
      </c>
      <c r="N1037" t="s">
        <v>350</v>
      </c>
      <c r="O1037">
        <v>3.52</v>
      </c>
      <c r="P1037" t="s">
        <v>344</v>
      </c>
      <c r="Q1037">
        <v>36.64</v>
      </c>
      <c r="R1037" t="s">
        <v>343</v>
      </c>
      <c r="S1037">
        <v>1</v>
      </c>
    </row>
    <row r="1038" spans="1:19" x14ac:dyDescent="0.25">
      <c r="A1038" t="s">
        <v>33</v>
      </c>
      <c r="B1038" t="s">
        <v>67</v>
      </c>
      <c r="C1038">
        <v>220</v>
      </c>
      <c r="D1038" t="s">
        <v>341</v>
      </c>
      <c r="E1038">
        <v>29.23</v>
      </c>
      <c r="F1038">
        <v>16.649999999999999</v>
      </c>
      <c r="G1038">
        <v>14.16</v>
      </c>
      <c r="H1038">
        <v>30.81</v>
      </c>
      <c r="I1038" t="s">
        <v>344</v>
      </c>
      <c r="J1038">
        <v>31.35</v>
      </c>
      <c r="K1038">
        <v>7.92</v>
      </c>
      <c r="L1038" t="s">
        <v>346</v>
      </c>
      <c r="M1038" s="1">
        <v>7.9199999999999993E-2</v>
      </c>
      <c r="N1038" t="s">
        <v>350</v>
      </c>
      <c r="O1038">
        <v>2.98</v>
      </c>
      <c r="P1038" t="s">
        <v>344</v>
      </c>
      <c r="Q1038">
        <v>-14.05</v>
      </c>
      <c r="R1038" t="s">
        <v>343</v>
      </c>
      <c r="S1038">
        <v>1</v>
      </c>
    </row>
    <row r="1039" spans="1:19" x14ac:dyDescent="0.25">
      <c r="A1039" t="s">
        <v>33</v>
      </c>
      <c r="B1039" t="s">
        <v>68</v>
      </c>
      <c r="C1039">
        <v>240</v>
      </c>
      <c r="D1039" t="s">
        <v>341</v>
      </c>
      <c r="E1039">
        <v>29.23</v>
      </c>
      <c r="F1039">
        <v>15.32</v>
      </c>
      <c r="G1039">
        <v>14.16</v>
      </c>
      <c r="H1039">
        <v>29.48</v>
      </c>
      <c r="I1039" t="s">
        <v>344</v>
      </c>
      <c r="J1039">
        <v>32.76</v>
      </c>
      <c r="K1039">
        <v>7.03</v>
      </c>
      <c r="L1039" t="s">
        <v>346</v>
      </c>
      <c r="M1039" s="1">
        <v>7.0300000000000001E-2</v>
      </c>
      <c r="N1039" t="s">
        <v>350</v>
      </c>
      <c r="O1039">
        <v>1.48</v>
      </c>
      <c r="P1039" t="s">
        <v>343</v>
      </c>
      <c r="Q1039">
        <v>-6.82</v>
      </c>
      <c r="R1039" t="s">
        <v>343</v>
      </c>
      <c r="S1039">
        <v>1</v>
      </c>
    </row>
    <row r="1040" spans="1:19" x14ac:dyDescent="0.25">
      <c r="A1040" t="s">
        <v>33</v>
      </c>
      <c r="B1040" t="s">
        <v>69</v>
      </c>
      <c r="C1040">
        <v>260</v>
      </c>
      <c r="D1040" t="s">
        <v>341</v>
      </c>
      <c r="E1040">
        <v>29.23</v>
      </c>
      <c r="F1040">
        <v>15.17</v>
      </c>
      <c r="G1040">
        <v>14.16</v>
      </c>
      <c r="H1040">
        <v>29.33</v>
      </c>
      <c r="I1040" t="s">
        <v>344</v>
      </c>
      <c r="J1040">
        <v>34.51</v>
      </c>
      <c r="K1040">
        <v>8.77</v>
      </c>
      <c r="L1040" t="s">
        <v>347</v>
      </c>
      <c r="M1040" s="1">
        <v>8.77E-2</v>
      </c>
      <c r="N1040" t="s">
        <v>350</v>
      </c>
      <c r="O1040">
        <v>3.04</v>
      </c>
      <c r="P1040" t="s">
        <v>344</v>
      </c>
      <c r="Q1040">
        <v>-0.87</v>
      </c>
      <c r="R1040" t="s">
        <v>343</v>
      </c>
      <c r="S1040">
        <v>1</v>
      </c>
    </row>
    <row r="1041" spans="1:19" x14ac:dyDescent="0.25">
      <c r="A1041" t="s">
        <v>33</v>
      </c>
      <c r="B1041" t="s">
        <v>70</v>
      </c>
      <c r="C1041">
        <v>280</v>
      </c>
      <c r="D1041" t="s">
        <v>341</v>
      </c>
      <c r="E1041">
        <v>29.23</v>
      </c>
      <c r="F1041">
        <v>16.36</v>
      </c>
      <c r="G1041">
        <v>20</v>
      </c>
      <c r="H1041">
        <v>36.36</v>
      </c>
      <c r="I1041" t="s">
        <v>344</v>
      </c>
      <c r="J1041">
        <v>37.47</v>
      </c>
      <c r="K1041">
        <v>14.79</v>
      </c>
      <c r="L1041" t="s">
        <v>348</v>
      </c>
      <c r="M1041" s="1">
        <v>0.1479</v>
      </c>
      <c r="N1041" t="s">
        <v>350</v>
      </c>
      <c r="O1041">
        <v>1.42</v>
      </c>
      <c r="P1041" t="s">
        <v>343</v>
      </c>
      <c r="Q1041">
        <v>-2.76</v>
      </c>
      <c r="R1041" t="s">
        <v>344</v>
      </c>
      <c r="S1041">
        <v>1</v>
      </c>
    </row>
    <row r="1042" spans="1:19" x14ac:dyDescent="0.25">
      <c r="A1042" t="s">
        <v>33</v>
      </c>
      <c r="B1042" t="s">
        <v>71</v>
      </c>
      <c r="C1042">
        <v>300</v>
      </c>
      <c r="D1042" t="s">
        <v>341</v>
      </c>
      <c r="E1042">
        <v>29.23</v>
      </c>
      <c r="F1042">
        <v>20</v>
      </c>
      <c r="G1042">
        <v>20</v>
      </c>
      <c r="H1042">
        <v>40</v>
      </c>
      <c r="I1042" t="s">
        <v>344</v>
      </c>
      <c r="J1042">
        <v>38.950000000000003</v>
      </c>
      <c r="K1042">
        <v>7.4</v>
      </c>
      <c r="L1042" t="s">
        <v>346</v>
      </c>
      <c r="M1042" s="1">
        <v>7.400000000000001E-2</v>
      </c>
      <c r="N1042" t="s">
        <v>350</v>
      </c>
      <c r="O1042">
        <v>-2.63</v>
      </c>
      <c r="P1042" t="s">
        <v>344</v>
      </c>
      <c r="Q1042">
        <v>-1.83</v>
      </c>
      <c r="R1042" t="s">
        <v>343</v>
      </c>
      <c r="S1042">
        <v>1</v>
      </c>
    </row>
    <row r="1043" spans="1:19" x14ac:dyDescent="0.25">
      <c r="A1043" t="s">
        <v>33</v>
      </c>
      <c r="B1043" t="s">
        <v>72</v>
      </c>
      <c r="C1043">
        <v>320</v>
      </c>
      <c r="D1043" t="s">
        <v>341</v>
      </c>
      <c r="E1043">
        <v>29.23</v>
      </c>
      <c r="F1043">
        <v>20</v>
      </c>
      <c r="G1043">
        <v>20</v>
      </c>
      <c r="H1043">
        <v>40</v>
      </c>
      <c r="I1043" t="s">
        <v>344</v>
      </c>
      <c r="J1043">
        <v>39.729999999999997</v>
      </c>
      <c r="K1043">
        <v>3.91</v>
      </c>
      <c r="L1043" t="s">
        <v>346</v>
      </c>
      <c r="M1043" s="1">
        <v>3.9100000000000003E-2</v>
      </c>
      <c r="N1043" t="s">
        <v>350</v>
      </c>
      <c r="O1043">
        <v>-3.62</v>
      </c>
      <c r="P1043" t="s">
        <v>344</v>
      </c>
      <c r="Q1043">
        <v>2.16</v>
      </c>
      <c r="R1043" t="s">
        <v>344</v>
      </c>
      <c r="S1043">
        <v>1</v>
      </c>
    </row>
    <row r="1044" spans="1:19" x14ac:dyDescent="0.25">
      <c r="A1044" t="s">
        <v>33</v>
      </c>
      <c r="B1044" t="s">
        <v>73</v>
      </c>
      <c r="C1044">
        <v>340</v>
      </c>
      <c r="D1044" t="s">
        <v>341</v>
      </c>
      <c r="E1044">
        <v>29.23</v>
      </c>
      <c r="F1044">
        <v>20</v>
      </c>
      <c r="G1044">
        <v>20</v>
      </c>
      <c r="H1044">
        <v>40</v>
      </c>
      <c r="I1044" t="s">
        <v>344</v>
      </c>
      <c r="J1044">
        <v>40.53</v>
      </c>
      <c r="K1044">
        <v>3.99</v>
      </c>
      <c r="L1044" t="s">
        <v>346</v>
      </c>
      <c r="M1044" s="1">
        <v>3.9899999999999998E-2</v>
      </c>
      <c r="N1044" t="s">
        <v>350</v>
      </c>
      <c r="O1044">
        <v>-1.35</v>
      </c>
      <c r="P1044" t="s">
        <v>343</v>
      </c>
      <c r="Q1044">
        <v>5.79</v>
      </c>
      <c r="R1044" t="s">
        <v>343</v>
      </c>
      <c r="S1044">
        <v>1</v>
      </c>
    </row>
    <row r="1045" spans="1:19" x14ac:dyDescent="0.25">
      <c r="A1045" t="s">
        <v>33</v>
      </c>
      <c r="B1045" t="s">
        <v>74</v>
      </c>
      <c r="C1045">
        <v>360</v>
      </c>
      <c r="D1045" t="s">
        <v>341</v>
      </c>
      <c r="E1045">
        <v>29.23</v>
      </c>
      <c r="F1045">
        <v>20</v>
      </c>
      <c r="G1045">
        <v>20</v>
      </c>
      <c r="H1045">
        <v>40</v>
      </c>
      <c r="I1045" t="s">
        <v>344</v>
      </c>
      <c r="J1045">
        <v>40.85</v>
      </c>
      <c r="K1045">
        <v>1.59</v>
      </c>
      <c r="L1045" t="s">
        <v>346</v>
      </c>
      <c r="M1045" s="1">
        <v>1.5900000000000001E-2</v>
      </c>
      <c r="N1045" t="s">
        <v>349</v>
      </c>
      <c r="O1045">
        <v>0.87</v>
      </c>
      <c r="P1045" t="s">
        <v>343</v>
      </c>
      <c r="Q1045">
        <v>7.08</v>
      </c>
      <c r="R1045" t="s">
        <v>343</v>
      </c>
      <c r="S1045">
        <v>1</v>
      </c>
    </row>
    <row r="1046" spans="1:19" x14ac:dyDescent="0.25">
      <c r="A1046" t="s">
        <v>33</v>
      </c>
      <c r="B1046" t="s">
        <v>75</v>
      </c>
      <c r="C1046">
        <v>380</v>
      </c>
      <c r="D1046" t="s">
        <v>341</v>
      </c>
      <c r="E1046">
        <v>29.23</v>
      </c>
      <c r="F1046">
        <v>14.11</v>
      </c>
      <c r="G1046">
        <v>17.3</v>
      </c>
      <c r="H1046">
        <v>31.41</v>
      </c>
      <c r="I1046" t="s">
        <v>344</v>
      </c>
      <c r="J1046">
        <v>41.54</v>
      </c>
      <c r="K1046">
        <v>3.45</v>
      </c>
      <c r="L1046" t="s">
        <v>346</v>
      </c>
      <c r="M1046" s="1">
        <v>3.4500000000000003E-2</v>
      </c>
      <c r="N1046" t="s">
        <v>350</v>
      </c>
      <c r="O1046">
        <v>2.44</v>
      </c>
      <c r="P1046" t="s">
        <v>344</v>
      </c>
      <c r="Q1046">
        <v>4.5999999999999996</v>
      </c>
      <c r="R1046" t="s">
        <v>343</v>
      </c>
      <c r="S1046">
        <v>1</v>
      </c>
    </row>
    <row r="1047" spans="1:19" x14ac:dyDescent="0.25">
      <c r="A1047" t="s">
        <v>33</v>
      </c>
      <c r="B1047" t="s">
        <v>76</v>
      </c>
      <c r="C1047">
        <v>400</v>
      </c>
      <c r="D1047" t="s">
        <v>341</v>
      </c>
      <c r="E1047">
        <v>29.23</v>
      </c>
      <c r="F1047">
        <v>12.98</v>
      </c>
      <c r="G1047">
        <v>16.86</v>
      </c>
      <c r="H1047">
        <v>29.84</v>
      </c>
      <c r="I1047" t="s">
        <v>344</v>
      </c>
      <c r="J1047">
        <v>42.64</v>
      </c>
      <c r="K1047">
        <v>5.51</v>
      </c>
      <c r="L1047" t="s">
        <v>346</v>
      </c>
      <c r="M1047" s="1">
        <v>5.5100000000000003E-2</v>
      </c>
      <c r="N1047" t="s">
        <v>350</v>
      </c>
      <c r="O1047">
        <v>0.68</v>
      </c>
      <c r="P1047" t="s">
        <v>343</v>
      </c>
      <c r="Q1047">
        <v>4.18</v>
      </c>
      <c r="R1047" t="s">
        <v>343</v>
      </c>
      <c r="S1047">
        <v>1</v>
      </c>
    </row>
    <row r="1048" spans="1:19" x14ac:dyDescent="0.25">
      <c r="A1048" t="s">
        <v>33</v>
      </c>
      <c r="B1048" t="s">
        <v>77</v>
      </c>
      <c r="C1048">
        <v>420</v>
      </c>
      <c r="D1048" t="s">
        <v>341</v>
      </c>
      <c r="E1048">
        <v>29.23</v>
      </c>
      <c r="F1048">
        <v>13.05</v>
      </c>
      <c r="G1048">
        <v>16.12</v>
      </c>
      <c r="H1048">
        <v>29.16</v>
      </c>
      <c r="I1048" t="s">
        <v>343</v>
      </c>
      <c r="J1048">
        <v>44.06</v>
      </c>
      <c r="K1048">
        <v>7.11</v>
      </c>
      <c r="L1048" t="s">
        <v>346</v>
      </c>
      <c r="M1048" s="1">
        <v>7.1099999999999997E-2</v>
      </c>
      <c r="N1048" t="s">
        <v>350</v>
      </c>
      <c r="O1048">
        <v>0.3</v>
      </c>
      <c r="P1048" t="s">
        <v>343</v>
      </c>
      <c r="Q1048">
        <v>4.03</v>
      </c>
      <c r="R1048" t="s">
        <v>343</v>
      </c>
      <c r="S1048">
        <v>1</v>
      </c>
    </row>
    <row r="1049" spans="1:19" x14ac:dyDescent="0.25">
      <c r="A1049" t="s">
        <v>33</v>
      </c>
      <c r="B1049" t="s">
        <v>78</v>
      </c>
      <c r="C1049">
        <v>440</v>
      </c>
      <c r="D1049" t="s">
        <v>341</v>
      </c>
      <c r="E1049">
        <v>29.23</v>
      </c>
      <c r="F1049">
        <v>12.12</v>
      </c>
      <c r="G1049">
        <v>15.82</v>
      </c>
      <c r="H1049">
        <v>27.94</v>
      </c>
      <c r="I1049" t="s">
        <v>343</v>
      </c>
      <c r="J1049">
        <v>45.62</v>
      </c>
      <c r="K1049">
        <v>7.81</v>
      </c>
      <c r="L1049" t="s">
        <v>346</v>
      </c>
      <c r="M1049" s="1">
        <v>7.8100000000000003E-2</v>
      </c>
      <c r="N1049" t="s">
        <v>350</v>
      </c>
      <c r="O1049">
        <v>0.56000000000000005</v>
      </c>
      <c r="P1049" t="s">
        <v>343</v>
      </c>
      <c r="Q1049">
        <v>3.63</v>
      </c>
      <c r="R1049" t="s">
        <v>344</v>
      </c>
      <c r="S1049">
        <v>1</v>
      </c>
    </row>
    <row r="1050" spans="1:19" x14ac:dyDescent="0.25">
      <c r="A1050" t="s">
        <v>33</v>
      </c>
      <c r="B1050" t="s">
        <v>79</v>
      </c>
      <c r="C1050">
        <v>460</v>
      </c>
      <c r="D1050" t="s">
        <v>341</v>
      </c>
      <c r="E1050">
        <v>29.23</v>
      </c>
      <c r="F1050">
        <v>12.12</v>
      </c>
      <c r="G1050">
        <v>15.3</v>
      </c>
      <c r="H1050">
        <v>27.42</v>
      </c>
      <c r="I1050" t="s">
        <v>343</v>
      </c>
      <c r="J1050">
        <v>47.16</v>
      </c>
      <c r="K1050">
        <v>7.7</v>
      </c>
      <c r="L1050" t="s">
        <v>346</v>
      </c>
      <c r="M1050" s="1">
        <v>7.6999999999999999E-2</v>
      </c>
      <c r="N1050" t="s">
        <v>350</v>
      </c>
      <c r="O1050">
        <v>0.95</v>
      </c>
      <c r="P1050" t="s">
        <v>343</v>
      </c>
      <c r="Q1050">
        <v>4.76</v>
      </c>
      <c r="R1050" t="s">
        <v>343</v>
      </c>
      <c r="S1050">
        <v>1</v>
      </c>
    </row>
    <row r="1051" spans="1:19" x14ac:dyDescent="0.25">
      <c r="A1051" t="s">
        <v>33</v>
      </c>
      <c r="B1051" t="s">
        <v>80</v>
      </c>
      <c r="C1051">
        <v>480</v>
      </c>
      <c r="D1051" t="s">
        <v>341</v>
      </c>
      <c r="E1051">
        <v>29.23</v>
      </c>
      <c r="F1051">
        <v>11.73</v>
      </c>
      <c r="G1051">
        <v>15.33</v>
      </c>
      <c r="H1051">
        <v>27.06</v>
      </c>
      <c r="I1051" t="s">
        <v>343</v>
      </c>
      <c r="J1051">
        <v>48.6</v>
      </c>
      <c r="K1051">
        <v>7.16</v>
      </c>
      <c r="L1051" t="s">
        <v>346</v>
      </c>
      <c r="M1051" s="1">
        <v>7.1599999999999997E-2</v>
      </c>
      <c r="N1051" t="s">
        <v>350</v>
      </c>
      <c r="O1051">
        <v>2.9</v>
      </c>
      <c r="P1051" t="s">
        <v>344</v>
      </c>
      <c r="Q1051">
        <v>5.14</v>
      </c>
      <c r="R1051" t="s">
        <v>343</v>
      </c>
      <c r="S1051">
        <v>1</v>
      </c>
    </row>
    <row r="1052" spans="1:19" x14ac:dyDescent="0.25">
      <c r="A1052" t="s">
        <v>33</v>
      </c>
      <c r="B1052" t="s">
        <v>81</v>
      </c>
      <c r="C1052">
        <v>500</v>
      </c>
      <c r="D1052" t="s">
        <v>341</v>
      </c>
      <c r="E1052">
        <v>29.23</v>
      </c>
      <c r="F1052">
        <v>11.05</v>
      </c>
      <c r="G1052">
        <v>16.95</v>
      </c>
      <c r="H1052">
        <v>28</v>
      </c>
      <c r="I1052" t="s">
        <v>343</v>
      </c>
      <c r="J1052">
        <v>49.79</v>
      </c>
      <c r="K1052">
        <v>6</v>
      </c>
      <c r="L1052" t="s">
        <v>346</v>
      </c>
      <c r="M1052" s="1">
        <v>0.06</v>
      </c>
      <c r="N1052" t="s">
        <v>350</v>
      </c>
      <c r="O1052">
        <v>1.07</v>
      </c>
      <c r="P1052" t="s">
        <v>343</v>
      </c>
      <c r="Q1052">
        <v>4.32</v>
      </c>
      <c r="R1052" t="s">
        <v>343</v>
      </c>
      <c r="S1052">
        <v>1</v>
      </c>
    </row>
    <row r="1053" spans="1:19" x14ac:dyDescent="0.25">
      <c r="A1053" t="s">
        <v>33</v>
      </c>
      <c r="B1053" t="s">
        <v>82</v>
      </c>
      <c r="C1053">
        <v>520</v>
      </c>
      <c r="D1053" t="s">
        <v>341</v>
      </c>
      <c r="E1053">
        <v>29.23</v>
      </c>
      <c r="F1053">
        <v>11.05</v>
      </c>
      <c r="G1053">
        <v>20</v>
      </c>
      <c r="H1053">
        <v>31.05</v>
      </c>
      <c r="I1053" t="s">
        <v>344</v>
      </c>
      <c r="J1053">
        <v>51.13</v>
      </c>
      <c r="K1053">
        <v>6.69</v>
      </c>
      <c r="L1053" t="s">
        <v>346</v>
      </c>
      <c r="M1053" s="1">
        <v>6.6900000000000001E-2</v>
      </c>
      <c r="N1053" t="s">
        <v>350</v>
      </c>
      <c r="O1053">
        <v>1.6</v>
      </c>
      <c r="P1053" t="s">
        <v>343</v>
      </c>
      <c r="Q1053">
        <v>3.24</v>
      </c>
      <c r="R1053" t="s">
        <v>344</v>
      </c>
      <c r="S1053">
        <v>1</v>
      </c>
    </row>
    <row r="1054" spans="1:19" x14ac:dyDescent="0.25">
      <c r="A1054" t="s">
        <v>33</v>
      </c>
      <c r="B1054" t="s">
        <v>83</v>
      </c>
      <c r="C1054">
        <v>540</v>
      </c>
      <c r="D1054" t="s">
        <v>341</v>
      </c>
      <c r="E1054">
        <v>29.23</v>
      </c>
      <c r="F1054">
        <v>10</v>
      </c>
      <c r="G1054">
        <v>20</v>
      </c>
      <c r="H1054">
        <v>30</v>
      </c>
      <c r="I1054" t="s">
        <v>344</v>
      </c>
      <c r="J1054">
        <v>52.29</v>
      </c>
      <c r="K1054">
        <v>5.8</v>
      </c>
      <c r="L1054" t="s">
        <v>346</v>
      </c>
      <c r="M1054" s="1">
        <v>5.8000000000000003E-2</v>
      </c>
      <c r="N1054" t="s">
        <v>350</v>
      </c>
      <c r="O1054">
        <v>4.29</v>
      </c>
      <c r="P1054" t="s">
        <v>343</v>
      </c>
      <c r="Q1054">
        <v>4.0199999999999996</v>
      </c>
      <c r="R1054" t="s">
        <v>343</v>
      </c>
      <c r="S1054">
        <v>1</v>
      </c>
    </row>
    <row r="1055" spans="1:19" x14ac:dyDescent="0.25">
      <c r="A1055" t="s">
        <v>33</v>
      </c>
      <c r="B1055" t="s">
        <v>84</v>
      </c>
      <c r="C1055">
        <v>560</v>
      </c>
      <c r="D1055" t="s">
        <v>341</v>
      </c>
      <c r="E1055">
        <v>29.23</v>
      </c>
      <c r="F1055">
        <v>9.89</v>
      </c>
      <c r="G1055">
        <v>20</v>
      </c>
      <c r="H1055">
        <v>29.89</v>
      </c>
      <c r="I1055" t="s">
        <v>344</v>
      </c>
      <c r="J1055">
        <v>53.28</v>
      </c>
      <c r="K1055">
        <v>4.96</v>
      </c>
      <c r="L1055" t="s">
        <v>346</v>
      </c>
      <c r="M1055" s="1">
        <v>4.9599999999999998E-2</v>
      </c>
      <c r="N1055" t="s">
        <v>350</v>
      </c>
      <c r="O1055">
        <v>2.71</v>
      </c>
      <c r="P1055" t="s">
        <v>344</v>
      </c>
      <c r="Q1055">
        <v>3.89</v>
      </c>
      <c r="R1055" t="s">
        <v>344</v>
      </c>
      <c r="S1055">
        <v>1</v>
      </c>
    </row>
    <row r="1056" spans="1:19" x14ac:dyDescent="0.25">
      <c r="A1056" t="s">
        <v>33</v>
      </c>
      <c r="B1056" t="s">
        <v>85</v>
      </c>
      <c r="C1056">
        <v>580</v>
      </c>
      <c r="D1056" t="s">
        <v>341</v>
      </c>
      <c r="E1056">
        <v>29.23</v>
      </c>
      <c r="F1056">
        <v>10.54</v>
      </c>
      <c r="G1056">
        <v>17.43</v>
      </c>
      <c r="H1056">
        <v>27.97</v>
      </c>
      <c r="I1056" t="s">
        <v>343</v>
      </c>
      <c r="J1056">
        <v>54.37</v>
      </c>
      <c r="K1056">
        <v>5.42</v>
      </c>
      <c r="L1056" t="s">
        <v>346</v>
      </c>
      <c r="M1056" s="1">
        <v>5.4199999999999998E-2</v>
      </c>
      <c r="N1056" t="s">
        <v>350</v>
      </c>
      <c r="O1056">
        <v>1.42</v>
      </c>
      <c r="P1056" t="s">
        <v>343</v>
      </c>
      <c r="Q1056">
        <v>4.6399999999999997</v>
      </c>
      <c r="R1056" t="s">
        <v>343</v>
      </c>
      <c r="S1056">
        <v>1</v>
      </c>
    </row>
    <row r="1057" spans="1:19" x14ac:dyDescent="0.25">
      <c r="A1057" t="s">
        <v>33</v>
      </c>
      <c r="B1057" t="s">
        <v>86</v>
      </c>
      <c r="C1057">
        <v>600</v>
      </c>
      <c r="D1057" t="s">
        <v>341</v>
      </c>
      <c r="E1057">
        <v>29.23</v>
      </c>
      <c r="F1057">
        <v>12.82</v>
      </c>
      <c r="G1057">
        <v>14.38</v>
      </c>
      <c r="H1057">
        <v>27.2</v>
      </c>
      <c r="I1057" t="s">
        <v>343</v>
      </c>
      <c r="J1057">
        <v>55.21</v>
      </c>
      <c r="K1057">
        <v>4.2</v>
      </c>
      <c r="L1057" t="s">
        <v>346</v>
      </c>
      <c r="M1057" s="1">
        <v>4.2000000000000003E-2</v>
      </c>
      <c r="N1057" t="s">
        <v>350</v>
      </c>
      <c r="O1057">
        <v>1.84</v>
      </c>
      <c r="P1057" t="s">
        <v>343</v>
      </c>
      <c r="Q1057">
        <v>4.3099999999999996</v>
      </c>
      <c r="R1057" t="s">
        <v>343</v>
      </c>
      <c r="S1057">
        <v>1</v>
      </c>
    </row>
    <row r="1058" spans="1:19" x14ac:dyDescent="0.25">
      <c r="A1058" t="s">
        <v>33</v>
      </c>
      <c r="B1058" t="s">
        <v>87</v>
      </c>
      <c r="C1058">
        <v>620</v>
      </c>
      <c r="D1058" t="s">
        <v>341</v>
      </c>
      <c r="E1058">
        <v>29.23</v>
      </c>
      <c r="F1058">
        <v>13.24</v>
      </c>
      <c r="G1058">
        <v>12.63</v>
      </c>
      <c r="H1058">
        <v>25.87</v>
      </c>
      <c r="I1058" t="s">
        <v>343</v>
      </c>
      <c r="J1058">
        <v>56.14</v>
      </c>
      <c r="K1058">
        <v>4.67</v>
      </c>
      <c r="L1058" t="s">
        <v>346</v>
      </c>
      <c r="M1058" s="1">
        <v>4.6699999999999998E-2</v>
      </c>
      <c r="N1058" t="s">
        <v>350</v>
      </c>
      <c r="O1058">
        <v>1.05</v>
      </c>
      <c r="P1058" t="s">
        <v>343</v>
      </c>
      <c r="Q1058">
        <v>4.76</v>
      </c>
      <c r="R1058" t="s">
        <v>343</v>
      </c>
      <c r="S1058">
        <v>1</v>
      </c>
    </row>
    <row r="1059" spans="1:19" x14ac:dyDescent="0.25">
      <c r="A1059" t="s">
        <v>33</v>
      </c>
      <c r="B1059" t="s">
        <v>88</v>
      </c>
      <c r="C1059">
        <v>640</v>
      </c>
      <c r="D1059" t="s">
        <v>341</v>
      </c>
      <c r="E1059">
        <v>29.23</v>
      </c>
      <c r="F1059">
        <v>12.91</v>
      </c>
      <c r="G1059">
        <v>11.75</v>
      </c>
      <c r="H1059">
        <v>24.65</v>
      </c>
      <c r="I1059" t="s">
        <v>343</v>
      </c>
      <c r="J1059">
        <v>57.1</v>
      </c>
      <c r="K1059">
        <v>4.8099999999999996</v>
      </c>
      <c r="L1059" t="s">
        <v>346</v>
      </c>
      <c r="M1059" s="1">
        <v>4.8099999999999997E-2</v>
      </c>
      <c r="N1059" t="s">
        <v>350</v>
      </c>
      <c r="O1059">
        <v>-0.15</v>
      </c>
      <c r="P1059" t="s">
        <v>343</v>
      </c>
      <c r="Q1059">
        <v>3.38</v>
      </c>
      <c r="R1059" t="s">
        <v>344</v>
      </c>
      <c r="S1059">
        <v>1</v>
      </c>
    </row>
    <row r="1060" spans="1:19" x14ac:dyDescent="0.25">
      <c r="A1060" t="s">
        <v>33</v>
      </c>
      <c r="B1060" t="s">
        <v>89</v>
      </c>
      <c r="C1060">
        <v>660</v>
      </c>
      <c r="D1060" t="s">
        <v>341</v>
      </c>
      <c r="E1060">
        <v>29.23</v>
      </c>
      <c r="F1060">
        <v>12.5</v>
      </c>
      <c r="G1060">
        <v>11.74</v>
      </c>
      <c r="H1060">
        <v>24.24</v>
      </c>
      <c r="I1060" t="s">
        <v>343</v>
      </c>
      <c r="J1060">
        <v>58.23</v>
      </c>
      <c r="K1060">
        <v>5.65</v>
      </c>
      <c r="L1060" t="s">
        <v>346</v>
      </c>
      <c r="M1060" s="1">
        <v>5.6500000000000002E-2</v>
      </c>
      <c r="N1060" t="s">
        <v>350</v>
      </c>
      <c r="O1060">
        <v>0.28999999999999998</v>
      </c>
      <c r="P1060" t="s">
        <v>343</v>
      </c>
      <c r="Q1060">
        <v>3.99</v>
      </c>
      <c r="R1060" t="s">
        <v>344</v>
      </c>
      <c r="S1060">
        <v>1</v>
      </c>
    </row>
    <row r="1061" spans="1:19" x14ac:dyDescent="0.25">
      <c r="A1061" t="s">
        <v>33</v>
      </c>
      <c r="B1061" t="s">
        <v>90</v>
      </c>
      <c r="C1061">
        <v>680</v>
      </c>
      <c r="D1061" t="s">
        <v>341</v>
      </c>
      <c r="E1061">
        <v>29.23</v>
      </c>
      <c r="F1061">
        <v>11.94</v>
      </c>
      <c r="G1061">
        <v>12.8</v>
      </c>
      <c r="H1061">
        <v>24.74</v>
      </c>
      <c r="I1061" t="s">
        <v>343</v>
      </c>
      <c r="J1061">
        <v>59.38</v>
      </c>
      <c r="K1061">
        <v>5.73</v>
      </c>
      <c r="L1061" t="s">
        <v>346</v>
      </c>
      <c r="M1061" s="1">
        <v>5.7299999999999997E-2</v>
      </c>
      <c r="N1061" t="s">
        <v>350</v>
      </c>
      <c r="O1061">
        <v>1.55</v>
      </c>
      <c r="P1061" t="s">
        <v>343</v>
      </c>
      <c r="Q1061">
        <v>3.73</v>
      </c>
      <c r="R1061" t="s">
        <v>344</v>
      </c>
      <c r="S1061">
        <v>1</v>
      </c>
    </row>
    <row r="1062" spans="1:19" x14ac:dyDescent="0.25">
      <c r="A1062" t="s">
        <v>33</v>
      </c>
      <c r="B1062" t="s">
        <v>91</v>
      </c>
      <c r="C1062">
        <v>700</v>
      </c>
      <c r="D1062" t="s">
        <v>341</v>
      </c>
      <c r="E1062">
        <v>29.23</v>
      </c>
      <c r="F1062">
        <v>11.19</v>
      </c>
      <c r="G1062">
        <v>13.7</v>
      </c>
      <c r="H1062">
        <v>24.89</v>
      </c>
      <c r="I1062" t="s">
        <v>343</v>
      </c>
      <c r="J1062">
        <v>60.43</v>
      </c>
      <c r="K1062">
        <v>5.27</v>
      </c>
      <c r="L1062" t="s">
        <v>346</v>
      </c>
      <c r="M1062" s="1">
        <v>5.2699999999999997E-2</v>
      </c>
      <c r="N1062" t="s">
        <v>350</v>
      </c>
      <c r="O1062">
        <v>1.97</v>
      </c>
      <c r="P1062" t="s">
        <v>343</v>
      </c>
      <c r="Q1062">
        <v>3.73</v>
      </c>
      <c r="R1062" t="s">
        <v>344</v>
      </c>
      <c r="S1062">
        <v>1</v>
      </c>
    </row>
    <row r="1063" spans="1:19" x14ac:dyDescent="0.25">
      <c r="A1063" t="s">
        <v>33</v>
      </c>
      <c r="B1063" t="s">
        <v>92</v>
      </c>
      <c r="C1063">
        <v>720</v>
      </c>
      <c r="D1063" t="s">
        <v>341</v>
      </c>
      <c r="E1063">
        <v>29.23</v>
      </c>
      <c r="F1063">
        <v>10.71</v>
      </c>
      <c r="G1063">
        <v>14.68</v>
      </c>
      <c r="H1063">
        <v>25.39</v>
      </c>
      <c r="I1063" t="s">
        <v>343</v>
      </c>
      <c r="J1063">
        <v>61.69</v>
      </c>
      <c r="K1063">
        <v>6.31</v>
      </c>
      <c r="L1063" t="s">
        <v>346</v>
      </c>
      <c r="M1063" s="1">
        <v>6.3099999999999989E-2</v>
      </c>
      <c r="N1063" t="s">
        <v>350</v>
      </c>
      <c r="O1063">
        <v>1.29</v>
      </c>
      <c r="P1063" t="s">
        <v>343</v>
      </c>
      <c r="Q1063">
        <v>4.07</v>
      </c>
      <c r="R1063" t="s">
        <v>343</v>
      </c>
      <c r="S1063">
        <v>1</v>
      </c>
    </row>
    <row r="1064" spans="1:19" x14ac:dyDescent="0.25">
      <c r="A1064" t="s">
        <v>33</v>
      </c>
      <c r="B1064" t="s">
        <v>93</v>
      </c>
      <c r="C1064">
        <v>740</v>
      </c>
      <c r="D1064" t="s">
        <v>341</v>
      </c>
      <c r="E1064">
        <v>29.23</v>
      </c>
      <c r="F1064">
        <v>11.53</v>
      </c>
      <c r="G1064">
        <v>15.12</v>
      </c>
      <c r="H1064">
        <v>26.66</v>
      </c>
      <c r="I1064" t="s">
        <v>343</v>
      </c>
      <c r="J1064">
        <v>62.79</v>
      </c>
      <c r="K1064">
        <v>5.48</v>
      </c>
      <c r="L1064" t="s">
        <v>346</v>
      </c>
      <c r="M1064" s="1">
        <v>5.4800000000000001E-2</v>
      </c>
      <c r="N1064" t="s">
        <v>350</v>
      </c>
      <c r="O1064">
        <v>-0.57999999999999996</v>
      </c>
      <c r="P1064" t="s">
        <v>343</v>
      </c>
      <c r="Q1064">
        <v>3.08</v>
      </c>
      <c r="R1064" t="s">
        <v>344</v>
      </c>
      <c r="S1064">
        <v>1</v>
      </c>
    </row>
    <row r="1065" spans="1:19" x14ac:dyDescent="0.25">
      <c r="A1065" t="s">
        <v>33</v>
      </c>
      <c r="B1065" t="s">
        <v>94</v>
      </c>
      <c r="C1065">
        <v>760</v>
      </c>
      <c r="D1065" t="s">
        <v>341</v>
      </c>
      <c r="E1065">
        <v>29.23</v>
      </c>
      <c r="F1065">
        <v>16.39</v>
      </c>
      <c r="G1065">
        <v>16.21</v>
      </c>
      <c r="H1065">
        <v>32.6</v>
      </c>
      <c r="I1065" t="s">
        <v>344</v>
      </c>
      <c r="J1065">
        <v>63.56</v>
      </c>
      <c r="K1065">
        <v>3.86</v>
      </c>
      <c r="L1065" t="s">
        <v>346</v>
      </c>
      <c r="M1065" s="1">
        <v>3.8600000000000002E-2</v>
      </c>
      <c r="N1065" t="s">
        <v>350</v>
      </c>
      <c r="O1065">
        <v>-1.55</v>
      </c>
      <c r="P1065" t="s">
        <v>343</v>
      </c>
      <c r="Q1065">
        <v>0.55000000000000004</v>
      </c>
      <c r="R1065" t="s">
        <v>343</v>
      </c>
      <c r="S1065">
        <v>1</v>
      </c>
    </row>
    <row r="1066" spans="1:19" x14ac:dyDescent="0.25">
      <c r="A1066" t="s">
        <v>33</v>
      </c>
      <c r="B1066" t="s">
        <v>95</v>
      </c>
      <c r="C1066">
        <v>780</v>
      </c>
      <c r="D1066" t="s">
        <v>341</v>
      </c>
      <c r="E1066">
        <v>29.23</v>
      </c>
      <c r="F1066">
        <v>20</v>
      </c>
      <c r="G1066">
        <v>17.3</v>
      </c>
      <c r="H1066">
        <v>37.299999999999997</v>
      </c>
      <c r="I1066" t="s">
        <v>344</v>
      </c>
      <c r="J1066">
        <v>66.209999999999994</v>
      </c>
      <c r="K1066">
        <v>13.25</v>
      </c>
      <c r="L1066" t="s">
        <v>348</v>
      </c>
      <c r="M1066" s="1">
        <v>0.13250000000000001</v>
      </c>
      <c r="N1066" t="s">
        <v>350</v>
      </c>
      <c r="O1066">
        <v>2.25</v>
      </c>
      <c r="P1066" t="s">
        <v>344</v>
      </c>
      <c r="Q1066">
        <v>-1.43</v>
      </c>
      <c r="R1066" t="s">
        <v>343</v>
      </c>
      <c r="S1066">
        <v>1</v>
      </c>
    </row>
    <row r="1067" spans="1:19" x14ac:dyDescent="0.25">
      <c r="A1067" t="s">
        <v>33</v>
      </c>
      <c r="B1067" t="s">
        <v>96</v>
      </c>
      <c r="C1067">
        <v>800</v>
      </c>
      <c r="D1067" t="s">
        <v>341</v>
      </c>
      <c r="E1067">
        <v>29.23</v>
      </c>
      <c r="F1067">
        <v>20</v>
      </c>
      <c r="G1067">
        <v>17.3</v>
      </c>
      <c r="H1067">
        <v>37.299999999999997</v>
      </c>
      <c r="I1067" t="s">
        <v>344</v>
      </c>
      <c r="J1067">
        <v>66.95</v>
      </c>
      <c r="K1067">
        <v>3.7</v>
      </c>
      <c r="L1067" t="s">
        <v>346</v>
      </c>
      <c r="M1067" s="1">
        <v>3.7000000000000012E-2</v>
      </c>
      <c r="N1067" t="s">
        <v>350</v>
      </c>
      <c r="O1067">
        <v>2.72</v>
      </c>
      <c r="P1067" t="s">
        <v>344</v>
      </c>
      <c r="Q1067">
        <v>-3.69</v>
      </c>
      <c r="R1067" t="s">
        <v>344</v>
      </c>
      <c r="S1067">
        <v>1</v>
      </c>
    </row>
    <row r="1068" spans="1:19" x14ac:dyDescent="0.25">
      <c r="A1068" t="s">
        <v>33</v>
      </c>
      <c r="B1068" t="s">
        <v>97</v>
      </c>
      <c r="C1068">
        <v>820</v>
      </c>
      <c r="D1068" t="s">
        <v>341</v>
      </c>
      <c r="E1068">
        <v>29.23</v>
      </c>
      <c r="F1068">
        <v>20</v>
      </c>
      <c r="G1068">
        <v>17.86</v>
      </c>
      <c r="H1068">
        <v>37.86</v>
      </c>
      <c r="I1068" t="s">
        <v>344</v>
      </c>
      <c r="J1068">
        <v>67.599999999999994</v>
      </c>
      <c r="K1068">
        <v>3.23</v>
      </c>
      <c r="L1068" t="s">
        <v>346</v>
      </c>
      <c r="M1068" s="1">
        <v>3.2300000000000002E-2</v>
      </c>
      <c r="N1068" t="s">
        <v>350</v>
      </c>
      <c r="O1068">
        <v>12.02</v>
      </c>
      <c r="P1068" t="s">
        <v>343</v>
      </c>
      <c r="Q1068">
        <v>-3.15</v>
      </c>
      <c r="R1068" t="s">
        <v>344</v>
      </c>
      <c r="S1068">
        <v>1</v>
      </c>
    </row>
    <row r="1069" spans="1:19" x14ac:dyDescent="0.25">
      <c r="A1069" t="s">
        <v>33</v>
      </c>
      <c r="B1069" t="s">
        <v>98</v>
      </c>
      <c r="C1069">
        <v>840</v>
      </c>
      <c r="D1069" t="s">
        <v>341</v>
      </c>
      <c r="E1069">
        <v>29.23</v>
      </c>
      <c r="F1069">
        <v>20</v>
      </c>
      <c r="G1069">
        <v>16.649999999999999</v>
      </c>
      <c r="H1069">
        <v>36.65</v>
      </c>
      <c r="I1069" t="s">
        <v>344</v>
      </c>
      <c r="J1069">
        <v>67.569999999999993</v>
      </c>
      <c r="K1069">
        <v>-0.13</v>
      </c>
      <c r="L1069" t="s">
        <v>346</v>
      </c>
      <c r="M1069" s="1">
        <v>1.2999999999999999E-3</v>
      </c>
      <c r="N1069" t="s">
        <v>349</v>
      </c>
      <c r="O1069">
        <v>14.47</v>
      </c>
      <c r="P1069" t="s">
        <v>343</v>
      </c>
      <c r="Q1069">
        <v>-0.47</v>
      </c>
      <c r="R1069" t="s">
        <v>343</v>
      </c>
      <c r="S1069">
        <v>1</v>
      </c>
    </row>
    <row r="1070" spans="1:19" x14ac:dyDescent="0.25">
      <c r="A1070" t="s">
        <v>33</v>
      </c>
      <c r="B1070" t="s">
        <v>99</v>
      </c>
      <c r="C1070">
        <v>860</v>
      </c>
      <c r="D1070" t="s">
        <v>341</v>
      </c>
      <c r="E1070">
        <v>29.23</v>
      </c>
      <c r="F1070">
        <v>14.89</v>
      </c>
      <c r="G1070">
        <v>16.03</v>
      </c>
      <c r="H1070">
        <v>30.92</v>
      </c>
      <c r="I1070" t="s">
        <v>344</v>
      </c>
      <c r="J1070">
        <v>66.42</v>
      </c>
      <c r="K1070">
        <v>-5.76</v>
      </c>
      <c r="L1070" t="s">
        <v>346</v>
      </c>
      <c r="M1070" s="1">
        <v>5.7599999999999998E-2</v>
      </c>
      <c r="N1070" t="s">
        <v>350</v>
      </c>
      <c r="O1070">
        <v>4.24</v>
      </c>
      <c r="P1070" t="s">
        <v>343</v>
      </c>
      <c r="Q1070">
        <v>0.06</v>
      </c>
      <c r="R1070" t="s">
        <v>343</v>
      </c>
      <c r="S1070">
        <v>1</v>
      </c>
    </row>
    <row r="1071" spans="1:19" x14ac:dyDescent="0.25">
      <c r="A1071" t="s">
        <v>33</v>
      </c>
      <c r="B1071" t="s">
        <v>100</v>
      </c>
      <c r="C1071">
        <v>880</v>
      </c>
      <c r="D1071" t="s">
        <v>341</v>
      </c>
      <c r="E1071">
        <v>29.23</v>
      </c>
      <c r="F1071">
        <v>15.51</v>
      </c>
      <c r="G1071">
        <v>16.03</v>
      </c>
      <c r="H1071">
        <v>31.54</v>
      </c>
      <c r="I1071" t="s">
        <v>344</v>
      </c>
      <c r="J1071">
        <v>66.930000000000007</v>
      </c>
      <c r="K1071">
        <v>2.54</v>
      </c>
      <c r="L1071" t="s">
        <v>346</v>
      </c>
      <c r="M1071" s="1">
        <v>2.5399999999999999E-2</v>
      </c>
      <c r="N1071" t="s">
        <v>350</v>
      </c>
      <c r="O1071">
        <v>0.92</v>
      </c>
      <c r="P1071" t="s">
        <v>343</v>
      </c>
      <c r="Q1071">
        <v>-6.59</v>
      </c>
      <c r="R1071" t="s">
        <v>343</v>
      </c>
      <c r="S1071">
        <v>1</v>
      </c>
    </row>
    <row r="1072" spans="1:19" x14ac:dyDescent="0.25">
      <c r="A1072" t="s">
        <v>33</v>
      </c>
      <c r="B1072" t="s">
        <v>101</v>
      </c>
      <c r="C1072">
        <v>900</v>
      </c>
      <c r="D1072" t="s">
        <v>341</v>
      </c>
      <c r="E1072">
        <v>29.23</v>
      </c>
      <c r="F1072">
        <v>16.12</v>
      </c>
      <c r="G1072">
        <v>12.52</v>
      </c>
      <c r="H1072">
        <v>28.63</v>
      </c>
      <c r="I1072" t="s">
        <v>343</v>
      </c>
      <c r="J1072">
        <v>67.27</v>
      </c>
      <c r="K1072">
        <v>1.69</v>
      </c>
      <c r="L1072" t="s">
        <v>346</v>
      </c>
      <c r="M1072" s="1">
        <v>1.6899999999999998E-2</v>
      </c>
      <c r="N1072" t="s">
        <v>349</v>
      </c>
      <c r="O1072">
        <v>-0.61</v>
      </c>
      <c r="P1072" t="s">
        <v>343</v>
      </c>
      <c r="Q1072">
        <v>1.6</v>
      </c>
      <c r="R1072" t="s">
        <v>343</v>
      </c>
      <c r="S1072">
        <v>1</v>
      </c>
    </row>
    <row r="1073" spans="1:19" x14ac:dyDescent="0.25">
      <c r="A1073" t="s">
        <v>33</v>
      </c>
      <c r="B1073" t="s">
        <v>102</v>
      </c>
      <c r="C1073">
        <v>920</v>
      </c>
      <c r="D1073" t="s">
        <v>341</v>
      </c>
      <c r="E1073">
        <v>29.23</v>
      </c>
      <c r="F1073">
        <v>16.649999999999999</v>
      </c>
      <c r="G1073">
        <v>9.75</v>
      </c>
      <c r="H1073">
        <v>26.4</v>
      </c>
      <c r="I1073" t="s">
        <v>343</v>
      </c>
      <c r="J1073">
        <v>67.400000000000006</v>
      </c>
      <c r="K1073">
        <v>0.64</v>
      </c>
      <c r="L1073" t="s">
        <v>346</v>
      </c>
      <c r="M1073" s="1">
        <v>6.4000000000000003E-3</v>
      </c>
      <c r="N1073" t="s">
        <v>349</v>
      </c>
      <c r="O1073">
        <v>-0.46</v>
      </c>
      <c r="P1073" t="s">
        <v>343</v>
      </c>
      <c r="Q1073">
        <v>2.4900000000000002</v>
      </c>
      <c r="R1073" t="s">
        <v>344</v>
      </c>
      <c r="S1073">
        <v>1</v>
      </c>
    </row>
    <row r="1074" spans="1:19" x14ac:dyDescent="0.25">
      <c r="A1074" t="s">
        <v>33</v>
      </c>
      <c r="B1074" t="s">
        <v>103</v>
      </c>
      <c r="C1074">
        <v>940</v>
      </c>
      <c r="D1074" t="s">
        <v>341</v>
      </c>
      <c r="E1074">
        <v>29.23</v>
      </c>
      <c r="F1074">
        <v>17.16</v>
      </c>
      <c r="G1074">
        <v>9.09</v>
      </c>
      <c r="H1074">
        <v>26.25</v>
      </c>
      <c r="I1074" t="s">
        <v>343</v>
      </c>
      <c r="J1074">
        <v>67.59</v>
      </c>
      <c r="K1074">
        <v>0.96</v>
      </c>
      <c r="L1074" t="s">
        <v>346</v>
      </c>
      <c r="M1074" s="1">
        <v>9.5999999999999992E-3</v>
      </c>
      <c r="N1074" t="s">
        <v>349</v>
      </c>
      <c r="O1074">
        <v>0.62</v>
      </c>
      <c r="P1074" t="s">
        <v>343</v>
      </c>
      <c r="Q1074">
        <v>3.34</v>
      </c>
      <c r="R1074" t="s">
        <v>344</v>
      </c>
      <c r="S1074">
        <v>1</v>
      </c>
    </row>
    <row r="1075" spans="1:19" x14ac:dyDescent="0.25">
      <c r="A1075" t="s">
        <v>33</v>
      </c>
      <c r="B1075" t="s">
        <v>104</v>
      </c>
      <c r="C1075">
        <v>960</v>
      </c>
      <c r="D1075" t="s">
        <v>341</v>
      </c>
      <c r="E1075">
        <v>29.23</v>
      </c>
      <c r="F1075">
        <v>17.21</v>
      </c>
      <c r="G1075">
        <v>8.8800000000000008</v>
      </c>
      <c r="H1075">
        <v>26.08</v>
      </c>
      <c r="I1075" t="s">
        <v>343</v>
      </c>
      <c r="J1075">
        <v>67.52</v>
      </c>
      <c r="K1075">
        <v>-0.34</v>
      </c>
      <c r="L1075" t="s">
        <v>346</v>
      </c>
      <c r="M1075" s="1">
        <v>3.3999999999999998E-3</v>
      </c>
      <c r="N1075" t="s">
        <v>349</v>
      </c>
      <c r="O1075">
        <v>-0.18</v>
      </c>
      <c r="P1075" t="s">
        <v>343</v>
      </c>
      <c r="Q1075">
        <v>4.75</v>
      </c>
      <c r="R1075" t="s">
        <v>343</v>
      </c>
      <c r="S1075">
        <v>1</v>
      </c>
    </row>
    <row r="1076" spans="1:19" x14ac:dyDescent="0.25">
      <c r="A1076" t="s">
        <v>33</v>
      </c>
      <c r="B1076" t="s">
        <v>105</v>
      </c>
      <c r="C1076">
        <v>980</v>
      </c>
      <c r="D1076" t="s">
        <v>341</v>
      </c>
      <c r="E1076">
        <v>29.23</v>
      </c>
      <c r="F1076">
        <v>17.559999999999999</v>
      </c>
      <c r="G1076">
        <v>8.92</v>
      </c>
      <c r="H1076">
        <v>26.48</v>
      </c>
      <c r="I1076" t="s">
        <v>343</v>
      </c>
      <c r="J1076">
        <v>67.58</v>
      </c>
      <c r="K1076">
        <v>0.31</v>
      </c>
      <c r="L1076" t="s">
        <v>346</v>
      </c>
      <c r="M1076" s="1">
        <v>3.0999999999999999E-3</v>
      </c>
      <c r="N1076" t="s">
        <v>349</v>
      </c>
      <c r="O1076">
        <v>-0.42</v>
      </c>
      <c r="P1076" t="s">
        <v>343</v>
      </c>
      <c r="Q1076">
        <v>4.62</v>
      </c>
      <c r="R1076" t="s">
        <v>343</v>
      </c>
      <c r="S1076">
        <v>1</v>
      </c>
    </row>
    <row r="1077" spans="1:19" x14ac:dyDescent="0.25">
      <c r="A1077" t="s">
        <v>33</v>
      </c>
      <c r="B1077" t="s">
        <v>106</v>
      </c>
      <c r="C1077">
        <v>1000</v>
      </c>
      <c r="D1077" t="s">
        <v>341</v>
      </c>
      <c r="E1077">
        <v>29.23</v>
      </c>
      <c r="F1077">
        <v>18.43</v>
      </c>
      <c r="G1077">
        <v>8.6</v>
      </c>
      <c r="H1077">
        <v>27.03</v>
      </c>
      <c r="I1077" t="s">
        <v>343</v>
      </c>
      <c r="J1077">
        <v>67.540000000000006</v>
      </c>
      <c r="K1077">
        <v>-0.2</v>
      </c>
      <c r="L1077" t="s">
        <v>346</v>
      </c>
      <c r="M1077" s="1">
        <v>2E-3</v>
      </c>
      <c r="N1077" t="s">
        <v>349</v>
      </c>
      <c r="O1077">
        <v>-1.21</v>
      </c>
      <c r="P1077" t="s">
        <v>343</v>
      </c>
      <c r="Q1077">
        <v>4.24</v>
      </c>
      <c r="R1077" t="s">
        <v>343</v>
      </c>
      <c r="S1077">
        <v>1</v>
      </c>
    </row>
    <row r="1078" spans="1:19" x14ac:dyDescent="0.25">
      <c r="A1078" t="s">
        <v>33</v>
      </c>
      <c r="B1078" t="s">
        <v>108</v>
      </c>
      <c r="C1078">
        <v>1020</v>
      </c>
      <c r="D1078" t="s">
        <v>341</v>
      </c>
      <c r="E1078">
        <v>29.23</v>
      </c>
      <c r="F1078">
        <v>17.93</v>
      </c>
      <c r="G1078">
        <v>8.74</v>
      </c>
      <c r="H1078">
        <v>26.66</v>
      </c>
      <c r="I1078" t="s">
        <v>343</v>
      </c>
      <c r="J1078">
        <v>67.52</v>
      </c>
      <c r="K1078">
        <v>-0.12</v>
      </c>
      <c r="L1078" t="s">
        <v>346</v>
      </c>
      <c r="M1078" s="1">
        <v>1.1999999999999999E-3</v>
      </c>
      <c r="N1078" t="s">
        <v>349</v>
      </c>
      <c r="O1078">
        <v>-2.12</v>
      </c>
      <c r="P1078" t="s">
        <v>344</v>
      </c>
      <c r="Q1078">
        <v>3.39</v>
      </c>
      <c r="R1078" t="s">
        <v>344</v>
      </c>
      <c r="S1078">
        <v>1</v>
      </c>
    </row>
    <row r="1079" spans="1:19" x14ac:dyDescent="0.25">
      <c r="A1079" t="s">
        <v>33</v>
      </c>
      <c r="B1079" t="s">
        <v>109</v>
      </c>
      <c r="C1079">
        <v>1040</v>
      </c>
      <c r="D1079" t="s">
        <v>341</v>
      </c>
      <c r="E1079">
        <v>29.23</v>
      </c>
      <c r="F1079">
        <v>17.04</v>
      </c>
      <c r="G1079">
        <v>9.14</v>
      </c>
      <c r="H1079">
        <v>26.18</v>
      </c>
      <c r="I1079" t="s">
        <v>343</v>
      </c>
      <c r="J1079">
        <v>67.67</v>
      </c>
      <c r="K1079">
        <v>0.78</v>
      </c>
      <c r="L1079" t="s">
        <v>346</v>
      </c>
      <c r="M1079" s="1">
        <v>7.8000000000000014E-3</v>
      </c>
      <c r="N1079" t="s">
        <v>349</v>
      </c>
      <c r="O1079">
        <v>-1.92</v>
      </c>
      <c r="P1079" t="s">
        <v>343</v>
      </c>
      <c r="Q1079">
        <v>2.25</v>
      </c>
      <c r="R1079" t="s">
        <v>344</v>
      </c>
      <c r="S1079">
        <v>1</v>
      </c>
    </row>
    <row r="1080" spans="1:19" x14ac:dyDescent="0.25">
      <c r="A1080" t="s">
        <v>33</v>
      </c>
      <c r="B1080" t="s">
        <v>110</v>
      </c>
      <c r="C1080">
        <v>1060</v>
      </c>
      <c r="D1080" t="s">
        <v>341</v>
      </c>
      <c r="E1080">
        <v>29.23</v>
      </c>
      <c r="F1080">
        <v>17.23</v>
      </c>
      <c r="G1080">
        <v>9.2200000000000006</v>
      </c>
      <c r="H1080">
        <v>26.45</v>
      </c>
      <c r="I1080" t="s">
        <v>343</v>
      </c>
      <c r="J1080">
        <v>67.790000000000006</v>
      </c>
      <c r="K1080">
        <v>0.56999999999999995</v>
      </c>
      <c r="L1080" t="s">
        <v>346</v>
      </c>
      <c r="M1080" s="1">
        <v>5.6999999999999993E-3</v>
      </c>
      <c r="N1080" t="s">
        <v>349</v>
      </c>
      <c r="O1080">
        <v>-1.22</v>
      </c>
      <c r="P1080" t="s">
        <v>343</v>
      </c>
      <c r="Q1080">
        <v>3.57</v>
      </c>
      <c r="R1080" t="s">
        <v>344</v>
      </c>
      <c r="S1080">
        <v>1</v>
      </c>
    </row>
    <row r="1081" spans="1:19" x14ac:dyDescent="0.25">
      <c r="A1081" t="s">
        <v>33</v>
      </c>
      <c r="B1081" t="s">
        <v>111</v>
      </c>
      <c r="C1081">
        <v>1080</v>
      </c>
      <c r="D1081" t="s">
        <v>341</v>
      </c>
      <c r="E1081">
        <v>29.23</v>
      </c>
      <c r="F1081">
        <v>16.89</v>
      </c>
      <c r="G1081">
        <v>11.46</v>
      </c>
      <c r="H1081">
        <v>28.35</v>
      </c>
      <c r="I1081" t="s">
        <v>343</v>
      </c>
      <c r="J1081">
        <v>67.91</v>
      </c>
      <c r="K1081">
        <v>0.6</v>
      </c>
      <c r="L1081" t="s">
        <v>346</v>
      </c>
      <c r="M1081" s="1">
        <v>6.0000000000000001E-3</v>
      </c>
      <c r="N1081" t="s">
        <v>349</v>
      </c>
      <c r="O1081">
        <v>-0.43</v>
      </c>
      <c r="P1081" t="s">
        <v>343</v>
      </c>
      <c r="Q1081">
        <v>2.89</v>
      </c>
      <c r="R1081" t="s">
        <v>344</v>
      </c>
      <c r="S1081">
        <v>1</v>
      </c>
    </row>
    <row r="1082" spans="1:19" x14ac:dyDescent="0.25">
      <c r="A1082" t="s">
        <v>33</v>
      </c>
      <c r="B1082" t="s">
        <v>112</v>
      </c>
      <c r="C1082">
        <v>1100</v>
      </c>
      <c r="D1082" t="s">
        <v>341</v>
      </c>
      <c r="E1082">
        <v>29.23</v>
      </c>
      <c r="F1082">
        <v>15.55</v>
      </c>
      <c r="G1082">
        <v>14.73</v>
      </c>
      <c r="H1082">
        <v>30.28</v>
      </c>
      <c r="I1082" t="s">
        <v>344</v>
      </c>
      <c r="J1082">
        <v>67.91</v>
      </c>
      <c r="K1082">
        <v>0</v>
      </c>
      <c r="L1082" t="s">
        <v>346</v>
      </c>
      <c r="M1082" s="1">
        <v>0</v>
      </c>
      <c r="N1082" t="s">
        <v>349</v>
      </c>
      <c r="O1082">
        <v>0</v>
      </c>
      <c r="P1082" t="s">
        <v>343</v>
      </c>
      <c r="Q1082">
        <v>0.15</v>
      </c>
      <c r="R1082" t="s">
        <v>343</v>
      </c>
      <c r="S1082">
        <v>1</v>
      </c>
    </row>
    <row r="1083" spans="1:19" x14ac:dyDescent="0.25">
      <c r="A1083" t="s">
        <v>33</v>
      </c>
      <c r="B1083" t="s">
        <v>113</v>
      </c>
      <c r="C1083">
        <v>1120</v>
      </c>
      <c r="D1083" t="s">
        <v>341</v>
      </c>
      <c r="E1083">
        <v>29.23</v>
      </c>
      <c r="F1083">
        <v>16.27</v>
      </c>
      <c r="G1083">
        <v>15.65</v>
      </c>
      <c r="H1083">
        <v>31.92</v>
      </c>
      <c r="I1083" t="s">
        <v>344</v>
      </c>
      <c r="J1083">
        <v>67.930000000000007</v>
      </c>
      <c r="K1083">
        <v>0.12</v>
      </c>
      <c r="L1083" t="s">
        <v>346</v>
      </c>
      <c r="M1083" s="1">
        <v>1.1999999999999999E-3</v>
      </c>
      <c r="N1083" t="s">
        <v>349</v>
      </c>
      <c r="O1083">
        <v>1.23</v>
      </c>
      <c r="P1083" t="s">
        <v>343</v>
      </c>
      <c r="Q1083">
        <v>-1.05</v>
      </c>
      <c r="R1083" t="s">
        <v>343</v>
      </c>
      <c r="S1083">
        <v>1</v>
      </c>
    </row>
    <row r="1084" spans="1:19" x14ac:dyDescent="0.25">
      <c r="A1084" t="s">
        <v>33</v>
      </c>
      <c r="B1084" t="s">
        <v>114</v>
      </c>
      <c r="C1084">
        <v>1140</v>
      </c>
      <c r="D1084" t="s">
        <v>341</v>
      </c>
      <c r="E1084">
        <v>29.23</v>
      </c>
      <c r="F1084">
        <v>15.89</v>
      </c>
      <c r="G1084">
        <v>14.9</v>
      </c>
      <c r="H1084">
        <v>30.79</v>
      </c>
      <c r="I1084" t="s">
        <v>344</v>
      </c>
      <c r="J1084">
        <v>67.959999999999994</v>
      </c>
      <c r="K1084">
        <v>0.14000000000000001</v>
      </c>
      <c r="L1084" t="s">
        <v>346</v>
      </c>
      <c r="M1084" s="1">
        <v>1.4E-3</v>
      </c>
      <c r="N1084" t="s">
        <v>349</v>
      </c>
      <c r="O1084">
        <v>2.61</v>
      </c>
      <c r="P1084" t="s">
        <v>344</v>
      </c>
      <c r="Q1084">
        <v>-0.66</v>
      </c>
      <c r="R1084" t="s">
        <v>343</v>
      </c>
      <c r="S1084">
        <v>1</v>
      </c>
    </row>
    <row r="1085" spans="1:19" x14ac:dyDescent="0.25">
      <c r="A1085" t="s">
        <v>33</v>
      </c>
      <c r="B1085" t="s">
        <v>115</v>
      </c>
      <c r="C1085">
        <v>1160</v>
      </c>
      <c r="D1085" t="s">
        <v>341</v>
      </c>
      <c r="E1085">
        <v>29.23</v>
      </c>
      <c r="F1085">
        <v>15.49</v>
      </c>
      <c r="G1085">
        <v>13.6</v>
      </c>
      <c r="H1085">
        <v>29.09</v>
      </c>
      <c r="I1085" t="s">
        <v>343</v>
      </c>
      <c r="J1085">
        <v>67.94</v>
      </c>
      <c r="K1085">
        <v>-0.13</v>
      </c>
      <c r="L1085" t="s">
        <v>346</v>
      </c>
      <c r="M1085" s="1">
        <v>1.2999999999999999E-3</v>
      </c>
      <c r="N1085" t="s">
        <v>349</v>
      </c>
      <c r="O1085">
        <v>2.95</v>
      </c>
      <c r="P1085" t="s">
        <v>344</v>
      </c>
      <c r="Q1085">
        <v>-1.18</v>
      </c>
      <c r="R1085" t="s">
        <v>343</v>
      </c>
      <c r="S1085">
        <v>1</v>
      </c>
    </row>
    <row r="1086" spans="1:19" x14ac:dyDescent="0.25">
      <c r="A1086" t="s">
        <v>33</v>
      </c>
      <c r="B1086" t="s">
        <v>116</v>
      </c>
      <c r="C1086">
        <v>1180</v>
      </c>
      <c r="D1086" t="s">
        <v>341</v>
      </c>
      <c r="E1086">
        <v>29.23</v>
      </c>
      <c r="F1086">
        <v>14.17</v>
      </c>
      <c r="G1086">
        <v>12.65</v>
      </c>
      <c r="H1086">
        <v>26.82</v>
      </c>
      <c r="I1086" t="s">
        <v>343</v>
      </c>
      <c r="J1086">
        <v>67.930000000000007</v>
      </c>
      <c r="K1086">
        <v>-0.03</v>
      </c>
      <c r="L1086" t="s">
        <v>346</v>
      </c>
      <c r="M1086" s="1">
        <v>2.9999999999999997E-4</v>
      </c>
      <c r="N1086" t="s">
        <v>349</v>
      </c>
      <c r="O1086">
        <v>4.1100000000000003</v>
      </c>
      <c r="P1086" t="s">
        <v>343</v>
      </c>
      <c r="Q1086">
        <v>-2.33</v>
      </c>
      <c r="R1086" t="s">
        <v>344</v>
      </c>
      <c r="S1086">
        <v>1</v>
      </c>
    </row>
    <row r="1087" spans="1:19" x14ac:dyDescent="0.25">
      <c r="A1087" t="s">
        <v>33</v>
      </c>
      <c r="B1087" t="s">
        <v>117</v>
      </c>
      <c r="C1087">
        <v>1200</v>
      </c>
      <c r="D1087" t="s">
        <v>341</v>
      </c>
      <c r="E1087">
        <v>29.23</v>
      </c>
      <c r="F1087">
        <v>14.17</v>
      </c>
      <c r="G1087">
        <v>12.18</v>
      </c>
      <c r="H1087">
        <v>26.35</v>
      </c>
      <c r="I1087" t="s">
        <v>343</v>
      </c>
      <c r="J1087">
        <v>68.3</v>
      </c>
      <c r="K1087">
        <v>1.85</v>
      </c>
      <c r="L1087" t="s">
        <v>346</v>
      </c>
      <c r="M1087" s="1">
        <v>1.8499999999999999E-2</v>
      </c>
      <c r="N1087" t="s">
        <v>349</v>
      </c>
      <c r="O1087">
        <v>5.75</v>
      </c>
      <c r="P1087" t="s">
        <v>343</v>
      </c>
      <c r="Q1087">
        <v>-0.63</v>
      </c>
      <c r="R1087" t="s">
        <v>343</v>
      </c>
      <c r="S1087">
        <v>1</v>
      </c>
    </row>
    <row r="1088" spans="1:19" x14ac:dyDescent="0.25">
      <c r="A1088" t="s">
        <v>33</v>
      </c>
      <c r="B1088" t="s">
        <v>118</v>
      </c>
      <c r="C1088">
        <v>1220</v>
      </c>
      <c r="D1088" t="s">
        <v>341</v>
      </c>
      <c r="E1088">
        <v>29.23</v>
      </c>
      <c r="F1088">
        <v>14.17</v>
      </c>
      <c r="G1088">
        <v>12.03</v>
      </c>
      <c r="H1088">
        <v>26.2</v>
      </c>
      <c r="I1088" t="s">
        <v>343</v>
      </c>
      <c r="J1088">
        <v>68.39</v>
      </c>
      <c r="K1088">
        <v>0.46</v>
      </c>
      <c r="L1088" t="s">
        <v>346</v>
      </c>
      <c r="M1088" s="1">
        <v>4.5999999999999999E-3</v>
      </c>
      <c r="N1088" t="s">
        <v>349</v>
      </c>
      <c r="O1088">
        <v>4.75</v>
      </c>
      <c r="P1088" t="s">
        <v>343</v>
      </c>
      <c r="Q1088">
        <v>-1.7</v>
      </c>
      <c r="R1088" t="s">
        <v>343</v>
      </c>
      <c r="S1088">
        <v>1</v>
      </c>
    </row>
    <row r="1089" spans="1:19" x14ac:dyDescent="0.25">
      <c r="A1089" t="s">
        <v>33</v>
      </c>
      <c r="B1089" t="s">
        <v>119</v>
      </c>
      <c r="C1089">
        <v>1240</v>
      </c>
      <c r="D1089" t="s">
        <v>341</v>
      </c>
      <c r="E1089">
        <v>29.23</v>
      </c>
      <c r="F1089">
        <v>14.04</v>
      </c>
      <c r="G1089">
        <v>12.45</v>
      </c>
      <c r="H1089">
        <v>26.49</v>
      </c>
      <c r="I1089" t="s">
        <v>343</v>
      </c>
      <c r="J1089">
        <v>68.599999999999994</v>
      </c>
      <c r="K1089">
        <v>1.05</v>
      </c>
      <c r="L1089" t="s">
        <v>346</v>
      </c>
      <c r="M1089" s="1">
        <v>1.0500000000000001E-2</v>
      </c>
      <c r="N1089" t="s">
        <v>349</v>
      </c>
      <c r="O1089">
        <v>5.0999999999999996</v>
      </c>
      <c r="P1089" t="s">
        <v>343</v>
      </c>
      <c r="Q1089">
        <v>-3.51</v>
      </c>
      <c r="R1089" t="s">
        <v>344</v>
      </c>
      <c r="S1089">
        <v>1</v>
      </c>
    </row>
    <row r="1090" spans="1:19" x14ac:dyDescent="0.25">
      <c r="A1090" t="s">
        <v>33</v>
      </c>
      <c r="B1090" t="s">
        <v>120</v>
      </c>
      <c r="C1090">
        <v>1260</v>
      </c>
      <c r="D1090" t="s">
        <v>341</v>
      </c>
      <c r="E1090">
        <v>29.23</v>
      </c>
      <c r="F1090">
        <v>14.04</v>
      </c>
      <c r="G1090">
        <v>12.05</v>
      </c>
      <c r="H1090">
        <v>26.09</v>
      </c>
      <c r="I1090" t="s">
        <v>343</v>
      </c>
      <c r="J1090">
        <v>69.89</v>
      </c>
      <c r="K1090">
        <v>6.46</v>
      </c>
      <c r="L1090" t="s">
        <v>346</v>
      </c>
      <c r="M1090" s="1">
        <v>6.4600000000000005E-2</v>
      </c>
      <c r="N1090" t="s">
        <v>350</v>
      </c>
      <c r="O1090">
        <v>5.48</v>
      </c>
      <c r="P1090" t="s">
        <v>343</v>
      </c>
      <c r="Q1090">
        <v>-3.03</v>
      </c>
      <c r="R1090" t="s">
        <v>344</v>
      </c>
      <c r="S1090">
        <v>1</v>
      </c>
    </row>
    <row r="1091" spans="1:19" x14ac:dyDescent="0.25">
      <c r="A1091" t="s">
        <v>33</v>
      </c>
      <c r="B1091" t="s">
        <v>121</v>
      </c>
      <c r="C1091">
        <v>1280</v>
      </c>
      <c r="D1091" t="s">
        <v>341</v>
      </c>
      <c r="E1091">
        <v>29.23</v>
      </c>
      <c r="F1091">
        <v>14.81</v>
      </c>
      <c r="G1091">
        <v>13.93</v>
      </c>
      <c r="H1091">
        <v>28.74</v>
      </c>
      <c r="I1091" t="s">
        <v>343</v>
      </c>
      <c r="J1091">
        <v>70.040000000000006</v>
      </c>
      <c r="K1091">
        <v>0.74</v>
      </c>
      <c r="L1091" t="s">
        <v>346</v>
      </c>
      <c r="M1091" s="1">
        <v>7.4000000000000003E-3</v>
      </c>
      <c r="N1091" t="s">
        <v>349</v>
      </c>
      <c r="O1091">
        <v>5.85</v>
      </c>
      <c r="P1091" t="s">
        <v>343</v>
      </c>
      <c r="Q1091">
        <v>-2.84</v>
      </c>
      <c r="R1091" t="s">
        <v>344</v>
      </c>
      <c r="S1091">
        <v>1</v>
      </c>
    </row>
    <row r="1092" spans="1:19" x14ac:dyDescent="0.25">
      <c r="A1092" t="s">
        <v>33</v>
      </c>
      <c r="B1092" t="s">
        <v>123</v>
      </c>
      <c r="C1092">
        <v>1300</v>
      </c>
      <c r="D1092" t="s">
        <v>341</v>
      </c>
      <c r="E1092">
        <v>29.23</v>
      </c>
      <c r="F1092">
        <v>13.02</v>
      </c>
      <c r="G1092">
        <v>14.64</v>
      </c>
      <c r="H1092">
        <v>27.66</v>
      </c>
      <c r="I1092" t="s">
        <v>343</v>
      </c>
      <c r="J1092">
        <v>69.08</v>
      </c>
      <c r="K1092">
        <v>-4.82</v>
      </c>
      <c r="L1092" t="s">
        <v>346</v>
      </c>
      <c r="M1092" s="1">
        <v>4.82E-2</v>
      </c>
      <c r="N1092" t="s">
        <v>350</v>
      </c>
      <c r="O1092">
        <v>6.07</v>
      </c>
      <c r="P1092" t="s">
        <v>343</v>
      </c>
      <c r="Q1092">
        <v>-2.76</v>
      </c>
      <c r="R1092" t="s">
        <v>344</v>
      </c>
      <c r="S1092">
        <v>1</v>
      </c>
    </row>
    <row r="1093" spans="1:19" x14ac:dyDescent="0.25">
      <c r="A1093" t="s">
        <v>33</v>
      </c>
      <c r="B1093" t="s">
        <v>124</v>
      </c>
      <c r="C1093">
        <v>1320</v>
      </c>
      <c r="D1093" t="s">
        <v>341</v>
      </c>
      <c r="E1093">
        <v>29.23</v>
      </c>
      <c r="F1093">
        <v>13.3</v>
      </c>
      <c r="G1093">
        <v>14.34</v>
      </c>
      <c r="H1093">
        <v>27.64</v>
      </c>
      <c r="I1093" t="s">
        <v>343</v>
      </c>
      <c r="J1093">
        <v>69.430000000000007</v>
      </c>
      <c r="K1093">
        <v>1.77</v>
      </c>
      <c r="L1093" t="s">
        <v>346</v>
      </c>
      <c r="M1093" s="1">
        <v>1.77E-2</v>
      </c>
      <c r="N1093" t="s">
        <v>349</v>
      </c>
      <c r="O1093">
        <v>4.71</v>
      </c>
      <c r="P1093" t="s">
        <v>343</v>
      </c>
      <c r="Q1093">
        <v>-1.69</v>
      </c>
      <c r="R1093" t="s">
        <v>343</v>
      </c>
      <c r="S1093">
        <v>1</v>
      </c>
    </row>
    <row r="1094" spans="1:19" x14ac:dyDescent="0.25">
      <c r="A1094" t="s">
        <v>33</v>
      </c>
      <c r="B1094" t="s">
        <v>125</v>
      </c>
      <c r="C1094">
        <v>1340</v>
      </c>
      <c r="D1094" t="s">
        <v>341</v>
      </c>
      <c r="E1094">
        <v>29.23</v>
      </c>
      <c r="F1094">
        <v>13.3</v>
      </c>
      <c r="G1094">
        <v>12.98</v>
      </c>
      <c r="H1094">
        <v>26.28</v>
      </c>
      <c r="I1094" t="s">
        <v>343</v>
      </c>
      <c r="J1094">
        <v>69.92</v>
      </c>
      <c r="K1094">
        <v>2.4500000000000002</v>
      </c>
      <c r="L1094" t="s">
        <v>346</v>
      </c>
      <c r="M1094" s="1">
        <v>2.4500000000000001E-2</v>
      </c>
      <c r="N1094" t="s">
        <v>350</v>
      </c>
      <c r="O1094">
        <v>6.89</v>
      </c>
      <c r="P1094" t="s">
        <v>343</v>
      </c>
      <c r="Q1094">
        <v>-1.49</v>
      </c>
      <c r="R1094" t="s">
        <v>343</v>
      </c>
      <c r="S1094">
        <v>1</v>
      </c>
    </row>
    <row r="1095" spans="1:19" x14ac:dyDescent="0.25">
      <c r="A1095" t="s">
        <v>33</v>
      </c>
      <c r="B1095" t="s">
        <v>126</v>
      </c>
      <c r="C1095">
        <v>1360</v>
      </c>
      <c r="D1095" t="s">
        <v>341</v>
      </c>
      <c r="E1095">
        <v>29.23</v>
      </c>
      <c r="F1095">
        <v>15.5</v>
      </c>
      <c r="G1095">
        <v>11.93</v>
      </c>
      <c r="H1095">
        <v>27.43</v>
      </c>
      <c r="I1095" t="s">
        <v>343</v>
      </c>
      <c r="J1095">
        <v>70.349999999999994</v>
      </c>
      <c r="K1095">
        <v>2.15</v>
      </c>
      <c r="L1095" t="s">
        <v>346</v>
      </c>
      <c r="M1095" s="1">
        <v>2.1499999999999998E-2</v>
      </c>
      <c r="N1095" t="s">
        <v>350</v>
      </c>
      <c r="O1095">
        <v>5.85</v>
      </c>
      <c r="P1095" t="s">
        <v>343</v>
      </c>
      <c r="Q1095">
        <v>-1.58</v>
      </c>
      <c r="R1095" t="s">
        <v>343</v>
      </c>
      <c r="S1095">
        <v>1</v>
      </c>
    </row>
    <row r="1096" spans="1:19" x14ac:dyDescent="0.25">
      <c r="A1096" t="s">
        <v>33</v>
      </c>
      <c r="B1096" t="s">
        <v>127</v>
      </c>
      <c r="C1096">
        <v>1380</v>
      </c>
      <c r="D1096" t="s">
        <v>341</v>
      </c>
      <c r="E1096">
        <v>29.23</v>
      </c>
      <c r="F1096">
        <v>15.88</v>
      </c>
      <c r="G1096">
        <v>11.18</v>
      </c>
      <c r="H1096">
        <v>27.06</v>
      </c>
      <c r="I1096" t="s">
        <v>343</v>
      </c>
      <c r="J1096">
        <v>70.790000000000006</v>
      </c>
      <c r="K1096">
        <v>2.2200000000000002</v>
      </c>
      <c r="L1096" t="s">
        <v>346</v>
      </c>
      <c r="M1096" s="1">
        <v>2.2200000000000001E-2</v>
      </c>
      <c r="N1096" t="s">
        <v>350</v>
      </c>
      <c r="O1096">
        <v>5.08</v>
      </c>
      <c r="P1096" t="s">
        <v>343</v>
      </c>
      <c r="Q1096">
        <v>-2.12</v>
      </c>
      <c r="R1096" t="s">
        <v>344</v>
      </c>
      <c r="S1096">
        <v>1</v>
      </c>
    </row>
    <row r="1097" spans="1:19" x14ac:dyDescent="0.25">
      <c r="A1097" t="s">
        <v>33</v>
      </c>
      <c r="B1097" t="s">
        <v>128</v>
      </c>
      <c r="C1097">
        <v>1400</v>
      </c>
      <c r="D1097" t="s">
        <v>341</v>
      </c>
      <c r="E1097">
        <v>29.23</v>
      </c>
      <c r="F1097">
        <v>16.91</v>
      </c>
      <c r="G1097">
        <v>10.54</v>
      </c>
      <c r="H1097">
        <v>27.45</v>
      </c>
      <c r="I1097" t="s">
        <v>343</v>
      </c>
      <c r="J1097">
        <v>71.349999999999994</v>
      </c>
      <c r="K1097">
        <v>2.79</v>
      </c>
      <c r="L1097" t="s">
        <v>346</v>
      </c>
      <c r="M1097" s="1">
        <v>2.7900000000000001E-2</v>
      </c>
      <c r="N1097" t="s">
        <v>350</v>
      </c>
      <c r="O1097">
        <v>4.75</v>
      </c>
      <c r="P1097" t="s">
        <v>343</v>
      </c>
      <c r="Q1097">
        <v>-2.5299999999999998</v>
      </c>
      <c r="R1097" t="s">
        <v>344</v>
      </c>
      <c r="S1097">
        <v>1</v>
      </c>
    </row>
    <row r="1098" spans="1:19" x14ac:dyDescent="0.25">
      <c r="A1098" t="s">
        <v>33</v>
      </c>
      <c r="B1098" t="s">
        <v>129</v>
      </c>
      <c r="C1098">
        <v>1420</v>
      </c>
      <c r="D1098" t="s">
        <v>341</v>
      </c>
      <c r="E1098">
        <v>29.23</v>
      </c>
      <c r="F1098">
        <v>17.18</v>
      </c>
      <c r="G1098">
        <v>11.41</v>
      </c>
      <c r="H1098">
        <v>28.59</v>
      </c>
      <c r="I1098" t="s">
        <v>343</v>
      </c>
      <c r="J1098">
        <v>71.92</v>
      </c>
      <c r="K1098">
        <v>2.84</v>
      </c>
      <c r="L1098" t="s">
        <v>346</v>
      </c>
      <c r="M1098" s="1">
        <v>2.8400000000000002E-2</v>
      </c>
      <c r="N1098" t="s">
        <v>350</v>
      </c>
      <c r="O1098">
        <v>4.9000000000000004</v>
      </c>
      <c r="P1098" t="s">
        <v>343</v>
      </c>
      <c r="Q1098">
        <v>-2.21</v>
      </c>
      <c r="R1098" t="s">
        <v>344</v>
      </c>
      <c r="S1098">
        <v>1</v>
      </c>
    </row>
    <row r="1099" spans="1:19" x14ac:dyDescent="0.25">
      <c r="A1099" t="s">
        <v>33</v>
      </c>
      <c r="B1099" t="s">
        <v>130</v>
      </c>
      <c r="C1099">
        <v>1440</v>
      </c>
      <c r="D1099" t="s">
        <v>341</v>
      </c>
      <c r="E1099">
        <v>29.23</v>
      </c>
      <c r="F1099">
        <v>18.18</v>
      </c>
      <c r="G1099">
        <v>12.3</v>
      </c>
      <c r="H1099">
        <v>30.48</v>
      </c>
      <c r="I1099" t="s">
        <v>344</v>
      </c>
      <c r="J1099">
        <v>72.569999999999993</v>
      </c>
      <c r="K1099">
        <v>3.25</v>
      </c>
      <c r="L1099" t="s">
        <v>346</v>
      </c>
      <c r="M1099" s="1">
        <v>3.2500000000000001E-2</v>
      </c>
      <c r="N1099" t="s">
        <v>350</v>
      </c>
      <c r="O1099">
        <v>4.75</v>
      </c>
      <c r="P1099" t="s">
        <v>343</v>
      </c>
      <c r="Q1099">
        <v>-2.13</v>
      </c>
      <c r="R1099" t="s">
        <v>344</v>
      </c>
      <c r="S1099">
        <v>1</v>
      </c>
    </row>
    <row r="1100" spans="1:19" x14ac:dyDescent="0.25">
      <c r="A1100" t="s">
        <v>33</v>
      </c>
      <c r="B1100" t="s">
        <v>131</v>
      </c>
      <c r="C1100">
        <v>1460</v>
      </c>
      <c r="D1100" t="s">
        <v>341</v>
      </c>
      <c r="E1100">
        <v>29.23</v>
      </c>
      <c r="F1100">
        <v>20</v>
      </c>
      <c r="G1100">
        <v>13.48</v>
      </c>
      <c r="H1100">
        <v>33.479999999999997</v>
      </c>
      <c r="I1100" t="s">
        <v>344</v>
      </c>
      <c r="J1100">
        <v>73.19</v>
      </c>
      <c r="K1100">
        <v>3.1</v>
      </c>
      <c r="L1100" t="s">
        <v>346</v>
      </c>
      <c r="M1100" s="1">
        <v>3.1E-2</v>
      </c>
      <c r="N1100" t="s">
        <v>350</v>
      </c>
      <c r="O1100">
        <v>3.57</v>
      </c>
      <c r="P1100" t="s">
        <v>344</v>
      </c>
      <c r="Q1100">
        <v>-1.3</v>
      </c>
      <c r="R1100" t="s">
        <v>343</v>
      </c>
      <c r="S1100">
        <v>1</v>
      </c>
    </row>
    <row r="1101" spans="1:19" x14ac:dyDescent="0.25">
      <c r="A1101" t="s">
        <v>33</v>
      </c>
      <c r="B1101" t="s">
        <v>132</v>
      </c>
      <c r="C1101">
        <v>1480</v>
      </c>
      <c r="D1101" t="s">
        <v>341</v>
      </c>
      <c r="E1101">
        <v>29.23</v>
      </c>
      <c r="F1101">
        <v>20</v>
      </c>
      <c r="G1101">
        <v>15.55</v>
      </c>
      <c r="H1101">
        <v>35.549999999999997</v>
      </c>
      <c r="I1101" t="s">
        <v>344</v>
      </c>
      <c r="J1101">
        <v>74.06</v>
      </c>
      <c r="K1101">
        <v>4.32</v>
      </c>
      <c r="L1101" t="s">
        <v>346</v>
      </c>
      <c r="M1101" s="1">
        <v>4.3200000000000002E-2</v>
      </c>
      <c r="N1101" t="s">
        <v>350</v>
      </c>
      <c r="O1101">
        <v>4.32</v>
      </c>
      <c r="P1101" t="s">
        <v>343</v>
      </c>
      <c r="Q1101">
        <v>-0.55000000000000004</v>
      </c>
      <c r="R1101" t="s">
        <v>343</v>
      </c>
      <c r="S1101">
        <v>1</v>
      </c>
    </row>
    <row r="1102" spans="1:19" x14ac:dyDescent="0.25">
      <c r="A1102" t="s">
        <v>33</v>
      </c>
      <c r="B1102" t="s">
        <v>133</v>
      </c>
      <c r="C1102">
        <v>1500</v>
      </c>
      <c r="D1102" t="s">
        <v>341</v>
      </c>
      <c r="E1102">
        <v>29.23</v>
      </c>
      <c r="F1102">
        <v>20</v>
      </c>
      <c r="G1102">
        <v>17.05</v>
      </c>
      <c r="H1102">
        <v>37.049999999999997</v>
      </c>
      <c r="I1102" t="s">
        <v>344</v>
      </c>
      <c r="J1102">
        <v>74.989999999999995</v>
      </c>
      <c r="K1102">
        <v>4.6900000000000004</v>
      </c>
      <c r="L1102" t="s">
        <v>346</v>
      </c>
      <c r="M1102" s="1">
        <v>4.6899999999999997E-2</v>
      </c>
      <c r="N1102" t="s">
        <v>350</v>
      </c>
      <c r="O1102">
        <v>4.58</v>
      </c>
      <c r="P1102" t="s">
        <v>343</v>
      </c>
      <c r="Q1102">
        <v>-0.51</v>
      </c>
      <c r="R1102" t="s">
        <v>343</v>
      </c>
      <c r="S1102">
        <v>1</v>
      </c>
    </row>
    <row r="1103" spans="1:19" x14ac:dyDescent="0.25">
      <c r="A1103" t="s">
        <v>33</v>
      </c>
      <c r="B1103" t="s">
        <v>134</v>
      </c>
      <c r="C1103">
        <v>1520</v>
      </c>
      <c r="D1103" t="s">
        <v>341</v>
      </c>
      <c r="E1103">
        <v>29.23</v>
      </c>
      <c r="F1103">
        <v>20</v>
      </c>
      <c r="G1103">
        <v>20</v>
      </c>
      <c r="H1103">
        <v>40</v>
      </c>
      <c r="I1103" t="s">
        <v>344</v>
      </c>
      <c r="J1103">
        <v>76.03</v>
      </c>
      <c r="K1103">
        <v>5.16</v>
      </c>
      <c r="L1103" t="s">
        <v>346</v>
      </c>
      <c r="M1103" s="1">
        <v>5.16E-2</v>
      </c>
      <c r="N1103" t="s">
        <v>350</v>
      </c>
      <c r="O1103">
        <v>2.83</v>
      </c>
      <c r="P1103" t="s">
        <v>344</v>
      </c>
      <c r="Q1103">
        <v>-1.1000000000000001</v>
      </c>
      <c r="R1103" t="s">
        <v>343</v>
      </c>
      <c r="S1103">
        <v>1</v>
      </c>
    </row>
    <row r="1104" spans="1:19" x14ac:dyDescent="0.25">
      <c r="A1104" t="s">
        <v>33</v>
      </c>
      <c r="B1104" t="s">
        <v>135</v>
      </c>
      <c r="C1104">
        <v>1540</v>
      </c>
      <c r="D1104" t="s">
        <v>341</v>
      </c>
      <c r="E1104">
        <v>29.23</v>
      </c>
      <c r="F1104">
        <v>20</v>
      </c>
      <c r="G1104">
        <v>20</v>
      </c>
      <c r="H1104">
        <v>40</v>
      </c>
      <c r="I1104" t="s">
        <v>344</v>
      </c>
      <c r="J1104">
        <v>77.55</v>
      </c>
      <c r="K1104">
        <v>7.64</v>
      </c>
      <c r="L1104" t="s">
        <v>346</v>
      </c>
      <c r="M1104" s="1">
        <v>7.6399999999999996E-2</v>
      </c>
      <c r="N1104" t="s">
        <v>350</v>
      </c>
      <c r="O1104">
        <v>2.31</v>
      </c>
      <c r="P1104" t="s">
        <v>344</v>
      </c>
      <c r="Q1104">
        <v>-1.1499999999999999</v>
      </c>
      <c r="R1104" t="s">
        <v>343</v>
      </c>
      <c r="S1104">
        <v>1</v>
      </c>
    </row>
    <row r="1105" spans="1:19" x14ac:dyDescent="0.25">
      <c r="A1105" t="s">
        <v>33</v>
      </c>
      <c r="B1105" t="s">
        <v>233</v>
      </c>
      <c r="C1105">
        <v>1556.6559999999999</v>
      </c>
      <c r="D1105" t="s">
        <v>341</v>
      </c>
      <c r="E1105">
        <v>29.23</v>
      </c>
      <c r="F1105">
        <v>20</v>
      </c>
      <c r="G1105">
        <v>20</v>
      </c>
      <c r="H1105">
        <v>40</v>
      </c>
      <c r="I1105" t="s">
        <v>344</v>
      </c>
      <c r="J1105">
        <v>80.08</v>
      </c>
      <c r="K1105">
        <v>15.19</v>
      </c>
      <c r="L1105" t="s">
        <v>348</v>
      </c>
      <c r="M1105" s="1">
        <v>0.15190000000000001</v>
      </c>
      <c r="N1105" t="s">
        <v>350</v>
      </c>
      <c r="O1105">
        <v>2.93</v>
      </c>
      <c r="P1105" t="s">
        <v>344</v>
      </c>
      <c r="Q1105">
        <v>-1.29</v>
      </c>
      <c r="R1105" t="s">
        <v>343</v>
      </c>
      <c r="S1105">
        <v>0</v>
      </c>
    </row>
    <row r="1106" spans="1:19" x14ac:dyDescent="0.25">
      <c r="A1106" t="s">
        <v>34</v>
      </c>
      <c r="B1106" t="s">
        <v>56</v>
      </c>
      <c r="C1106">
        <v>0</v>
      </c>
      <c r="D1106" t="s">
        <v>342</v>
      </c>
      <c r="E1106">
        <v>24.15</v>
      </c>
      <c r="F1106">
        <v>20</v>
      </c>
      <c r="G1106">
        <v>20</v>
      </c>
      <c r="H1106">
        <v>40</v>
      </c>
      <c r="I1106" t="s">
        <v>344</v>
      </c>
      <c r="J1106">
        <v>133.78</v>
      </c>
      <c r="L1106" t="s">
        <v>345</v>
      </c>
      <c r="N1106" t="s">
        <v>345</v>
      </c>
      <c r="O1106">
        <v>2.82</v>
      </c>
      <c r="P1106" t="s">
        <v>344</v>
      </c>
      <c r="Q1106">
        <v>-1.5</v>
      </c>
      <c r="R1106" t="s">
        <v>343</v>
      </c>
      <c r="S1106">
        <v>1</v>
      </c>
    </row>
    <row r="1107" spans="1:19" x14ac:dyDescent="0.25">
      <c r="A1107" t="s">
        <v>34</v>
      </c>
      <c r="B1107" t="s">
        <v>57</v>
      </c>
      <c r="C1107">
        <v>20</v>
      </c>
      <c r="D1107" t="s">
        <v>342</v>
      </c>
      <c r="E1107">
        <v>24.15</v>
      </c>
      <c r="F1107">
        <v>16.05</v>
      </c>
      <c r="G1107">
        <v>14.94</v>
      </c>
      <c r="H1107">
        <v>30.99</v>
      </c>
      <c r="I1107" t="s">
        <v>344</v>
      </c>
      <c r="J1107">
        <v>133.07</v>
      </c>
      <c r="K1107">
        <v>-3.59</v>
      </c>
      <c r="L1107" t="s">
        <v>346</v>
      </c>
      <c r="M1107" s="1">
        <v>3.5900000000000001E-2</v>
      </c>
      <c r="N1107" t="s">
        <v>350</v>
      </c>
      <c r="O1107">
        <v>4.91</v>
      </c>
      <c r="P1107" t="s">
        <v>343</v>
      </c>
      <c r="Q1107">
        <v>-2.14</v>
      </c>
      <c r="R1107" t="s">
        <v>344</v>
      </c>
      <c r="S1107">
        <v>1</v>
      </c>
    </row>
    <row r="1108" spans="1:19" x14ac:dyDescent="0.25">
      <c r="A1108" t="s">
        <v>34</v>
      </c>
      <c r="B1108" t="s">
        <v>58</v>
      </c>
      <c r="C1108">
        <v>40</v>
      </c>
      <c r="D1108" t="s">
        <v>342</v>
      </c>
      <c r="E1108">
        <v>24.15</v>
      </c>
      <c r="F1108">
        <v>14.12</v>
      </c>
      <c r="G1108">
        <v>13.62</v>
      </c>
      <c r="H1108">
        <v>27.75</v>
      </c>
      <c r="I1108" t="s">
        <v>344</v>
      </c>
      <c r="J1108">
        <v>132.04</v>
      </c>
      <c r="K1108">
        <v>-5.16</v>
      </c>
      <c r="L1108" t="s">
        <v>346</v>
      </c>
      <c r="M1108" s="1">
        <v>5.16E-2</v>
      </c>
      <c r="N1108" t="s">
        <v>350</v>
      </c>
      <c r="O1108">
        <v>4.8899999999999997</v>
      </c>
      <c r="P1108" t="s">
        <v>343</v>
      </c>
      <c r="Q1108">
        <v>0.46</v>
      </c>
      <c r="R1108" t="s">
        <v>343</v>
      </c>
      <c r="S1108">
        <v>1</v>
      </c>
    </row>
    <row r="1109" spans="1:19" x14ac:dyDescent="0.25">
      <c r="A1109" t="s">
        <v>34</v>
      </c>
      <c r="B1109" t="s">
        <v>59</v>
      </c>
      <c r="C1109">
        <v>60</v>
      </c>
      <c r="D1109" t="s">
        <v>342</v>
      </c>
      <c r="E1109">
        <v>24.15</v>
      </c>
      <c r="F1109">
        <v>12.97</v>
      </c>
      <c r="G1109">
        <v>13.46</v>
      </c>
      <c r="H1109">
        <v>26.43</v>
      </c>
      <c r="I1109" t="s">
        <v>344</v>
      </c>
      <c r="J1109">
        <v>130.87</v>
      </c>
      <c r="K1109">
        <v>-5.8</v>
      </c>
      <c r="L1109" t="s">
        <v>346</v>
      </c>
      <c r="M1109" s="1">
        <v>5.8000000000000003E-2</v>
      </c>
      <c r="N1109" t="s">
        <v>350</v>
      </c>
      <c r="O1109">
        <v>3.99</v>
      </c>
      <c r="P1109" t="s">
        <v>344</v>
      </c>
      <c r="Q1109">
        <v>2.11</v>
      </c>
      <c r="R1109" t="s">
        <v>344</v>
      </c>
      <c r="S1109">
        <v>1</v>
      </c>
    </row>
    <row r="1110" spans="1:19" x14ac:dyDescent="0.25">
      <c r="A1110" t="s">
        <v>34</v>
      </c>
      <c r="B1110" t="s">
        <v>60</v>
      </c>
      <c r="C1110">
        <v>80</v>
      </c>
      <c r="D1110" t="s">
        <v>342</v>
      </c>
      <c r="E1110">
        <v>24.15</v>
      </c>
      <c r="F1110">
        <v>12.11</v>
      </c>
      <c r="G1110">
        <v>13.34</v>
      </c>
      <c r="H1110">
        <v>25.45</v>
      </c>
      <c r="I1110" t="s">
        <v>344</v>
      </c>
      <c r="J1110">
        <v>129.74</v>
      </c>
      <c r="K1110">
        <v>-5.66</v>
      </c>
      <c r="L1110" t="s">
        <v>346</v>
      </c>
      <c r="M1110" s="1">
        <v>5.6599999999999998E-2</v>
      </c>
      <c r="N1110" t="s">
        <v>350</v>
      </c>
      <c r="O1110">
        <v>1.95</v>
      </c>
      <c r="P1110" t="s">
        <v>343</v>
      </c>
      <c r="Q1110">
        <v>3.22</v>
      </c>
      <c r="R1110" t="s">
        <v>344</v>
      </c>
      <c r="S1110">
        <v>1</v>
      </c>
    </row>
    <row r="1111" spans="1:19" x14ac:dyDescent="0.25">
      <c r="A1111" t="s">
        <v>34</v>
      </c>
      <c r="B1111" t="s">
        <v>61</v>
      </c>
      <c r="C1111">
        <v>100</v>
      </c>
      <c r="D1111" t="s">
        <v>342</v>
      </c>
      <c r="E1111">
        <v>24.15</v>
      </c>
      <c r="F1111">
        <v>11.46</v>
      </c>
      <c r="G1111">
        <v>13.27</v>
      </c>
      <c r="H1111">
        <v>24.73</v>
      </c>
      <c r="I1111" t="s">
        <v>344</v>
      </c>
      <c r="J1111">
        <v>128.88</v>
      </c>
      <c r="K1111">
        <v>-4.34</v>
      </c>
      <c r="L1111" t="s">
        <v>346</v>
      </c>
      <c r="M1111" s="1">
        <v>4.3400000000000001E-2</v>
      </c>
      <c r="N1111" t="s">
        <v>350</v>
      </c>
      <c r="O1111">
        <v>3.22</v>
      </c>
      <c r="P1111" t="s">
        <v>344</v>
      </c>
      <c r="Q1111">
        <v>0.4</v>
      </c>
      <c r="R1111" t="s">
        <v>343</v>
      </c>
      <c r="S1111">
        <v>1</v>
      </c>
    </row>
    <row r="1112" spans="1:19" x14ac:dyDescent="0.25">
      <c r="A1112" t="s">
        <v>34</v>
      </c>
      <c r="B1112" t="s">
        <v>62</v>
      </c>
      <c r="C1112">
        <v>120</v>
      </c>
      <c r="D1112" t="s">
        <v>342</v>
      </c>
      <c r="E1112">
        <v>24.15</v>
      </c>
      <c r="F1112">
        <v>10.92</v>
      </c>
      <c r="G1112">
        <v>12.5</v>
      </c>
      <c r="H1112">
        <v>23.42</v>
      </c>
      <c r="I1112" t="s">
        <v>343</v>
      </c>
      <c r="J1112">
        <v>128.47999999999999</v>
      </c>
      <c r="K1112">
        <v>-1.99</v>
      </c>
      <c r="L1112" t="s">
        <v>346</v>
      </c>
      <c r="M1112" s="1">
        <v>1.9900000000000001E-2</v>
      </c>
      <c r="N1112" t="s">
        <v>349</v>
      </c>
      <c r="O1112">
        <v>3.8</v>
      </c>
      <c r="P1112" t="s">
        <v>344</v>
      </c>
      <c r="Q1112">
        <v>1.92</v>
      </c>
      <c r="R1112" t="s">
        <v>343</v>
      </c>
      <c r="S1112">
        <v>1</v>
      </c>
    </row>
    <row r="1113" spans="1:19" x14ac:dyDescent="0.25">
      <c r="A1113" t="s">
        <v>34</v>
      </c>
      <c r="B1113" t="s">
        <v>63</v>
      </c>
      <c r="C1113">
        <v>140</v>
      </c>
      <c r="D1113" t="s">
        <v>342</v>
      </c>
      <c r="E1113">
        <v>24.15</v>
      </c>
      <c r="F1113">
        <v>11.17</v>
      </c>
      <c r="G1113">
        <v>13.1</v>
      </c>
      <c r="H1113">
        <v>24.27</v>
      </c>
      <c r="I1113" t="s">
        <v>344</v>
      </c>
      <c r="J1113">
        <v>127.97</v>
      </c>
      <c r="K1113">
        <v>-2.54</v>
      </c>
      <c r="L1113" t="s">
        <v>346</v>
      </c>
      <c r="M1113" s="1">
        <v>2.5399999999999999E-2</v>
      </c>
      <c r="N1113" t="s">
        <v>350</v>
      </c>
      <c r="O1113">
        <v>2.96</v>
      </c>
      <c r="P1113" t="s">
        <v>344</v>
      </c>
      <c r="Q1113">
        <v>0.22</v>
      </c>
      <c r="R1113" t="s">
        <v>343</v>
      </c>
      <c r="S1113">
        <v>1</v>
      </c>
    </row>
    <row r="1114" spans="1:19" x14ac:dyDescent="0.25">
      <c r="A1114" t="s">
        <v>34</v>
      </c>
      <c r="B1114" t="s">
        <v>64</v>
      </c>
      <c r="C1114">
        <v>160</v>
      </c>
      <c r="D1114" t="s">
        <v>342</v>
      </c>
      <c r="E1114">
        <v>24.15</v>
      </c>
      <c r="F1114">
        <v>11.17</v>
      </c>
      <c r="G1114">
        <v>13.25</v>
      </c>
      <c r="H1114">
        <v>24.42</v>
      </c>
      <c r="I1114" t="s">
        <v>344</v>
      </c>
      <c r="J1114">
        <v>127.55</v>
      </c>
      <c r="K1114">
        <v>-2.0699999999999998</v>
      </c>
      <c r="L1114" t="s">
        <v>346</v>
      </c>
      <c r="M1114" s="1">
        <v>2.07E-2</v>
      </c>
      <c r="N1114" t="s">
        <v>350</v>
      </c>
      <c r="O1114">
        <v>4.67</v>
      </c>
      <c r="P1114" t="s">
        <v>343</v>
      </c>
      <c r="Q1114">
        <v>0.94</v>
      </c>
      <c r="R1114" t="s">
        <v>343</v>
      </c>
      <c r="S1114">
        <v>1</v>
      </c>
    </row>
    <row r="1115" spans="1:19" x14ac:dyDescent="0.25">
      <c r="A1115" t="s">
        <v>34</v>
      </c>
      <c r="B1115" t="s">
        <v>65</v>
      </c>
      <c r="C1115">
        <v>180</v>
      </c>
      <c r="D1115" t="s">
        <v>342</v>
      </c>
      <c r="E1115">
        <v>24.15</v>
      </c>
      <c r="F1115">
        <v>12.83</v>
      </c>
      <c r="G1115">
        <v>14.54</v>
      </c>
      <c r="H1115">
        <v>27.37</v>
      </c>
      <c r="I1115" t="s">
        <v>344</v>
      </c>
      <c r="J1115">
        <v>127</v>
      </c>
      <c r="K1115">
        <v>-2.76</v>
      </c>
      <c r="L1115" t="s">
        <v>346</v>
      </c>
      <c r="M1115" s="1">
        <v>2.76E-2</v>
      </c>
      <c r="N1115" t="s">
        <v>350</v>
      </c>
      <c r="O1115">
        <v>1.29</v>
      </c>
      <c r="P1115" t="s">
        <v>343</v>
      </c>
      <c r="Q1115">
        <v>-0.62</v>
      </c>
      <c r="R1115" t="s">
        <v>343</v>
      </c>
      <c r="S1115">
        <v>1</v>
      </c>
    </row>
    <row r="1116" spans="1:19" x14ac:dyDescent="0.25">
      <c r="A1116" t="s">
        <v>34</v>
      </c>
      <c r="B1116" t="s">
        <v>66</v>
      </c>
      <c r="C1116">
        <v>200</v>
      </c>
      <c r="D1116" t="s">
        <v>342</v>
      </c>
      <c r="E1116">
        <v>24.15</v>
      </c>
      <c r="F1116">
        <v>20</v>
      </c>
      <c r="G1116">
        <v>15.01</v>
      </c>
      <c r="H1116">
        <v>35.01</v>
      </c>
      <c r="I1116" t="s">
        <v>344</v>
      </c>
      <c r="J1116">
        <v>126.53</v>
      </c>
      <c r="K1116">
        <v>-2.35</v>
      </c>
      <c r="L1116" t="s">
        <v>346</v>
      </c>
      <c r="M1116" s="1">
        <v>2.35E-2</v>
      </c>
      <c r="N1116" t="s">
        <v>350</v>
      </c>
      <c r="O1116">
        <v>7.61</v>
      </c>
      <c r="P1116" t="s">
        <v>343</v>
      </c>
      <c r="Q1116">
        <v>0.96</v>
      </c>
      <c r="R1116" t="s">
        <v>343</v>
      </c>
      <c r="S1116">
        <v>1</v>
      </c>
    </row>
    <row r="1117" spans="1:19" x14ac:dyDescent="0.25">
      <c r="A1117" t="s">
        <v>34</v>
      </c>
      <c r="B1117" t="s">
        <v>67</v>
      </c>
      <c r="C1117">
        <v>220</v>
      </c>
      <c r="D1117" t="s">
        <v>342</v>
      </c>
      <c r="E1117">
        <v>24.15</v>
      </c>
      <c r="F1117">
        <v>12.83</v>
      </c>
      <c r="G1117">
        <v>14.54</v>
      </c>
      <c r="H1117">
        <v>27.37</v>
      </c>
      <c r="I1117" t="s">
        <v>344</v>
      </c>
      <c r="J1117">
        <v>126.24</v>
      </c>
      <c r="K1117">
        <v>-1.45</v>
      </c>
      <c r="L1117" t="s">
        <v>346</v>
      </c>
      <c r="M1117" s="1">
        <v>1.4500000000000001E-2</v>
      </c>
      <c r="N1117" t="s">
        <v>349</v>
      </c>
      <c r="O1117">
        <v>62.01</v>
      </c>
      <c r="P1117" t="s">
        <v>343</v>
      </c>
      <c r="Q1117">
        <v>2.2400000000000002</v>
      </c>
      <c r="R1117" t="s">
        <v>344</v>
      </c>
      <c r="S1117">
        <v>1</v>
      </c>
    </row>
    <row r="1118" spans="1:19" x14ac:dyDescent="0.25">
      <c r="A1118" t="s">
        <v>34</v>
      </c>
      <c r="B1118" t="s">
        <v>68</v>
      </c>
      <c r="C1118">
        <v>240</v>
      </c>
      <c r="D1118" t="s">
        <v>342</v>
      </c>
      <c r="E1118">
        <v>24.15</v>
      </c>
      <c r="F1118">
        <v>10.82</v>
      </c>
      <c r="G1118">
        <v>15.01</v>
      </c>
      <c r="H1118">
        <v>25.83</v>
      </c>
      <c r="I1118" t="s">
        <v>344</v>
      </c>
      <c r="J1118">
        <v>126.41</v>
      </c>
      <c r="K1118">
        <v>0.82</v>
      </c>
      <c r="L1118" t="s">
        <v>346</v>
      </c>
      <c r="M1118" s="1">
        <v>8.199999999999999E-3</v>
      </c>
      <c r="N1118" t="s">
        <v>349</v>
      </c>
      <c r="O1118">
        <v>55.94</v>
      </c>
      <c r="P1118" t="s">
        <v>343</v>
      </c>
      <c r="Q1118">
        <v>0.02</v>
      </c>
      <c r="R1118" t="s">
        <v>343</v>
      </c>
      <c r="S1118">
        <v>1</v>
      </c>
    </row>
    <row r="1119" spans="1:19" x14ac:dyDescent="0.25">
      <c r="A1119" t="s">
        <v>34</v>
      </c>
      <c r="B1119" t="s">
        <v>69</v>
      </c>
      <c r="C1119">
        <v>260</v>
      </c>
      <c r="D1119" t="s">
        <v>342</v>
      </c>
      <c r="E1119">
        <v>24.15</v>
      </c>
      <c r="F1119">
        <v>11.34</v>
      </c>
      <c r="G1119">
        <v>15.22</v>
      </c>
      <c r="H1119">
        <v>26.56</v>
      </c>
      <c r="I1119" t="s">
        <v>344</v>
      </c>
      <c r="J1119">
        <v>126.91</v>
      </c>
      <c r="K1119">
        <v>2.5</v>
      </c>
      <c r="L1119" t="s">
        <v>346</v>
      </c>
      <c r="M1119" s="1">
        <v>2.5000000000000001E-2</v>
      </c>
      <c r="N1119" t="s">
        <v>350</v>
      </c>
      <c r="O1119">
        <v>2.4300000000000002</v>
      </c>
      <c r="P1119" t="s">
        <v>344</v>
      </c>
      <c r="Q1119">
        <v>-0.24</v>
      </c>
      <c r="R1119" t="s">
        <v>343</v>
      </c>
      <c r="S1119">
        <v>1</v>
      </c>
    </row>
    <row r="1120" spans="1:19" x14ac:dyDescent="0.25">
      <c r="A1120" t="s">
        <v>34</v>
      </c>
      <c r="B1120" t="s">
        <v>70</v>
      </c>
      <c r="C1120">
        <v>280</v>
      </c>
      <c r="D1120" t="s">
        <v>342</v>
      </c>
      <c r="E1120">
        <v>24.15</v>
      </c>
      <c r="F1120">
        <v>10.82</v>
      </c>
      <c r="G1120">
        <v>14.34</v>
      </c>
      <c r="H1120">
        <v>25.16</v>
      </c>
      <c r="I1120" t="s">
        <v>344</v>
      </c>
      <c r="J1120">
        <v>127.64</v>
      </c>
      <c r="K1120">
        <v>3.65</v>
      </c>
      <c r="L1120" t="s">
        <v>346</v>
      </c>
      <c r="M1120" s="1">
        <v>3.6499999999999998E-2</v>
      </c>
      <c r="N1120" t="s">
        <v>350</v>
      </c>
      <c r="O1120">
        <v>4.76</v>
      </c>
      <c r="P1120" t="s">
        <v>343</v>
      </c>
      <c r="Q1120">
        <v>0</v>
      </c>
      <c r="R1120" t="s">
        <v>343</v>
      </c>
      <c r="S1120">
        <v>1</v>
      </c>
    </row>
    <row r="1121" spans="1:19" x14ac:dyDescent="0.25">
      <c r="A1121" t="s">
        <v>34</v>
      </c>
      <c r="B1121" t="s">
        <v>71</v>
      </c>
      <c r="C1121">
        <v>300</v>
      </c>
      <c r="D1121" t="s">
        <v>342</v>
      </c>
      <c r="E1121">
        <v>24.15</v>
      </c>
      <c r="F1121">
        <v>11.34</v>
      </c>
      <c r="G1121">
        <v>12.88</v>
      </c>
      <c r="H1121">
        <v>24.22</v>
      </c>
      <c r="I1121" t="s">
        <v>344</v>
      </c>
      <c r="J1121">
        <v>128.72</v>
      </c>
      <c r="K1121">
        <v>5.4</v>
      </c>
      <c r="L1121" t="s">
        <v>346</v>
      </c>
      <c r="M1121" s="1">
        <v>5.4000000000000013E-2</v>
      </c>
      <c r="N1121" t="s">
        <v>350</v>
      </c>
      <c r="O1121">
        <v>5.56</v>
      </c>
      <c r="P1121" t="s">
        <v>343</v>
      </c>
      <c r="Q1121">
        <v>0.66</v>
      </c>
      <c r="R1121" t="s">
        <v>343</v>
      </c>
      <c r="S1121">
        <v>1</v>
      </c>
    </row>
    <row r="1122" spans="1:19" x14ac:dyDescent="0.25">
      <c r="A1122" t="s">
        <v>34</v>
      </c>
      <c r="B1122" t="s">
        <v>72</v>
      </c>
      <c r="C1122">
        <v>320</v>
      </c>
      <c r="D1122" t="s">
        <v>342</v>
      </c>
      <c r="E1122">
        <v>24.15</v>
      </c>
      <c r="F1122">
        <v>10.8</v>
      </c>
      <c r="G1122">
        <v>13.02</v>
      </c>
      <c r="H1122">
        <v>23.83</v>
      </c>
      <c r="I1122" t="s">
        <v>343</v>
      </c>
      <c r="J1122">
        <v>130.03</v>
      </c>
      <c r="K1122">
        <v>6.58</v>
      </c>
      <c r="L1122" t="s">
        <v>346</v>
      </c>
      <c r="M1122" s="1">
        <v>6.5799999999999997E-2</v>
      </c>
      <c r="N1122" t="s">
        <v>350</v>
      </c>
      <c r="O1122">
        <v>2.97</v>
      </c>
      <c r="P1122" t="s">
        <v>344</v>
      </c>
      <c r="Q1122">
        <v>0.39</v>
      </c>
      <c r="R1122" t="s">
        <v>343</v>
      </c>
      <c r="S1122">
        <v>1</v>
      </c>
    </row>
    <row r="1123" spans="1:19" x14ac:dyDescent="0.25">
      <c r="A1123" t="s">
        <v>34</v>
      </c>
      <c r="B1123" t="s">
        <v>73</v>
      </c>
      <c r="C1123">
        <v>340</v>
      </c>
      <c r="D1123" t="s">
        <v>342</v>
      </c>
      <c r="E1123">
        <v>24.15</v>
      </c>
      <c r="F1123">
        <v>10.79</v>
      </c>
      <c r="G1123">
        <v>13.16</v>
      </c>
      <c r="H1123">
        <v>23.95</v>
      </c>
      <c r="I1123" t="s">
        <v>343</v>
      </c>
      <c r="J1123">
        <v>131.47999999999999</v>
      </c>
      <c r="K1123">
        <v>7.25</v>
      </c>
      <c r="L1123" t="s">
        <v>346</v>
      </c>
      <c r="M1123" s="1">
        <v>7.2499999999999995E-2</v>
      </c>
      <c r="N1123" t="s">
        <v>350</v>
      </c>
      <c r="O1123">
        <v>2.36</v>
      </c>
      <c r="P1123" t="s">
        <v>344</v>
      </c>
      <c r="Q1123">
        <v>0.79</v>
      </c>
      <c r="R1123" t="s">
        <v>343</v>
      </c>
      <c r="S1123">
        <v>1</v>
      </c>
    </row>
    <row r="1124" spans="1:19" x14ac:dyDescent="0.25">
      <c r="A1124" t="s">
        <v>34</v>
      </c>
      <c r="B1124" t="s">
        <v>74</v>
      </c>
      <c r="C1124">
        <v>360</v>
      </c>
      <c r="D1124" t="s">
        <v>342</v>
      </c>
      <c r="E1124">
        <v>24.15</v>
      </c>
      <c r="F1124">
        <v>10.81</v>
      </c>
      <c r="G1124">
        <v>13.04</v>
      </c>
      <c r="H1124">
        <v>23.85</v>
      </c>
      <c r="I1124" t="s">
        <v>343</v>
      </c>
      <c r="J1124">
        <v>132.68</v>
      </c>
      <c r="K1124">
        <v>5.99</v>
      </c>
      <c r="L1124" t="s">
        <v>346</v>
      </c>
      <c r="M1124" s="1">
        <v>5.9900000000000002E-2</v>
      </c>
      <c r="N1124" t="s">
        <v>350</v>
      </c>
      <c r="O1124">
        <v>3.62</v>
      </c>
      <c r="P1124" t="s">
        <v>344</v>
      </c>
      <c r="Q1124">
        <v>-0.47</v>
      </c>
      <c r="R1124" t="s">
        <v>343</v>
      </c>
      <c r="S1124">
        <v>1</v>
      </c>
    </row>
    <row r="1125" spans="1:19" x14ac:dyDescent="0.25">
      <c r="A1125" t="s">
        <v>34</v>
      </c>
      <c r="B1125" t="s">
        <v>75</v>
      </c>
      <c r="C1125">
        <v>380</v>
      </c>
      <c r="D1125" t="s">
        <v>342</v>
      </c>
      <c r="E1125">
        <v>24.15</v>
      </c>
      <c r="F1125">
        <v>12.18</v>
      </c>
      <c r="G1125">
        <v>11.59</v>
      </c>
      <c r="H1125">
        <v>23.77</v>
      </c>
      <c r="I1125" t="s">
        <v>343</v>
      </c>
      <c r="J1125">
        <v>133.54</v>
      </c>
      <c r="K1125">
        <v>4.29</v>
      </c>
      <c r="L1125" t="s">
        <v>346</v>
      </c>
      <c r="M1125" s="1">
        <v>4.2900000000000001E-2</v>
      </c>
      <c r="N1125" t="s">
        <v>350</v>
      </c>
      <c r="O1125">
        <v>3.25</v>
      </c>
      <c r="P1125" t="s">
        <v>344</v>
      </c>
      <c r="Q1125">
        <v>0.13</v>
      </c>
      <c r="R1125" t="s">
        <v>343</v>
      </c>
      <c r="S1125">
        <v>1</v>
      </c>
    </row>
    <row r="1126" spans="1:19" x14ac:dyDescent="0.25">
      <c r="A1126" t="s">
        <v>34</v>
      </c>
      <c r="B1126" t="s">
        <v>76</v>
      </c>
      <c r="C1126">
        <v>400</v>
      </c>
      <c r="D1126" t="s">
        <v>342</v>
      </c>
      <c r="E1126">
        <v>24.15</v>
      </c>
      <c r="F1126">
        <v>12.88</v>
      </c>
      <c r="G1126">
        <v>12.66</v>
      </c>
      <c r="H1126">
        <v>25.55</v>
      </c>
      <c r="I1126" t="s">
        <v>344</v>
      </c>
      <c r="J1126">
        <v>134.34</v>
      </c>
      <c r="K1126">
        <v>4.0199999999999996</v>
      </c>
      <c r="L1126" t="s">
        <v>346</v>
      </c>
      <c r="M1126" s="1">
        <v>4.0199999999999993E-2</v>
      </c>
      <c r="N1126" t="s">
        <v>350</v>
      </c>
      <c r="O1126">
        <v>1.74</v>
      </c>
      <c r="P1126" t="s">
        <v>343</v>
      </c>
      <c r="Q1126">
        <v>0.38</v>
      </c>
      <c r="R1126" t="s">
        <v>343</v>
      </c>
      <c r="S1126">
        <v>1</v>
      </c>
    </row>
    <row r="1127" spans="1:19" x14ac:dyDescent="0.25">
      <c r="A1127" t="s">
        <v>34</v>
      </c>
      <c r="B1127" t="s">
        <v>77</v>
      </c>
      <c r="C1127">
        <v>420</v>
      </c>
      <c r="D1127" t="s">
        <v>342</v>
      </c>
      <c r="E1127">
        <v>24.15</v>
      </c>
      <c r="F1127">
        <v>13.88</v>
      </c>
      <c r="G1127">
        <v>20</v>
      </c>
      <c r="H1127">
        <v>33.880000000000003</v>
      </c>
      <c r="I1127" t="s">
        <v>344</v>
      </c>
      <c r="J1127">
        <v>134.71</v>
      </c>
      <c r="K1127">
        <v>1.87</v>
      </c>
      <c r="L1127" t="s">
        <v>346</v>
      </c>
      <c r="M1127" s="1">
        <v>1.8700000000000001E-2</v>
      </c>
      <c r="N1127" t="s">
        <v>349</v>
      </c>
      <c r="O1127">
        <v>2.85</v>
      </c>
      <c r="P1127" t="s">
        <v>344</v>
      </c>
      <c r="Q1127">
        <v>-0.33</v>
      </c>
      <c r="R1127" t="s">
        <v>343</v>
      </c>
      <c r="S1127">
        <v>1</v>
      </c>
    </row>
    <row r="1128" spans="1:19" x14ac:dyDescent="0.25">
      <c r="A1128" t="s">
        <v>34</v>
      </c>
      <c r="B1128" t="s">
        <v>78</v>
      </c>
      <c r="C1128">
        <v>440</v>
      </c>
      <c r="D1128" t="s">
        <v>342</v>
      </c>
      <c r="E1128">
        <v>24.15</v>
      </c>
      <c r="F1128">
        <v>15.84</v>
      </c>
      <c r="G1128">
        <v>20</v>
      </c>
      <c r="H1128">
        <v>35.840000000000003</v>
      </c>
      <c r="I1128" t="s">
        <v>344</v>
      </c>
      <c r="J1128">
        <v>135.12</v>
      </c>
      <c r="K1128">
        <v>2.0099999999999998</v>
      </c>
      <c r="L1128" t="s">
        <v>346</v>
      </c>
      <c r="M1128" s="1">
        <v>2.01E-2</v>
      </c>
      <c r="N1128" t="s">
        <v>350</v>
      </c>
      <c r="O1128">
        <v>3.9</v>
      </c>
      <c r="P1128" t="s">
        <v>344</v>
      </c>
      <c r="Q1128">
        <v>-0.41</v>
      </c>
      <c r="R1128" t="s">
        <v>343</v>
      </c>
      <c r="S1128">
        <v>1</v>
      </c>
    </row>
    <row r="1129" spans="1:19" x14ac:dyDescent="0.25">
      <c r="A1129" t="s">
        <v>34</v>
      </c>
      <c r="B1129" t="s">
        <v>79</v>
      </c>
      <c r="C1129">
        <v>460</v>
      </c>
      <c r="D1129" t="s">
        <v>342</v>
      </c>
      <c r="E1129">
        <v>24.15</v>
      </c>
      <c r="F1129">
        <v>16.190000000000001</v>
      </c>
      <c r="G1129">
        <v>20</v>
      </c>
      <c r="H1129">
        <v>36.19</v>
      </c>
      <c r="I1129" t="s">
        <v>344</v>
      </c>
      <c r="J1129">
        <v>135.22999999999999</v>
      </c>
      <c r="K1129">
        <v>0.56999999999999995</v>
      </c>
      <c r="L1129" t="s">
        <v>346</v>
      </c>
      <c r="M1129" s="1">
        <v>5.6999999999999993E-3</v>
      </c>
      <c r="N1129" t="s">
        <v>349</v>
      </c>
      <c r="O1129">
        <v>3.64</v>
      </c>
      <c r="P1129" t="s">
        <v>344</v>
      </c>
      <c r="Q1129">
        <v>-0.53</v>
      </c>
      <c r="R1129" t="s">
        <v>343</v>
      </c>
      <c r="S1129">
        <v>1</v>
      </c>
    </row>
    <row r="1130" spans="1:19" x14ac:dyDescent="0.25">
      <c r="A1130" t="s">
        <v>34</v>
      </c>
      <c r="B1130" t="s">
        <v>80</v>
      </c>
      <c r="C1130">
        <v>480</v>
      </c>
      <c r="D1130" t="s">
        <v>342</v>
      </c>
      <c r="E1130">
        <v>24.15</v>
      </c>
      <c r="F1130">
        <v>16.440000000000001</v>
      </c>
      <c r="G1130">
        <v>20</v>
      </c>
      <c r="H1130">
        <v>36.44</v>
      </c>
      <c r="I1130" t="s">
        <v>344</v>
      </c>
      <c r="J1130">
        <v>135.38999999999999</v>
      </c>
      <c r="K1130">
        <v>0.8</v>
      </c>
      <c r="L1130" t="s">
        <v>346</v>
      </c>
      <c r="M1130" s="1">
        <v>8.0000000000000002E-3</v>
      </c>
      <c r="N1130" t="s">
        <v>349</v>
      </c>
      <c r="O1130">
        <v>0.69</v>
      </c>
      <c r="P1130" t="s">
        <v>343</v>
      </c>
      <c r="Q1130">
        <v>0.35</v>
      </c>
      <c r="R1130" t="s">
        <v>343</v>
      </c>
      <c r="S1130">
        <v>1</v>
      </c>
    </row>
    <row r="1131" spans="1:19" x14ac:dyDescent="0.25">
      <c r="A1131" t="s">
        <v>34</v>
      </c>
      <c r="B1131" t="s">
        <v>81</v>
      </c>
      <c r="C1131">
        <v>500</v>
      </c>
      <c r="D1131" t="s">
        <v>342</v>
      </c>
      <c r="E1131">
        <v>24.15</v>
      </c>
      <c r="F1131">
        <v>14.89</v>
      </c>
      <c r="G1131">
        <v>20</v>
      </c>
      <c r="H1131">
        <v>34.89</v>
      </c>
      <c r="I1131" t="s">
        <v>344</v>
      </c>
      <c r="J1131">
        <v>135.72</v>
      </c>
      <c r="K1131">
        <v>1.66</v>
      </c>
      <c r="L1131" t="s">
        <v>346</v>
      </c>
      <c r="M1131" s="1">
        <v>1.66E-2</v>
      </c>
      <c r="N1131" t="s">
        <v>349</v>
      </c>
      <c r="O1131">
        <v>-0.6</v>
      </c>
      <c r="P1131" t="s">
        <v>343</v>
      </c>
      <c r="Q1131">
        <v>2.76</v>
      </c>
      <c r="R1131" t="s">
        <v>344</v>
      </c>
      <c r="S1131">
        <v>1</v>
      </c>
    </row>
    <row r="1132" spans="1:19" x14ac:dyDescent="0.25">
      <c r="A1132" t="s">
        <v>34</v>
      </c>
      <c r="B1132" t="s">
        <v>82</v>
      </c>
      <c r="C1132">
        <v>520</v>
      </c>
      <c r="D1132" t="s">
        <v>342</v>
      </c>
      <c r="E1132">
        <v>24.15</v>
      </c>
      <c r="F1132">
        <v>14.89</v>
      </c>
      <c r="G1132">
        <v>17</v>
      </c>
      <c r="H1132">
        <v>31.88</v>
      </c>
      <c r="I1132" t="s">
        <v>344</v>
      </c>
      <c r="J1132">
        <v>135.72</v>
      </c>
      <c r="K1132">
        <v>-0.01</v>
      </c>
      <c r="L1132" t="s">
        <v>346</v>
      </c>
      <c r="M1132" s="1">
        <v>1E-4</v>
      </c>
      <c r="N1132" t="s">
        <v>349</v>
      </c>
      <c r="O1132">
        <v>-0.73</v>
      </c>
      <c r="P1132" t="s">
        <v>343</v>
      </c>
      <c r="Q1132">
        <v>3.46</v>
      </c>
      <c r="R1132" t="s">
        <v>344</v>
      </c>
      <c r="S1132">
        <v>1</v>
      </c>
    </row>
    <row r="1133" spans="1:19" x14ac:dyDescent="0.25">
      <c r="A1133" t="s">
        <v>34</v>
      </c>
      <c r="B1133" t="s">
        <v>83</v>
      </c>
      <c r="C1133">
        <v>540</v>
      </c>
      <c r="D1133" t="s">
        <v>342</v>
      </c>
      <c r="E1133">
        <v>24.15</v>
      </c>
      <c r="F1133">
        <v>12.58</v>
      </c>
      <c r="G1133">
        <v>15.57</v>
      </c>
      <c r="H1133">
        <v>28.15</v>
      </c>
      <c r="I1133" t="s">
        <v>344</v>
      </c>
      <c r="J1133">
        <v>135.63</v>
      </c>
      <c r="K1133">
        <v>-0.45</v>
      </c>
      <c r="L1133" t="s">
        <v>346</v>
      </c>
      <c r="M1133" s="1">
        <v>4.5000000000000014E-3</v>
      </c>
      <c r="N1133" t="s">
        <v>349</v>
      </c>
      <c r="O1133">
        <v>2.79</v>
      </c>
      <c r="P1133" t="s">
        <v>344</v>
      </c>
      <c r="Q1133">
        <v>3.58</v>
      </c>
      <c r="R1133" t="s">
        <v>344</v>
      </c>
      <c r="S1133">
        <v>1</v>
      </c>
    </row>
    <row r="1134" spans="1:19" x14ac:dyDescent="0.25">
      <c r="A1134" t="s">
        <v>34</v>
      </c>
      <c r="B1134" t="s">
        <v>84</v>
      </c>
      <c r="C1134">
        <v>560</v>
      </c>
      <c r="D1134" t="s">
        <v>342</v>
      </c>
      <c r="E1134">
        <v>24.15</v>
      </c>
      <c r="F1134">
        <v>10.56</v>
      </c>
      <c r="G1134">
        <v>14.94</v>
      </c>
      <c r="H1134">
        <v>25.5</v>
      </c>
      <c r="I1134" t="s">
        <v>344</v>
      </c>
      <c r="J1134">
        <v>135.55000000000001</v>
      </c>
      <c r="K1134">
        <v>-0.4</v>
      </c>
      <c r="L1134" t="s">
        <v>346</v>
      </c>
      <c r="M1134" s="1">
        <v>4.0000000000000001E-3</v>
      </c>
      <c r="N1134" t="s">
        <v>349</v>
      </c>
      <c r="O1134">
        <v>2.21</v>
      </c>
      <c r="P1134" t="s">
        <v>344</v>
      </c>
      <c r="Q1134">
        <v>1.82</v>
      </c>
      <c r="R1134" t="s">
        <v>343</v>
      </c>
      <c r="S1134">
        <v>1</v>
      </c>
    </row>
    <row r="1135" spans="1:19" x14ac:dyDescent="0.25">
      <c r="A1135" t="s">
        <v>34</v>
      </c>
      <c r="B1135" t="s">
        <v>85</v>
      </c>
      <c r="C1135">
        <v>580</v>
      </c>
      <c r="D1135" t="s">
        <v>342</v>
      </c>
      <c r="E1135">
        <v>24.15</v>
      </c>
      <c r="F1135">
        <v>10.119999999999999</v>
      </c>
      <c r="G1135">
        <v>14.29</v>
      </c>
      <c r="H1135">
        <v>24.42</v>
      </c>
      <c r="I1135" t="s">
        <v>344</v>
      </c>
      <c r="J1135">
        <v>135.29</v>
      </c>
      <c r="K1135">
        <v>-1.33</v>
      </c>
      <c r="L1135" t="s">
        <v>346</v>
      </c>
      <c r="M1135" s="1">
        <v>1.3299999999999999E-2</v>
      </c>
      <c r="N1135" t="s">
        <v>349</v>
      </c>
      <c r="O1135">
        <v>3.71</v>
      </c>
      <c r="P1135" t="s">
        <v>344</v>
      </c>
      <c r="Q1135">
        <v>-0.61</v>
      </c>
      <c r="R1135" t="s">
        <v>343</v>
      </c>
      <c r="S1135">
        <v>1</v>
      </c>
    </row>
    <row r="1136" spans="1:19" x14ac:dyDescent="0.25">
      <c r="A1136" t="s">
        <v>34</v>
      </c>
      <c r="B1136" t="s">
        <v>86</v>
      </c>
      <c r="C1136">
        <v>600</v>
      </c>
      <c r="D1136" t="s">
        <v>342</v>
      </c>
      <c r="E1136">
        <v>24.15</v>
      </c>
      <c r="F1136">
        <v>11.25</v>
      </c>
      <c r="G1136">
        <v>11.98</v>
      </c>
      <c r="H1136">
        <v>23.23</v>
      </c>
      <c r="I1136" t="s">
        <v>343</v>
      </c>
      <c r="J1136">
        <v>135.28</v>
      </c>
      <c r="K1136">
        <v>-0.02</v>
      </c>
      <c r="L1136" t="s">
        <v>346</v>
      </c>
      <c r="M1136" s="1">
        <v>2.0000000000000001E-4</v>
      </c>
      <c r="N1136" t="s">
        <v>349</v>
      </c>
      <c r="O1136">
        <v>5.0999999999999996</v>
      </c>
      <c r="P1136" t="s">
        <v>343</v>
      </c>
      <c r="Q1136">
        <v>3.98</v>
      </c>
      <c r="R1136" t="s">
        <v>344</v>
      </c>
      <c r="S1136">
        <v>1</v>
      </c>
    </row>
    <row r="1137" spans="1:19" x14ac:dyDescent="0.25">
      <c r="A1137" t="s">
        <v>34</v>
      </c>
      <c r="B1137" t="s">
        <v>87</v>
      </c>
      <c r="C1137">
        <v>620</v>
      </c>
      <c r="D1137" t="s">
        <v>342</v>
      </c>
      <c r="E1137">
        <v>24.15</v>
      </c>
      <c r="F1137">
        <v>11.76</v>
      </c>
      <c r="G1137">
        <v>12.25</v>
      </c>
      <c r="H1137">
        <v>24.02</v>
      </c>
      <c r="I1137" t="s">
        <v>343</v>
      </c>
      <c r="J1137">
        <v>135.4</v>
      </c>
      <c r="K1137">
        <v>0.62</v>
      </c>
      <c r="L1137" t="s">
        <v>346</v>
      </c>
      <c r="M1137" s="1">
        <v>6.1999999999999998E-3</v>
      </c>
      <c r="N1137" t="s">
        <v>349</v>
      </c>
      <c r="O1137">
        <v>4.47</v>
      </c>
      <c r="P1137" t="s">
        <v>343</v>
      </c>
      <c r="Q1137">
        <v>1.87</v>
      </c>
      <c r="R1137" t="s">
        <v>343</v>
      </c>
      <c r="S1137">
        <v>1</v>
      </c>
    </row>
    <row r="1138" spans="1:19" x14ac:dyDescent="0.25">
      <c r="A1138" t="s">
        <v>34</v>
      </c>
      <c r="B1138" t="s">
        <v>88</v>
      </c>
      <c r="C1138">
        <v>640</v>
      </c>
      <c r="D1138" t="s">
        <v>342</v>
      </c>
      <c r="E1138">
        <v>24.15</v>
      </c>
      <c r="F1138">
        <v>12.75</v>
      </c>
      <c r="G1138">
        <v>12.68</v>
      </c>
      <c r="H1138">
        <v>25.42</v>
      </c>
      <c r="I1138" t="s">
        <v>344</v>
      </c>
      <c r="J1138">
        <v>135.37</v>
      </c>
      <c r="K1138">
        <v>-0.18</v>
      </c>
      <c r="L1138" t="s">
        <v>346</v>
      </c>
      <c r="M1138" s="1">
        <v>1.8E-3</v>
      </c>
      <c r="N1138" t="s">
        <v>349</v>
      </c>
      <c r="O1138">
        <v>4.83</v>
      </c>
      <c r="P1138" t="s">
        <v>343</v>
      </c>
      <c r="Q1138">
        <v>1.54</v>
      </c>
      <c r="R1138" t="s">
        <v>343</v>
      </c>
      <c r="S1138">
        <v>1</v>
      </c>
    </row>
    <row r="1139" spans="1:19" x14ac:dyDescent="0.25">
      <c r="A1139" t="s">
        <v>34</v>
      </c>
      <c r="B1139" t="s">
        <v>89</v>
      </c>
      <c r="C1139">
        <v>660</v>
      </c>
      <c r="D1139" t="s">
        <v>342</v>
      </c>
      <c r="E1139">
        <v>24.15</v>
      </c>
      <c r="F1139">
        <v>12.82</v>
      </c>
      <c r="G1139">
        <v>12.81</v>
      </c>
      <c r="H1139">
        <v>25.63</v>
      </c>
      <c r="I1139" t="s">
        <v>344</v>
      </c>
      <c r="J1139">
        <v>135.38999999999999</v>
      </c>
      <c r="K1139">
        <v>0.1</v>
      </c>
      <c r="L1139" t="s">
        <v>346</v>
      </c>
      <c r="M1139" s="1">
        <v>1E-3</v>
      </c>
      <c r="N1139" t="s">
        <v>349</v>
      </c>
      <c r="O1139">
        <v>5.01</v>
      </c>
      <c r="P1139" t="s">
        <v>343</v>
      </c>
      <c r="Q1139">
        <v>1.66</v>
      </c>
      <c r="R1139" t="s">
        <v>343</v>
      </c>
      <c r="S1139">
        <v>1</v>
      </c>
    </row>
    <row r="1140" spans="1:19" x14ac:dyDescent="0.25">
      <c r="A1140" t="s">
        <v>34</v>
      </c>
      <c r="B1140" t="s">
        <v>90</v>
      </c>
      <c r="C1140">
        <v>680</v>
      </c>
      <c r="D1140" t="s">
        <v>342</v>
      </c>
      <c r="E1140">
        <v>24.15</v>
      </c>
      <c r="F1140">
        <v>13.29</v>
      </c>
      <c r="G1140">
        <v>12.53</v>
      </c>
      <c r="H1140">
        <v>25.83</v>
      </c>
      <c r="I1140" t="s">
        <v>344</v>
      </c>
      <c r="J1140">
        <v>135.38999999999999</v>
      </c>
      <c r="K1140">
        <v>0.02</v>
      </c>
      <c r="L1140" t="s">
        <v>346</v>
      </c>
      <c r="M1140" s="1">
        <v>2.0000000000000001E-4</v>
      </c>
      <c r="N1140" t="s">
        <v>349</v>
      </c>
      <c r="O1140">
        <v>3.35</v>
      </c>
      <c r="P1140" t="s">
        <v>344</v>
      </c>
      <c r="Q1140">
        <v>2.74</v>
      </c>
      <c r="R1140" t="s">
        <v>344</v>
      </c>
      <c r="S1140">
        <v>1</v>
      </c>
    </row>
    <row r="1141" spans="1:19" x14ac:dyDescent="0.25">
      <c r="A1141" t="s">
        <v>34</v>
      </c>
      <c r="B1141" t="s">
        <v>91</v>
      </c>
      <c r="C1141">
        <v>700</v>
      </c>
      <c r="D1141" t="s">
        <v>342</v>
      </c>
      <c r="E1141">
        <v>24.15</v>
      </c>
      <c r="F1141">
        <v>14.02</v>
      </c>
      <c r="G1141">
        <v>13.13</v>
      </c>
      <c r="H1141">
        <v>27.15</v>
      </c>
      <c r="I1141" t="s">
        <v>344</v>
      </c>
      <c r="J1141">
        <v>135.5</v>
      </c>
      <c r="K1141">
        <v>0.5</v>
      </c>
      <c r="L1141" t="s">
        <v>346</v>
      </c>
      <c r="M1141" s="1">
        <v>5.0000000000000001E-3</v>
      </c>
      <c r="N1141" t="s">
        <v>349</v>
      </c>
      <c r="O1141">
        <v>1.07</v>
      </c>
      <c r="P1141" t="s">
        <v>343</v>
      </c>
      <c r="Q1141">
        <v>2.38</v>
      </c>
      <c r="R1141" t="s">
        <v>344</v>
      </c>
      <c r="S1141">
        <v>1</v>
      </c>
    </row>
    <row r="1142" spans="1:19" x14ac:dyDescent="0.25">
      <c r="A1142" t="s">
        <v>34</v>
      </c>
      <c r="B1142" t="s">
        <v>92</v>
      </c>
      <c r="C1142">
        <v>720</v>
      </c>
      <c r="D1142" t="s">
        <v>342</v>
      </c>
      <c r="E1142">
        <v>24.15</v>
      </c>
      <c r="F1142">
        <v>14.37</v>
      </c>
      <c r="G1142">
        <v>14.5</v>
      </c>
      <c r="H1142">
        <v>28.87</v>
      </c>
      <c r="I1142" t="s">
        <v>344</v>
      </c>
      <c r="J1142">
        <v>135.59</v>
      </c>
      <c r="K1142">
        <v>0.46</v>
      </c>
      <c r="L1142" t="s">
        <v>346</v>
      </c>
      <c r="M1142" s="1">
        <v>4.5999999999999999E-3</v>
      </c>
      <c r="N1142" t="s">
        <v>349</v>
      </c>
      <c r="O1142">
        <v>-2.19</v>
      </c>
      <c r="P1142" t="s">
        <v>344</v>
      </c>
      <c r="Q1142">
        <v>1.95</v>
      </c>
      <c r="R1142" t="s">
        <v>343</v>
      </c>
      <c r="S1142">
        <v>1</v>
      </c>
    </row>
    <row r="1143" spans="1:19" x14ac:dyDescent="0.25">
      <c r="A1143" t="s">
        <v>34</v>
      </c>
      <c r="B1143" t="s">
        <v>93</v>
      </c>
      <c r="C1143">
        <v>740</v>
      </c>
      <c r="D1143" t="s">
        <v>342</v>
      </c>
      <c r="E1143">
        <v>24.15</v>
      </c>
      <c r="F1143">
        <v>15.35</v>
      </c>
      <c r="G1143">
        <v>17.43</v>
      </c>
      <c r="H1143">
        <v>32.78</v>
      </c>
      <c r="I1143" t="s">
        <v>344</v>
      </c>
      <c r="J1143">
        <v>135.78</v>
      </c>
      <c r="K1143">
        <v>0.96</v>
      </c>
      <c r="L1143" t="s">
        <v>346</v>
      </c>
      <c r="M1143" s="1">
        <v>9.5999999999999992E-3</v>
      </c>
      <c r="N1143" t="s">
        <v>349</v>
      </c>
      <c r="O1143">
        <v>-2.23</v>
      </c>
      <c r="P1143" t="s">
        <v>344</v>
      </c>
      <c r="Q1143">
        <v>0.21</v>
      </c>
      <c r="R1143" t="s">
        <v>343</v>
      </c>
      <c r="S1143">
        <v>1</v>
      </c>
    </row>
    <row r="1144" spans="1:19" x14ac:dyDescent="0.25">
      <c r="A1144" t="s">
        <v>34</v>
      </c>
      <c r="B1144" t="s">
        <v>94</v>
      </c>
      <c r="C1144">
        <v>760</v>
      </c>
      <c r="D1144" t="s">
        <v>342</v>
      </c>
      <c r="E1144">
        <v>24.15</v>
      </c>
      <c r="F1144">
        <v>17.54</v>
      </c>
      <c r="G1144">
        <v>17.78</v>
      </c>
      <c r="H1144">
        <v>35.31</v>
      </c>
      <c r="I1144" t="s">
        <v>344</v>
      </c>
      <c r="J1144">
        <v>136.91999999999999</v>
      </c>
      <c r="K1144">
        <v>5.68</v>
      </c>
      <c r="L1144" t="s">
        <v>346</v>
      </c>
      <c r="M1144" s="1">
        <v>5.6800000000000003E-2</v>
      </c>
      <c r="N1144" t="s">
        <v>350</v>
      </c>
      <c r="O1144">
        <v>-0.78</v>
      </c>
      <c r="P1144" t="s">
        <v>343</v>
      </c>
      <c r="Q1144">
        <v>1.99</v>
      </c>
      <c r="R1144" t="s">
        <v>343</v>
      </c>
      <c r="S1144">
        <v>1</v>
      </c>
    </row>
    <row r="1145" spans="1:19" x14ac:dyDescent="0.25">
      <c r="A1145" t="s">
        <v>34</v>
      </c>
      <c r="B1145" t="s">
        <v>95</v>
      </c>
      <c r="C1145">
        <v>780</v>
      </c>
      <c r="D1145" t="s">
        <v>342</v>
      </c>
      <c r="E1145">
        <v>24.15</v>
      </c>
      <c r="F1145">
        <v>17.54</v>
      </c>
      <c r="G1145">
        <v>17.78</v>
      </c>
      <c r="H1145">
        <v>35.31</v>
      </c>
      <c r="I1145" t="s">
        <v>344</v>
      </c>
      <c r="J1145">
        <v>137.1</v>
      </c>
      <c r="K1145">
        <v>0.94</v>
      </c>
      <c r="L1145" t="s">
        <v>346</v>
      </c>
      <c r="M1145" s="1">
        <v>9.3999999999999986E-3</v>
      </c>
      <c r="N1145" t="s">
        <v>349</v>
      </c>
      <c r="O1145">
        <v>-1.63</v>
      </c>
      <c r="P1145" t="s">
        <v>343</v>
      </c>
      <c r="Q1145">
        <v>2.84</v>
      </c>
      <c r="R1145" t="s">
        <v>344</v>
      </c>
      <c r="S1145">
        <v>1</v>
      </c>
    </row>
    <row r="1146" spans="1:19" x14ac:dyDescent="0.25">
      <c r="A1146" t="s">
        <v>34</v>
      </c>
      <c r="B1146" t="s">
        <v>96</v>
      </c>
      <c r="C1146">
        <v>800</v>
      </c>
      <c r="D1146" t="s">
        <v>342</v>
      </c>
      <c r="E1146">
        <v>24.15</v>
      </c>
      <c r="F1146">
        <v>17.54</v>
      </c>
      <c r="G1146">
        <v>17.78</v>
      </c>
      <c r="H1146">
        <v>35.31</v>
      </c>
      <c r="I1146" t="s">
        <v>344</v>
      </c>
      <c r="J1146">
        <v>136.86000000000001</v>
      </c>
      <c r="K1146">
        <v>-1.24</v>
      </c>
      <c r="L1146" t="s">
        <v>346</v>
      </c>
      <c r="M1146" s="1">
        <v>1.24E-2</v>
      </c>
      <c r="N1146" t="s">
        <v>349</v>
      </c>
      <c r="O1146">
        <v>-0.92</v>
      </c>
      <c r="P1146" t="s">
        <v>343</v>
      </c>
      <c r="Q1146">
        <v>2.23</v>
      </c>
      <c r="R1146" t="s">
        <v>344</v>
      </c>
      <c r="S1146">
        <v>1</v>
      </c>
    </row>
    <row r="1147" spans="1:19" x14ac:dyDescent="0.25">
      <c r="A1147" t="s">
        <v>34</v>
      </c>
      <c r="B1147" t="s">
        <v>97</v>
      </c>
      <c r="C1147">
        <v>820</v>
      </c>
      <c r="D1147" t="s">
        <v>342</v>
      </c>
      <c r="E1147">
        <v>24.15</v>
      </c>
      <c r="F1147">
        <v>13.51</v>
      </c>
      <c r="G1147">
        <v>16.600000000000001</v>
      </c>
      <c r="H1147">
        <v>30.11</v>
      </c>
      <c r="I1147" t="s">
        <v>344</v>
      </c>
      <c r="J1147">
        <v>136.56</v>
      </c>
      <c r="K1147">
        <v>-1.46</v>
      </c>
      <c r="L1147" t="s">
        <v>346</v>
      </c>
      <c r="M1147" s="1">
        <v>1.46E-2</v>
      </c>
      <c r="N1147" t="s">
        <v>349</v>
      </c>
      <c r="O1147">
        <v>0.37</v>
      </c>
      <c r="P1147" t="s">
        <v>343</v>
      </c>
      <c r="Q1147">
        <v>3.37</v>
      </c>
      <c r="R1147" t="s">
        <v>344</v>
      </c>
      <c r="S1147">
        <v>1</v>
      </c>
    </row>
    <row r="1148" spans="1:19" x14ac:dyDescent="0.25">
      <c r="A1148" t="s">
        <v>34</v>
      </c>
      <c r="B1148" t="s">
        <v>98</v>
      </c>
      <c r="C1148">
        <v>840</v>
      </c>
      <c r="D1148" t="s">
        <v>342</v>
      </c>
      <c r="E1148">
        <v>24.15</v>
      </c>
      <c r="F1148">
        <v>12.22</v>
      </c>
      <c r="G1148">
        <v>16.600000000000001</v>
      </c>
      <c r="H1148">
        <v>28.82</v>
      </c>
      <c r="I1148" t="s">
        <v>344</v>
      </c>
      <c r="J1148">
        <v>136.74</v>
      </c>
      <c r="K1148">
        <v>0.89</v>
      </c>
      <c r="L1148" t="s">
        <v>346</v>
      </c>
      <c r="M1148" s="1">
        <v>8.8999999999999999E-3</v>
      </c>
      <c r="N1148" t="s">
        <v>349</v>
      </c>
      <c r="O1148">
        <v>-0.64</v>
      </c>
      <c r="P1148" t="s">
        <v>343</v>
      </c>
      <c r="Q1148">
        <v>2.1</v>
      </c>
      <c r="R1148" t="s">
        <v>344</v>
      </c>
      <c r="S1148">
        <v>1</v>
      </c>
    </row>
    <row r="1149" spans="1:19" x14ac:dyDescent="0.25">
      <c r="A1149" t="s">
        <v>34</v>
      </c>
      <c r="B1149" t="s">
        <v>99</v>
      </c>
      <c r="C1149">
        <v>860</v>
      </c>
      <c r="D1149" t="s">
        <v>342</v>
      </c>
      <c r="E1149">
        <v>24.15</v>
      </c>
      <c r="F1149">
        <v>12.17</v>
      </c>
      <c r="G1149">
        <v>14.36</v>
      </c>
      <c r="H1149">
        <v>26.52</v>
      </c>
      <c r="I1149" t="s">
        <v>344</v>
      </c>
      <c r="J1149">
        <v>137.30000000000001</v>
      </c>
      <c r="K1149">
        <v>2.78</v>
      </c>
      <c r="L1149" t="s">
        <v>346</v>
      </c>
      <c r="M1149" s="1">
        <v>2.7799999999999998E-2</v>
      </c>
      <c r="N1149" t="s">
        <v>350</v>
      </c>
      <c r="O1149">
        <v>0.1</v>
      </c>
      <c r="P1149" t="s">
        <v>343</v>
      </c>
      <c r="Q1149">
        <v>4.9000000000000004</v>
      </c>
      <c r="R1149" t="s">
        <v>343</v>
      </c>
      <c r="S1149">
        <v>1</v>
      </c>
    </row>
    <row r="1150" spans="1:19" x14ac:dyDescent="0.25">
      <c r="A1150" t="s">
        <v>34</v>
      </c>
      <c r="B1150" t="s">
        <v>100</v>
      </c>
      <c r="C1150">
        <v>880</v>
      </c>
      <c r="D1150" t="s">
        <v>342</v>
      </c>
      <c r="E1150">
        <v>24.15</v>
      </c>
      <c r="F1150">
        <v>11.84</v>
      </c>
      <c r="G1150">
        <v>10.82</v>
      </c>
      <c r="H1150">
        <v>22.66</v>
      </c>
      <c r="I1150" t="s">
        <v>343</v>
      </c>
      <c r="J1150">
        <v>137.79</v>
      </c>
      <c r="K1150">
        <v>2.48</v>
      </c>
      <c r="L1150" t="s">
        <v>346</v>
      </c>
      <c r="M1150" s="1">
        <v>2.4799999999999999E-2</v>
      </c>
      <c r="N1150" t="s">
        <v>350</v>
      </c>
      <c r="O1150">
        <v>0.92</v>
      </c>
      <c r="P1150" t="s">
        <v>343</v>
      </c>
      <c r="Q1150">
        <v>5.27</v>
      </c>
      <c r="R1150" t="s">
        <v>343</v>
      </c>
      <c r="S1150">
        <v>1</v>
      </c>
    </row>
    <row r="1151" spans="1:19" x14ac:dyDescent="0.25">
      <c r="A1151" t="s">
        <v>34</v>
      </c>
      <c r="B1151" t="s">
        <v>101</v>
      </c>
      <c r="C1151">
        <v>900</v>
      </c>
      <c r="D1151" t="s">
        <v>342</v>
      </c>
      <c r="E1151">
        <v>24.15</v>
      </c>
      <c r="F1151">
        <v>11.79</v>
      </c>
      <c r="G1151">
        <v>9.98</v>
      </c>
      <c r="H1151">
        <v>21.77</v>
      </c>
      <c r="I1151" t="s">
        <v>343</v>
      </c>
      <c r="J1151">
        <v>138.57</v>
      </c>
      <c r="K1151">
        <v>3.87</v>
      </c>
      <c r="L1151" t="s">
        <v>346</v>
      </c>
      <c r="M1151" s="1">
        <v>3.8699999999999998E-2</v>
      </c>
      <c r="N1151" t="s">
        <v>350</v>
      </c>
      <c r="O1151">
        <v>1.82</v>
      </c>
      <c r="P1151" t="s">
        <v>343</v>
      </c>
      <c r="Q1151">
        <v>3.34</v>
      </c>
      <c r="R1151" t="s">
        <v>344</v>
      </c>
      <c r="S1151">
        <v>1</v>
      </c>
    </row>
    <row r="1152" spans="1:19" x14ac:dyDescent="0.25">
      <c r="A1152" t="s">
        <v>34</v>
      </c>
      <c r="B1152" t="s">
        <v>102</v>
      </c>
      <c r="C1152">
        <v>920</v>
      </c>
      <c r="D1152" t="s">
        <v>342</v>
      </c>
      <c r="E1152">
        <v>24.15</v>
      </c>
      <c r="F1152">
        <v>11.64</v>
      </c>
      <c r="G1152">
        <v>12.14</v>
      </c>
      <c r="H1152">
        <v>23.78</v>
      </c>
      <c r="I1152" t="s">
        <v>343</v>
      </c>
      <c r="J1152">
        <v>139.15</v>
      </c>
      <c r="K1152">
        <v>2.93</v>
      </c>
      <c r="L1152" t="s">
        <v>346</v>
      </c>
      <c r="M1152" s="1">
        <v>2.93E-2</v>
      </c>
      <c r="N1152" t="s">
        <v>350</v>
      </c>
      <c r="O1152">
        <v>1.32</v>
      </c>
      <c r="P1152" t="s">
        <v>343</v>
      </c>
      <c r="Q1152">
        <v>3.68</v>
      </c>
      <c r="R1152" t="s">
        <v>344</v>
      </c>
      <c r="S1152">
        <v>1</v>
      </c>
    </row>
    <row r="1153" spans="1:19" x14ac:dyDescent="0.25">
      <c r="A1153" t="s">
        <v>34</v>
      </c>
      <c r="B1153" t="s">
        <v>103</v>
      </c>
      <c r="C1153">
        <v>940</v>
      </c>
      <c r="D1153" t="s">
        <v>342</v>
      </c>
      <c r="E1153">
        <v>24.15</v>
      </c>
      <c r="F1153">
        <v>11.7</v>
      </c>
      <c r="G1153">
        <v>12.14</v>
      </c>
      <c r="H1153">
        <v>23.84</v>
      </c>
      <c r="I1153" t="s">
        <v>343</v>
      </c>
      <c r="J1153">
        <v>139.63999999999999</v>
      </c>
      <c r="K1153">
        <v>2.44</v>
      </c>
      <c r="L1153" t="s">
        <v>346</v>
      </c>
      <c r="M1153" s="1">
        <v>2.4400000000000002E-2</v>
      </c>
      <c r="N1153" t="s">
        <v>350</v>
      </c>
      <c r="O1153">
        <v>1.02</v>
      </c>
      <c r="P1153" t="s">
        <v>343</v>
      </c>
      <c r="Q1153">
        <v>1.17</v>
      </c>
      <c r="R1153" t="s">
        <v>343</v>
      </c>
      <c r="S1153">
        <v>1</v>
      </c>
    </row>
    <row r="1154" spans="1:19" x14ac:dyDescent="0.25">
      <c r="A1154" t="s">
        <v>34</v>
      </c>
      <c r="B1154" t="s">
        <v>104</v>
      </c>
      <c r="C1154">
        <v>960</v>
      </c>
      <c r="D1154" t="s">
        <v>342</v>
      </c>
      <c r="E1154">
        <v>24.15</v>
      </c>
      <c r="F1154">
        <v>12.75</v>
      </c>
      <c r="G1154">
        <v>14.04</v>
      </c>
      <c r="H1154">
        <v>26.79</v>
      </c>
      <c r="I1154" t="s">
        <v>344</v>
      </c>
      <c r="J1154">
        <v>140.16</v>
      </c>
      <c r="K1154">
        <v>2.61</v>
      </c>
      <c r="L1154" t="s">
        <v>346</v>
      </c>
      <c r="M1154" s="1">
        <v>2.6100000000000002E-2</v>
      </c>
      <c r="N1154" t="s">
        <v>350</v>
      </c>
      <c r="O1154">
        <v>-0.49</v>
      </c>
      <c r="P1154" t="s">
        <v>343</v>
      </c>
      <c r="Q1154">
        <v>1.31</v>
      </c>
      <c r="R1154" t="s">
        <v>343</v>
      </c>
      <c r="S1154">
        <v>1</v>
      </c>
    </row>
    <row r="1155" spans="1:19" x14ac:dyDescent="0.25">
      <c r="A1155" t="s">
        <v>34</v>
      </c>
      <c r="B1155" t="s">
        <v>105</v>
      </c>
      <c r="C1155">
        <v>980</v>
      </c>
      <c r="D1155" t="s">
        <v>342</v>
      </c>
      <c r="E1155">
        <v>24.15</v>
      </c>
      <c r="F1155">
        <v>13.78</v>
      </c>
      <c r="G1155">
        <v>14.63</v>
      </c>
      <c r="H1155">
        <v>28.4</v>
      </c>
      <c r="I1155" t="s">
        <v>344</v>
      </c>
      <c r="J1155">
        <v>140.93</v>
      </c>
      <c r="K1155">
        <v>3.83</v>
      </c>
      <c r="L1155" t="s">
        <v>346</v>
      </c>
      <c r="M1155" s="1">
        <v>3.8300000000000001E-2</v>
      </c>
      <c r="N1155" t="s">
        <v>350</v>
      </c>
      <c r="O1155">
        <v>-0.97</v>
      </c>
      <c r="P1155" t="s">
        <v>343</v>
      </c>
      <c r="Q1155">
        <v>1.83</v>
      </c>
      <c r="R1155" t="s">
        <v>343</v>
      </c>
      <c r="S1155">
        <v>1</v>
      </c>
    </row>
    <row r="1156" spans="1:19" x14ac:dyDescent="0.25">
      <c r="A1156" t="s">
        <v>34</v>
      </c>
      <c r="B1156" t="s">
        <v>106</v>
      </c>
      <c r="C1156">
        <v>1000</v>
      </c>
      <c r="D1156" t="s">
        <v>342</v>
      </c>
      <c r="E1156">
        <v>24.15</v>
      </c>
      <c r="F1156">
        <v>14.68</v>
      </c>
      <c r="G1156">
        <v>14.18</v>
      </c>
      <c r="H1156">
        <v>28.87</v>
      </c>
      <c r="I1156" t="s">
        <v>344</v>
      </c>
      <c r="J1156">
        <v>141.94</v>
      </c>
      <c r="K1156">
        <v>5.04</v>
      </c>
      <c r="L1156" t="s">
        <v>346</v>
      </c>
      <c r="M1156" s="1">
        <v>5.04E-2</v>
      </c>
      <c r="N1156" t="s">
        <v>350</v>
      </c>
      <c r="O1156">
        <v>-0.4</v>
      </c>
      <c r="P1156" t="s">
        <v>343</v>
      </c>
      <c r="Q1156">
        <v>2.25</v>
      </c>
      <c r="R1156" t="s">
        <v>344</v>
      </c>
      <c r="S1156">
        <v>1</v>
      </c>
    </row>
    <row r="1157" spans="1:19" x14ac:dyDescent="0.25">
      <c r="A1157" t="s">
        <v>34</v>
      </c>
      <c r="B1157" t="s">
        <v>108</v>
      </c>
      <c r="C1157">
        <v>1020</v>
      </c>
      <c r="D1157" t="s">
        <v>342</v>
      </c>
      <c r="E1157">
        <v>24.15</v>
      </c>
      <c r="F1157">
        <v>14.48</v>
      </c>
      <c r="G1157">
        <v>15.32</v>
      </c>
      <c r="H1157">
        <v>29.79</v>
      </c>
      <c r="I1157" t="s">
        <v>344</v>
      </c>
      <c r="J1157">
        <v>142.99</v>
      </c>
      <c r="K1157">
        <v>5.25</v>
      </c>
      <c r="L1157" t="s">
        <v>346</v>
      </c>
      <c r="M1157" s="1">
        <v>5.2499999999999998E-2</v>
      </c>
      <c r="N1157" t="s">
        <v>350</v>
      </c>
      <c r="O1157">
        <v>-0.7</v>
      </c>
      <c r="P1157" t="s">
        <v>343</v>
      </c>
      <c r="Q1157">
        <v>3.57</v>
      </c>
      <c r="R1157" t="s">
        <v>344</v>
      </c>
      <c r="S1157">
        <v>1</v>
      </c>
    </row>
    <row r="1158" spans="1:19" x14ac:dyDescent="0.25">
      <c r="A1158" t="s">
        <v>34</v>
      </c>
      <c r="B1158" t="s">
        <v>109</v>
      </c>
      <c r="C1158">
        <v>1040</v>
      </c>
      <c r="D1158" t="s">
        <v>342</v>
      </c>
      <c r="E1158">
        <v>24.15</v>
      </c>
      <c r="F1158">
        <v>13.84</v>
      </c>
      <c r="G1158">
        <v>17.07</v>
      </c>
      <c r="H1158">
        <v>30.91</v>
      </c>
      <c r="I1158" t="s">
        <v>344</v>
      </c>
      <c r="J1158">
        <v>144</v>
      </c>
      <c r="K1158">
        <v>5.05</v>
      </c>
      <c r="L1158" t="s">
        <v>346</v>
      </c>
      <c r="M1158" s="1">
        <v>5.0500000000000003E-2</v>
      </c>
      <c r="N1158" t="s">
        <v>350</v>
      </c>
      <c r="O1158">
        <v>-2.31</v>
      </c>
      <c r="P1158" t="s">
        <v>344</v>
      </c>
      <c r="Q1158">
        <v>1.1599999999999999</v>
      </c>
      <c r="R1158" t="s">
        <v>343</v>
      </c>
      <c r="S1158">
        <v>1</v>
      </c>
    </row>
    <row r="1159" spans="1:19" x14ac:dyDescent="0.25">
      <c r="A1159" t="s">
        <v>34</v>
      </c>
      <c r="B1159" t="s">
        <v>110</v>
      </c>
      <c r="C1159">
        <v>1060</v>
      </c>
      <c r="D1159" t="s">
        <v>342</v>
      </c>
      <c r="E1159">
        <v>24.15</v>
      </c>
      <c r="F1159">
        <v>14.07</v>
      </c>
      <c r="G1159">
        <v>16.239999999999998</v>
      </c>
      <c r="H1159">
        <v>30.3</v>
      </c>
      <c r="I1159" t="s">
        <v>344</v>
      </c>
      <c r="J1159">
        <v>145.19999999999999</v>
      </c>
      <c r="K1159">
        <v>6.01</v>
      </c>
      <c r="L1159" t="s">
        <v>346</v>
      </c>
      <c r="M1159" s="1">
        <v>6.0100000000000001E-2</v>
      </c>
      <c r="N1159" t="s">
        <v>350</v>
      </c>
      <c r="O1159">
        <v>-2.13</v>
      </c>
      <c r="P1159" t="s">
        <v>344</v>
      </c>
      <c r="Q1159">
        <v>0.94</v>
      </c>
      <c r="R1159" t="s">
        <v>343</v>
      </c>
      <c r="S1159">
        <v>1</v>
      </c>
    </row>
    <row r="1160" spans="1:19" x14ac:dyDescent="0.25">
      <c r="A1160" t="s">
        <v>34</v>
      </c>
      <c r="B1160" t="s">
        <v>111</v>
      </c>
      <c r="C1160">
        <v>1080</v>
      </c>
      <c r="D1160" t="s">
        <v>342</v>
      </c>
      <c r="E1160">
        <v>24.15</v>
      </c>
      <c r="F1160">
        <v>13.77</v>
      </c>
      <c r="G1160">
        <v>16.809999999999999</v>
      </c>
      <c r="H1160">
        <v>30.57</v>
      </c>
      <c r="I1160" t="s">
        <v>344</v>
      </c>
      <c r="J1160">
        <v>146.36000000000001</v>
      </c>
      <c r="K1160">
        <v>5.77</v>
      </c>
      <c r="L1160" t="s">
        <v>346</v>
      </c>
      <c r="M1160" s="1">
        <v>5.7699999999999987E-2</v>
      </c>
      <c r="N1160" t="s">
        <v>350</v>
      </c>
      <c r="O1160">
        <v>-1.34</v>
      </c>
      <c r="P1160" t="s">
        <v>343</v>
      </c>
      <c r="Q1160">
        <v>0.82</v>
      </c>
      <c r="R1160" t="s">
        <v>343</v>
      </c>
      <c r="S1160">
        <v>1</v>
      </c>
    </row>
    <row r="1161" spans="1:19" x14ac:dyDescent="0.25">
      <c r="A1161" t="s">
        <v>34</v>
      </c>
      <c r="B1161" t="s">
        <v>112</v>
      </c>
      <c r="C1161">
        <v>1100</v>
      </c>
      <c r="D1161" t="s">
        <v>342</v>
      </c>
      <c r="E1161">
        <v>24.15</v>
      </c>
      <c r="F1161">
        <v>13.46</v>
      </c>
      <c r="G1161">
        <v>15.23</v>
      </c>
      <c r="H1161">
        <v>28.69</v>
      </c>
      <c r="I1161" t="s">
        <v>344</v>
      </c>
      <c r="J1161">
        <v>147.35</v>
      </c>
      <c r="K1161">
        <v>4.96</v>
      </c>
      <c r="L1161" t="s">
        <v>346</v>
      </c>
      <c r="M1161" s="1">
        <v>4.9599999999999998E-2</v>
      </c>
      <c r="N1161" t="s">
        <v>350</v>
      </c>
      <c r="O1161">
        <v>-2.1</v>
      </c>
      <c r="P1161" t="s">
        <v>344</v>
      </c>
      <c r="Q1161">
        <v>1.62</v>
      </c>
      <c r="R1161" t="s">
        <v>343</v>
      </c>
      <c r="S1161">
        <v>1</v>
      </c>
    </row>
    <row r="1162" spans="1:19" x14ac:dyDescent="0.25">
      <c r="A1162" t="s">
        <v>34</v>
      </c>
      <c r="B1162" t="s">
        <v>113</v>
      </c>
      <c r="C1162">
        <v>1120</v>
      </c>
      <c r="D1162" t="s">
        <v>342</v>
      </c>
      <c r="E1162">
        <v>24.15</v>
      </c>
      <c r="F1162">
        <v>12.54</v>
      </c>
      <c r="G1162">
        <v>15.75</v>
      </c>
      <c r="H1162">
        <v>28.29</v>
      </c>
      <c r="I1162" t="s">
        <v>344</v>
      </c>
      <c r="J1162">
        <v>148.44</v>
      </c>
      <c r="K1162">
        <v>5.44</v>
      </c>
      <c r="L1162" t="s">
        <v>346</v>
      </c>
      <c r="M1162" s="1">
        <v>5.4399999999999997E-2</v>
      </c>
      <c r="N1162" t="s">
        <v>350</v>
      </c>
      <c r="O1162">
        <v>-0.97</v>
      </c>
      <c r="P1162" t="s">
        <v>343</v>
      </c>
      <c r="Q1162">
        <v>0.77</v>
      </c>
      <c r="R1162" t="s">
        <v>343</v>
      </c>
      <c r="S1162">
        <v>1</v>
      </c>
    </row>
    <row r="1163" spans="1:19" x14ac:dyDescent="0.25">
      <c r="A1163" t="s">
        <v>34</v>
      </c>
      <c r="B1163" t="s">
        <v>114</v>
      </c>
      <c r="C1163">
        <v>1140</v>
      </c>
      <c r="D1163" t="s">
        <v>342</v>
      </c>
      <c r="E1163">
        <v>24.15</v>
      </c>
      <c r="F1163">
        <v>13.78</v>
      </c>
      <c r="G1163">
        <v>15.25</v>
      </c>
      <c r="H1163">
        <v>29.03</v>
      </c>
      <c r="I1163" t="s">
        <v>344</v>
      </c>
      <c r="J1163">
        <v>149.49</v>
      </c>
      <c r="K1163">
        <v>5.29</v>
      </c>
      <c r="L1163" t="s">
        <v>346</v>
      </c>
      <c r="M1163" s="1">
        <v>5.2900000000000003E-2</v>
      </c>
      <c r="N1163" t="s">
        <v>350</v>
      </c>
      <c r="O1163">
        <v>-2.21</v>
      </c>
      <c r="P1163" t="s">
        <v>344</v>
      </c>
      <c r="Q1163">
        <v>1.34</v>
      </c>
      <c r="R1163" t="s">
        <v>343</v>
      </c>
      <c r="S1163">
        <v>1</v>
      </c>
    </row>
    <row r="1164" spans="1:19" x14ac:dyDescent="0.25">
      <c r="A1164" t="s">
        <v>34</v>
      </c>
      <c r="B1164" t="s">
        <v>115</v>
      </c>
      <c r="C1164">
        <v>1160</v>
      </c>
      <c r="D1164" t="s">
        <v>342</v>
      </c>
      <c r="E1164">
        <v>24.15</v>
      </c>
      <c r="F1164">
        <v>14.99</v>
      </c>
      <c r="G1164">
        <v>14.26</v>
      </c>
      <c r="H1164">
        <v>29.25</v>
      </c>
      <c r="I1164" t="s">
        <v>344</v>
      </c>
      <c r="J1164">
        <v>150.47</v>
      </c>
      <c r="K1164">
        <v>4.88</v>
      </c>
      <c r="L1164" t="s">
        <v>346</v>
      </c>
      <c r="M1164" s="1">
        <v>4.8800000000000003E-2</v>
      </c>
      <c r="N1164" t="s">
        <v>350</v>
      </c>
      <c r="O1164">
        <v>-1.42</v>
      </c>
      <c r="P1164" t="s">
        <v>343</v>
      </c>
      <c r="Q1164">
        <v>1.24</v>
      </c>
      <c r="R1164" t="s">
        <v>343</v>
      </c>
      <c r="S1164">
        <v>1</v>
      </c>
    </row>
    <row r="1165" spans="1:19" x14ac:dyDescent="0.25">
      <c r="A1165" t="s">
        <v>34</v>
      </c>
      <c r="B1165" t="s">
        <v>116</v>
      </c>
      <c r="C1165">
        <v>1180</v>
      </c>
      <c r="D1165" t="s">
        <v>342</v>
      </c>
      <c r="E1165">
        <v>24.15</v>
      </c>
      <c r="F1165">
        <v>13.79</v>
      </c>
      <c r="G1165">
        <v>14.25</v>
      </c>
      <c r="H1165">
        <v>28.04</v>
      </c>
      <c r="I1165" t="s">
        <v>344</v>
      </c>
      <c r="J1165">
        <v>151.6</v>
      </c>
      <c r="K1165">
        <v>5.67</v>
      </c>
      <c r="L1165" t="s">
        <v>346</v>
      </c>
      <c r="M1165" s="1">
        <v>5.67E-2</v>
      </c>
      <c r="N1165" t="s">
        <v>350</v>
      </c>
      <c r="O1165">
        <v>-0.57999999999999996</v>
      </c>
      <c r="P1165" t="s">
        <v>343</v>
      </c>
      <c r="Q1165">
        <v>1.23</v>
      </c>
      <c r="R1165" t="s">
        <v>343</v>
      </c>
      <c r="S1165">
        <v>1</v>
      </c>
    </row>
    <row r="1166" spans="1:19" x14ac:dyDescent="0.25">
      <c r="A1166" t="s">
        <v>34</v>
      </c>
      <c r="B1166" t="s">
        <v>117</v>
      </c>
      <c r="C1166">
        <v>1200</v>
      </c>
      <c r="D1166" t="s">
        <v>342</v>
      </c>
      <c r="E1166">
        <v>24.15</v>
      </c>
      <c r="F1166">
        <v>13.74</v>
      </c>
      <c r="G1166">
        <v>14.26</v>
      </c>
      <c r="H1166">
        <v>28</v>
      </c>
      <c r="I1166" t="s">
        <v>344</v>
      </c>
      <c r="J1166">
        <v>153.02000000000001</v>
      </c>
      <c r="K1166">
        <v>7.06</v>
      </c>
      <c r="L1166" t="s">
        <v>346</v>
      </c>
      <c r="M1166" s="1">
        <v>7.0599999999999996E-2</v>
      </c>
      <c r="N1166" t="s">
        <v>350</v>
      </c>
      <c r="O1166">
        <v>3.22</v>
      </c>
      <c r="P1166" t="s">
        <v>344</v>
      </c>
      <c r="Q1166">
        <v>0.68</v>
      </c>
      <c r="R1166" t="s">
        <v>343</v>
      </c>
      <c r="S1166">
        <v>1</v>
      </c>
    </row>
    <row r="1167" spans="1:19" x14ac:dyDescent="0.25">
      <c r="A1167" t="s">
        <v>34</v>
      </c>
      <c r="B1167" t="s">
        <v>118</v>
      </c>
      <c r="C1167">
        <v>1220</v>
      </c>
      <c r="D1167" t="s">
        <v>342</v>
      </c>
      <c r="E1167">
        <v>24.15</v>
      </c>
      <c r="F1167">
        <v>14.32</v>
      </c>
      <c r="G1167">
        <v>15.77</v>
      </c>
      <c r="H1167">
        <v>30.09</v>
      </c>
      <c r="I1167" t="s">
        <v>344</v>
      </c>
      <c r="J1167">
        <v>154.15</v>
      </c>
      <c r="K1167">
        <v>5.65</v>
      </c>
      <c r="L1167" t="s">
        <v>346</v>
      </c>
      <c r="M1167" s="1">
        <v>5.6500000000000002E-2</v>
      </c>
      <c r="N1167" t="s">
        <v>350</v>
      </c>
      <c r="O1167">
        <v>4.5599999999999996</v>
      </c>
      <c r="P1167" t="s">
        <v>343</v>
      </c>
      <c r="Q1167">
        <v>0.26</v>
      </c>
      <c r="R1167" t="s">
        <v>343</v>
      </c>
      <c r="S1167">
        <v>1</v>
      </c>
    </row>
    <row r="1168" spans="1:19" x14ac:dyDescent="0.25">
      <c r="A1168" t="s">
        <v>34</v>
      </c>
      <c r="B1168" t="s">
        <v>119</v>
      </c>
      <c r="C1168">
        <v>1240</v>
      </c>
      <c r="D1168" t="s">
        <v>342</v>
      </c>
      <c r="E1168">
        <v>24.15</v>
      </c>
      <c r="F1168">
        <v>16.149999999999999</v>
      </c>
      <c r="G1168">
        <v>15.77</v>
      </c>
      <c r="H1168">
        <v>31.92</v>
      </c>
      <c r="I1168" t="s">
        <v>344</v>
      </c>
      <c r="J1168">
        <v>155.1</v>
      </c>
      <c r="K1168">
        <v>4.7699999999999996</v>
      </c>
      <c r="L1168" t="s">
        <v>346</v>
      </c>
      <c r="M1168" s="1">
        <v>4.7699999999999992E-2</v>
      </c>
      <c r="N1168" t="s">
        <v>350</v>
      </c>
      <c r="O1168">
        <v>4.47</v>
      </c>
      <c r="P1168" t="s">
        <v>343</v>
      </c>
      <c r="Q1168">
        <v>-0.21</v>
      </c>
      <c r="R1168" t="s">
        <v>343</v>
      </c>
      <c r="S1168">
        <v>1</v>
      </c>
    </row>
    <row r="1169" spans="1:19" x14ac:dyDescent="0.25">
      <c r="A1169" t="s">
        <v>34</v>
      </c>
      <c r="B1169" t="s">
        <v>120</v>
      </c>
      <c r="C1169">
        <v>1260</v>
      </c>
      <c r="D1169" t="s">
        <v>342</v>
      </c>
      <c r="E1169">
        <v>24.15</v>
      </c>
      <c r="F1169">
        <v>20</v>
      </c>
      <c r="G1169">
        <v>14</v>
      </c>
      <c r="H1169">
        <v>34</v>
      </c>
      <c r="I1169" t="s">
        <v>344</v>
      </c>
      <c r="J1169">
        <v>155.94999999999999</v>
      </c>
      <c r="K1169">
        <v>4.26</v>
      </c>
      <c r="L1169" t="s">
        <v>346</v>
      </c>
      <c r="M1169" s="1">
        <v>4.2599999999999999E-2</v>
      </c>
      <c r="N1169" t="s">
        <v>350</v>
      </c>
      <c r="O1169">
        <v>2.82</v>
      </c>
      <c r="P1169" t="s">
        <v>344</v>
      </c>
      <c r="Q1169">
        <v>1.1000000000000001</v>
      </c>
      <c r="R1169" t="s">
        <v>343</v>
      </c>
      <c r="S1169">
        <v>1</v>
      </c>
    </row>
    <row r="1170" spans="1:19" x14ac:dyDescent="0.25">
      <c r="A1170" t="s">
        <v>34</v>
      </c>
      <c r="B1170" t="s">
        <v>121</v>
      </c>
      <c r="C1170">
        <v>1280</v>
      </c>
      <c r="D1170" t="s">
        <v>342</v>
      </c>
      <c r="E1170">
        <v>24.15</v>
      </c>
      <c r="F1170">
        <v>20</v>
      </c>
      <c r="G1170">
        <v>13.85</v>
      </c>
      <c r="H1170">
        <v>33.85</v>
      </c>
      <c r="I1170" t="s">
        <v>344</v>
      </c>
      <c r="J1170">
        <v>156.69</v>
      </c>
      <c r="K1170">
        <v>3.68</v>
      </c>
      <c r="L1170" t="s">
        <v>346</v>
      </c>
      <c r="M1170" s="1">
        <v>3.6799999999999999E-2</v>
      </c>
      <c r="N1170" t="s">
        <v>350</v>
      </c>
      <c r="O1170">
        <v>3.24</v>
      </c>
      <c r="P1170" t="s">
        <v>344</v>
      </c>
      <c r="Q1170">
        <v>1.66</v>
      </c>
      <c r="R1170" t="s">
        <v>343</v>
      </c>
      <c r="S1170">
        <v>1</v>
      </c>
    </row>
    <row r="1171" spans="1:19" x14ac:dyDescent="0.25">
      <c r="A1171" t="s">
        <v>34</v>
      </c>
      <c r="B1171" t="s">
        <v>123</v>
      </c>
      <c r="C1171">
        <v>1300</v>
      </c>
      <c r="D1171" t="s">
        <v>342</v>
      </c>
      <c r="E1171">
        <v>24.15</v>
      </c>
      <c r="F1171">
        <v>20</v>
      </c>
      <c r="G1171">
        <v>13.28</v>
      </c>
      <c r="H1171">
        <v>33.28</v>
      </c>
      <c r="I1171" t="s">
        <v>344</v>
      </c>
      <c r="J1171">
        <v>157.04</v>
      </c>
      <c r="K1171">
        <v>1.78</v>
      </c>
      <c r="L1171" t="s">
        <v>346</v>
      </c>
      <c r="M1171" s="1">
        <v>1.78E-2</v>
      </c>
      <c r="N1171" t="s">
        <v>349</v>
      </c>
      <c r="O1171">
        <v>-0.19</v>
      </c>
      <c r="P1171" t="s">
        <v>343</v>
      </c>
      <c r="Q1171">
        <v>2.63</v>
      </c>
      <c r="R1171" t="s">
        <v>344</v>
      </c>
      <c r="S1171">
        <v>1</v>
      </c>
    </row>
    <row r="1172" spans="1:19" x14ac:dyDescent="0.25">
      <c r="A1172" t="s">
        <v>34</v>
      </c>
      <c r="B1172" t="s">
        <v>124</v>
      </c>
      <c r="C1172">
        <v>1320</v>
      </c>
      <c r="D1172" t="s">
        <v>342</v>
      </c>
      <c r="E1172">
        <v>24.15</v>
      </c>
      <c r="F1172">
        <v>18.32</v>
      </c>
      <c r="G1172">
        <v>12.62</v>
      </c>
      <c r="H1172">
        <v>30.94</v>
      </c>
      <c r="I1172" t="s">
        <v>344</v>
      </c>
      <c r="J1172">
        <v>157.33000000000001</v>
      </c>
      <c r="K1172">
        <v>1.43</v>
      </c>
      <c r="L1172" t="s">
        <v>346</v>
      </c>
      <c r="M1172" s="1">
        <v>1.43E-2</v>
      </c>
      <c r="N1172" t="s">
        <v>349</v>
      </c>
      <c r="O1172">
        <v>4.1900000000000004</v>
      </c>
      <c r="P1172" t="s">
        <v>343</v>
      </c>
      <c r="Q1172">
        <v>0.46</v>
      </c>
      <c r="R1172" t="s">
        <v>343</v>
      </c>
      <c r="S1172">
        <v>1</v>
      </c>
    </row>
    <row r="1173" spans="1:19" x14ac:dyDescent="0.25">
      <c r="A1173" t="s">
        <v>34</v>
      </c>
      <c r="B1173" t="s">
        <v>125</v>
      </c>
      <c r="C1173">
        <v>1340</v>
      </c>
      <c r="D1173" t="s">
        <v>342</v>
      </c>
      <c r="E1173">
        <v>24.15</v>
      </c>
      <c r="F1173">
        <v>16.47</v>
      </c>
      <c r="G1173">
        <v>13.51</v>
      </c>
      <c r="H1173">
        <v>29.98</v>
      </c>
      <c r="I1173" t="s">
        <v>344</v>
      </c>
      <c r="J1173">
        <v>157.55000000000001</v>
      </c>
      <c r="K1173">
        <v>1.08</v>
      </c>
      <c r="L1173" t="s">
        <v>346</v>
      </c>
      <c r="M1173" s="1">
        <v>1.0800000000000001E-2</v>
      </c>
      <c r="N1173" t="s">
        <v>349</v>
      </c>
      <c r="O1173">
        <v>4.74</v>
      </c>
      <c r="P1173" t="s">
        <v>343</v>
      </c>
      <c r="Q1173">
        <v>0.2</v>
      </c>
      <c r="R1173" t="s">
        <v>343</v>
      </c>
      <c r="S1173">
        <v>1</v>
      </c>
    </row>
    <row r="1174" spans="1:19" x14ac:dyDescent="0.25">
      <c r="A1174" t="s">
        <v>34</v>
      </c>
      <c r="B1174" t="s">
        <v>126</v>
      </c>
      <c r="C1174">
        <v>1360</v>
      </c>
      <c r="D1174" t="s">
        <v>342</v>
      </c>
      <c r="E1174">
        <v>24.15</v>
      </c>
      <c r="F1174">
        <v>18.32</v>
      </c>
      <c r="G1174">
        <v>12.01</v>
      </c>
      <c r="H1174">
        <v>30.32</v>
      </c>
      <c r="I1174" t="s">
        <v>344</v>
      </c>
      <c r="J1174">
        <v>157.78</v>
      </c>
      <c r="K1174">
        <v>1.17</v>
      </c>
      <c r="L1174" t="s">
        <v>346</v>
      </c>
      <c r="M1174" s="1">
        <v>1.17E-2</v>
      </c>
      <c r="N1174" t="s">
        <v>349</v>
      </c>
      <c r="O1174">
        <v>5.43</v>
      </c>
      <c r="P1174" t="s">
        <v>343</v>
      </c>
      <c r="Q1174">
        <v>-0.24</v>
      </c>
      <c r="R1174" t="s">
        <v>343</v>
      </c>
      <c r="S1174">
        <v>1</v>
      </c>
    </row>
    <row r="1175" spans="1:19" x14ac:dyDescent="0.25">
      <c r="A1175" t="s">
        <v>34</v>
      </c>
      <c r="B1175" t="s">
        <v>127</v>
      </c>
      <c r="C1175">
        <v>1380</v>
      </c>
      <c r="D1175" t="s">
        <v>342</v>
      </c>
      <c r="E1175">
        <v>24.15</v>
      </c>
      <c r="F1175">
        <v>17.77</v>
      </c>
      <c r="G1175">
        <v>11.76</v>
      </c>
      <c r="H1175">
        <v>29.53</v>
      </c>
      <c r="I1175" t="s">
        <v>344</v>
      </c>
      <c r="J1175">
        <v>158.06</v>
      </c>
      <c r="K1175">
        <v>1.38</v>
      </c>
      <c r="L1175" t="s">
        <v>346</v>
      </c>
      <c r="M1175" s="1">
        <v>1.38E-2</v>
      </c>
      <c r="N1175" t="s">
        <v>349</v>
      </c>
      <c r="O1175">
        <v>4.88</v>
      </c>
      <c r="P1175" t="s">
        <v>343</v>
      </c>
      <c r="Q1175">
        <v>0.04</v>
      </c>
      <c r="R1175" t="s">
        <v>343</v>
      </c>
      <c r="S1175">
        <v>1</v>
      </c>
    </row>
    <row r="1176" spans="1:19" x14ac:dyDescent="0.25">
      <c r="A1176" t="s">
        <v>34</v>
      </c>
      <c r="B1176" t="s">
        <v>128</v>
      </c>
      <c r="C1176">
        <v>1400</v>
      </c>
      <c r="D1176" t="s">
        <v>342</v>
      </c>
      <c r="E1176">
        <v>24.15</v>
      </c>
      <c r="F1176">
        <v>17.52</v>
      </c>
      <c r="G1176">
        <v>11.61</v>
      </c>
      <c r="H1176">
        <v>29.13</v>
      </c>
      <c r="I1176" t="s">
        <v>344</v>
      </c>
      <c r="J1176">
        <v>158.31</v>
      </c>
      <c r="K1176">
        <v>1.24</v>
      </c>
      <c r="L1176" t="s">
        <v>346</v>
      </c>
      <c r="M1176" s="1">
        <v>1.24E-2</v>
      </c>
      <c r="N1176" t="s">
        <v>349</v>
      </c>
      <c r="O1176">
        <v>4.2</v>
      </c>
      <c r="P1176" t="s">
        <v>343</v>
      </c>
      <c r="Q1176">
        <v>0.47</v>
      </c>
      <c r="R1176" t="s">
        <v>343</v>
      </c>
      <c r="S1176">
        <v>1</v>
      </c>
    </row>
    <row r="1177" spans="1:19" x14ac:dyDescent="0.25">
      <c r="A1177" t="s">
        <v>34</v>
      </c>
      <c r="B1177" t="s">
        <v>129</v>
      </c>
      <c r="C1177">
        <v>1420</v>
      </c>
      <c r="D1177" t="s">
        <v>342</v>
      </c>
      <c r="E1177">
        <v>24.15</v>
      </c>
      <c r="F1177">
        <v>15.28</v>
      </c>
      <c r="G1177">
        <v>12.58</v>
      </c>
      <c r="H1177">
        <v>27.86</v>
      </c>
      <c r="I1177" t="s">
        <v>344</v>
      </c>
      <c r="J1177">
        <v>158.54</v>
      </c>
      <c r="K1177">
        <v>1.19</v>
      </c>
      <c r="L1177" t="s">
        <v>346</v>
      </c>
      <c r="M1177" s="1">
        <v>1.1900000000000001E-2</v>
      </c>
      <c r="N1177" t="s">
        <v>349</v>
      </c>
      <c r="O1177">
        <v>4.58</v>
      </c>
      <c r="P1177" t="s">
        <v>343</v>
      </c>
      <c r="Q1177">
        <v>-0.17</v>
      </c>
      <c r="R1177" t="s">
        <v>343</v>
      </c>
      <c r="S1177">
        <v>1</v>
      </c>
    </row>
    <row r="1178" spans="1:19" x14ac:dyDescent="0.25">
      <c r="A1178" t="s">
        <v>34</v>
      </c>
      <c r="B1178" t="s">
        <v>130</v>
      </c>
      <c r="C1178">
        <v>1440</v>
      </c>
      <c r="D1178" t="s">
        <v>342</v>
      </c>
      <c r="E1178">
        <v>24.15</v>
      </c>
      <c r="F1178">
        <v>13.93</v>
      </c>
      <c r="G1178">
        <v>11.51</v>
      </c>
      <c r="H1178">
        <v>25.44</v>
      </c>
      <c r="I1178" t="s">
        <v>344</v>
      </c>
      <c r="J1178">
        <v>158.76</v>
      </c>
      <c r="K1178">
        <v>1.07</v>
      </c>
      <c r="L1178" t="s">
        <v>346</v>
      </c>
      <c r="M1178" s="1">
        <v>1.0699999999999999E-2</v>
      </c>
      <c r="N1178" t="s">
        <v>349</v>
      </c>
      <c r="O1178">
        <v>3.99</v>
      </c>
      <c r="P1178" t="s">
        <v>344</v>
      </c>
      <c r="Q1178">
        <v>0.15</v>
      </c>
      <c r="R1178" t="s">
        <v>343</v>
      </c>
      <c r="S1178">
        <v>1</v>
      </c>
    </row>
    <row r="1179" spans="1:19" x14ac:dyDescent="0.25">
      <c r="A1179" t="s">
        <v>34</v>
      </c>
      <c r="B1179" t="s">
        <v>131</v>
      </c>
      <c r="C1179">
        <v>1460</v>
      </c>
      <c r="D1179" t="s">
        <v>342</v>
      </c>
      <c r="E1179">
        <v>24.15</v>
      </c>
      <c r="F1179">
        <v>14.65</v>
      </c>
      <c r="G1179">
        <v>12.44</v>
      </c>
      <c r="H1179">
        <v>27.09</v>
      </c>
      <c r="I1179" t="s">
        <v>344</v>
      </c>
      <c r="J1179">
        <v>158.94</v>
      </c>
      <c r="K1179">
        <v>0.89</v>
      </c>
      <c r="L1179" t="s">
        <v>346</v>
      </c>
      <c r="M1179" s="1">
        <v>8.8999999999999999E-3</v>
      </c>
      <c r="N1179" t="s">
        <v>349</v>
      </c>
      <c r="O1179">
        <v>3</v>
      </c>
      <c r="P1179" t="s">
        <v>344</v>
      </c>
      <c r="Q1179">
        <v>0.01</v>
      </c>
      <c r="R1179" t="s">
        <v>343</v>
      </c>
      <c r="S1179">
        <v>1</v>
      </c>
    </row>
    <row r="1180" spans="1:19" x14ac:dyDescent="0.25">
      <c r="A1180" t="s">
        <v>34</v>
      </c>
      <c r="B1180" t="s">
        <v>132</v>
      </c>
      <c r="C1180">
        <v>1480</v>
      </c>
      <c r="D1180" t="s">
        <v>342</v>
      </c>
      <c r="E1180">
        <v>24.15</v>
      </c>
      <c r="F1180">
        <v>15.71</v>
      </c>
      <c r="G1180">
        <v>13.41</v>
      </c>
      <c r="H1180">
        <v>29.12</v>
      </c>
      <c r="I1180" t="s">
        <v>344</v>
      </c>
      <c r="J1180">
        <v>158.97</v>
      </c>
      <c r="K1180">
        <v>0.19</v>
      </c>
      <c r="L1180" t="s">
        <v>346</v>
      </c>
      <c r="M1180" s="1">
        <v>1.9E-3</v>
      </c>
      <c r="N1180" t="s">
        <v>349</v>
      </c>
      <c r="O1180">
        <v>3.52</v>
      </c>
      <c r="P1180" t="s">
        <v>344</v>
      </c>
      <c r="Q1180">
        <v>-0.79</v>
      </c>
      <c r="R1180" t="s">
        <v>343</v>
      </c>
      <c r="S1180">
        <v>1</v>
      </c>
    </row>
    <row r="1181" spans="1:19" x14ac:dyDescent="0.25">
      <c r="A1181" t="s">
        <v>34</v>
      </c>
      <c r="B1181" t="s">
        <v>133</v>
      </c>
      <c r="C1181">
        <v>1500</v>
      </c>
      <c r="D1181" t="s">
        <v>342</v>
      </c>
      <c r="E1181">
        <v>24.15</v>
      </c>
      <c r="F1181">
        <v>15.95</v>
      </c>
      <c r="G1181">
        <v>13.02</v>
      </c>
      <c r="H1181">
        <v>28.97</v>
      </c>
      <c r="I1181" t="s">
        <v>344</v>
      </c>
      <c r="J1181">
        <v>158.91999999999999</v>
      </c>
      <c r="K1181">
        <v>-0.27</v>
      </c>
      <c r="L1181" t="s">
        <v>346</v>
      </c>
      <c r="M1181" s="1">
        <v>2.7000000000000001E-3</v>
      </c>
      <c r="N1181" t="s">
        <v>349</v>
      </c>
      <c r="O1181">
        <v>2.69</v>
      </c>
      <c r="P1181" t="s">
        <v>344</v>
      </c>
      <c r="Q1181">
        <v>-0.51</v>
      </c>
      <c r="R1181" t="s">
        <v>343</v>
      </c>
      <c r="S1181">
        <v>1</v>
      </c>
    </row>
    <row r="1182" spans="1:19" x14ac:dyDescent="0.25">
      <c r="A1182" t="s">
        <v>34</v>
      </c>
      <c r="B1182" t="s">
        <v>134</v>
      </c>
      <c r="C1182">
        <v>1520</v>
      </c>
      <c r="D1182" t="s">
        <v>342</v>
      </c>
      <c r="E1182">
        <v>24.15</v>
      </c>
      <c r="F1182">
        <v>15.91</v>
      </c>
      <c r="G1182">
        <v>13.34</v>
      </c>
      <c r="H1182">
        <v>29.25</v>
      </c>
      <c r="I1182" t="s">
        <v>344</v>
      </c>
      <c r="J1182">
        <v>158.97</v>
      </c>
      <c r="K1182">
        <v>0.27</v>
      </c>
      <c r="L1182" t="s">
        <v>346</v>
      </c>
      <c r="M1182" s="1">
        <v>2.7000000000000001E-3</v>
      </c>
      <c r="N1182" t="s">
        <v>349</v>
      </c>
      <c r="O1182">
        <v>2.66</v>
      </c>
      <c r="P1182" t="s">
        <v>344</v>
      </c>
      <c r="Q1182">
        <v>0.45</v>
      </c>
      <c r="R1182" t="s">
        <v>343</v>
      </c>
      <c r="S1182">
        <v>1</v>
      </c>
    </row>
    <row r="1183" spans="1:19" x14ac:dyDescent="0.25">
      <c r="A1183" t="s">
        <v>34</v>
      </c>
      <c r="B1183" t="s">
        <v>135</v>
      </c>
      <c r="C1183">
        <v>1540</v>
      </c>
      <c r="D1183" t="s">
        <v>342</v>
      </c>
      <c r="E1183">
        <v>24.15</v>
      </c>
      <c r="F1183">
        <v>16.89</v>
      </c>
      <c r="G1183">
        <v>13.48</v>
      </c>
      <c r="H1183">
        <v>30.36</v>
      </c>
      <c r="I1183" t="s">
        <v>344</v>
      </c>
      <c r="J1183">
        <v>159.02000000000001</v>
      </c>
      <c r="K1183">
        <v>0.21</v>
      </c>
      <c r="L1183" t="s">
        <v>346</v>
      </c>
      <c r="M1183" s="1">
        <v>2.0999999999999999E-3</v>
      </c>
      <c r="N1183" t="s">
        <v>349</v>
      </c>
      <c r="O1183">
        <v>3.91</v>
      </c>
      <c r="P1183" t="s">
        <v>344</v>
      </c>
      <c r="Q1183">
        <v>-1.0900000000000001</v>
      </c>
      <c r="R1183" t="s">
        <v>343</v>
      </c>
      <c r="S1183">
        <v>1</v>
      </c>
    </row>
    <row r="1184" spans="1:19" x14ac:dyDescent="0.25">
      <c r="A1184" t="s">
        <v>34</v>
      </c>
      <c r="B1184" t="s">
        <v>136</v>
      </c>
      <c r="C1184">
        <v>1560</v>
      </c>
      <c r="D1184" t="s">
        <v>342</v>
      </c>
      <c r="E1184">
        <v>24.15</v>
      </c>
      <c r="F1184">
        <v>18.170000000000002</v>
      </c>
      <c r="G1184">
        <v>12.61</v>
      </c>
      <c r="H1184">
        <v>30.78</v>
      </c>
      <c r="I1184" t="s">
        <v>344</v>
      </c>
      <c r="J1184">
        <v>159.16999999999999</v>
      </c>
      <c r="K1184">
        <v>0.78</v>
      </c>
      <c r="L1184" t="s">
        <v>346</v>
      </c>
      <c r="M1184" s="1">
        <v>7.8000000000000014E-3</v>
      </c>
      <c r="N1184" t="s">
        <v>349</v>
      </c>
      <c r="O1184">
        <v>5.16</v>
      </c>
      <c r="P1184" t="s">
        <v>343</v>
      </c>
      <c r="Q1184">
        <v>-1.49</v>
      </c>
      <c r="R1184" t="s">
        <v>343</v>
      </c>
      <c r="S1184">
        <v>1</v>
      </c>
    </row>
    <row r="1185" spans="1:19" x14ac:dyDescent="0.25">
      <c r="A1185" t="s">
        <v>34</v>
      </c>
      <c r="B1185" t="s">
        <v>137</v>
      </c>
      <c r="C1185">
        <v>1580</v>
      </c>
      <c r="D1185" t="s">
        <v>342</v>
      </c>
      <c r="E1185">
        <v>24.15</v>
      </c>
      <c r="F1185">
        <v>17.559999999999999</v>
      </c>
      <c r="G1185">
        <v>12.75</v>
      </c>
      <c r="H1185">
        <v>30.31</v>
      </c>
      <c r="I1185" t="s">
        <v>344</v>
      </c>
      <c r="J1185">
        <v>159.31</v>
      </c>
      <c r="K1185">
        <v>0.67</v>
      </c>
      <c r="L1185" t="s">
        <v>346</v>
      </c>
      <c r="M1185" s="1">
        <v>6.7000000000000002E-3</v>
      </c>
      <c r="N1185" t="s">
        <v>349</v>
      </c>
      <c r="O1185">
        <v>5.07</v>
      </c>
      <c r="P1185" t="s">
        <v>343</v>
      </c>
      <c r="Q1185">
        <v>-2.19</v>
      </c>
      <c r="R1185" t="s">
        <v>344</v>
      </c>
      <c r="S1185">
        <v>1</v>
      </c>
    </row>
    <row r="1186" spans="1:19" x14ac:dyDescent="0.25">
      <c r="A1186" t="s">
        <v>34</v>
      </c>
      <c r="B1186" t="s">
        <v>138</v>
      </c>
      <c r="C1186">
        <v>1600</v>
      </c>
      <c r="D1186" t="s">
        <v>342</v>
      </c>
      <c r="E1186">
        <v>24.15</v>
      </c>
      <c r="F1186">
        <v>17.559999999999999</v>
      </c>
      <c r="G1186">
        <v>14.32</v>
      </c>
      <c r="H1186">
        <v>31.88</v>
      </c>
      <c r="I1186" t="s">
        <v>344</v>
      </c>
      <c r="J1186">
        <v>159.51</v>
      </c>
      <c r="K1186">
        <v>1.02</v>
      </c>
      <c r="L1186" t="s">
        <v>346</v>
      </c>
      <c r="M1186" s="1">
        <v>1.0200000000000001E-2</v>
      </c>
      <c r="N1186" t="s">
        <v>349</v>
      </c>
      <c r="O1186">
        <v>5.45</v>
      </c>
      <c r="P1186" t="s">
        <v>343</v>
      </c>
      <c r="Q1186">
        <v>-2.15</v>
      </c>
      <c r="R1186" t="s">
        <v>344</v>
      </c>
      <c r="S1186">
        <v>1</v>
      </c>
    </row>
    <row r="1187" spans="1:19" x14ac:dyDescent="0.25">
      <c r="A1187" t="s">
        <v>34</v>
      </c>
      <c r="B1187" t="s">
        <v>139</v>
      </c>
      <c r="C1187">
        <v>1620</v>
      </c>
      <c r="D1187" t="s">
        <v>342</v>
      </c>
      <c r="E1187">
        <v>24.15</v>
      </c>
      <c r="F1187">
        <v>16.3</v>
      </c>
      <c r="G1187">
        <v>15.37</v>
      </c>
      <c r="H1187">
        <v>31.67</v>
      </c>
      <c r="I1187" t="s">
        <v>344</v>
      </c>
      <c r="J1187">
        <v>159.72999999999999</v>
      </c>
      <c r="K1187">
        <v>1.0900000000000001</v>
      </c>
      <c r="L1187" t="s">
        <v>346</v>
      </c>
      <c r="M1187" s="1">
        <v>1.09E-2</v>
      </c>
      <c r="N1187" t="s">
        <v>349</v>
      </c>
      <c r="O1187">
        <v>5.3</v>
      </c>
      <c r="P1187" t="s">
        <v>343</v>
      </c>
      <c r="Q1187">
        <v>-2.77</v>
      </c>
      <c r="R1187" t="s">
        <v>344</v>
      </c>
      <c r="S1187">
        <v>1</v>
      </c>
    </row>
    <row r="1188" spans="1:19" x14ac:dyDescent="0.25">
      <c r="A1188" t="s">
        <v>34</v>
      </c>
      <c r="B1188" t="s">
        <v>140</v>
      </c>
      <c r="C1188">
        <v>1640</v>
      </c>
      <c r="D1188" t="s">
        <v>342</v>
      </c>
      <c r="E1188">
        <v>24.15</v>
      </c>
      <c r="F1188">
        <v>17.36</v>
      </c>
      <c r="G1188">
        <v>15.83</v>
      </c>
      <c r="H1188">
        <v>33.19</v>
      </c>
      <c r="I1188" t="s">
        <v>344</v>
      </c>
      <c r="J1188">
        <v>160.15</v>
      </c>
      <c r="K1188">
        <v>2.09</v>
      </c>
      <c r="L1188" t="s">
        <v>346</v>
      </c>
      <c r="M1188" s="1">
        <v>2.0899999999999998E-2</v>
      </c>
      <c r="N1188" t="s">
        <v>350</v>
      </c>
      <c r="O1188">
        <v>4.03</v>
      </c>
      <c r="P1188" t="s">
        <v>343</v>
      </c>
      <c r="Q1188">
        <v>-2.9</v>
      </c>
      <c r="R1188" t="s">
        <v>344</v>
      </c>
      <c r="S1188">
        <v>1</v>
      </c>
    </row>
    <row r="1189" spans="1:19" x14ac:dyDescent="0.25">
      <c r="A1189" t="s">
        <v>34</v>
      </c>
      <c r="B1189" t="s">
        <v>141</v>
      </c>
      <c r="C1189">
        <v>1660</v>
      </c>
      <c r="D1189" t="s">
        <v>342</v>
      </c>
      <c r="E1189">
        <v>24.15</v>
      </c>
      <c r="F1189">
        <v>17.100000000000001</v>
      </c>
      <c r="G1189">
        <v>14.33</v>
      </c>
      <c r="H1189">
        <v>31.43</v>
      </c>
      <c r="I1189" t="s">
        <v>344</v>
      </c>
      <c r="J1189">
        <v>160.69999999999999</v>
      </c>
      <c r="K1189">
        <v>2.77</v>
      </c>
      <c r="L1189" t="s">
        <v>346</v>
      </c>
      <c r="M1189" s="1">
        <v>2.7699999999999999E-2</v>
      </c>
      <c r="N1189" t="s">
        <v>350</v>
      </c>
      <c r="O1189">
        <v>3.68</v>
      </c>
      <c r="P1189" t="s">
        <v>344</v>
      </c>
      <c r="Q1189">
        <v>-0.66</v>
      </c>
      <c r="R1189" t="s">
        <v>343</v>
      </c>
      <c r="S1189">
        <v>1</v>
      </c>
    </row>
    <row r="1190" spans="1:19" x14ac:dyDescent="0.25">
      <c r="A1190" t="s">
        <v>34</v>
      </c>
      <c r="B1190" t="s">
        <v>142</v>
      </c>
      <c r="C1190">
        <v>1680</v>
      </c>
      <c r="D1190" t="s">
        <v>342</v>
      </c>
      <c r="E1190">
        <v>24.15</v>
      </c>
      <c r="F1190">
        <v>16.86</v>
      </c>
      <c r="G1190">
        <v>13.49</v>
      </c>
      <c r="H1190">
        <v>30.34</v>
      </c>
      <c r="I1190" t="s">
        <v>344</v>
      </c>
      <c r="J1190">
        <v>161.27000000000001</v>
      </c>
      <c r="K1190">
        <v>2.85</v>
      </c>
      <c r="L1190" t="s">
        <v>346</v>
      </c>
      <c r="M1190" s="1">
        <v>2.8500000000000001E-2</v>
      </c>
      <c r="N1190" t="s">
        <v>350</v>
      </c>
      <c r="O1190">
        <v>3.01</v>
      </c>
      <c r="P1190" t="s">
        <v>344</v>
      </c>
      <c r="Q1190">
        <v>0.63</v>
      </c>
      <c r="R1190" t="s">
        <v>343</v>
      </c>
      <c r="S1190">
        <v>1</v>
      </c>
    </row>
    <row r="1191" spans="1:19" x14ac:dyDescent="0.25">
      <c r="A1191" t="s">
        <v>34</v>
      </c>
      <c r="B1191" t="s">
        <v>143</v>
      </c>
      <c r="C1191">
        <v>1700</v>
      </c>
      <c r="D1191" t="s">
        <v>342</v>
      </c>
      <c r="E1191">
        <v>24.15</v>
      </c>
      <c r="F1191">
        <v>14.98</v>
      </c>
      <c r="G1191">
        <v>13.42</v>
      </c>
      <c r="H1191">
        <v>28.39</v>
      </c>
      <c r="I1191" t="s">
        <v>344</v>
      </c>
      <c r="J1191">
        <v>161.91999999999999</v>
      </c>
      <c r="K1191">
        <v>3.25</v>
      </c>
      <c r="L1191" t="s">
        <v>346</v>
      </c>
      <c r="M1191" s="1">
        <v>3.2500000000000001E-2</v>
      </c>
      <c r="N1191" t="s">
        <v>350</v>
      </c>
      <c r="O1191">
        <v>3.13</v>
      </c>
      <c r="P1191" t="s">
        <v>344</v>
      </c>
      <c r="Q1191">
        <v>0</v>
      </c>
      <c r="R1191" t="s">
        <v>343</v>
      </c>
      <c r="S1191">
        <v>1</v>
      </c>
    </row>
    <row r="1192" spans="1:19" x14ac:dyDescent="0.25">
      <c r="A1192" t="s">
        <v>34</v>
      </c>
      <c r="B1192" t="s">
        <v>144</v>
      </c>
      <c r="C1192">
        <v>1720</v>
      </c>
      <c r="D1192" t="s">
        <v>342</v>
      </c>
      <c r="E1192">
        <v>24.15</v>
      </c>
      <c r="F1192">
        <v>16.34</v>
      </c>
      <c r="G1192">
        <v>13.78</v>
      </c>
      <c r="H1192">
        <v>30.12</v>
      </c>
      <c r="I1192" t="s">
        <v>344</v>
      </c>
      <c r="J1192">
        <v>162.69999999999999</v>
      </c>
      <c r="K1192">
        <v>3.9</v>
      </c>
      <c r="L1192" t="s">
        <v>346</v>
      </c>
      <c r="M1192" s="1">
        <v>3.9E-2</v>
      </c>
      <c r="N1192" t="s">
        <v>350</v>
      </c>
      <c r="O1192">
        <v>3.19</v>
      </c>
      <c r="P1192" t="s">
        <v>344</v>
      </c>
      <c r="Q1192">
        <v>0.49</v>
      </c>
      <c r="R1192" t="s">
        <v>343</v>
      </c>
      <c r="S1192">
        <v>1</v>
      </c>
    </row>
    <row r="1193" spans="1:19" x14ac:dyDescent="0.25">
      <c r="A1193" t="s">
        <v>34</v>
      </c>
      <c r="B1193" t="s">
        <v>145</v>
      </c>
      <c r="C1193">
        <v>1740</v>
      </c>
      <c r="D1193" t="s">
        <v>342</v>
      </c>
      <c r="E1193">
        <v>24.15</v>
      </c>
      <c r="F1193">
        <v>16.34</v>
      </c>
      <c r="G1193">
        <v>14.31</v>
      </c>
      <c r="H1193">
        <v>30.65</v>
      </c>
      <c r="I1193" t="s">
        <v>344</v>
      </c>
      <c r="J1193">
        <v>163.44999999999999</v>
      </c>
      <c r="K1193">
        <v>3.74</v>
      </c>
      <c r="L1193" t="s">
        <v>346</v>
      </c>
      <c r="M1193" s="1">
        <v>3.7400000000000003E-2</v>
      </c>
      <c r="N1193" t="s">
        <v>350</v>
      </c>
      <c r="O1193">
        <v>4.5599999999999996</v>
      </c>
      <c r="P1193" t="s">
        <v>343</v>
      </c>
      <c r="Q1193">
        <v>-0.14000000000000001</v>
      </c>
      <c r="R1193" t="s">
        <v>343</v>
      </c>
      <c r="S1193">
        <v>1</v>
      </c>
    </row>
    <row r="1194" spans="1:19" x14ac:dyDescent="0.25">
      <c r="A1194" t="s">
        <v>34</v>
      </c>
      <c r="B1194" t="s">
        <v>146</v>
      </c>
      <c r="C1194">
        <v>1760</v>
      </c>
      <c r="D1194" t="s">
        <v>342</v>
      </c>
      <c r="E1194">
        <v>24.15</v>
      </c>
      <c r="F1194">
        <v>20</v>
      </c>
      <c r="G1194">
        <v>14.32</v>
      </c>
      <c r="H1194">
        <v>34.32</v>
      </c>
      <c r="I1194" t="s">
        <v>344</v>
      </c>
      <c r="J1194">
        <v>164.01</v>
      </c>
      <c r="K1194">
        <v>2.8</v>
      </c>
      <c r="L1194" t="s">
        <v>346</v>
      </c>
      <c r="M1194" s="1">
        <v>2.8000000000000001E-2</v>
      </c>
      <c r="N1194" t="s">
        <v>350</v>
      </c>
      <c r="O1194">
        <v>3.65</v>
      </c>
      <c r="P1194" t="s">
        <v>344</v>
      </c>
      <c r="Q1194">
        <v>-0.7</v>
      </c>
      <c r="R1194" t="s">
        <v>343</v>
      </c>
      <c r="S1194">
        <v>1</v>
      </c>
    </row>
    <row r="1195" spans="1:19" x14ac:dyDescent="0.25">
      <c r="A1195" t="s">
        <v>34</v>
      </c>
      <c r="B1195" t="s">
        <v>147</v>
      </c>
      <c r="C1195">
        <v>1780</v>
      </c>
      <c r="D1195" t="s">
        <v>342</v>
      </c>
      <c r="E1195">
        <v>24.15</v>
      </c>
      <c r="F1195">
        <v>20</v>
      </c>
      <c r="G1195">
        <v>14.85</v>
      </c>
      <c r="H1195">
        <v>34.85</v>
      </c>
      <c r="I1195" t="s">
        <v>344</v>
      </c>
      <c r="J1195">
        <v>164.48</v>
      </c>
      <c r="K1195">
        <v>2.36</v>
      </c>
      <c r="L1195" t="s">
        <v>346</v>
      </c>
      <c r="M1195" s="1">
        <v>2.3599999999999999E-2</v>
      </c>
      <c r="N1195" t="s">
        <v>350</v>
      </c>
      <c r="O1195">
        <v>4.1399999999999997</v>
      </c>
      <c r="P1195" t="s">
        <v>343</v>
      </c>
      <c r="Q1195">
        <v>-1.04</v>
      </c>
      <c r="R1195" t="s">
        <v>343</v>
      </c>
      <c r="S1195">
        <v>1</v>
      </c>
    </row>
    <row r="1196" spans="1:19" x14ac:dyDescent="0.25">
      <c r="A1196" t="s">
        <v>34</v>
      </c>
      <c r="B1196" t="s">
        <v>148</v>
      </c>
      <c r="C1196">
        <v>1800</v>
      </c>
      <c r="D1196" t="s">
        <v>342</v>
      </c>
      <c r="E1196">
        <v>24.15</v>
      </c>
      <c r="F1196">
        <v>20</v>
      </c>
      <c r="G1196">
        <v>14.63</v>
      </c>
      <c r="H1196">
        <v>34.630000000000003</v>
      </c>
      <c r="I1196" t="s">
        <v>344</v>
      </c>
      <c r="J1196">
        <v>165.03</v>
      </c>
      <c r="K1196">
        <v>2.77</v>
      </c>
      <c r="L1196" t="s">
        <v>346</v>
      </c>
      <c r="M1196" s="1">
        <v>2.7699999999999999E-2</v>
      </c>
      <c r="N1196" t="s">
        <v>350</v>
      </c>
      <c r="O1196">
        <v>4.1500000000000004</v>
      </c>
      <c r="P1196" t="s">
        <v>343</v>
      </c>
      <c r="Q1196">
        <v>-0.84</v>
      </c>
      <c r="R1196" t="s">
        <v>343</v>
      </c>
      <c r="S1196">
        <v>1</v>
      </c>
    </row>
    <row r="1197" spans="1:19" x14ac:dyDescent="0.25">
      <c r="A1197" t="s">
        <v>34</v>
      </c>
      <c r="B1197" t="s">
        <v>149</v>
      </c>
      <c r="C1197">
        <v>1820</v>
      </c>
      <c r="D1197" t="s">
        <v>342</v>
      </c>
      <c r="E1197">
        <v>24.15</v>
      </c>
      <c r="F1197">
        <v>20</v>
      </c>
      <c r="G1197">
        <v>14.85</v>
      </c>
      <c r="H1197">
        <v>34.85</v>
      </c>
      <c r="I1197" t="s">
        <v>344</v>
      </c>
      <c r="J1197">
        <v>165.7</v>
      </c>
      <c r="K1197">
        <v>3.35</v>
      </c>
      <c r="L1197" t="s">
        <v>346</v>
      </c>
      <c r="M1197" s="1">
        <v>3.3500000000000002E-2</v>
      </c>
      <c r="N1197" t="s">
        <v>350</v>
      </c>
      <c r="O1197">
        <v>5.0199999999999996</v>
      </c>
      <c r="P1197" t="s">
        <v>343</v>
      </c>
      <c r="Q1197">
        <v>-0.56999999999999995</v>
      </c>
      <c r="R1197" t="s">
        <v>343</v>
      </c>
      <c r="S1197">
        <v>1</v>
      </c>
    </row>
    <row r="1198" spans="1:19" x14ac:dyDescent="0.25">
      <c r="A1198" t="s">
        <v>34</v>
      </c>
      <c r="B1198" t="s">
        <v>150</v>
      </c>
      <c r="C1198">
        <v>1840</v>
      </c>
      <c r="D1198" t="s">
        <v>342</v>
      </c>
      <c r="E1198">
        <v>24.15</v>
      </c>
      <c r="F1198">
        <v>20</v>
      </c>
      <c r="G1198">
        <v>16.13</v>
      </c>
      <c r="H1198">
        <v>36.130000000000003</v>
      </c>
      <c r="I1198" t="s">
        <v>344</v>
      </c>
      <c r="J1198">
        <v>166.11</v>
      </c>
      <c r="K1198">
        <v>2.04</v>
      </c>
      <c r="L1198" t="s">
        <v>346</v>
      </c>
      <c r="M1198" s="1">
        <v>2.0400000000000001E-2</v>
      </c>
      <c r="N1198" t="s">
        <v>350</v>
      </c>
      <c r="O1198">
        <v>3.83</v>
      </c>
      <c r="P1198" t="s">
        <v>344</v>
      </c>
      <c r="Q1198">
        <v>-0.63</v>
      </c>
      <c r="R1198" t="s">
        <v>343</v>
      </c>
      <c r="S1198">
        <v>1</v>
      </c>
    </row>
    <row r="1199" spans="1:19" x14ac:dyDescent="0.25">
      <c r="A1199" t="s">
        <v>34</v>
      </c>
      <c r="B1199" t="s">
        <v>151</v>
      </c>
      <c r="C1199">
        <v>1860</v>
      </c>
      <c r="D1199" t="s">
        <v>342</v>
      </c>
      <c r="E1199">
        <v>24.15</v>
      </c>
      <c r="F1199">
        <v>17.05</v>
      </c>
      <c r="G1199">
        <v>16.39</v>
      </c>
      <c r="H1199">
        <v>33.450000000000003</v>
      </c>
      <c r="I1199" t="s">
        <v>344</v>
      </c>
      <c r="J1199">
        <v>166.41</v>
      </c>
      <c r="K1199">
        <v>1.47</v>
      </c>
      <c r="L1199" t="s">
        <v>346</v>
      </c>
      <c r="M1199" s="1">
        <v>1.47E-2</v>
      </c>
      <c r="N1199" t="s">
        <v>349</v>
      </c>
      <c r="O1199">
        <v>3.4</v>
      </c>
      <c r="P1199" t="s">
        <v>344</v>
      </c>
      <c r="Q1199">
        <v>-2.63</v>
      </c>
      <c r="R1199" t="s">
        <v>344</v>
      </c>
      <c r="S1199">
        <v>1</v>
      </c>
    </row>
    <row r="1200" spans="1:19" x14ac:dyDescent="0.25">
      <c r="A1200" t="s">
        <v>34</v>
      </c>
      <c r="B1200" t="s">
        <v>152</v>
      </c>
      <c r="C1200">
        <v>1880</v>
      </c>
      <c r="D1200" t="s">
        <v>342</v>
      </c>
      <c r="E1200">
        <v>24.15</v>
      </c>
      <c r="F1200">
        <v>15.88</v>
      </c>
      <c r="G1200">
        <v>16.2</v>
      </c>
      <c r="H1200">
        <v>32.090000000000003</v>
      </c>
      <c r="I1200" t="s">
        <v>344</v>
      </c>
      <c r="J1200">
        <v>166.77</v>
      </c>
      <c r="K1200">
        <v>1.84</v>
      </c>
      <c r="L1200" t="s">
        <v>346</v>
      </c>
      <c r="M1200" s="1">
        <v>1.84E-2</v>
      </c>
      <c r="N1200" t="s">
        <v>349</v>
      </c>
      <c r="O1200">
        <v>3.55</v>
      </c>
      <c r="P1200" t="s">
        <v>344</v>
      </c>
      <c r="Q1200">
        <v>-1.76</v>
      </c>
      <c r="R1200" t="s">
        <v>343</v>
      </c>
      <c r="S1200">
        <v>1</v>
      </c>
    </row>
    <row r="1201" spans="1:19" x14ac:dyDescent="0.25">
      <c r="A1201" t="s">
        <v>34</v>
      </c>
      <c r="B1201" t="s">
        <v>153</v>
      </c>
      <c r="C1201">
        <v>1900</v>
      </c>
      <c r="D1201" t="s">
        <v>342</v>
      </c>
      <c r="E1201">
        <v>24.15</v>
      </c>
      <c r="F1201">
        <v>14.56</v>
      </c>
      <c r="G1201">
        <v>16.809999999999999</v>
      </c>
      <c r="H1201">
        <v>31.36</v>
      </c>
      <c r="I1201" t="s">
        <v>344</v>
      </c>
      <c r="J1201">
        <v>167.15</v>
      </c>
      <c r="K1201">
        <v>1.88</v>
      </c>
      <c r="L1201" t="s">
        <v>346</v>
      </c>
      <c r="M1201" s="1">
        <v>1.8800000000000001E-2</v>
      </c>
      <c r="N1201" t="s">
        <v>349</v>
      </c>
      <c r="O1201">
        <v>4.3899999999999997</v>
      </c>
      <c r="P1201" t="s">
        <v>343</v>
      </c>
      <c r="Q1201">
        <v>-1.64</v>
      </c>
      <c r="R1201" t="s">
        <v>343</v>
      </c>
      <c r="S1201">
        <v>1</v>
      </c>
    </row>
    <row r="1202" spans="1:19" x14ac:dyDescent="0.25">
      <c r="A1202" t="s">
        <v>34</v>
      </c>
      <c r="B1202" t="s">
        <v>154</v>
      </c>
      <c r="C1202">
        <v>1920</v>
      </c>
      <c r="D1202" t="s">
        <v>342</v>
      </c>
      <c r="E1202">
        <v>24.15</v>
      </c>
      <c r="F1202">
        <v>13.5</v>
      </c>
      <c r="G1202">
        <v>16.2</v>
      </c>
      <c r="H1202">
        <v>29.7</v>
      </c>
      <c r="I1202" t="s">
        <v>344</v>
      </c>
      <c r="J1202">
        <v>167.41</v>
      </c>
      <c r="K1202">
        <v>1.29</v>
      </c>
      <c r="L1202" t="s">
        <v>346</v>
      </c>
      <c r="M1202" s="1">
        <v>1.29E-2</v>
      </c>
      <c r="N1202" t="s">
        <v>349</v>
      </c>
      <c r="O1202">
        <v>4.38</v>
      </c>
      <c r="P1202" t="s">
        <v>343</v>
      </c>
      <c r="Q1202">
        <v>0.5</v>
      </c>
      <c r="R1202" t="s">
        <v>343</v>
      </c>
      <c r="S1202">
        <v>1</v>
      </c>
    </row>
    <row r="1203" spans="1:19" x14ac:dyDescent="0.25">
      <c r="A1203" t="s">
        <v>34</v>
      </c>
      <c r="B1203" t="s">
        <v>155</v>
      </c>
      <c r="C1203">
        <v>1940</v>
      </c>
      <c r="D1203" t="s">
        <v>342</v>
      </c>
      <c r="E1203">
        <v>24.15</v>
      </c>
      <c r="F1203">
        <v>12.66</v>
      </c>
      <c r="G1203">
        <v>17.690000000000001</v>
      </c>
      <c r="H1203">
        <v>30.35</v>
      </c>
      <c r="I1203" t="s">
        <v>344</v>
      </c>
      <c r="J1203">
        <v>167.62</v>
      </c>
      <c r="K1203">
        <v>1.04</v>
      </c>
      <c r="L1203" t="s">
        <v>346</v>
      </c>
      <c r="M1203" s="1">
        <v>1.04E-2</v>
      </c>
      <c r="N1203" t="s">
        <v>349</v>
      </c>
      <c r="O1203">
        <v>4.2300000000000004</v>
      </c>
      <c r="P1203" t="s">
        <v>343</v>
      </c>
      <c r="Q1203">
        <v>-0.37</v>
      </c>
      <c r="R1203" t="s">
        <v>343</v>
      </c>
      <c r="S1203">
        <v>1</v>
      </c>
    </row>
    <row r="1204" spans="1:19" x14ac:dyDescent="0.25">
      <c r="A1204" t="s">
        <v>34</v>
      </c>
      <c r="B1204" t="s">
        <v>156</v>
      </c>
      <c r="C1204">
        <v>1960</v>
      </c>
      <c r="D1204" t="s">
        <v>342</v>
      </c>
      <c r="E1204">
        <v>24.15</v>
      </c>
      <c r="F1204">
        <v>12.3</v>
      </c>
      <c r="G1204">
        <v>18.37</v>
      </c>
      <c r="H1204">
        <v>30.67</v>
      </c>
      <c r="I1204" t="s">
        <v>344</v>
      </c>
      <c r="J1204">
        <v>167.78</v>
      </c>
      <c r="K1204">
        <v>0.82</v>
      </c>
      <c r="L1204" t="s">
        <v>346</v>
      </c>
      <c r="M1204" s="1">
        <v>8.199999999999999E-3</v>
      </c>
      <c r="N1204" t="s">
        <v>349</v>
      </c>
      <c r="O1204">
        <v>2.39</v>
      </c>
      <c r="P1204" t="s">
        <v>344</v>
      </c>
      <c r="Q1204">
        <v>0.64</v>
      </c>
      <c r="R1204" t="s">
        <v>343</v>
      </c>
      <c r="S1204">
        <v>1</v>
      </c>
    </row>
    <row r="1205" spans="1:19" x14ac:dyDescent="0.25">
      <c r="A1205" t="s">
        <v>34</v>
      </c>
      <c r="B1205" t="s">
        <v>157</v>
      </c>
      <c r="C1205">
        <v>1980</v>
      </c>
      <c r="D1205" t="s">
        <v>342</v>
      </c>
      <c r="E1205">
        <v>24.15</v>
      </c>
      <c r="F1205">
        <v>13.67</v>
      </c>
      <c r="G1205">
        <v>18.37</v>
      </c>
      <c r="H1205">
        <v>32.049999999999997</v>
      </c>
      <c r="I1205" t="s">
        <v>344</v>
      </c>
      <c r="J1205">
        <v>169.57</v>
      </c>
      <c r="K1205">
        <v>8.94</v>
      </c>
      <c r="L1205" t="s">
        <v>347</v>
      </c>
      <c r="M1205" s="1">
        <v>8.9399999999999993E-2</v>
      </c>
      <c r="N1205" t="s">
        <v>350</v>
      </c>
      <c r="O1205">
        <v>0.76</v>
      </c>
      <c r="P1205" t="s">
        <v>343</v>
      </c>
      <c r="Q1205">
        <v>2.4300000000000002</v>
      </c>
      <c r="R1205" t="s">
        <v>344</v>
      </c>
      <c r="S1205">
        <v>1</v>
      </c>
    </row>
    <row r="1206" spans="1:19" x14ac:dyDescent="0.25">
      <c r="A1206" t="s">
        <v>34</v>
      </c>
      <c r="B1206" t="s">
        <v>158</v>
      </c>
      <c r="C1206">
        <v>2000</v>
      </c>
      <c r="D1206" t="s">
        <v>342</v>
      </c>
      <c r="E1206">
        <v>24.15</v>
      </c>
      <c r="F1206">
        <v>14.95</v>
      </c>
      <c r="G1206">
        <v>20</v>
      </c>
      <c r="H1206">
        <v>34.950000000000003</v>
      </c>
      <c r="I1206" t="s">
        <v>344</v>
      </c>
      <c r="J1206">
        <v>170.02</v>
      </c>
      <c r="K1206">
        <v>2.2400000000000002</v>
      </c>
      <c r="L1206" t="s">
        <v>346</v>
      </c>
      <c r="M1206" s="1">
        <v>2.24E-2</v>
      </c>
      <c r="N1206" t="s">
        <v>350</v>
      </c>
      <c r="O1206">
        <v>-0.72</v>
      </c>
      <c r="P1206" t="s">
        <v>343</v>
      </c>
      <c r="Q1206">
        <v>1.84</v>
      </c>
      <c r="R1206" t="s">
        <v>343</v>
      </c>
      <c r="S1206">
        <v>1</v>
      </c>
    </row>
    <row r="1207" spans="1:19" x14ac:dyDescent="0.25">
      <c r="A1207" t="s">
        <v>34</v>
      </c>
      <c r="B1207" t="s">
        <v>159</v>
      </c>
      <c r="C1207">
        <v>2020</v>
      </c>
      <c r="D1207" t="s">
        <v>342</v>
      </c>
      <c r="E1207">
        <v>24.15</v>
      </c>
      <c r="F1207">
        <v>14</v>
      </c>
      <c r="G1207">
        <v>20</v>
      </c>
      <c r="H1207">
        <v>34</v>
      </c>
      <c r="I1207" t="s">
        <v>344</v>
      </c>
      <c r="J1207">
        <v>169.93</v>
      </c>
      <c r="K1207">
        <v>-0.42</v>
      </c>
      <c r="L1207" t="s">
        <v>346</v>
      </c>
      <c r="M1207" s="1">
        <v>4.1999999999999997E-3</v>
      </c>
      <c r="N1207" t="s">
        <v>349</v>
      </c>
      <c r="O1207">
        <v>0.14000000000000001</v>
      </c>
      <c r="P1207" t="s">
        <v>343</v>
      </c>
      <c r="Q1207">
        <v>0.54</v>
      </c>
      <c r="R1207" t="s">
        <v>343</v>
      </c>
      <c r="S1207">
        <v>1</v>
      </c>
    </row>
    <row r="1208" spans="1:19" x14ac:dyDescent="0.25">
      <c r="A1208" t="s">
        <v>34</v>
      </c>
      <c r="B1208" t="s">
        <v>160</v>
      </c>
      <c r="C1208">
        <v>2040</v>
      </c>
      <c r="D1208" t="s">
        <v>342</v>
      </c>
      <c r="E1208">
        <v>24.15</v>
      </c>
      <c r="F1208">
        <v>14.01</v>
      </c>
      <c r="G1208">
        <v>20</v>
      </c>
      <c r="H1208">
        <v>34.01</v>
      </c>
      <c r="I1208" t="s">
        <v>344</v>
      </c>
      <c r="J1208">
        <v>168.59</v>
      </c>
      <c r="K1208">
        <v>-6.73</v>
      </c>
      <c r="L1208" t="s">
        <v>346</v>
      </c>
      <c r="M1208" s="1">
        <v>6.7299999999999999E-2</v>
      </c>
      <c r="N1208" t="s">
        <v>350</v>
      </c>
      <c r="O1208">
        <v>1.99</v>
      </c>
      <c r="P1208" t="s">
        <v>343</v>
      </c>
      <c r="Q1208">
        <v>-0.31</v>
      </c>
      <c r="R1208" t="s">
        <v>343</v>
      </c>
      <c r="S1208">
        <v>1</v>
      </c>
    </row>
    <row r="1209" spans="1:19" x14ac:dyDescent="0.25">
      <c r="A1209" t="s">
        <v>34</v>
      </c>
      <c r="B1209" t="s">
        <v>161</v>
      </c>
      <c r="C1209">
        <v>2060</v>
      </c>
      <c r="D1209" t="s">
        <v>342</v>
      </c>
      <c r="E1209">
        <v>24.15</v>
      </c>
      <c r="F1209">
        <v>13.67</v>
      </c>
      <c r="G1209">
        <v>20</v>
      </c>
      <c r="H1209">
        <v>33.67</v>
      </c>
      <c r="I1209" t="s">
        <v>344</v>
      </c>
      <c r="J1209">
        <v>169.3</v>
      </c>
      <c r="K1209">
        <v>3.57</v>
      </c>
      <c r="L1209" t="s">
        <v>346</v>
      </c>
      <c r="M1209" s="1">
        <v>3.5700000000000003E-2</v>
      </c>
      <c r="N1209" t="s">
        <v>350</v>
      </c>
      <c r="O1209">
        <v>4.74</v>
      </c>
      <c r="P1209" t="s">
        <v>343</v>
      </c>
      <c r="Q1209">
        <v>1.66</v>
      </c>
      <c r="R1209" t="s">
        <v>343</v>
      </c>
      <c r="S1209">
        <v>1</v>
      </c>
    </row>
    <row r="1210" spans="1:19" x14ac:dyDescent="0.25">
      <c r="A1210" t="s">
        <v>34</v>
      </c>
      <c r="B1210" t="s">
        <v>162</v>
      </c>
      <c r="C1210">
        <v>2080</v>
      </c>
      <c r="D1210" t="s">
        <v>342</v>
      </c>
      <c r="E1210">
        <v>24.15</v>
      </c>
      <c r="F1210">
        <v>16.09</v>
      </c>
      <c r="G1210">
        <v>20</v>
      </c>
      <c r="H1210">
        <v>36.090000000000003</v>
      </c>
      <c r="I1210" t="s">
        <v>344</v>
      </c>
      <c r="J1210">
        <v>170.25</v>
      </c>
      <c r="K1210">
        <v>4.72</v>
      </c>
      <c r="L1210" t="s">
        <v>346</v>
      </c>
      <c r="M1210" s="1">
        <v>4.7199999999999999E-2</v>
      </c>
      <c r="N1210" t="s">
        <v>350</v>
      </c>
      <c r="O1210">
        <v>5.62</v>
      </c>
      <c r="P1210" t="s">
        <v>343</v>
      </c>
      <c r="Q1210">
        <v>3.86</v>
      </c>
      <c r="R1210" t="s">
        <v>344</v>
      </c>
      <c r="S1210">
        <v>1</v>
      </c>
    </row>
    <row r="1211" spans="1:19" x14ac:dyDescent="0.25">
      <c r="A1211" t="s">
        <v>34</v>
      </c>
      <c r="B1211" t="s">
        <v>163</v>
      </c>
      <c r="C1211">
        <v>2100</v>
      </c>
      <c r="D1211" t="s">
        <v>342</v>
      </c>
      <c r="E1211">
        <v>24.15</v>
      </c>
      <c r="F1211">
        <v>20</v>
      </c>
      <c r="G1211">
        <v>20</v>
      </c>
      <c r="H1211">
        <v>40</v>
      </c>
      <c r="I1211" t="s">
        <v>344</v>
      </c>
      <c r="J1211">
        <v>170.53</v>
      </c>
      <c r="K1211">
        <v>1.41</v>
      </c>
      <c r="L1211" t="s">
        <v>346</v>
      </c>
      <c r="M1211" s="1">
        <v>1.41E-2</v>
      </c>
      <c r="N1211" t="s">
        <v>349</v>
      </c>
      <c r="O1211">
        <v>4.04</v>
      </c>
      <c r="P1211" t="s">
        <v>343</v>
      </c>
      <c r="Q1211">
        <v>5.46</v>
      </c>
      <c r="R1211" t="s">
        <v>343</v>
      </c>
      <c r="S1211">
        <v>1</v>
      </c>
    </row>
    <row r="1212" spans="1:19" x14ac:dyDescent="0.25">
      <c r="A1212" t="s">
        <v>34</v>
      </c>
      <c r="B1212" t="s">
        <v>164</v>
      </c>
      <c r="C1212">
        <v>2120</v>
      </c>
      <c r="D1212" t="s">
        <v>342</v>
      </c>
      <c r="E1212">
        <v>24.15</v>
      </c>
      <c r="F1212">
        <v>20</v>
      </c>
      <c r="G1212">
        <v>20</v>
      </c>
      <c r="H1212">
        <v>40</v>
      </c>
      <c r="I1212" t="s">
        <v>344</v>
      </c>
      <c r="J1212">
        <v>170.45</v>
      </c>
      <c r="K1212">
        <v>-0.39</v>
      </c>
      <c r="L1212" t="s">
        <v>346</v>
      </c>
      <c r="M1212" s="1">
        <v>3.8999999999999998E-3</v>
      </c>
      <c r="N1212" t="s">
        <v>349</v>
      </c>
      <c r="O1212">
        <v>2.23</v>
      </c>
      <c r="P1212" t="s">
        <v>344</v>
      </c>
      <c r="Q1212">
        <v>3.02</v>
      </c>
      <c r="R1212" t="s">
        <v>344</v>
      </c>
      <c r="S1212">
        <v>1</v>
      </c>
    </row>
    <row r="1213" spans="1:19" x14ac:dyDescent="0.25">
      <c r="A1213" t="s">
        <v>34</v>
      </c>
      <c r="B1213" t="s">
        <v>170</v>
      </c>
      <c r="C1213">
        <v>2140</v>
      </c>
      <c r="D1213" t="s">
        <v>342</v>
      </c>
      <c r="E1213">
        <v>24.15</v>
      </c>
      <c r="F1213">
        <v>20</v>
      </c>
      <c r="G1213">
        <v>16.48</v>
      </c>
      <c r="H1213">
        <v>36.479999999999997</v>
      </c>
      <c r="I1213" t="s">
        <v>344</v>
      </c>
      <c r="J1213">
        <v>171.05</v>
      </c>
      <c r="K1213">
        <v>2.98</v>
      </c>
      <c r="L1213" t="s">
        <v>346</v>
      </c>
      <c r="M1213" s="1">
        <v>2.98E-2</v>
      </c>
      <c r="N1213" t="s">
        <v>350</v>
      </c>
      <c r="O1213">
        <v>2.61</v>
      </c>
      <c r="P1213" t="s">
        <v>344</v>
      </c>
      <c r="Q1213">
        <v>2.41</v>
      </c>
      <c r="R1213" t="s">
        <v>344</v>
      </c>
      <c r="S1213">
        <v>1</v>
      </c>
    </row>
    <row r="1214" spans="1:19" x14ac:dyDescent="0.25">
      <c r="A1214" t="s">
        <v>34</v>
      </c>
      <c r="B1214" t="s">
        <v>171</v>
      </c>
      <c r="C1214">
        <v>2160</v>
      </c>
      <c r="D1214" t="s">
        <v>342</v>
      </c>
      <c r="E1214">
        <v>24.15</v>
      </c>
      <c r="F1214">
        <v>20</v>
      </c>
      <c r="G1214">
        <v>16.77</v>
      </c>
      <c r="H1214">
        <v>36.770000000000003</v>
      </c>
      <c r="I1214" t="s">
        <v>344</v>
      </c>
      <c r="J1214">
        <v>171.27</v>
      </c>
      <c r="K1214">
        <v>1.1299999999999999</v>
      </c>
      <c r="L1214" t="s">
        <v>346</v>
      </c>
      <c r="M1214" s="1">
        <v>1.1299999999999999E-2</v>
      </c>
      <c r="N1214" t="s">
        <v>349</v>
      </c>
      <c r="O1214">
        <v>2.96</v>
      </c>
      <c r="P1214" t="s">
        <v>344</v>
      </c>
      <c r="Q1214">
        <v>1.25</v>
      </c>
      <c r="R1214" t="s">
        <v>343</v>
      </c>
      <c r="S1214">
        <v>1</v>
      </c>
    </row>
    <row r="1215" spans="1:19" x14ac:dyDescent="0.25">
      <c r="A1215" t="s">
        <v>34</v>
      </c>
      <c r="B1215" t="s">
        <v>172</v>
      </c>
      <c r="C1215">
        <v>2180</v>
      </c>
      <c r="D1215" t="s">
        <v>342</v>
      </c>
      <c r="E1215">
        <v>24.15</v>
      </c>
      <c r="F1215">
        <v>20</v>
      </c>
      <c r="G1215">
        <v>17.190000000000001</v>
      </c>
      <c r="H1215">
        <v>37.19</v>
      </c>
      <c r="I1215" t="s">
        <v>344</v>
      </c>
      <c r="J1215">
        <v>171.22</v>
      </c>
      <c r="K1215">
        <v>-0.28000000000000003</v>
      </c>
      <c r="L1215" t="s">
        <v>346</v>
      </c>
      <c r="M1215" s="1">
        <v>2.8E-3</v>
      </c>
      <c r="N1215" t="s">
        <v>349</v>
      </c>
      <c r="O1215">
        <v>3.91</v>
      </c>
      <c r="P1215" t="s">
        <v>344</v>
      </c>
      <c r="Q1215">
        <v>-1.2</v>
      </c>
      <c r="R1215" t="s">
        <v>343</v>
      </c>
      <c r="S1215">
        <v>1</v>
      </c>
    </row>
    <row r="1216" spans="1:19" x14ac:dyDescent="0.25">
      <c r="A1216" t="s">
        <v>34</v>
      </c>
      <c r="B1216" t="s">
        <v>173</v>
      </c>
      <c r="C1216">
        <v>2200</v>
      </c>
      <c r="D1216" t="s">
        <v>342</v>
      </c>
      <c r="E1216">
        <v>24.15</v>
      </c>
      <c r="F1216">
        <v>20</v>
      </c>
      <c r="G1216">
        <v>20</v>
      </c>
      <c r="H1216">
        <v>40</v>
      </c>
      <c r="I1216" t="s">
        <v>344</v>
      </c>
      <c r="J1216">
        <v>171.23</v>
      </c>
      <c r="K1216">
        <v>0.06</v>
      </c>
      <c r="L1216" t="s">
        <v>346</v>
      </c>
      <c r="M1216" s="1">
        <v>5.9999999999999995E-4</v>
      </c>
      <c r="N1216" t="s">
        <v>349</v>
      </c>
      <c r="O1216">
        <v>3.11</v>
      </c>
      <c r="P1216" t="s">
        <v>344</v>
      </c>
      <c r="Q1216">
        <v>-1.91</v>
      </c>
      <c r="R1216" t="s">
        <v>343</v>
      </c>
      <c r="S1216">
        <v>1</v>
      </c>
    </row>
    <row r="1217" spans="1:19" x14ac:dyDescent="0.25">
      <c r="A1217" t="s">
        <v>34</v>
      </c>
      <c r="B1217" t="s">
        <v>174</v>
      </c>
      <c r="C1217">
        <v>2220</v>
      </c>
      <c r="D1217" t="s">
        <v>342</v>
      </c>
      <c r="E1217">
        <v>24.15</v>
      </c>
      <c r="F1217">
        <v>20</v>
      </c>
      <c r="G1217">
        <v>20</v>
      </c>
      <c r="H1217">
        <v>40</v>
      </c>
      <c r="I1217" t="s">
        <v>344</v>
      </c>
      <c r="J1217">
        <v>171.33</v>
      </c>
      <c r="K1217">
        <v>0.52</v>
      </c>
      <c r="L1217" t="s">
        <v>346</v>
      </c>
      <c r="M1217" s="1">
        <v>5.1999999999999998E-3</v>
      </c>
      <c r="N1217" t="s">
        <v>349</v>
      </c>
      <c r="O1217">
        <v>3.58</v>
      </c>
      <c r="P1217" t="s">
        <v>344</v>
      </c>
      <c r="Q1217">
        <v>-1.02</v>
      </c>
      <c r="R1217" t="s">
        <v>343</v>
      </c>
      <c r="S1217">
        <v>1</v>
      </c>
    </row>
    <row r="1218" spans="1:19" x14ac:dyDescent="0.25">
      <c r="A1218" t="s">
        <v>34</v>
      </c>
      <c r="B1218" t="s">
        <v>175</v>
      </c>
      <c r="C1218">
        <v>2240</v>
      </c>
      <c r="D1218" t="s">
        <v>342</v>
      </c>
      <c r="E1218">
        <v>24.15</v>
      </c>
      <c r="F1218">
        <v>16.52</v>
      </c>
      <c r="G1218">
        <v>20</v>
      </c>
      <c r="H1218">
        <v>36.520000000000003</v>
      </c>
      <c r="I1218" t="s">
        <v>344</v>
      </c>
      <c r="J1218">
        <v>171.43</v>
      </c>
      <c r="K1218">
        <v>0.48</v>
      </c>
      <c r="L1218" t="s">
        <v>346</v>
      </c>
      <c r="M1218" s="1">
        <v>4.7999999999999996E-3</v>
      </c>
      <c r="N1218" t="s">
        <v>349</v>
      </c>
      <c r="O1218">
        <v>4.59</v>
      </c>
      <c r="P1218" t="s">
        <v>343</v>
      </c>
      <c r="Q1218">
        <v>-1.67</v>
      </c>
      <c r="R1218" t="s">
        <v>343</v>
      </c>
      <c r="S1218">
        <v>1</v>
      </c>
    </row>
    <row r="1219" spans="1:19" x14ac:dyDescent="0.25">
      <c r="A1219" t="s">
        <v>34</v>
      </c>
      <c r="B1219" t="s">
        <v>176</v>
      </c>
      <c r="C1219">
        <v>2260</v>
      </c>
      <c r="D1219" t="s">
        <v>342</v>
      </c>
      <c r="E1219">
        <v>24.15</v>
      </c>
      <c r="F1219">
        <v>15.87</v>
      </c>
      <c r="G1219">
        <v>20</v>
      </c>
      <c r="H1219">
        <v>35.869999999999997</v>
      </c>
      <c r="I1219" t="s">
        <v>344</v>
      </c>
      <c r="J1219">
        <v>171.52</v>
      </c>
      <c r="K1219">
        <v>0.45</v>
      </c>
      <c r="L1219" t="s">
        <v>346</v>
      </c>
      <c r="M1219" s="1">
        <v>4.5000000000000014E-3</v>
      </c>
      <c r="N1219" t="s">
        <v>349</v>
      </c>
      <c r="O1219">
        <v>4.71</v>
      </c>
      <c r="P1219" t="s">
        <v>343</v>
      </c>
      <c r="Q1219">
        <v>-1.23</v>
      </c>
      <c r="R1219" t="s">
        <v>343</v>
      </c>
      <c r="S1219">
        <v>1</v>
      </c>
    </row>
    <row r="1220" spans="1:19" x14ac:dyDescent="0.25">
      <c r="A1220" t="s">
        <v>34</v>
      </c>
      <c r="B1220" t="s">
        <v>177</v>
      </c>
      <c r="C1220">
        <v>2280</v>
      </c>
      <c r="D1220" t="s">
        <v>342</v>
      </c>
      <c r="E1220">
        <v>24.15</v>
      </c>
      <c r="F1220">
        <v>16.05</v>
      </c>
      <c r="G1220">
        <v>20</v>
      </c>
      <c r="H1220">
        <v>36.049999999999997</v>
      </c>
      <c r="I1220" t="s">
        <v>344</v>
      </c>
      <c r="J1220">
        <v>171.59</v>
      </c>
      <c r="K1220">
        <v>0.36</v>
      </c>
      <c r="L1220" t="s">
        <v>346</v>
      </c>
      <c r="M1220" s="1">
        <v>3.5999999999999999E-3</v>
      </c>
      <c r="N1220" t="s">
        <v>349</v>
      </c>
      <c r="O1220">
        <v>5.34</v>
      </c>
      <c r="P1220" t="s">
        <v>343</v>
      </c>
      <c r="Q1220">
        <v>-1.99</v>
      </c>
      <c r="R1220" t="s">
        <v>343</v>
      </c>
      <c r="S1220">
        <v>1</v>
      </c>
    </row>
    <row r="1221" spans="1:19" x14ac:dyDescent="0.25">
      <c r="A1221" t="s">
        <v>34</v>
      </c>
      <c r="B1221" t="s">
        <v>178</v>
      </c>
      <c r="C1221">
        <v>2300</v>
      </c>
      <c r="D1221" t="s">
        <v>342</v>
      </c>
      <c r="E1221">
        <v>24.15</v>
      </c>
      <c r="F1221">
        <v>14.57</v>
      </c>
      <c r="G1221">
        <v>17.309999999999999</v>
      </c>
      <c r="H1221">
        <v>31.87</v>
      </c>
      <c r="I1221" t="s">
        <v>344</v>
      </c>
      <c r="J1221">
        <v>171.49</v>
      </c>
      <c r="K1221">
        <v>-0.52</v>
      </c>
      <c r="L1221" t="s">
        <v>346</v>
      </c>
      <c r="M1221" s="1">
        <v>5.1999999999999998E-3</v>
      </c>
      <c r="N1221" t="s">
        <v>349</v>
      </c>
      <c r="O1221">
        <v>5.39</v>
      </c>
      <c r="P1221" t="s">
        <v>343</v>
      </c>
      <c r="Q1221">
        <v>0.42</v>
      </c>
      <c r="R1221" t="s">
        <v>343</v>
      </c>
      <c r="S1221">
        <v>1</v>
      </c>
    </row>
    <row r="1222" spans="1:19" x14ac:dyDescent="0.25">
      <c r="A1222" t="s">
        <v>34</v>
      </c>
      <c r="B1222" t="s">
        <v>179</v>
      </c>
      <c r="C1222">
        <v>2320</v>
      </c>
      <c r="D1222" t="s">
        <v>342</v>
      </c>
      <c r="E1222">
        <v>24.15</v>
      </c>
      <c r="F1222">
        <v>14.57</v>
      </c>
      <c r="G1222">
        <v>15.5</v>
      </c>
      <c r="H1222">
        <v>30.07</v>
      </c>
      <c r="I1222" t="s">
        <v>344</v>
      </c>
      <c r="J1222">
        <v>171.17</v>
      </c>
      <c r="K1222">
        <v>-1.58</v>
      </c>
      <c r="L1222" t="s">
        <v>346</v>
      </c>
      <c r="M1222" s="1">
        <v>1.5800000000000002E-2</v>
      </c>
      <c r="N1222" t="s">
        <v>349</v>
      </c>
      <c r="O1222">
        <v>5.0599999999999996</v>
      </c>
      <c r="P1222" t="s">
        <v>343</v>
      </c>
      <c r="Q1222">
        <v>-0.12</v>
      </c>
      <c r="R1222" t="s">
        <v>343</v>
      </c>
      <c r="S1222">
        <v>1</v>
      </c>
    </row>
    <row r="1223" spans="1:19" x14ac:dyDescent="0.25">
      <c r="A1223" t="s">
        <v>34</v>
      </c>
      <c r="B1223" t="s">
        <v>180</v>
      </c>
      <c r="C1223">
        <v>2340</v>
      </c>
      <c r="D1223" t="s">
        <v>342</v>
      </c>
      <c r="E1223">
        <v>24.15</v>
      </c>
      <c r="F1223">
        <v>14.45</v>
      </c>
      <c r="G1223">
        <v>16.239999999999998</v>
      </c>
      <c r="H1223">
        <v>30.68</v>
      </c>
      <c r="I1223" t="s">
        <v>344</v>
      </c>
      <c r="J1223">
        <v>170.95</v>
      </c>
      <c r="K1223">
        <v>-1.1100000000000001</v>
      </c>
      <c r="L1223" t="s">
        <v>346</v>
      </c>
      <c r="M1223" s="1">
        <v>1.11E-2</v>
      </c>
      <c r="N1223" t="s">
        <v>349</v>
      </c>
      <c r="O1223">
        <v>5.31</v>
      </c>
      <c r="P1223" t="s">
        <v>343</v>
      </c>
      <c r="Q1223">
        <v>-0.65</v>
      </c>
      <c r="R1223" t="s">
        <v>343</v>
      </c>
      <c r="S1223">
        <v>1</v>
      </c>
    </row>
    <row r="1224" spans="1:19" x14ac:dyDescent="0.25">
      <c r="A1224" t="s">
        <v>34</v>
      </c>
      <c r="B1224" t="s">
        <v>181</v>
      </c>
      <c r="C1224">
        <v>2360</v>
      </c>
      <c r="D1224" t="s">
        <v>342</v>
      </c>
      <c r="E1224">
        <v>24.15</v>
      </c>
      <c r="F1224">
        <v>14.47</v>
      </c>
      <c r="G1224">
        <v>13.52</v>
      </c>
      <c r="H1224">
        <v>27.99</v>
      </c>
      <c r="I1224" t="s">
        <v>344</v>
      </c>
      <c r="J1224">
        <v>170.64</v>
      </c>
      <c r="K1224">
        <v>-1.55</v>
      </c>
      <c r="L1224" t="s">
        <v>346</v>
      </c>
      <c r="M1224" s="1">
        <v>1.55E-2</v>
      </c>
      <c r="N1224" t="s">
        <v>349</v>
      </c>
      <c r="O1224">
        <v>6.23</v>
      </c>
      <c r="P1224" t="s">
        <v>343</v>
      </c>
      <c r="Q1224">
        <v>-0.79</v>
      </c>
      <c r="R1224" t="s">
        <v>343</v>
      </c>
      <c r="S1224">
        <v>1</v>
      </c>
    </row>
    <row r="1225" spans="1:19" x14ac:dyDescent="0.25">
      <c r="A1225" t="s">
        <v>34</v>
      </c>
      <c r="B1225" t="s">
        <v>182</v>
      </c>
      <c r="C1225">
        <v>2380</v>
      </c>
      <c r="D1225" t="s">
        <v>342</v>
      </c>
      <c r="E1225">
        <v>24.15</v>
      </c>
      <c r="F1225">
        <v>13.83</v>
      </c>
      <c r="G1225">
        <v>13.28</v>
      </c>
      <c r="H1225">
        <v>27.11</v>
      </c>
      <c r="I1225" t="s">
        <v>344</v>
      </c>
      <c r="J1225">
        <v>170.3</v>
      </c>
      <c r="K1225">
        <v>-1.69</v>
      </c>
      <c r="L1225" t="s">
        <v>346</v>
      </c>
      <c r="M1225" s="1">
        <v>1.6899999999999998E-2</v>
      </c>
      <c r="N1225" t="s">
        <v>349</v>
      </c>
      <c r="O1225">
        <v>5.24</v>
      </c>
      <c r="P1225" t="s">
        <v>343</v>
      </c>
      <c r="Q1225">
        <v>1.55</v>
      </c>
      <c r="R1225" t="s">
        <v>343</v>
      </c>
      <c r="S1225">
        <v>1</v>
      </c>
    </row>
    <row r="1226" spans="1:19" x14ac:dyDescent="0.25">
      <c r="A1226" t="s">
        <v>34</v>
      </c>
      <c r="B1226" t="s">
        <v>183</v>
      </c>
      <c r="C1226">
        <v>2400</v>
      </c>
      <c r="D1226" t="s">
        <v>342</v>
      </c>
      <c r="E1226">
        <v>24.15</v>
      </c>
      <c r="F1226">
        <v>14.93</v>
      </c>
      <c r="G1226">
        <v>12.48</v>
      </c>
      <c r="H1226">
        <v>27.41</v>
      </c>
      <c r="I1226" t="s">
        <v>344</v>
      </c>
      <c r="J1226">
        <v>169.73</v>
      </c>
      <c r="K1226">
        <v>-2.85</v>
      </c>
      <c r="L1226" t="s">
        <v>346</v>
      </c>
      <c r="M1226" s="1">
        <v>2.8500000000000001E-2</v>
      </c>
      <c r="N1226" t="s">
        <v>350</v>
      </c>
      <c r="O1226">
        <v>4.0999999999999996</v>
      </c>
      <c r="P1226" t="s">
        <v>343</v>
      </c>
      <c r="Q1226">
        <v>1.2</v>
      </c>
      <c r="R1226" t="s">
        <v>343</v>
      </c>
      <c r="S1226">
        <v>1</v>
      </c>
    </row>
    <row r="1227" spans="1:19" x14ac:dyDescent="0.25">
      <c r="A1227" t="s">
        <v>34</v>
      </c>
      <c r="B1227" t="s">
        <v>184</v>
      </c>
      <c r="C1227">
        <v>2420</v>
      </c>
      <c r="D1227" t="s">
        <v>342</v>
      </c>
      <c r="E1227">
        <v>24.15</v>
      </c>
      <c r="F1227">
        <v>15.48</v>
      </c>
      <c r="G1227">
        <v>13.28</v>
      </c>
      <c r="H1227">
        <v>28.76</v>
      </c>
      <c r="I1227" t="s">
        <v>344</v>
      </c>
      <c r="J1227">
        <v>169.02</v>
      </c>
      <c r="K1227">
        <v>-3.6</v>
      </c>
      <c r="L1227" t="s">
        <v>346</v>
      </c>
      <c r="M1227" s="1">
        <v>3.5999999999999997E-2</v>
      </c>
      <c r="N1227" t="s">
        <v>350</v>
      </c>
      <c r="O1227">
        <v>4.55</v>
      </c>
      <c r="P1227" t="s">
        <v>343</v>
      </c>
      <c r="Q1227">
        <v>1.4</v>
      </c>
      <c r="R1227" t="s">
        <v>343</v>
      </c>
      <c r="S1227">
        <v>1</v>
      </c>
    </row>
    <row r="1228" spans="1:19" x14ac:dyDescent="0.25">
      <c r="A1228" t="s">
        <v>34</v>
      </c>
      <c r="B1228" t="s">
        <v>185</v>
      </c>
      <c r="C1228">
        <v>2440</v>
      </c>
      <c r="D1228" t="s">
        <v>342</v>
      </c>
      <c r="E1228">
        <v>24.15</v>
      </c>
      <c r="F1228">
        <v>15.92</v>
      </c>
      <c r="G1228">
        <v>14.84</v>
      </c>
      <c r="H1228">
        <v>30.76</v>
      </c>
      <c r="I1228" t="s">
        <v>344</v>
      </c>
      <c r="J1228">
        <v>168.07</v>
      </c>
      <c r="K1228">
        <v>-4.71</v>
      </c>
      <c r="L1228" t="s">
        <v>346</v>
      </c>
      <c r="M1228" s="1">
        <v>4.7100000000000003E-2</v>
      </c>
      <c r="N1228" t="s">
        <v>350</v>
      </c>
      <c r="O1228">
        <v>4.82</v>
      </c>
      <c r="P1228" t="s">
        <v>343</v>
      </c>
      <c r="Q1228">
        <v>2.4900000000000002</v>
      </c>
      <c r="R1228" t="s">
        <v>344</v>
      </c>
      <c r="S1228">
        <v>1</v>
      </c>
    </row>
    <row r="1229" spans="1:19" x14ac:dyDescent="0.25">
      <c r="A1229" t="s">
        <v>34</v>
      </c>
      <c r="B1229" t="s">
        <v>186</v>
      </c>
      <c r="C1229">
        <v>2460</v>
      </c>
      <c r="D1229" t="s">
        <v>342</v>
      </c>
      <c r="E1229">
        <v>24.15</v>
      </c>
      <c r="F1229">
        <v>15.92</v>
      </c>
      <c r="G1229">
        <v>13.54</v>
      </c>
      <c r="H1229">
        <v>29.46</v>
      </c>
      <c r="I1229" t="s">
        <v>344</v>
      </c>
      <c r="J1229">
        <v>166.9</v>
      </c>
      <c r="K1229">
        <v>-5.89</v>
      </c>
      <c r="L1229" t="s">
        <v>346</v>
      </c>
      <c r="M1229" s="1">
        <v>5.8899999999999987E-2</v>
      </c>
      <c r="N1229" t="s">
        <v>350</v>
      </c>
      <c r="O1229">
        <v>2.71</v>
      </c>
      <c r="P1229" t="s">
        <v>344</v>
      </c>
      <c r="Q1229">
        <v>2.9</v>
      </c>
      <c r="R1229" t="s">
        <v>344</v>
      </c>
      <c r="S1229">
        <v>1</v>
      </c>
    </row>
    <row r="1230" spans="1:19" x14ac:dyDescent="0.25">
      <c r="A1230" t="s">
        <v>34</v>
      </c>
      <c r="B1230" t="s">
        <v>187</v>
      </c>
      <c r="C1230">
        <v>2480</v>
      </c>
      <c r="D1230" t="s">
        <v>342</v>
      </c>
      <c r="E1230">
        <v>24.15</v>
      </c>
      <c r="F1230">
        <v>17.25</v>
      </c>
      <c r="G1230">
        <v>17.670000000000002</v>
      </c>
      <c r="H1230">
        <v>34.92</v>
      </c>
      <c r="I1230" t="s">
        <v>344</v>
      </c>
      <c r="J1230">
        <v>165.86</v>
      </c>
      <c r="K1230">
        <v>-5.18</v>
      </c>
      <c r="L1230" t="s">
        <v>346</v>
      </c>
      <c r="M1230" s="1">
        <v>5.1799999999999999E-2</v>
      </c>
      <c r="N1230" t="s">
        <v>350</v>
      </c>
      <c r="O1230">
        <v>2.74</v>
      </c>
      <c r="P1230" t="s">
        <v>344</v>
      </c>
      <c r="Q1230">
        <v>3.86</v>
      </c>
      <c r="R1230" t="s">
        <v>344</v>
      </c>
      <c r="S1230">
        <v>1</v>
      </c>
    </row>
    <row r="1231" spans="1:19" x14ac:dyDescent="0.25">
      <c r="A1231" t="s">
        <v>34</v>
      </c>
      <c r="B1231" t="s">
        <v>188</v>
      </c>
      <c r="C1231">
        <v>2500</v>
      </c>
      <c r="D1231" t="s">
        <v>342</v>
      </c>
      <c r="E1231">
        <v>24.15</v>
      </c>
      <c r="F1231">
        <v>17.829999999999998</v>
      </c>
      <c r="G1231">
        <v>20</v>
      </c>
      <c r="H1231">
        <v>37.83</v>
      </c>
      <c r="I1231" t="s">
        <v>344</v>
      </c>
      <c r="J1231">
        <v>164.83</v>
      </c>
      <c r="K1231">
        <v>-5.13</v>
      </c>
      <c r="L1231" t="s">
        <v>346</v>
      </c>
      <c r="M1231" s="1">
        <v>5.1299999999999998E-2</v>
      </c>
      <c r="N1231" t="s">
        <v>350</v>
      </c>
      <c r="O1231">
        <v>2.1</v>
      </c>
      <c r="P1231" t="s">
        <v>344</v>
      </c>
      <c r="Q1231">
        <v>3.42</v>
      </c>
      <c r="R1231" t="s">
        <v>344</v>
      </c>
      <c r="S1231">
        <v>1</v>
      </c>
    </row>
    <row r="1232" spans="1:19" x14ac:dyDescent="0.25">
      <c r="A1232" t="s">
        <v>34</v>
      </c>
      <c r="B1232" t="s">
        <v>189</v>
      </c>
      <c r="C1232">
        <v>2520</v>
      </c>
      <c r="D1232" t="s">
        <v>342</v>
      </c>
      <c r="E1232">
        <v>24.15</v>
      </c>
      <c r="F1232">
        <v>20</v>
      </c>
      <c r="G1232">
        <v>20</v>
      </c>
      <c r="H1232">
        <v>40</v>
      </c>
      <c r="I1232" t="s">
        <v>344</v>
      </c>
      <c r="J1232">
        <v>163.94</v>
      </c>
      <c r="K1232">
        <v>-4.4800000000000004</v>
      </c>
      <c r="L1232" t="s">
        <v>346</v>
      </c>
      <c r="M1232" s="1">
        <v>4.4800000000000013E-2</v>
      </c>
      <c r="N1232" t="s">
        <v>350</v>
      </c>
      <c r="O1232">
        <v>-2.04</v>
      </c>
      <c r="P1232" t="s">
        <v>344</v>
      </c>
      <c r="Q1232">
        <v>2.4700000000000002</v>
      </c>
      <c r="R1232" t="s">
        <v>344</v>
      </c>
      <c r="S1232">
        <v>1</v>
      </c>
    </row>
    <row r="1233" spans="1:19" x14ac:dyDescent="0.25">
      <c r="A1233" t="s">
        <v>34</v>
      </c>
      <c r="B1233" t="s">
        <v>190</v>
      </c>
      <c r="C1233">
        <v>2540</v>
      </c>
      <c r="D1233" t="s">
        <v>342</v>
      </c>
      <c r="E1233">
        <v>24.15</v>
      </c>
      <c r="F1233">
        <v>20</v>
      </c>
      <c r="G1233">
        <v>20</v>
      </c>
      <c r="H1233">
        <v>40</v>
      </c>
      <c r="I1233" t="s">
        <v>344</v>
      </c>
      <c r="J1233">
        <v>163.18</v>
      </c>
      <c r="K1233">
        <v>-3.81</v>
      </c>
      <c r="L1233" t="s">
        <v>346</v>
      </c>
      <c r="M1233" s="1">
        <v>3.8100000000000002E-2</v>
      </c>
      <c r="N1233" t="s">
        <v>350</v>
      </c>
      <c r="O1233">
        <v>1.07</v>
      </c>
      <c r="P1233" t="s">
        <v>343</v>
      </c>
      <c r="Q1233">
        <v>2.2400000000000002</v>
      </c>
      <c r="R1233" t="s">
        <v>344</v>
      </c>
      <c r="S1233">
        <v>1</v>
      </c>
    </row>
    <row r="1234" spans="1:19" x14ac:dyDescent="0.25">
      <c r="A1234" t="s">
        <v>34</v>
      </c>
      <c r="B1234" t="s">
        <v>191</v>
      </c>
      <c r="C1234">
        <v>2560</v>
      </c>
      <c r="D1234" t="s">
        <v>342</v>
      </c>
      <c r="E1234">
        <v>24.15</v>
      </c>
      <c r="F1234">
        <v>20</v>
      </c>
      <c r="G1234">
        <v>20</v>
      </c>
      <c r="H1234">
        <v>40</v>
      </c>
      <c r="I1234" t="s">
        <v>344</v>
      </c>
      <c r="J1234">
        <v>162.16999999999999</v>
      </c>
      <c r="K1234">
        <v>-5.04</v>
      </c>
      <c r="L1234" t="s">
        <v>346</v>
      </c>
      <c r="M1234" s="1">
        <v>5.04E-2</v>
      </c>
      <c r="N1234" t="s">
        <v>350</v>
      </c>
      <c r="O1234">
        <v>-1.23</v>
      </c>
      <c r="P1234" t="s">
        <v>343</v>
      </c>
      <c r="Q1234">
        <v>3.27</v>
      </c>
      <c r="R1234" t="s">
        <v>344</v>
      </c>
      <c r="S1234">
        <v>1</v>
      </c>
    </row>
    <row r="1235" spans="1:19" x14ac:dyDescent="0.25">
      <c r="A1235" t="s">
        <v>34</v>
      </c>
      <c r="B1235" t="s">
        <v>192</v>
      </c>
      <c r="C1235">
        <v>2580</v>
      </c>
      <c r="D1235" t="s">
        <v>342</v>
      </c>
      <c r="E1235">
        <v>24.15</v>
      </c>
      <c r="F1235">
        <v>20</v>
      </c>
      <c r="G1235">
        <v>20</v>
      </c>
      <c r="H1235">
        <v>40</v>
      </c>
      <c r="I1235" t="s">
        <v>344</v>
      </c>
      <c r="J1235">
        <v>161.03</v>
      </c>
      <c r="K1235">
        <v>-5.7</v>
      </c>
      <c r="L1235" t="s">
        <v>346</v>
      </c>
      <c r="M1235" s="1">
        <v>5.7000000000000002E-2</v>
      </c>
      <c r="N1235" t="s">
        <v>350</v>
      </c>
      <c r="O1235">
        <v>-2.2400000000000002</v>
      </c>
      <c r="P1235" t="s">
        <v>344</v>
      </c>
      <c r="Q1235">
        <v>2.3199999999999998</v>
      </c>
      <c r="R1235" t="s">
        <v>344</v>
      </c>
      <c r="S1235">
        <v>1</v>
      </c>
    </row>
    <row r="1236" spans="1:19" x14ac:dyDescent="0.25">
      <c r="A1236" t="s">
        <v>34</v>
      </c>
      <c r="B1236" t="s">
        <v>193</v>
      </c>
      <c r="C1236">
        <v>2600</v>
      </c>
      <c r="D1236" t="s">
        <v>342</v>
      </c>
      <c r="E1236">
        <v>24.15</v>
      </c>
      <c r="F1236">
        <v>20</v>
      </c>
      <c r="G1236">
        <v>20</v>
      </c>
      <c r="H1236">
        <v>40</v>
      </c>
      <c r="I1236" t="s">
        <v>344</v>
      </c>
      <c r="J1236">
        <v>160.13999999999999</v>
      </c>
      <c r="K1236">
        <v>-4.4400000000000004</v>
      </c>
      <c r="L1236" t="s">
        <v>346</v>
      </c>
      <c r="M1236" s="1">
        <v>4.4400000000000002E-2</v>
      </c>
      <c r="N1236" t="s">
        <v>350</v>
      </c>
      <c r="O1236">
        <v>7.0000000000000007E-2</v>
      </c>
      <c r="P1236" t="s">
        <v>343</v>
      </c>
      <c r="Q1236">
        <v>2.65</v>
      </c>
      <c r="R1236" t="s">
        <v>344</v>
      </c>
      <c r="S1236">
        <v>1</v>
      </c>
    </row>
    <row r="1237" spans="1:19" x14ac:dyDescent="0.25">
      <c r="A1237" t="s">
        <v>34</v>
      </c>
      <c r="B1237" t="s">
        <v>194</v>
      </c>
      <c r="C1237">
        <v>2620</v>
      </c>
      <c r="D1237" t="s">
        <v>342</v>
      </c>
      <c r="E1237">
        <v>24.15</v>
      </c>
      <c r="F1237">
        <v>20</v>
      </c>
      <c r="G1237">
        <v>20</v>
      </c>
      <c r="H1237">
        <v>40</v>
      </c>
      <c r="I1237" t="s">
        <v>344</v>
      </c>
      <c r="J1237">
        <v>159.22</v>
      </c>
      <c r="K1237">
        <v>-4.5999999999999996</v>
      </c>
      <c r="L1237" t="s">
        <v>346</v>
      </c>
      <c r="M1237" s="1">
        <v>4.5999999999999999E-2</v>
      </c>
      <c r="N1237" t="s">
        <v>350</v>
      </c>
      <c r="O1237">
        <v>0.38</v>
      </c>
      <c r="P1237" t="s">
        <v>343</v>
      </c>
      <c r="Q1237">
        <v>1.73</v>
      </c>
      <c r="R1237" t="s">
        <v>343</v>
      </c>
      <c r="S1237">
        <v>1</v>
      </c>
    </row>
    <row r="1238" spans="1:19" x14ac:dyDescent="0.25">
      <c r="A1238" t="s">
        <v>34</v>
      </c>
      <c r="B1238" t="s">
        <v>195</v>
      </c>
      <c r="C1238">
        <v>2640</v>
      </c>
      <c r="D1238" t="s">
        <v>342</v>
      </c>
      <c r="E1238">
        <v>24.15</v>
      </c>
      <c r="F1238">
        <v>20</v>
      </c>
      <c r="G1238">
        <v>20</v>
      </c>
      <c r="H1238">
        <v>40</v>
      </c>
      <c r="I1238" t="s">
        <v>344</v>
      </c>
      <c r="J1238">
        <v>158.32</v>
      </c>
      <c r="K1238">
        <v>-4.5</v>
      </c>
      <c r="L1238" t="s">
        <v>346</v>
      </c>
      <c r="M1238" s="1">
        <v>4.4999999999999998E-2</v>
      </c>
      <c r="N1238" t="s">
        <v>350</v>
      </c>
      <c r="O1238">
        <v>2.14</v>
      </c>
      <c r="P1238" t="s">
        <v>344</v>
      </c>
      <c r="Q1238">
        <v>0.93</v>
      </c>
      <c r="R1238" t="s">
        <v>343</v>
      </c>
      <c r="S1238">
        <v>1</v>
      </c>
    </row>
    <row r="1239" spans="1:19" x14ac:dyDescent="0.25">
      <c r="A1239" t="s">
        <v>34</v>
      </c>
      <c r="B1239" t="s">
        <v>196</v>
      </c>
      <c r="C1239">
        <v>2660</v>
      </c>
      <c r="D1239" t="s">
        <v>342</v>
      </c>
      <c r="E1239">
        <v>24.15</v>
      </c>
      <c r="F1239">
        <v>16.78</v>
      </c>
      <c r="G1239">
        <v>20</v>
      </c>
      <c r="H1239">
        <v>36.78</v>
      </c>
      <c r="I1239" t="s">
        <v>344</v>
      </c>
      <c r="J1239">
        <v>157.41999999999999</v>
      </c>
      <c r="K1239">
        <v>-4.53</v>
      </c>
      <c r="L1239" t="s">
        <v>346</v>
      </c>
      <c r="M1239" s="1">
        <v>4.53E-2</v>
      </c>
      <c r="N1239" t="s">
        <v>350</v>
      </c>
      <c r="O1239">
        <v>3.13</v>
      </c>
      <c r="P1239" t="s">
        <v>344</v>
      </c>
      <c r="Q1239">
        <v>1.32</v>
      </c>
      <c r="R1239" t="s">
        <v>343</v>
      </c>
      <c r="S1239">
        <v>1</v>
      </c>
    </row>
    <row r="1240" spans="1:19" x14ac:dyDescent="0.25">
      <c r="A1240" t="s">
        <v>34</v>
      </c>
      <c r="B1240" t="s">
        <v>197</v>
      </c>
      <c r="C1240">
        <v>2680</v>
      </c>
      <c r="D1240" t="s">
        <v>342</v>
      </c>
      <c r="E1240">
        <v>24.15</v>
      </c>
      <c r="F1240">
        <v>16.89</v>
      </c>
      <c r="G1240">
        <v>18.510000000000002</v>
      </c>
      <c r="H1240">
        <v>35.4</v>
      </c>
      <c r="I1240" t="s">
        <v>344</v>
      </c>
      <c r="J1240">
        <v>156.53</v>
      </c>
      <c r="K1240">
        <v>-4.43</v>
      </c>
      <c r="L1240" t="s">
        <v>346</v>
      </c>
      <c r="M1240" s="1">
        <v>4.4299999999999999E-2</v>
      </c>
      <c r="N1240" t="s">
        <v>350</v>
      </c>
      <c r="O1240">
        <v>3.17</v>
      </c>
      <c r="P1240" t="s">
        <v>344</v>
      </c>
      <c r="Q1240">
        <v>2.56</v>
      </c>
      <c r="R1240" t="s">
        <v>344</v>
      </c>
      <c r="S1240">
        <v>1</v>
      </c>
    </row>
    <row r="1241" spans="1:19" x14ac:dyDescent="0.25">
      <c r="A1241" t="s">
        <v>34</v>
      </c>
      <c r="B1241" t="s">
        <v>198</v>
      </c>
      <c r="C1241">
        <v>2700</v>
      </c>
      <c r="D1241" t="s">
        <v>342</v>
      </c>
      <c r="E1241">
        <v>24.15</v>
      </c>
      <c r="F1241">
        <v>17.28</v>
      </c>
      <c r="G1241">
        <v>20</v>
      </c>
      <c r="H1241">
        <v>37.28</v>
      </c>
      <c r="I1241" t="s">
        <v>344</v>
      </c>
      <c r="J1241">
        <v>155.55000000000001</v>
      </c>
      <c r="K1241">
        <v>-4.92</v>
      </c>
      <c r="L1241" t="s">
        <v>346</v>
      </c>
      <c r="M1241" s="1">
        <v>4.9200000000000001E-2</v>
      </c>
      <c r="N1241" t="s">
        <v>350</v>
      </c>
      <c r="O1241">
        <v>2.4900000000000002</v>
      </c>
      <c r="P1241" t="s">
        <v>344</v>
      </c>
      <c r="Q1241">
        <v>2.2599999999999998</v>
      </c>
      <c r="R1241" t="s">
        <v>344</v>
      </c>
      <c r="S1241">
        <v>1</v>
      </c>
    </row>
    <row r="1242" spans="1:19" x14ac:dyDescent="0.25">
      <c r="A1242" t="s">
        <v>34</v>
      </c>
      <c r="B1242" t="s">
        <v>199</v>
      </c>
      <c r="C1242">
        <v>2720</v>
      </c>
      <c r="D1242" t="s">
        <v>342</v>
      </c>
      <c r="E1242">
        <v>24.15</v>
      </c>
      <c r="F1242">
        <v>17.32</v>
      </c>
      <c r="G1242">
        <v>20</v>
      </c>
      <c r="H1242">
        <v>37.32</v>
      </c>
      <c r="I1242" t="s">
        <v>344</v>
      </c>
      <c r="J1242">
        <v>155.09</v>
      </c>
      <c r="K1242">
        <v>-2.2999999999999998</v>
      </c>
      <c r="L1242" t="s">
        <v>346</v>
      </c>
      <c r="M1242" s="1">
        <v>2.3E-2</v>
      </c>
      <c r="N1242" t="s">
        <v>350</v>
      </c>
      <c r="O1242">
        <v>2.65</v>
      </c>
      <c r="P1242" t="s">
        <v>344</v>
      </c>
      <c r="Q1242">
        <v>2.0699999999999998</v>
      </c>
      <c r="R1242" t="s">
        <v>344</v>
      </c>
      <c r="S1242">
        <v>1</v>
      </c>
    </row>
    <row r="1243" spans="1:19" x14ac:dyDescent="0.25">
      <c r="A1243" t="s">
        <v>34</v>
      </c>
      <c r="B1243" t="s">
        <v>200</v>
      </c>
      <c r="C1243">
        <v>2740</v>
      </c>
      <c r="D1243" t="s">
        <v>342</v>
      </c>
      <c r="E1243">
        <v>24.15</v>
      </c>
      <c r="F1243">
        <v>16.54</v>
      </c>
      <c r="G1243">
        <v>20</v>
      </c>
      <c r="H1243">
        <v>36.54</v>
      </c>
      <c r="I1243" t="s">
        <v>344</v>
      </c>
      <c r="J1243">
        <v>153.75</v>
      </c>
      <c r="K1243">
        <v>-6.68</v>
      </c>
      <c r="L1243" t="s">
        <v>346</v>
      </c>
      <c r="M1243" s="1">
        <v>6.6799999999999998E-2</v>
      </c>
      <c r="N1243" t="s">
        <v>350</v>
      </c>
      <c r="O1243">
        <v>2.78</v>
      </c>
      <c r="P1243" t="s">
        <v>344</v>
      </c>
      <c r="Q1243">
        <v>1.88</v>
      </c>
      <c r="R1243" t="s">
        <v>343</v>
      </c>
      <c r="S1243">
        <v>1</v>
      </c>
    </row>
    <row r="1244" spans="1:19" x14ac:dyDescent="0.25">
      <c r="A1244" t="s">
        <v>34</v>
      </c>
      <c r="B1244" t="s">
        <v>201</v>
      </c>
      <c r="C1244">
        <v>2760</v>
      </c>
      <c r="D1244" t="s">
        <v>342</v>
      </c>
      <c r="E1244">
        <v>24.15</v>
      </c>
      <c r="F1244">
        <v>20</v>
      </c>
      <c r="G1244">
        <v>20</v>
      </c>
      <c r="H1244">
        <v>40</v>
      </c>
      <c r="I1244" t="s">
        <v>344</v>
      </c>
      <c r="J1244">
        <v>153.05000000000001</v>
      </c>
      <c r="K1244">
        <v>-3.48</v>
      </c>
      <c r="L1244" t="s">
        <v>346</v>
      </c>
      <c r="M1244" s="1">
        <v>3.4799999999999998E-2</v>
      </c>
      <c r="N1244" t="s">
        <v>350</v>
      </c>
      <c r="O1244">
        <v>2.87</v>
      </c>
      <c r="P1244" t="s">
        <v>344</v>
      </c>
      <c r="Q1244">
        <v>2</v>
      </c>
      <c r="R1244" t="s">
        <v>344</v>
      </c>
      <c r="S1244">
        <v>1</v>
      </c>
    </row>
    <row r="1245" spans="1:19" x14ac:dyDescent="0.25">
      <c r="A1245" t="s">
        <v>34</v>
      </c>
      <c r="B1245" t="s">
        <v>202</v>
      </c>
      <c r="C1245">
        <v>2780</v>
      </c>
      <c r="D1245" t="s">
        <v>342</v>
      </c>
      <c r="E1245">
        <v>24.15</v>
      </c>
      <c r="F1245">
        <v>20</v>
      </c>
      <c r="G1245">
        <v>20</v>
      </c>
      <c r="H1245">
        <v>40</v>
      </c>
      <c r="I1245" t="s">
        <v>344</v>
      </c>
      <c r="J1245">
        <v>152.15</v>
      </c>
      <c r="K1245">
        <v>-4.5</v>
      </c>
      <c r="L1245" t="s">
        <v>346</v>
      </c>
      <c r="M1245" s="1">
        <v>4.4999999999999998E-2</v>
      </c>
      <c r="N1245" t="s">
        <v>350</v>
      </c>
      <c r="O1245">
        <v>2.0099999999999998</v>
      </c>
      <c r="P1245" t="s">
        <v>344</v>
      </c>
      <c r="Q1245">
        <v>2.4</v>
      </c>
      <c r="R1245" t="s">
        <v>344</v>
      </c>
      <c r="S1245">
        <v>1</v>
      </c>
    </row>
    <row r="1246" spans="1:19" x14ac:dyDescent="0.25">
      <c r="A1246" t="s">
        <v>34</v>
      </c>
      <c r="B1246" t="s">
        <v>234</v>
      </c>
      <c r="C1246">
        <v>2786.3780000000002</v>
      </c>
      <c r="D1246" t="s">
        <v>342</v>
      </c>
      <c r="E1246">
        <v>24.15</v>
      </c>
      <c r="F1246">
        <v>20</v>
      </c>
      <c r="G1246">
        <v>20</v>
      </c>
      <c r="H1246">
        <v>40</v>
      </c>
      <c r="I1246" t="s">
        <v>344</v>
      </c>
      <c r="J1246">
        <v>151.97999999999999</v>
      </c>
      <c r="K1246">
        <v>-2.78</v>
      </c>
      <c r="L1246" t="s">
        <v>346</v>
      </c>
      <c r="M1246" s="1">
        <v>2.7799999999999998E-2</v>
      </c>
      <c r="N1246" t="s">
        <v>350</v>
      </c>
      <c r="O1246">
        <v>2.16</v>
      </c>
      <c r="P1246" t="s">
        <v>344</v>
      </c>
      <c r="Q1246">
        <v>2.93</v>
      </c>
      <c r="R1246" t="s">
        <v>344</v>
      </c>
      <c r="S1246">
        <v>0</v>
      </c>
    </row>
    <row r="1247" spans="1:19" x14ac:dyDescent="0.25">
      <c r="A1247" t="s">
        <v>35</v>
      </c>
      <c r="B1247" t="s">
        <v>56</v>
      </c>
      <c r="C1247">
        <v>0</v>
      </c>
      <c r="D1247" t="s">
        <v>342</v>
      </c>
      <c r="E1247">
        <v>24.15</v>
      </c>
      <c r="F1247">
        <v>20</v>
      </c>
      <c r="G1247">
        <v>20</v>
      </c>
      <c r="H1247">
        <v>40</v>
      </c>
      <c r="I1247" t="s">
        <v>344</v>
      </c>
      <c r="J1247">
        <v>168.43</v>
      </c>
      <c r="L1247" t="s">
        <v>345</v>
      </c>
      <c r="N1247" t="s">
        <v>345</v>
      </c>
      <c r="O1247">
        <v>-1.07</v>
      </c>
      <c r="P1247" t="s">
        <v>343</v>
      </c>
      <c r="Q1247">
        <v>0.91</v>
      </c>
      <c r="R1247" t="s">
        <v>343</v>
      </c>
      <c r="S1247">
        <v>1</v>
      </c>
    </row>
    <row r="1248" spans="1:19" x14ac:dyDescent="0.25">
      <c r="A1248" t="s">
        <v>35</v>
      </c>
      <c r="B1248" t="s">
        <v>57</v>
      </c>
      <c r="C1248">
        <v>20</v>
      </c>
      <c r="D1248" t="s">
        <v>342</v>
      </c>
      <c r="E1248">
        <v>24.15</v>
      </c>
      <c r="F1248">
        <v>11.25</v>
      </c>
      <c r="G1248">
        <v>20</v>
      </c>
      <c r="H1248">
        <v>31.25</v>
      </c>
      <c r="I1248" t="s">
        <v>344</v>
      </c>
      <c r="J1248">
        <v>168.34</v>
      </c>
      <c r="K1248">
        <v>-0.49</v>
      </c>
      <c r="L1248" t="s">
        <v>346</v>
      </c>
      <c r="M1248" s="1">
        <v>4.8999999999999998E-3</v>
      </c>
      <c r="N1248" t="s">
        <v>349</v>
      </c>
      <c r="O1248">
        <v>2.3199999999999998</v>
      </c>
      <c r="P1248" t="s">
        <v>344</v>
      </c>
      <c r="Q1248">
        <v>-1.84</v>
      </c>
      <c r="R1248" t="s">
        <v>343</v>
      </c>
      <c r="S1248">
        <v>1</v>
      </c>
    </row>
    <row r="1249" spans="1:19" x14ac:dyDescent="0.25">
      <c r="A1249" t="s">
        <v>35</v>
      </c>
      <c r="B1249" t="s">
        <v>58</v>
      </c>
      <c r="C1249">
        <v>40</v>
      </c>
      <c r="D1249" t="s">
        <v>342</v>
      </c>
      <c r="E1249">
        <v>24.15</v>
      </c>
      <c r="F1249">
        <v>10</v>
      </c>
      <c r="G1249">
        <v>20</v>
      </c>
      <c r="H1249">
        <v>30</v>
      </c>
      <c r="I1249" t="s">
        <v>344</v>
      </c>
      <c r="J1249">
        <v>166.56</v>
      </c>
      <c r="K1249">
        <v>-8.89</v>
      </c>
      <c r="L1249" t="s">
        <v>347</v>
      </c>
      <c r="M1249" s="1">
        <v>8.8900000000000007E-2</v>
      </c>
      <c r="N1249" t="s">
        <v>350</v>
      </c>
      <c r="O1249">
        <v>-6.47</v>
      </c>
      <c r="P1249" t="s">
        <v>343</v>
      </c>
      <c r="Q1249">
        <v>-1.39</v>
      </c>
      <c r="R1249" t="s">
        <v>343</v>
      </c>
      <c r="S1249">
        <v>1</v>
      </c>
    </row>
    <row r="1250" spans="1:19" x14ac:dyDescent="0.25">
      <c r="A1250" t="s">
        <v>35</v>
      </c>
      <c r="B1250" t="s">
        <v>59</v>
      </c>
      <c r="C1250">
        <v>60</v>
      </c>
      <c r="D1250" t="s">
        <v>342</v>
      </c>
      <c r="E1250">
        <v>24.15</v>
      </c>
      <c r="F1250">
        <v>11.25</v>
      </c>
      <c r="G1250">
        <v>15.42</v>
      </c>
      <c r="H1250">
        <v>26.67</v>
      </c>
      <c r="I1250" t="s">
        <v>344</v>
      </c>
      <c r="J1250">
        <v>165.1</v>
      </c>
      <c r="K1250">
        <v>-7.27</v>
      </c>
      <c r="L1250" t="s">
        <v>346</v>
      </c>
      <c r="M1250" s="1">
        <v>7.2700000000000001E-2</v>
      </c>
      <c r="N1250" t="s">
        <v>350</v>
      </c>
      <c r="O1250">
        <v>0.44</v>
      </c>
      <c r="P1250" t="s">
        <v>343</v>
      </c>
      <c r="Q1250">
        <v>-2.17</v>
      </c>
      <c r="R1250" t="s">
        <v>344</v>
      </c>
      <c r="S1250">
        <v>1</v>
      </c>
    </row>
    <row r="1251" spans="1:19" x14ac:dyDescent="0.25">
      <c r="A1251" t="s">
        <v>35</v>
      </c>
      <c r="B1251" t="s">
        <v>60</v>
      </c>
      <c r="C1251">
        <v>80</v>
      </c>
      <c r="D1251" t="s">
        <v>342</v>
      </c>
      <c r="E1251">
        <v>24.15</v>
      </c>
      <c r="F1251">
        <v>11.46</v>
      </c>
      <c r="G1251">
        <v>15.42</v>
      </c>
      <c r="H1251">
        <v>26.88</v>
      </c>
      <c r="I1251" t="s">
        <v>344</v>
      </c>
      <c r="J1251">
        <v>162.29</v>
      </c>
      <c r="K1251">
        <v>-14.08</v>
      </c>
      <c r="L1251" t="s">
        <v>348</v>
      </c>
      <c r="M1251" s="1">
        <v>0.14080000000000001</v>
      </c>
      <c r="N1251" t="s">
        <v>350</v>
      </c>
      <c r="O1251">
        <v>5.14</v>
      </c>
      <c r="P1251" t="s">
        <v>343</v>
      </c>
      <c r="Q1251">
        <v>1.17</v>
      </c>
      <c r="R1251" t="s">
        <v>343</v>
      </c>
      <c r="S1251">
        <v>1</v>
      </c>
    </row>
    <row r="1252" spans="1:19" x14ac:dyDescent="0.25">
      <c r="A1252" t="s">
        <v>35</v>
      </c>
      <c r="B1252" t="s">
        <v>61</v>
      </c>
      <c r="C1252">
        <v>100</v>
      </c>
      <c r="D1252" t="s">
        <v>342</v>
      </c>
      <c r="E1252">
        <v>24.15</v>
      </c>
      <c r="F1252">
        <v>12.48</v>
      </c>
      <c r="G1252">
        <v>14.23</v>
      </c>
      <c r="H1252">
        <v>26.7</v>
      </c>
      <c r="I1252" t="s">
        <v>344</v>
      </c>
      <c r="J1252">
        <v>161.12</v>
      </c>
      <c r="K1252">
        <v>-5.84</v>
      </c>
      <c r="L1252" t="s">
        <v>346</v>
      </c>
      <c r="M1252" s="1">
        <v>5.8400000000000001E-2</v>
      </c>
      <c r="N1252" t="s">
        <v>350</v>
      </c>
      <c r="O1252">
        <v>1.05</v>
      </c>
      <c r="P1252" t="s">
        <v>343</v>
      </c>
      <c r="Q1252">
        <v>1.68</v>
      </c>
      <c r="R1252" t="s">
        <v>343</v>
      </c>
      <c r="S1252">
        <v>1</v>
      </c>
    </row>
    <row r="1253" spans="1:19" x14ac:dyDescent="0.25">
      <c r="A1253" t="s">
        <v>35</v>
      </c>
      <c r="B1253" t="s">
        <v>62</v>
      </c>
      <c r="C1253">
        <v>120</v>
      </c>
      <c r="D1253" t="s">
        <v>342</v>
      </c>
      <c r="E1253">
        <v>24.15</v>
      </c>
      <c r="F1253">
        <v>16</v>
      </c>
      <c r="G1253">
        <v>17.670000000000002</v>
      </c>
      <c r="H1253">
        <v>33.67</v>
      </c>
      <c r="I1253" t="s">
        <v>344</v>
      </c>
      <c r="J1253">
        <v>160.15</v>
      </c>
      <c r="K1253">
        <v>-4.83</v>
      </c>
      <c r="L1253" t="s">
        <v>346</v>
      </c>
      <c r="M1253" s="1">
        <v>4.8300000000000003E-2</v>
      </c>
      <c r="N1253" t="s">
        <v>350</v>
      </c>
      <c r="O1253">
        <v>1.21</v>
      </c>
      <c r="P1253" t="s">
        <v>343</v>
      </c>
      <c r="Q1253">
        <v>0.46</v>
      </c>
      <c r="R1253" t="s">
        <v>343</v>
      </c>
      <c r="S1253">
        <v>1</v>
      </c>
    </row>
    <row r="1254" spans="1:19" x14ac:dyDescent="0.25">
      <c r="A1254" t="s">
        <v>35</v>
      </c>
      <c r="B1254" t="s">
        <v>63</v>
      </c>
      <c r="C1254">
        <v>140</v>
      </c>
      <c r="D1254" t="s">
        <v>342</v>
      </c>
      <c r="E1254">
        <v>24.15</v>
      </c>
      <c r="F1254">
        <v>16.88</v>
      </c>
      <c r="G1254">
        <v>17.670000000000002</v>
      </c>
      <c r="H1254">
        <v>34.549999999999997</v>
      </c>
      <c r="I1254" t="s">
        <v>344</v>
      </c>
      <c r="J1254">
        <v>159.38999999999999</v>
      </c>
      <c r="K1254">
        <v>-3.83</v>
      </c>
      <c r="L1254" t="s">
        <v>346</v>
      </c>
      <c r="M1254" s="1">
        <v>3.8300000000000001E-2</v>
      </c>
      <c r="N1254" t="s">
        <v>350</v>
      </c>
      <c r="O1254">
        <v>3.69</v>
      </c>
      <c r="P1254" t="s">
        <v>344</v>
      </c>
      <c r="Q1254">
        <v>-2.33</v>
      </c>
      <c r="R1254" t="s">
        <v>344</v>
      </c>
      <c r="S1254">
        <v>1</v>
      </c>
    </row>
    <row r="1255" spans="1:19" x14ac:dyDescent="0.25">
      <c r="A1255" t="s">
        <v>35</v>
      </c>
      <c r="B1255" t="s">
        <v>64</v>
      </c>
      <c r="C1255">
        <v>160</v>
      </c>
      <c r="D1255" t="s">
        <v>342</v>
      </c>
      <c r="E1255">
        <v>24.15</v>
      </c>
      <c r="F1255">
        <v>16.88</v>
      </c>
      <c r="G1255">
        <v>17.670000000000002</v>
      </c>
      <c r="H1255">
        <v>34.549999999999997</v>
      </c>
      <c r="I1255" t="s">
        <v>344</v>
      </c>
      <c r="J1255">
        <v>159.35</v>
      </c>
      <c r="K1255">
        <v>-0.19</v>
      </c>
      <c r="L1255" t="s">
        <v>346</v>
      </c>
      <c r="M1255" s="1">
        <v>1.9E-3</v>
      </c>
      <c r="N1255" t="s">
        <v>349</v>
      </c>
      <c r="O1255">
        <v>5.25</v>
      </c>
      <c r="P1255" t="s">
        <v>343</v>
      </c>
      <c r="Q1255">
        <v>-1.68</v>
      </c>
      <c r="R1255" t="s">
        <v>343</v>
      </c>
      <c r="S1255">
        <v>1</v>
      </c>
    </row>
    <row r="1256" spans="1:19" x14ac:dyDescent="0.25">
      <c r="A1256" t="s">
        <v>35</v>
      </c>
      <c r="B1256" t="s">
        <v>65</v>
      </c>
      <c r="C1256">
        <v>180</v>
      </c>
      <c r="D1256" t="s">
        <v>342</v>
      </c>
      <c r="E1256">
        <v>24.15</v>
      </c>
      <c r="F1256">
        <v>16.88</v>
      </c>
      <c r="G1256">
        <v>17.07</v>
      </c>
      <c r="H1256">
        <v>33.950000000000003</v>
      </c>
      <c r="I1256" t="s">
        <v>344</v>
      </c>
      <c r="J1256">
        <v>160.72999999999999</v>
      </c>
      <c r="K1256">
        <v>6.89</v>
      </c>
      <c r="L1256" t="s">
        <v>346</v>
      </c>
      <c r="M1256" s="1">
        <v>6.8900000000000003E-2</v>
      </c>
      <c r="N1256" t="s">
        <v>350</v>
      </c>
      <c r="O1256">
        <v>4.74</v>
      </c>
      <c r="P1256" t="s">
        <v>343</v>
      </c>
      <c r="Q1256">
        <v>-1.4</v>
      </c>
      <c r="R1256" t="s">
        <v>343</v>
      </c>
      <c r="S1256">
        <v>1</v>
      </c>
    </row>
    <row r="1257" spans="1:19" x14ac:dyDescent="0.25">
      <c r="A1257" t="s">
        <v>35</v>
      </c>
      <c r="B1257" t="s">
        <v>66</v>
      </c>
      <c r="C1257">
        <v>200</v>
      </c>
      <c r="D1257" t="s">
        <v>342</v>
      </c>
      <c r="E1257">
        <v>24.15</v>
      </c>
      <c r="F1257">
        <v>16.88</v>
      </c>
      <c r="G1257">
        <v>16.18</v>
      </c>
      <c r="H1257">
        <v>33.06</v>
      </c>
      <c r="I1257" t="s">
        <v>344</v>
      </c>
      <c r="J1257">
        <v>161.29</v>
      </c>
      <c r="K1257">
        <v>2.84</v>
      </c>
      <c r="L1257" t="s">
        <v>346</v>
      </c>
      <c r="M1257" s="1">
        <v>2.8400000000000002E-2</v>
      </c>
      <c r="N1257" t="s">
        <v>350</v>
      </c>
      <c r="O1257">
        <v>-3.64</v>
      </c>
      <c r="P1257" t="s">
        <v>344</v>
      </c>
      <c r="Q1257">
        <v>-2.57</v>
      </c>
      <c r="R1257" t="s">
        <v>344</v>
      </c>
      <c r="S1257">
        <v>1</v>
      </c>
    </row>
    <row r="1258" spans="1:19" x14ac:dyDescent="0.25">
      <c r="A1258" t="s">
        <v>35</v>
      </c>
      <c r="B1258" t="s">
        <v>67</v>
      </c>
      <c r="C1258">
        <v>220</v>
      </c>
      <c r="D1258" t="s">
        <v>342</v>
      </c>
      <c r="E1258">
        <v>24.15</v>
      </c>
      <c r="F1258">
        <v>16.88</v>
      </c>
      <c r="G1258">
        <v>14.13</v>
      </c>
      <c r="H1258">
        <v>31.01</v>
      </c>
      <c r="I1258" t="s">
        <v>344</v>
      </c>
      <c r="J1258">
        <v>159.97</v>
      </c>
      <c r="K1258">
        <v>-6.61</v>
      </c>
      <c r="L1258" t="s">
        <v>346</v>
      </c>
      <c r="M1258" s="1">
        <v>6.6100000000000006E-2</v>
      </c>
      <c r="N1258" t="s">
        <v>350</v>
      </c>
      <c r="O1258">
        <v>-6.34</v>
      </c>
      <c r="P1258" t="s">
        <v>343</v>
      </c>
      <c r="Q1258">
        <v>1.26</v>
      </c>
      <c r="R1258" t="s">
        <v>343</v>
      </c>
      <c r="S1258">
        <v>1</v>
      </c>
    </row>
    <row r="1259" spans="1:19" x14ac:dyDescent="0.25">
      <c r="A1259" t="s">
        <v>35</v>
      </c>
      <c r="B1259" t="s">
        <v>68</v>
      </c>
      <c r="C1259">
        <v>240</v>
      </c>
      <c r="D1259" t="s">
        <v>342</v>
      </c>
      <c r="E1259">
        <v>24.15</v>
      </c>
      <c r="F1259">
        <v>20</v>
      </c>
      <c r="G1259">
        <v>14.28</v>
      </c>
      <c r="H1259">
        <v>34.28</v>
      </c>
      <c r="I1259" t="s">
        <v>344</v>
      </c>
      <c r="J1259">
        <v>159.99</v>
      </c>
      <c r="K1259">
        <v>0.1</v>
      </c>
      <c r="L1259" t="s">
        <v>346</v>
      </c>
      <c r="M1259" s="1">
        <v>1E-3</v>
      </c>
      <c r="N1259" t="s">
        <v>349</v>
      </c>
      <c r="O1259">
        <v>3.16</v>
      </c>
      <c r="P1259" t="s">
        <v>344</v>
      </c>
      <c r="Q1259">
        <v>0.28999999999999998</v>
      </c>
      <c r="R1259" t="s">
        <v>343</v>
      </c>
      <c r="S1259">
        <v>1</v>
      </c>
    </row>
    <row r="1260" spans="1:19" x14ac:dyDescent="0.25">
      <c r="A1260" t="s">
        <v>35</v>
      </c>
      <c r="B1260" t="s">
        <v>69</v>
      </c>
      <c r="C1260">
        <v>260</v>
      </c>
      <c r="D1260" t="s">
        <v>342</v>
      </c>
      <c r="E1260">
        <v>24.15</v>
      </c>
      <c r="F1260">
        <v>20</v>
      </c>
      <c r="G1260">
        <v>15.79</v>
      </c>
      <c r="H1260">
        <v>35.79</v>
      </c>
      <c r="I1260" t="s">
        <v>344</v>
      </c>
      <c r="J1260">
        <v>160.16999999999999</v>
      </c>
      <c r="K1260">
        <v>0.91</v>
      </c>
      <c r="L1260" t="s">
        <v>346</v>
      </c>
      <c r="M1260" s="1">
        <v>9.1000000000000004E-3</v>
      </c>
      <c r="N1260" t="s">
        <v>349</v>
      </c>
      <c r="O1260">
        <v>3.89</v>
      </c>
      <c r="P1260" t="s">
        <v>344</v>
      </c>
      <c r="Q1260">
        <v>-1.51</v>
      </c>
      <c r="R1260" t="s">
        <v>343</v>
      </c>
      <c r="S1260">
        <v>1</v>
      </c>
    </row>
    <row r="1261" spans="1:19" x14ac:dyDescent="0.25">
      <c r="A1261" t="s">
        <v>35</v>
      </c>
      <c r="B1261" t="s">
        <v>70</v>
      </c>
      <c r="C1261">
        <v>280</v>
      </c>
      <c r="D1261" t="s">
        <v>342</v>
      </c>
      <c r="E1261">
        <v>24.15</v>
      </c>
      <c r="F1261">
        <v>20</v>
      </c>
      <c r="G1261">
        <v>15.79</v>
      </c>
      <c r="H1261">
        <v>35.79</v>
      </c>
      <c r="I1261" t="s">
        <v>344</v>
      </c>
      <c r="J1261">
        <v>160.29</v>
      </c>
      <c r="K1261">
        <v>0.56000000000000005</v>
      </c>
      <c r="L1261" t="s">
        <v>346</v>
      </c>
      <c r="M1261" s="1">
        <v>5.6000000000000008E-3</v>
      </c>
      <c r="N1261" t="s">
        <v>349</v>
      </c>
      <c r="O1261">
        <v>3.24</v>
      </c>
      <c r="P1261" t="s">
        <v>344</v>
      </c>
      <c r="Q1261">
        <v>1.03</v>
      </c>
      <c r="R1261" t="s">
        <v>343</v>
      </c>
      <c r="S1261">
        <v>1</v>
      </c>
    </row>
    <row r="1262" spans="1:19" x14ac:dyDescent="0.25">
      <c r="A1262" t="s">
        <v>35</v>
      </c>
      <c r="B1262" t="s">
        <v>71</v>
      </c>
      <c r="C1262">
        <v>300</v>
      </c>
      <c r="D1262" t="s">
        <v>342</v>
      </c>
      <c r="E1262">
        <v>24.15</v>
      </c>
      <c r="F1262">
        <v>20</v>
      </c>
      <c r="G1262">
        <v>15.79</v>
      </c>
      <c r="H1262">
        <v>35.79</v>
      </c>
      <c r="I1262" t="s">
        <v>344</v>
      </c>
      <c r="J1262">
        <v>160.56</v>
      </c>
      <c r="K1262">
        <v>1.39</v>
      </c>
      <c r="L1262" t="s">
        <v>346</v>
      </c>
      <c r="M1262" s="1">
        <v>1.3899999999999999E-2</v>
      </c>
      <c r="N1262" t="s">
        <v>349</v>
      </c>
      <c r="O1262">
        <v>-0.04</v>
      </c>
      <c r="P1262" t="s">
        <v>343</v>
      </c>
      <c r="Q1262">
        <v>0.63</v>
      </c>
      <c r="R1262" t="s">
        <v>343</v>
      </c>
      <c r="S1262">
        <v>1</v>
      </c>
    </row>
    <row r="1263" spans="1:19" x14ac:dyDescent="0.25">
      <c r="A1263" t="s">
        <v>35</v>
      </c>
      <c r="B1263" t="s">
        <v>72</v>
      </c>
      <c r="C1263">
        <v>320</v>
      </c>
      <c r="D1263" t="s">
        <v>342</v>
      </c>
      <c r="E1263">
        <v>24.15</v>
      </c>
      <c r="F1263">
        <v>18.440000000000001</v>
      </c>
      <c r="G1263">
        <v>16.5</v>
      </c>
      <c r="H1263">
        <v>34.94</v>
      </c>
      <c r="I1263" t="s">
        <v>344</v>
      </c>
      <c r="J1263">
        <v>159.58000000000001</v>
      </c>
      <c r="K1263">
        <v>-4.9400000000000004</v>
      </c>
      <c r="L1263" t="s">
        <v>346</v>
      </c>
      <c r="M1263" s="1">
        <v>4.9400000000000013E-2</v>
      </c>
      <c r="N1263" t="s">
        <v>350</v>
      </c>
      <c r="O1263">
        <v>-1.37</v>
      </c>
      <c r="P1263" t="s">
        <v>343</v>
      </c>
      <c r="Q1263">
        <v>0.6</v>
      </c>
      <c r="R1263" t="s">
        <v>343</v>
      </c>
      <c r="S1263">
        <v>1</v>
      </c>
    </row>
    <row r="1264" spans="1:19" x14ac:dyDescent="0.25">
      <c r="A1264" t="s">
        <v>35</v>
      </c>
      <c r="B1264" t="s">
        <v>73</v>
      </c>
      <c r="C1264">
        <v>340</v>
      </c>
      <c r="D1264" t="s">
        <v>342</v>
      </c>
      <c r="E1264">
        <v>24.15</v>
      </c>
      <c r="F1264">
        <v>17.989999999999998</v>
      </c>
      <c r="G1264">
        <v>17.03</v>
      </c>
      <c r="H1264">
        <v>35.020000000000003</v>
      </c>
      <c r="I1264" t="s">
        <v>344</v>
      </c>
      <c r="J1264">
        <v>159.58000000000001</v>
      </c>
      <c r="K1264">
        <v>0.01</v>
      </c>
      <c r="L1264" t="s">
        <v>346</v>
      </c>
      <c r="M1264" s="1">
        <v>1E-4</v>
      </c>
      <c r="N1264" t="s">
        <v>349</v>
      </c>
      <c r="O1264">
        <v>-1.34</v>
      </c>
      <c r="P1264" t="s">
        <v>343</v>
      </c>
      <c r="Q1264">
        <v>2.4</v>
      </c>
      <c r="R1264" t="s">
        <v>344</v>
      </c>
      <c r="S1264">
        <v>1</v>
      </c>
    </row>
    <row r="1265" spans="1:19" x14ac:dyDescent="0.25">
      <c r="A1265" t="s">
        <v>35</v>
      </c>
      <c r="B1265" t="s">
        <v>74</v>
      </c>
      <c r="C1265">
        <v>360</v>
      </c>
      <c r="D1265" t="s">
        <v>342</v>
      </c>
      <c r="E1265">
        <v>24.15</v>
      </c>
      <c r="F1265">
        <v>17.39</v>
      </c>
      <c r="G1265">
        <v>17.739999999999998</v>
      </c>
      <c r="H1265">
        <v>35.130000000000003</v>
      </c>
      <c r="I1265" t="s">
        <v>344</v>
      </c>
      <c r="J1265">
        <v>159.31</v>
      </c>
      <c r="K1265">
        <v>-1.33</v>
      </c>
      <c r="L1265" t="s">
        <v>346</v>
      </c>
      <c r="M1265" s="1">
        <v>1.3299999999999999E-2</v>
      </c>
      <c r="N1265" t="s">
        <v>349</v>
      </c>
      <c r="O1265">
        <v>-2.13</v>
      </c>
      <c r="P1265" t="s">
        <v>344</v>
      </c>
      <c r="Q1265">
        <v>2.29</v>
      </c>
      <c r="R1265" t="s">
        <v>344</v>
      </c>
      <c r="S1265">
        <v>1</v>
      </c>
    </row>
    <row r="1266" spans="1:19" x14ac:dyDescent="0.25">
      <c r="A1266" t="s">
        <v>35</v>
      </c>
      <c r="B1266" t="s">
        <v>75</v>
      </c>
      <c r="C1266">
        <v>380</v>
      </c>
      <c r="D1266" t="s">
        <v>342</v>
      </c>
      <c r="E1266">
        <v>24.15</v>
      </c>
      <c r="F1266">
        <v>17.420000000000002</v>
      </c>
      <c r="G1266">
        <v>15.84</v>
      </c>
      <c r="H1266">
        <v>33.26</v>
      </c>
      <c r="I1266" t="s">
        <v>344</v>
      </c>
      <c r="J1266">
        <v>158.94999999999999</v>
      </c>
      <c r="K1266">
        <v>-1.8</v>
      </c>
      <c r="L1266" t="s">
        <v>346</v>
      </c>
      <c r="M1266" s="1">
        <v>1.7999999999999999E-2</v>
      </c>
      <c r="N1266" t="s">
        <v>349</v>
      </c>
      <c r="O1266">
        <v>-2.89</v>
      </c>
      <c r="P1266" t="s">
        <v>344</v>
      </c>
      <c r="Q1266">
        <v>2.87</v>
      </c>
      <c r="R1266" t="s">
        <v>344</v>
      </c>
      <c r="S1266">
        <v>1</v>
      </c>
    </row>
    <row r="1267" spans="1:19" x14ac:dyDescent="0.25">
      <c r="A1267" t="s">
        <v>35</v>
      </c>
      <c r="B1267" t="s">
        <v>76</v>
      </c>
      <c r="C1267">
        <v>400</v>
      </c>
      <c r="D1267" t="s">
        <v>342</v>
      </c>
      <c r="E1267">
        <v>24.15</v>
      </c>
      <c r="F1267">
        <v>16.96</v>
      </c>
      <c r="G1267">
        <v>15.37</v>
      </c>
      <c r="H1267">
        <v>32.340000000000003</v>
      </c>
      <c r="I1267" t="s">
        <v>344</v>
      </c>
      <c r="J1267">
        <v>158.66999999999999</v>
      </c>
      <c r="K1267">
        <v>-1.38</v>
      </c>
      <c r="L1267" t="s">
        <v>346</v>
      </c>
      <c r="M1267" s="1">
        <v>1.38E-2</v>
      </c>
      <c r="N1267" t="s">
        <v>349</v>
      </c>
      <c r="O1267">
        <v>-3.73</v>
      </c>
      <c r="P1267" t="s">
        <v>344</v>
      </c>
      <c r="Q1267">
        <v>2.29</v>
      </c>
      <c r="R1267" t="s">
        <v>344</v>
      </c>
      <c r="S1267">
        <v>1</v>
      </c>
    </row>
    <row r="1268" spans="1:19" x14ac:dyDescent="0.25">
      <c r="A1268" t="s">
        <v>35</v>
      </c>
      <c r="B1268" t="s">
        <v>77</v>
      </c>
      <c r="C1268">
        <v>420</v>
      </c>
      <c r="D1268" t="s">
        <v>342</v>
      </c>
      <c r="E1268">
        <v>24.15</v>
      </c>
      <c r="F1268">
        <v>16.27</v>
      </c>
      <c r="G1268">
        <v>14.38</v>
      </c>
      <c r="H1268">
        <v>30.65</v>
      </c>
      <c r="I1268" t="s">
        <v>344</v>
      </c>
      <c r="J1268">
        <v>158.38999999999999</v>
      </c>
      <c r="K1268">
        <v>-1.43</v>
      </c>
      <c r="L1268" t="s">
        <v>346</v>
      </c>
      <c r="M1268" s="1">
        <v>1.43E-2</v>
      </c>
      <c r="N1268" t="s">
        <v>349</v>
      </c>
      <c r="O1268">
        <v>-3.48</v>
      </c>
      <c r="P1268" t="s">
        <v>344</v>
      </c>
      <c r="Q1268">
        <v>2.78</v>
      </c>
      <c r="R1268" t="s">
        <v>344</v>
      </c>
      <c r="S1268">
        <v>1</v>
      </c>
    </row>
    <row r="1269" spans="1:19" x14ac:dyDescent="0.25">
      <c r="A1269" t="s">
        <v>35</v>
      </c>
      <c r="B1269" t="s">
        <v>78</v>
      </c>
      <c r="C1269">
        <v>440</v>
      </c>
      <c r="D1269" t="s">
        <v>342</v>
      </c>
      <c r="E1269">
        <v>24.15</v>
      </c>
      <c r="F1269">
        <v>15.66</v>
      </c>
      <c r="G1269">
        <v>15.37</v>
      </c>
      <c r="H1269">
        <v>31.03</v>
      </c>
      <c r="I1269" t="s">
        <v>344</v>
      </c>
      <c r="J1269">
        <v>157.94</v>
      </c>
      <c r="K1269">
        <v>-2.23</v>
      </c>
      <c r="L1269" t="s">
        <v>346</v>
      </c>
      <c r="M1269" s="1">
        <v>2.23E-2</v>
      </c>
      <c r="N1269" t="s">
        <v>350</v>
      </c>
      <c r="O1269">
        <v>-3.82</v>
      </c>
      <c r="P1269" t="s">
        <v>344</v>
      </c>
      <c r="Q1269">
        <v>2.96</v>
      </c>
      <c r="R1269" t="s">
        <v>344</v>
      </c>
      <c r="S1269">
        <v>1</v>
      </c>
    </row>
    <row r="1270" spans="1:19" x14ac:dyDescent="0.25">
      <c r="A1270" t="s">
        <v>35</v>
      </c>
      <c r="B1270" t="s">
        <v>79</v>
      </c>
      <c r="C1270">
        <v>460</v>
      </c>
      <c r="D1270" t="s">
        <v>342</v>
      </c>
      <c r="E1270">
        <v>24.15</v>
      </c>
      <c r="F1270">
        <v>15.69</v>
      </c>
      <c r="G1270">
        <v>15.04</v>
      </c>
      <c r="H1270">
        <v>30.73</v>
      </c>
      <c r="I1270" t="s">
        <v>344</v>
      </c>
      <c r="J1270">
        <v>157.36000000000001</v>
      </c>
      <c r="K1270">
        <v>-2.91</v>
      </c>
      <c r="L1270" t="s">
        <v>346</v>
      </c>
      <c r="M1270" s="1">
        <v>2.9100000000000001E-2</v>
      </c>
      <c r="N1270" t="s">
        <v>350</v>
      </c>
      <c r="O1270">
        <v>-1.89</v>
      </c>
      <c r="P1270" t="s">
        <v>343</v>
      </c>
      <c r="Q1270">
        <v>3.35</v>
      </c>
      <c r="R1270" t="s">
        <v>344</v>
      </c>
      <c r="S1270">
        <v>1</v>
      </c>
    </row>
    <row r="1271" spans="1:19" x14ac:dyDescent="0.25">
      <c r="A1271" t="s">
        <v>35</v>
      </c>
      <c r="B1271" t="s">
        <v>80</v>
      </c>
      <c r="C1271">
        <v>480</v>
      </c>
      <c r="D1271" t="s">
        <v>342</v>
      </c>
      <c r="E1271">
        <v>24.15</v>
      </c>
      <c r="F1271">
        <v>15.69</v>
      </c>
      <c r="G1271">
        <v>15.68</v>
      </c>
      <c r="H1271">
        <v>31.37</v>
      </c>
      <c r="I1271" t="s">
        <v>344</v>
      </c>
      <c r="J1271">
        <v>156.18</v>
      </c>
      <c r="K1271">
        <v>-5.92</v>
      </c>
      <c r="L1271" t="s">
        <v>346</v>
      </c>
      <c r="M1271" s="1">
        <v>5.9200000000000003E-2</v>
      </c>
      <c r="N1271" t="s">
        <v>350</v>
      </c>
      <c r="O1271">
        <v>-1.72</v>
      </c>
      <c r="P1271" t="s">
        <v>343</v>
      </c>
      <c r="Q1271">
        <v>2.19</v>
      </c>
      <c r="R1271" t="s">
        <v>344</v>
      </c>
      <c r="S1271">
        <v>1</v>
      </c>
    </row>
    <row r="1272" spans="1:19" x14ac:dyDescent="0.25">
      <c r="A1272" t="s">
        <v>35</v>
      </c>
      <c r="B1272" t="s">
        <v>81</v>
      </c>
      <c r="C1272">
        <v>500</v>
      </c>
      <c r="D1272" t="s">
        <v>342</v>
      </c>
      <c r="E1272">
        <v>24.15</v>
      </c>
      <c r="F1272">
        <v>15.25</v>
      </c>
      <c r="G1272">
        <v>15.33</v>
      </c>
      <c r="H1272">
        <v>30.58</v>
      </c>
      <c r="I1272" t="s">
        <v>344</v>
      </c>
      <c r="J1272">
        <v>154.94999999999999</v>
      </c>
      <c r="K1272">
        <v>-6.12</v>
      </c>
      <c r="L1272" t="s">
        <v>346</v>
      </c>
      <c r="M1272" s="1">
        <v>6.1199999999999997E-2</v>
      </c>
      <c r="N1272" t="s">
        <v>350</v>
      </c>
      <c r="O1272">
        <v>-1.21</v>
      </c>
      <c r="P1272" t="s">
        <v>343</v>
      </c>
      <c r="Q1272">
        <v>1.44</v>
      </c>
      <c r="R1272" t="s">
        <v>343</v>
      </c>
      <c r="S1272">
        <v>1</v>
      </c>
    </row>
    <row r="1273" spans="1:19" x14ac:dyDescent="0.25">
      <c r="A1273" t="s">
        <v>35</v>
      </c>
      <c r="B1273" t="s">
        <v>82</v>
      </c>
      <c r="C1273">
        <v>520</v>
      </c>
      <c r="D1273" t="s">
        <v>342</v>
      </c>
      <c r="E1273">
        <v>24.15</v>
      </c>
      <c r="F1273">
        <v>16.059999999999999</v>
      </c>
      <c r="G1273">
        <v>15.33</v>
      </c>
      <c r="H1273">
        <v>31.39</v>
      </c>
      <c r="I1273" t="s">
        <v>344</v>
      </c>
      <c r="J1273">
        <v>153.6</v>
      </c>
      <c r="K1273">
        <v>-6.79</v>
      </c>
      <c r="L1273" t="s">
        <v>346</v>
      </c>
      <c r="M1273" s="1">
        <v>6.7900000000000002E-2</v>
      </c>
      <c r="N1273" t="s">
        <v>350</v>
      </c>
      <c r="O1273">
        <v>-0.7</v>
      </c>
      <c r="P1273" t="s">
        <v>343</v>
      </c>
      <c r="Q1273">
        <v>0.62</v>
      </c>
      <c r="R1273" t="s">
        <v>343</v>
      </c>
      <c r="S1273">
        <v>1</v>
      </c>
    </row>
    <row r="1274" spans="1:19" x14ac:dyDescent="0.25">
      <c r="A1274" t="s">
        <v>35</v>
      </c>
      <c r="B1274" t="s">
        <v>83</v>
      </c>
      <c r="C1274">
        <v>540</v>
      </c>
      <c r="D1274" t="s">
        <v>342</v>
      </c>
      <c r="E1274">
        <v>24.15</v>
      </c>
      <c r="F1274">
        <v>15.89</v>
      </c>
      <c r="G1274">
        <v>14.99</v>
      </c>
      <c r="H1274">
        <v>30.88</v>
      </c>
      <c r="I1274" t="s">
        <v>344</v>
      </c>
      <c r="J1274">
        <v>152.34</v>
      </c>
      <c r="K1274">
        <v>-6.26</v>
      </c>
      <c r="L1274" t="s">
        <v>346</v>
      </c>
      <c r="M1274" s="1">
        <v>6.2600000000000003E-2</v>
      </c>
      <c r="N1274" t="s">
        <v>350</v>
      </c>
      <c r="O1274">
        <v>-0.81</v>
      </c>
      <c r="P1274" t="s">
        <v>343</v>
      </c>
      <c r="Q1274">
        <v>1.82</v>
      </c>
      <c r="R1274" t="s">
        <v>343</v>
      </c>
      <c r="S1274">
        <v>1</v>
      </c>
    </row>
    <row r="1275" spans="1:19" x14ac:dyDescent="0.25">
      <c r="A1275" t="s">
        <v>35</v>
      </c>
      <c r="B1275" t="s">
        <v>84</v>
      </c>
      <c r="C1275">
        <v>560</v>
      </c>
      <c r="D1275" t="s">
        <v>342</v>
      </c>
      <c r="E1275">
        <v>24.15</v>
      </c>
      <c r="F1275">
        <v>14.51</v>
      </c>
      <c r="G1275">
        <v>16.05</v>
      </c>
      <c r="H1275">
        <v>30.56</v>
      </c>
      <c r="I1275" t="s">
        <v>344</v>
      </c>
      <c r="J1275">
        <v>150.9</v>
      </c>
      <c r="K1275">
        <v>-7.21</v>
      </c>
      <c r="L1275" t="s">
        <v>346</v>
      </c>
      <c r="M1275" s="1">
        <v>7.2099999999999997E-2</v>
      </c>
      <c r="N1275" t="s">
        <v>350</v>
      </c>
      <c r="O1275">
        <v>-0.13</v>
      </c>
      <c r="P1275" t="s">
        <v>343</v>
      </c>
      <c r="Q1275">
        <v>0.67</v>
      </c>
      <c r="R1275" t="s">
        <v>343</v>
      </c>
      <c r="S1275">
        <v>1</v>
      </c>
    </row>
    <row r="1276" spans="1:19" x14ac:dyDescent="0.25">
      <c r="A1276" t="s">
        <v>35</v>
      </c>
      <c r="B1276" t="s">
        <v>85</v>
      </c>
      <c r="C1276">
        <v>580</v>
      </c>
      <c r="D1276" t="s">
        <v>342</v>
      </c>
      <c r="E1276">
        <v>24.15</v>
      </c>
      <c r="F1276">
        <v>14.25</v>
      </c>
      <c r="G1276">
        <v>17.170000000000002</v>
      </c>
      <c r="H1276">
        <v>31.42</v>
      </c>
      <c r="I1276" t="s">
        <v>344</v>
      </c>
      <c r="J1276">
        <v>149.34</v>
      </c>
      <c r="K1276">
        <v>-7.83</v>
      </c>
      <c r="L1276" t="s">
        <v>346</v>
      </c>
      <c r="M1276" s="1">
        <v>7.8299999999999995E-2</v>
      </c>
      <c r="N1276" t="s">
        <v>350</v>
      </c>
      <c r="O1276">
        <v>0.28000000000000003</v>
      </c>
      <c r="P1276" t="s">
        <v>343</v>
      </c>
      <c r="Q1276">
        <v>-0.42</v>
      </c>
      <c r="R1276" t="s">
        <v>343</v>
      </c>
      <c r="S1276">
        <v>1</v>
      </c>
    </row>
    <row r="1277" spans="1:19" x14ac:dyDescent="0.25">
      <c r="A1277" t="s">
        <v>35</v>
      </c>
      <c r="B1277" t="s">
        <v>86</v>
      </c>
      <c r="C1277">
        <v>600</v>
      </c>
      <c r="D1277" t="s">
        <v>342</v>
      </c>
      <c r="E1277">
        <v>24.15</v>
      </c>
      <c r="F1277">
        <v>14.87</v>
      </c>
      <c r="G1277">
        <v>17.350000000000001</v>
      </c>
      <c r="H1277">
        <v>32.22</v>
      </c>
      <c r="I1277" t="s">
        <v>344</v>
      </c>
      <c r="J1277">
        <v>148.05000000000001</v>
      </c>
      <c r="K1277">
        <v>-6.44</v>
      </c>
      <c r="L1277" t="s">
        <v>346</v>
      </c>
      <c r="M1277" s="1">
        <v>6.4399999999999999E-2</v>
      </c>
      <c r="N1277" t="s">
        <v>350</v>
      </c>
      <c r="O1277">
        <v>1.89</v>
      </c>
      <c r="P1277" t="s">
        <v>343</v>
      </c>
      <c r="Q1277">
        <v>-1.3</v>
      </c>
      <c r="R1277" t="s">
        <v>343</v>
      </c>
      <c r="S1277">
        <v>1</v>
      </c>
    </row>
    <row r="1278" spans="1:19" x14ac:dyDescent="0.25">
      <c r="A1278" t="s">
        <v>35</v>
      </c>
      <c r="B1278" t="s">
        <v>87</v>
      </c>
      <c r="C1278">
        <v>620</v>
      </c>
      <c r="D1278" t="s">
        <v>342</v>
      </c>
      <c r="E1278">
        <v>24.15</v>
      </c>
      <c r="F1278">
        <v>14.87</v>
      </c>
      <c r="G1278">
        <v>17.989999999999998</v>
      </c>
      <c r="H1278">
        <v>32.86</v>
      </c>
      <c r="I1278" t="s">
        <v>344</v>
      </c>
      <c r="J1278">
        <v>146.75</v>
      </c>
      <c r="K1278">
        <v>-6.49</v>
      </c>
      <c r="L1278" t="s">
        <v>346</v>
      </c>
      <c r="M1278" s="1">
        <v>6.4899999999999999E-2</v>
      </c>
      <c r="N1278" t="s">
        <v>350</v>
      </c>
      <c r="O1278">
        <v>1.65</v>
      </c>
      <c r="P1278" t="s">
        <v>343</v>
      </c>
      <c r="Q1278">
        <v>-0.23</v>
      </c>
      <c r="R1278" t="s">
        <v>343</v>
      </c>
      <c r="S1278">
        <v>1</v>
      </c>
    </row>
    <row r="1279" spans="1:19" x14ac:dyDescent="0.25">
      <c r="A1279" t="s">
        <v>35</v>
      </c>
      <c r="B1279" t="s">
        <v>88</v>
      </c>
      <c r="C1279">
        <v>640</v>
      </c>
      <c r="D1279" t="s">
        <v>342</v>
      </c>
      <c r="E1279">
        <v>24.15</v>
      </c>
      <c r="F1279">
        <v>15.25</v>
      </c>
      <c r="G1279">
        <v>17.809999999999999</v>
      </c>
      <c r="H1279">
        <v>33.06</v>
      </c>
      <c r="I1279" t="s">
        <v>344</v>
      </c>
      <c r="J1279">
        <v>145.37</v>
      </c>
      <c r="K1279">
        <v>-6.88</v>
      </c>
      <c r="L1279" t="s">
        <v>346</v>
      </c>
      <c r="M1279" s="1">
        <v>6.88E-2</v>
      </c>
      <c r="N1279" t="s">
        <v>350</v>
      </c>
      <c r="O1279">
        <v>-0.53</v>
      </c>
      <c r="P1279" t="s">
        <v>343</v>
      </c>
      <c r="Q1279">
        <v>0.08</v>
      </c>
      <c r="R1279" t="s">
        <v>343</v>
      </c>
      <c r="S1279">
        <v>1</v>
      </c>
    </row>
    <row r="1280" spans="1:19" x14ac:dyDescent="0.25">
      <c r="A1280" t="s">
        <v>35</v>
      </c>
      <c r="B1280" t="s">
        <v>89</v>
      </c>
      <c r="C1280">
        <v>660</v>
      </c>
      <c r="D1280" t="s">
        <v>342</v>
      </c>
      <c r="E1280">
        <v>24.15</v>
      </c>
      <c r="F1280">
        <v>16.13</v>
      </c>
      <c r="G1280">
        <v>16.47</v>
      </c>
      <c r="H1280">
        <v>32.590000000000003</v>
      </c>
      <c r="I1280" t="s">
        <v>344</v>
      </c>
      <c r="J1280">
        <v>144.15</v>
      </c>
      <c r="K1280">
        <v>-6.14</v>
      </c>
      <c r="L1280" t="s">
        <v>346</v>
      </c>
      <c r="M1280" s="1">
        <v>6.1400000000000003E-2</v>
      </c>
      <c r="N1280" t="s">
        <v>350</v>
      </c>
      <c r="O1280">
        <v>-1.2</v>
      </c>
      <c r="P1280" t="s">
        <v>343</v>
      </c>
      <c r="Q1280">
        <v>0.77</v>
      </c>
      <c r="R1280" t="s">
        <v>343</v>
      </c>
      <c r="S1280">
        <v>1</v>
      </c>
    </row>
    <row r="1281" spans="1:19" x14ac:dyDescent="0.25">
      <c r="A1281" t="s">
        <v>35</v>
      </c>
      <c r="B1281" t="s">
        <v>90</v>
      </c>
      <c r="C1281">
        <v>680</v>
      </c>
      <c r="D1281" t="s">
        <v>342</v>
      </c>
      <c r="E1281">
        <v>24.15</v>
      </c>
      <c r="F1281">
        <v>15.66</v>
      </c>
      <c r="G1281">
        <v>14.86</v>
      </c>
      <c r="H1281">
        <v>30.52</v>
      </c>
      <c r="I1281" t="s">
        <v>344</v>
      </c>
      <c r="J1281">
        <v>143.03</v>
      </c>
      <c r="K1281">
        <v>-5.56</v>
      </c>
      <c r="L1281" t="s">
        <v>346</v>
      </c>
      <c r="M1281" s="1">
        <v>5.5599999999999997E-2</v>
      </c>
      <c r="N1281" t="s">
        <v>350</v>
      </c>
      <c r="O1281">
        <v>-0.17</v>
      </c>
      <c r="P1281" t="s">
        <v>343</v>
      </c>
      <c r="Q1281">
        <v>0.67</v>
      </c>
      <c r="R1281" t="s">
        <v>343</v>
      </c>
      <c r="S1281">
        <v>1</v>
      </c>
    </row>
    <row r="1282" spans="1:19" x14ac:dyDescent="0.25">
      <c r="A1282" t="s">
        <v>35</v>
      </c>
      <c r="B1282" t="s">
        <v>91</v>
      </c>
      <c r="C1282">
        <v>700</v>
      </c>
      <c r="D1282" t="s">
        <v>342</v>
      </c>
      <c r="E1282">
        <v>24.15</v>
      </c>
      <c r="F1282">
        <v>14.98</v>
      </c>
      <c r="G1282">
        <v>12.72</v>
      </c>
      <c r="H1282">
        <v>27.7</v>
      </c>
      <c r="I1282" t="s">
        <v>344</v>
      </c>
      <c r="J1282">
        <v>142.1</v>
      </c>
      <c r="K1282">
        <v>-4.67</v>
      </c>
      <c r="L1282" t="s">
        <v>346</v>
      </c>
      <c r="M1282" s="1">
        <v>4.6699999999999998E-2</v>
      </c>
      <c r="N1282" t="s">
        <v>350</v>
      </c>
      <c r="O1282">
        <v>1.1200000000000001</v>
      </c>
      <c r="P1282" t="s">
        <v>343</v>
      </c>
      <c r="Q1282">
        <v>1.5</v>
      </c>
      <c r="R1282" t="s">
        <v>343</v>
      </c>
      <c r="S1282">
        <v>1</v>
      </c>
    </row>
    <row r="1283" spans="1:19" x14ac:dyDescent="0.25">
      <c r="A1283" t="s">
        <v>35</v>
      </c>
      <c r="B1283" t="s">
        <v>92</v>
      </c>
      <c r="C1283">
        <v>720</v>
      </c>
      <c r="D1283" t="s">
        <v>342</v>
      </c>
      <c r="E1283">
        <v>24.15</v>
      </c>
      <c r="F1283">
        <v>14.37</v>
      </c>
      <c r="G1283">
        <v>11.96</v>
      </c>
      <c r="H1283">
        <v>26.33</v>
      </c>
      <c r="I1283" t="s">
        <v>344</v>
      </c>
      <c r="J1283">
        <v>141.37</v>
      </c>
      <c r="K1283">
        <v>-3.65</v>
      </c>
      <c r="L1283" t="s">
        <v>346</v>
      </c>
      <c r="M1283" s="1">
        <v>3.6499999999999998E-2</v>
      </c>
      <c r="N1283" t="s">
        <v>350</v>
      </c>
      <c r="O1283">
        <v>0.84</v>
      </c>
      <c r="P1283" t="s">
        <v>343</v>
      </c>
      <c r="Q1283">
        <v>3.32</v>
      </c>
      <c r="R1283" t="s">
        <v>344</v>
      </c>
      <c r="S1283">
        <v>1</v>
      </c>
    </row>
    <row r="1284" spans="1:19" x14ac:dyDescent="0.25">
      <c r="A1284" t="s">
        <v>35</v>
      </c>
      <c r="B1284" t="s">
        <v>93</v>
      </c>
      <c r="C1284">
        <v>740</v>
      </c>
      <c r="D1284" t="s">
        <v>342</v>
      </c>
      <c r="E1284">
        <v>24.15</v>
      </c>
      <c r="F1284">
        <v>14.24</v>
      </c>
      <c r="G1284">
        <v>11.88</v>
      </c>
      <c r="H1284">
        <v>26.12</v>
      </c>
      <c r="I1284" t="s">
        <v>344</v>
      </c>
      <c r="J1284">
        <v>140.59</v>
      </c>
      <c r="K1284">
        <v>-3.89</v>
      </c>
      <c r="L1284" t="s">
        <v>346</v>
      </c>
      <c r="M1284" s="1">
        <v>3.8899999999999997E-2</v>
      </c>
      <c r="N1284" t="s">
        <v>350</v>
      </c>
      <c r="O1284">
        <v>1.04</v>
      </c>
      <c r="P1284" t="s">
        <v>343</v>
      </c>
      <c r="Q1284">
        <v>4.75</v>
      </c>
      <c r="R1284" t="s">
        <v>343</v>
      </c>
      <c r="S1284">
        <v>1</v>
      </c>
    </row>
    <row r="1285" spans="1:19" x14ac:dyDescent="0.25">
      <c r="A1285" t="s">
        <v>35</v>
      </c>
      <c r="B1285" t="s">
        <v>94</v>
      </c>
      <c r="C1285">
        <v>760</v>
      </c>
      <c r="D1285" t="s">
        <v>342</v>
      </c>
      <c r="E1285">
        <v>24.15</v>
      </c>
      <c r="F1285">
        <v>12.35</v>
      </c>
      <c r="G1285">
        <v>12.11</v>
      </c>
      <c r="H1285">
        <v>24.46</v>
      </c>
      <c r="I1285" t="s">
        <v>344</v>
      </c>
      <c r="J1285">
        <v>140.09</v>
      </c>
      <c r="K1285">
        <v>-2.52</v>
      </c>
      <c r="L1285" t="s">
        <v>346</v>
      </c>
      <c r="M1285" s="1">
        <v>2.52E-2</v>
      </c>
      <c r="N1285" t="s">
        <v>350</v>
      </c>
      <c r="O1285">
        <v>1.73</v>
      </c>
      <c r="P1285" t="s">
        <v>343</v>
      </c>
      <c r="Q1285">
        <v>4.8899999999999997</v>
      </c>
      <c r="R1285" t="s">
        <v>343</v>
      </c>
      <c r="S1285">
        <v>1</v>
      </c>
    </row>
    <row r="1286" spans="1:19" x14ac:dyDescent="0.25">
      <c r="A1286" t="s">
        <v>35</v>
      </c>
      <c r="B1286" t="s">
        <v>95</v>
      </c>
      <c r="C1286">
        <v>780</v>
      </c>
      <c r="D1286" t="s">
        <v>342</v>
      </c>
      <c r="E1286">
        <v>24.15</v>
      </c>
      <c r="F1286">
        <v>12.63</v>
      </c>
      <c r="G1286">
        <v>12.4</v>
      </c>
      <c r="H1286">
        <v>25.03</v>
      </c>
      <c r="I1286" t="s">
        <v>344</v>
      </c>
      <c r="J1286">
        <v>139.44</v>
      </c>
      <c r="K1286">
        <v>-3.26</v>
      </c>
      <c r="L1286" t="s">
        <v>346</v>
      </c>
      <c r="M1286" s="1">
        <v>3.2599999999999997E-2</v>
      </c>
      <c r="N1286" t="s">
        <v>350</v>
      </c>
      <c r="O1286">
        <v>7.0000000000000007E-2</v>
      </c>
      <c r="P1286" t="s">
        <v>343</v>
      </c>
      <c r="Q1286">
        <v>4.51</v>
      </c>
      <c r="R1286" t="s">
        <v>343</v>
      </c>
      <c r="S1286">
        <v>1</v>
      </c>
    </row>
    <row r="1287" spans="1:19" x14ac:dyDescent="0.25">
      <c r="A1287" t="s">
        <v>35</v>
      </c>
      <c r="B1287" t="s">
        <v>96</v>
      </c>
      <c r="C1287">
        <v>800</v>
      </c>
      <c r="D1287" t="s">
        <v>342</v>
      </c>
      <c r="E1287">
        <v>24.15</v>
      </c>
      <c r="F1287">
        <v>13.68</v>
      </c>
      <c r="G1287">
        <v>11.26</v>
      </c>
      <c r="H1287">
        <v>24.94</v>
      </c>
      <c r="I1287" t="s">
        <v>344</v>
      </c>
      <c r="J1287">
        <v>138.82</v>
      </c>
      <c r="K1287">
        <v>-3.1</v>
      </c>
      <c r="L1287" t="s">
        <v>346</v>
      </c>
      <c r="M1287" s="1">
        <v>3.1E-2</v>
      </c>
      <c r="N1287" t="s">
        <v>350</v>
      </c>
      <c r="O1287">
        <v>0.71</v>
      </c>
      <c r="P1287" t="s">
        <v>343</v>
      </c>
      <c r="Q1287">
        <v>1.59</v>
      </c>
      <c r="R1287" t="s">
        <v>343</v>
      </c>
      <c r="S1287">
        <v>1</v>
      </c>
    </row>
    <row r="1288" spans="1:19" x14ac:dyDescent="0.25">
      <c r="A1288" t="s">
        <v>35</v>
      </c>
      <c r="B1288" t="s">
        <v>97</v>
      </c>
      <c r="C1288">
        <v>820</v>
      </c>
      <c r="D1288" t="s">
        <v>342</v>
      </c>
      <c r="E1288">
        <v>24.15</v>
      </c>
      <c r="F1288">
        <v>17.84</v>
      </c>
      <c r="G1288">
        <v>12.22</v>
      </c>
      <c r="H1288">
        <v>30.06</v>
      </c>
      <c r="I1288" t="s">
        <v>344</v>
      </c>
      <c r="J1288">
        <v>138.44999999999999</v>
      </c>
      <c r="K1288">
        <v>-1.87</v>
      </c>
      <c r="L1288" t="s">
        <v>346</v>
      </c>
      <c r="M1288" s="1">
        <v>1.8700000000000001E-2</v>
      </c>
      <c r="N1288" t="s">
        <v>349</v>
      </c>
      <c r="O1288">
        <v>0.25</v>
      </c>
      <c r="P1288" t="s">
        <v>343</v>
      </c>
      <c r="Q1288">
        <v>0.44</v>
      </c>
      <c r="R1288" t="s">
        <v>343</v>
      </c>
      <c r="S1288">
        <v>1</v>
      </c>
    </row>
    <row r="1289" spans="1:19" x14ac:dyDescent="0.25">
      <c r="A1289" t="s">
        <v>35</v>
      </c>
      <c r="B1289" t="s">
        <v>98</v>
      </c>
      <c r="C1289">
        <v>840</v>
      </c>
      <c r="D1289" t="s">
        <v>342</v>
      </c>
      <c r="E1289">
        <v>24.15</v>
      </c>
      <c r="F1289">
        <v>20</v>
      </c>
      <c r="G1289">
        <v>13.93</v>
      </c>
      <c r="H1289">
        <v>33.93</v>
      </c>
      <c r="I1289" t="s">
        <v>344</v>
      </c>
      <c r="J1289">
        <v>138.35</v>
      </c>
      <c r="K1289">
        <v>-0.5</v>
      </c>
      <c r="L1289" t="s">
        <v>346</v>
      </c>
      <c r="M1289" s="1">
        <v>5.0000000000000001E-3</v>
      </c>
      <c r="N1289" t="s">
        <v>349</v>
      </c>
      <c r="O1289">
        <v>0.77</v>
      </c>
      <c r="P1289" t="s">
        <v>343</v>
      </c>
      <c r="Q1289">
        <v>0.3</v>
      </c>
      <c r="R1289" t="s">
        <v>343</v>
      </c>
      <c r="S1289">
        <v>1</v>
      </c>
    </row>
    <row r="1290" spans="1:19" x14ac:dyDescent="0.25">
      <c r="A1290" t="s">
        <v>35</v>
      </c>
      <c r="B1290" t="s">
        <v>99</v>
      </c>
      <c r="C1290">
        <v>860</v>
      </c>
      <c r="D1290" t="s">
        <v>342</v>
      </c>
      <c r="E1290">
        <v>24.15</v>
      </c>
      <c r="F1290">
        <v>20</v>
      </c>
      <c r="G1290">
        <v>16.5</v>
      </c>
      <c r="H1290">
        <v>36.5</v>
      </c>
      <c r="I1290" t="s">
        <v>344</v>
      </c>
      <c r="J1290">
        <v>138.13</v>
      </c>
      <c r="K1290">
        <v>-1.06</v>
      </c>
      <c r="L1290" t="s">
        <v>346</v>
      </c>
      <c r="M1290" s="1">
        <v>1.06E-2</v>
      </c>
      <c r="N1290" t="s">
        <v>349</v>
      </c>
      <c r="O1290">
        <v>2.0099999999999998</v>
      </c>
      <c r="P1290" t="s">
        <v>344</v>
      </c>
      <c r="Q1290">
        <v>0.49</v>
      </c>
      <c r="R1290" t="s">
        <v>343</v>
      </c>
      <c r="S1290">
        <v>1</v>
      </c>
    </row>
    <row r="1291" spans="1:19" x14ac:dyDescent="0.25">
      <c r="A1291" t="s">
        <v>35</v>
      </c>
      <c r="B1291" t="s">
        <v>235</v>
      </c>
      <c r="C1291">
        <v>877.79300000000001</v>
      </c>
      <c r="D1291" t="s">
        <v>342</v>
      </c>
      <c r="E1291">
        <v>24.15</v>
      </c>
      <c r="F1291">
        <v>20</v>
      </c>
      <c r="G1291">
        <v>17.59</v>
      </c>
      <c r="H1291">
        <v>37.590000000000003</v>
      </c>
      <c r="I1291" t="s">
        <v>344</v>
      </c>
      <c r="J1291">
        <v>138.01</v>
      </c>
      <c r="K1291">
        <v>-0.7</v>
      </c>
      <c r="L1291" t="s">
        <v>346</v>
      </c>
      <c r="M1291" s="1">
        <v>6.9999999999999993E-3</v>
      </c>
      <c r="N1291" t="s">
        <v>349</v>
      </c>
      <c r="O1291">
        <v>0.5</v>
      </c>
      <c r="P1291" t="s">
        <v>343</v>
      </c>
      <c r="Q1291">
        <v>-0.56999999999999995</v>
      </c>
      <c r="R1291" t="s">
        <v>343</v>
      </c>
      <c r="S1291">
        <v>0</v>
      </c>
    </row>
    <row r="1292" spans="1:19" x14ac:dyDescent="0.25">
      <c r="A1292" t="s">
        <v>36</v>
      </c>
      <c r="B1292" t="s">
        <v>56</v>
      </c>
      <c r="C1292">
        <v>0</v>
      </c>
      <c r="D1292" t="s">
        <v>342</v>
      </c>
      <c r="E1292">
        <v>24.15</v>
      </c>
      <c r="F1292">
        <v>20</v>
      </c>
      <c r="G1292">
        <v>17.59</v>
      </c>
      <c r="H1292">
        <v>37.590000000000003</v>
      </c>
      <c r="I1292" t="s">
        <v>344</v>
      </c>
      <c r="J1292">
        <v>137.93</v>
      </c>
      <c r="L1292" t="s">
        <v>345</v>
      </c>
      <c r="N1292" t="s">
        <v>345</v>
      </c>
      <c r="O1292">
        <v>-1.17</v>
      </c>
      <c r="P1292" t="s">
        <v>343</v>
      </c>
      <c r="Q1292">
        <v>1.58</v>
      </c>
      <c r="R1292" t="s">
        <v>343</v>
      </c>
      <c r="S1292">
        <v>1</v>
      </c>
    </row>
    <row r="1293" spans="1:19" x14ac:dyDescent="0.25">
      <c r="A1293" t="s">
        <v>36</v>
      </c>
      <c r="B1293" t="s">
        <v>57</v>
      </c>
      <c r="C1293">
        <v>20</v>
      </c>
      <c r="D1293" t="s">
        <v>342</v>
      </c>
      <c r="E1293">
        <v>24.15</v>
      </c>
      <c r="F1293">
        <v>20</v>
      </c>
      <c r="G1293">
        <v>17.59</v>
      </c>
      <c r="H1293">
        <v>37.590000000000003</v>
      </c>
      <c r="I1293" t="s">
        <v>344</v>
      </c>
      <c r="J1293">
        <v>137.97</v>
      </c>
      <c r="K1293">
        <v>0.19</v>
      </c>
      <c r="L1293" t="s">
        <v>346</v>
      </c>
      <c r="M1293" s="1">
        <v>1.9E-3</v>
      </c>
      <c r="N1293" t="s">
        <v>349</v>
      </c>
      <c r="O1293">
        <v>-3.53</v>
      </c>
      <c r="P1293" t="s">
        <v>344</v>
      </c>
      <c r="Q1293">
        <v>1.46</v>
      </c>
      <c r="R1293" t="s">
        <v>343</v>
      </c>
      <c r="S1293">
        <v>1</v>
      </c>
    </row>
    <row r="1294" spans="1:19" x14ac:dyDescent="0.25">
      <c r="A1294" t="s">
        <v>36</v>
      </c>
      <c r="B1294" t="s">
        <v>58</v>
      </c>
      <c r="C1294">
        <v>40</v>
      </c>
      <c r="D1294" t="s">
        <v>342</v>
      </c>
      <c r="E1294">
        <v>24.15</v>
      </c>
      <c r="F1294">
        <v>20</v>
      </c>
      <c r="G1294">
        <v>16.72</v>
      </c>
      <c r="H1294">
        <v>36.72</v>
      </c>
      <c r="I1294" t="s">
        <v>344</v>
      </c>
      <c r="J1294">
        <v>138.11000000000001</v>
      </c>
      <c r="K1294">
        <v>0.71</v>
      </c>
      <c r="L1294" t="s">
        <v>346</v>
      </c>
      <c r="M1294" s="1">
        <v>7.1000000000000004E-3</v>
      </c>
      <c r="N1294" t="s">
        <v>349</v>
      </c>
      <c r="O1294">
        <v>-0.82</v>
      </c>
      <c r="P1294" t="s">
        <v>343</v>
      </c>
      <c r="Q1294">
        <v>1.22</v>
      </c>
      <c r="R1294" t="s">
        <v>343</v>
      </c>
      <c r="S1294">
        <v>1</v>
      </c>
    </row>
    <row r="1295" spans="1:19" x14ac:dyDescent="0.25">
      <c r="A1295" t="s">
        <v>36</v>
      </c>
      <c r="B1295" t="s">
        <v>59</v>
      </c>
      <c r="C1295">
        <v>60</v>
      </c>
      <c r="D1295" t="s">
        <v>342</v>
      </c>
      <c r="E1295">
        <v>24.15</v>
      </c>
      <c r="F1295">
        <v>20</v>
      </c>
      <c r="G1295">
        <v>16.829999999999998</v>
      </c>
      <c r="H1295">
        <v>36.83</v>
      </c>
      <c r="I1295" t="s">
        <v>344</v>
      </c>
      <c r="J1295">
        <v>137.88</v>
      </c>
      <c r="K1295">
        <v>-1.17</v>
      </c>
      <c r="L1295" t="s">
        <v>346</v>
      </c>
      <c r="M1295" s="1">
        <v>1.17E-2</v>
      </c>
      <c r="N1295" t="s">
        <v>349</v>
      </c>
      <c r="O1295">
        <v>-0.09</v>
      </c>
      <c r="P1295" t="s">
        <v>343</v>
      </c>
      <c r="Q1295">
        <v>0.61</v>
      </c>
      <c r="R1295" t="s">
        <v>343</v>
      </c>
      <c r="S1295">
        <v>1</v>
      </c>
    </row>
    <row r="1296" spans="1:19" x14ac:dyDescent="0.25">
      <c r="A1296" t="s">
        <v>36</v>
      </c>
      <c r="B1296" t="s">
        <v>60</v>
      </c>
      <c r="C1296">
        <v>80</v>
      </c>
      <c r="D1296" t="s">
        <v>342</v>
      </c>
      <c r="E1296">
        <v>24.15</v>
      </c>
      <c r="F1296">
        <v>20</v>
      </c>
      <c r="G1296">
        <v>16.98</v>
      </c>
      <c r="H1296">
        <v>36.979999999999997</v>
      </c>
      <c r="I1296" t="s">
        <v>344</v>
      </c>
      <c r="J1296">
        <v>137.51</v>
      </c>
      <c r="K1296">
        <v>-1.83</v>
      </c>
      <c r="L1296" t="s">
        <v>346</v>
      </c>
      <c r="M1296" s="1">
        <v>1.83E-2</v>
      </c>
      <c r="N1296" t="s">
        <v>349</v>
      </c>
      <c r="O1296">
        <v>0.82</v>
      </c>
      <c r="P1296" t="s">
        <v>343</v>
      </c>
      <c r="Q1296">
        <v>-0.62</v>
      </c>
      <c r="R1296" t="s">
        <v>343</v>
      </c>
      <c r="S1296">
        <v>1</v>
      </c>
    </row>
    <row r="1297" spans="1:19" x14ac:dyDescent="0.25">
      <c r="A1297" t="s">
        <v>36</v>
      </c>
      <c r="B1297" t="s">
        <v>61</v>
      </c>
      <c r="C1297">
        <v>100</v>
      </c>
      <c r="D1297" t="s">
        <v>342</v>
      </c>
      <c r="E1297">
        <v>24.15</v>
      </c>
      <c r="F1297">
        <v>20</v>
      </c>
      <c r="G1297">
        <v>17.02</v>
      </c>
      <c r="H1297">
        <v>37.020000000000003</v>
      </c>
      <c r="I1297" t="s">
        <v>344</v>
      </c>
      <c r="J1297">
        <v>137.4</v>
      </c>
      <c r="K1297">
        <v>-0.56999999999999995</v>
      </c>
      <c r="L1297" t="s">
        <v>346</v>
      </c>
      <c r="M1297" s="1">
        <v>5.6999999999999993E-3</v>
      </c>
      <c r="N1297" t="s">
        <v>349</v>
      </c>
      <c r="O1297">
        <v>-0.08</v>
      </c>
      <c r="P1297" t="s">
        <v>343</v>
      </c>
      <c r="Q1297">
        <v>-0.52</v>
      </c>
      <c r="R1297" t="s">
        <v>343</v>
      </c>
      <c r="S1297">
        <v>1</v>
      </c>
    </row>
    <row r="1298" spans="1:19" x14ac:dyDescent="0.25">
      <c r="A1298" t="s">
        <v>36</v>
      </c>
      <c r="B1298" t="s">
        <v>62</v>
      </c>
      <c r="C1298">
        <v>120</v>
      </c>
      <c r="D1298" t="s">
        <v>342</v>
      </c>
      <c r="E1298">
        <v>24.15</v>
      </c>
      <c r="F1298">
        <v>20</v>
      </c>
      <c r="G1298">
        <v>16.98</v>
      </c>
      <c r="H1298">
        <v>36.979999999999997</v>
      </c>
      <c r="I1298" t="s">
        <v>344</v>
      </c>
      <c r="J1298">
        <v>137.37</v>
      </c>
      <c r="K1298">
        <v>-0.14000000000000001</v>
      </c>
      <c r="L1298" t="s">
        <v>346</v>
      </c>
      <c r="M1298" s="1">
        <v>1.4E-3</v>
      </c>
      <c r="N1298" t="s">
        <v>349</v>
      </c>
      <c r="O1298">
        <v>0.48</v>
      </c>
      <c r="P1298" t="s">
        <v>343</v>
      </c>
      <c r="Q1298">
        <v>0.83</v>
      </c>
      <c r="R1298" t="s">
        <v>343</v>
      </c>
      <c r="S1298">
        <v>1</v>
      </c>
    </row>
    <row r="1299" spans="1:19" x14ac:dyDescent="0.25">
      <c r="A1299" t="s">
        <v>36</v>
      </c>
      <c r="B1299" t="s">
        <v>63</v>
      </c>
      <c r="C1299">
        <v>140</v>
      </c>
      <c r="D1299" t="s">
        <v>342</v>
      </c>
      <c r="E1299">
        <v>24.15</v>
      </c>
      <c r="F1299">
        <v>20</v>
      </c>
      <c r="G1299">
        <v>17.11</v>
      </c>
      <c r="H1299">
        <v>37.11</v>
      </c>
      <c r="I1299" t="s">
        <v>344</v>
      </c>
      <c r="J1299">
        <v>137.09</v>
      </c>
      <c r="K1299">
        <v>-1.38</v>
      </c>
      <c r="L1299" t="s">
        <v>346</v>
      </c>
      <c r="M1299" s="1">
        <v>1.38E-2</v>
      </c>
      <c r="N1299" t="s">
        <v>349</v>
      </c>
      <c r="O1299">
        <v>-0.82</v>
      </c>
      <c r="P1299" t="s">
        <v>343</v>
      </c>
      <c r="Q1299">
        <v>-0.81</v>
      </c>
      <c r="R1299" t="s">
        <v>343</v>
      </c>
      <c r="S1299">
        <v>1</v>
      </c>
    </row>
    <row r="1300" spans="1:19" x14ac:dyDescent="0.25">
      <c r="A1300" t="s">
        <v>36</v>
      </c>
      <c r="B1300" t="s">
        <v>64</v>
      </c>
      <c r="C1300">
        <v>160</v>
      </c>
      <c r="D1300" t="s">
        <v>342</v>
      </c>
      <c r="E1300">
        <v>24.15</v>
      </c>
      <c r="F1300">
        <v>20</v>
      </c>
      <c r="G1300">
        <v>20</v>
      </c>
      <c r="H1300">
        <v>40</v>
      </c>
      <c r="I1300" t="s">
        <v>344</v>
      </c>
      <c r="J1300">
        <v>137.44999999999999</v>
      </c>
      <c r="K1300">
        <v>1.79</v>
      </c>
      <c r="L1300" t="s">
        <v>346</v>
      </c>
      <c r="M1300" s="1">
        <v>1.7899999999999999E-2</v>
      </c>
      <c r="N1300" t="s">
        <v>349</v>
      </c>
      <c r="O1300">
        <v>-0.46</v>
      </c>
      <c r="P1300" t="s">
        <v>343</v>
      </c>
      <c r="Q1300">
        <v>0.33</v>
      </c>
      <c r="R1300" t="s">
        <v>343</v>
      </c>
      <c r="S1300">
        <v>1</v>
      </c>
    </row>
    <row r="1301" spans="1:19" x14ac:dyDescent="0.25">
      <c r="A1301" t="s">
        <v>36</v>
      </c>
      <c r="B1301" t="s">
        <v>65</v>
      </c>
      <c r="C1301">
        <v>180</v>
      </c>
      <c r="D1301" t="s">
        <v>342</v>
      </c>
      <c r="E1301">
        <v>24.15</v>
      </c>
      <c r="F1301">
        <v>18.260000000000002</v>
      </c>
      <c r="G1301">
        <v>20</v>
      </c>
      <c r="H1301">
        <v>38.26</v>
      </c>
      <c r="I1301" t="s">
        <v>344</v>
      </c>
      <c r="J1301">
        <v>139.08000000000001</v>
      </c>
      <c r="K1301">
        <v>8.1300000000000008</v>
      </c>
      <c r="L1301" t="s">
        <v>347</v>
      </c>
      <c r="M1301" s="1">
        <v>8.1300000000000011E-2</v>
      </c>
      <c r="N1301" t="s">
        <v>350</v>
      </c>
      <c r="O1301">
        <v>-1.1399999999999999</v>
      </c>
      <c r="P1301" t="s">
        <v>343</v>
      </c>
      <c r="Q1301">
        <v>-0.75</v>
      </c>
      <c r="R1301" t="s">
        <v>343</v>
      </c>
      <c r="S1301">
        <v>1</v>
      </c>
    </row>
    <row r="1302" spans="1:19" x14ac:dyDescent="0.25">
      <c r="A1302" t="s">
        <v>36</v>
      </c>
      <c r="B1302" t="s">
        <v>66</v>
      </c>
      <c r="C1302">
        <v>200</v>
      </c>
      <c r="D1302" t="s">
        <v>342</v>
      </c>
      <c r="E1302">
        <v>24.15</v>
      </c>
      <c r="F1302">
        <v>17.73</v>
      </c>
      <c r="G1302">
        <v>20</v>
      </c>
      <c r="H1302">
        <v>37.729999999999997</v>
      </c>
      <c r="I1302" t="s">
        <v>344</v>
      </c>
      <c r="J1302">
        <v>137.94</v>
      </c>
      <c r="K1302">
        <v>-5.68</v>
      </c>
      <c r="L1302" t="s">
        <v>346</v>
      </c>
      <c r="M1302" s="1">
        <v>5.6800000000000003E-2</v>
      </c>
      <c r="N1302" t="s">
        <v>350</v>
      </c>
      <c r="O1302">
        <v>0.33</v>
      </c>
      <c r="P1302" t="s">
        <v>343</v>
      </c>
      <c r="Q1302">
        <v>0.9</v>
      </c>
      <c r="R1302" t="s">
        <v>343</v>
      </c>
      <c r="S1302">
        <v>1</v>
      </c>
    </row>
    <row r="1303" spans="1:19" x14ac:dyDescent="0.25">
      <c r="A1303" t="s">
        <v>36</v>
      </c>
      <c r="B1303" t="s">
        <v>67</v>
      </c>
      <c r="C1303">
        <v>220</v>
      </c>
      <c r="D1303" t="s">
        <v>342</v>
      </c>
      <c r="E1303">
        <v>24.15</v>
      </c>
      <c r="F1303">
        <v>13.54</v>
      </c>
      <c r="G1303">
        <v>20</v>
      </c>
      <c r="H1303">
        <v>33.54</v>
      </c>
      <c r="I1303" t="s">
        <v>344</v>
      </c>
      <c r="J1303">
        <v>137.51</v>
      </c>
      <c r="K1303">
        <v>-2.15</v>
      </c>
      <c r="L1303" t="s">
        <v>346</v>
      </c>
      <c r="M1303" s="1">
        <v>2.1499999999999998E-2</v>
      </c>
      <c r="N1303" t="s">
        <v>350</v>
      </c>
      <c r="O1303">
        <v>1.07</v>
      </c>
      <c r="P1303" t="s">
        <v>343</v>
      </c>
      <c r="Q1303">
        <v>-2.17</v>
      </c>
      <c r="R1303" t="s">
        <v>344</v>
      </c>
      <c r="S1303">
        <v>1</v>
      </c>
    </row>
    <row r="1304" spans="1:19" x14ac:dyDescent="0.25">
      <c r="A1304" t="s">
        <v>36</v>
      </c>
      <c r="B1304" t="s">
        <v>68</v>
      </c>
      <c r="C1304">
        <v>240</v>
      </c>
      <c r="D1304" t="s">
        <v>342</v>
      </c>
      <c r="E1304">
        <v>24.15</v>
      </c>
      <c r="F1304">
        <v>13.29</v>
      </c>
      <c r="G1304">
        <v>20</v>
      </c>
      <c r="H1304">
        <v>33.29</v>
      </c>
      <c r="I1304" t="s">
        <v>344</v>
      </c>
      <c r="J1304">
        <v>137.22999999999999</v>
      </c>
      <c r="K1304">
        <v>-1.42</v>
      </c>
      <c r="L1304" t="s">
        <v>346</v>
      </c>
      <c r="M1304" s="1">
        <v>1.4200000000000001E-2</v>
      </c>
      <c r="N1304" t="s">
        <v>349</v>
      </c>
      <c r="O1304">
        <v>0.5</v>
      </c>
      <c r="P1304" t="s">
        <v>343</v>
      </c>
      <c r="Q1304">
        <v>-3.1</v>
      </c>
      <c r="R1304" t="s">
        <v>344</v>
      </c>
      <c r="S1304">
        <v>1</v>
      </c>
    </row>
    <row r="1305" spans="1:19" x14ac:dyDescent="0.25">
      <c r="A1305" t="s">
        <v>36</v>
      </c>
      <c r="B1305" t="s">
        <v>69</v>
      </c>
      <c r="C1305">
        <v>260</v>
      </c>
      <c r="D1305" t="s">
        <v>342</v>
      </c>
      <c r="E1305">
        <v>24.15</v>
      </c>
      <c r="F1305">
        <v>13.65</v>
      </c>
      <c r="G1305">
        <v>20</v>
      </c>
      <c r="H1305">
        <v>33.65</v>
      </c>
      <c r="I1305" t="s">
        <v>344</v>
      </c>
      <c r="J1305">
        <v>137</v>
      </c>
      <c r="K1305">
        <v>-1.1399999999999999</v>
      </c>
      <c r="L1305" t="s">
        <v>346</v>
      </c>
      <c r="M1305" s="1">
        <v>1.14E-2</v>
      </c>
      <c r="N1305" t="s">
        <v>349</v>
      </c>
      <c r="O1305">
        <v>0.28000000000000003</v>
      </c>
      <c r="P1305" t="s">
        <v>343</v>
      </c>
      <c r="Q1305">
        <v>-3.87</v>
      </c>
      <c r="R1305" t="s">
        <v>344</v>
      </c>
      <c r="S1305">
        <v>1</v>
      </c>
    </row>
    <row r="1306" spans="1:19" x14ac:dyDescent="0.25">
      <c r="A1306" t="s">
        <v>36</v>
      </c>
      <c r="B1306" t="s">
        <v>70</v>
      </c>
      <c r="C1306">
        <v>280</v>
      </c>
      <c r="D1306" t="s">
        <v>342</v>
      </c>
      <c r="E1306">
        <v>24.15</v>
      </c>
      <c r="F1306">
        <v>14.69</v>
      </c>
      <c r="G1306">
        <v>20</v>
      </c>
      <c r="H1306">
        <v>34.69</v>
      </c>
      <c r="I1306" t="s">
        <v>344</v>
      </c>
      <c r="J1306">
        <v>137.68</v>
      </c>
      <c r="K1306">
        <v>3.42</v>
      </c>
      <c r="L1306" t="s">
        <v>346</v>
      </c>
      <c r="M1306" s="1">
        <v>3.4200000000000001E-2</v>
      </c>
      <c r="N1306" t="s">
        <v>350</v>
      </c>
      <c r="O1306">
        <v>1.57</v>
      </c>
      <c r="P1306" t="s">
        <v>343</v>
      </c>
      <c r="Q1306">
        <v>-1.84</v>
      </c>
      <c r="R1306" t="s">
        <v>343</v>
      </c>
      <c r="S1306">
        <v>1</v>
      </c>
    </row>
    <row r="1307" spans="1:19" x14ac:dyDescent="0.25">
      <c r="A1307" t="s">
        <v>36</v>
      </c>
      <c r="B1307" t="s">
        <v>236</v>
      </c>
      <c r="C1307">
        <v>286.73</v>
      </c>
      <c r="D1307" t="s">
        <v>342</v>
      </c>
      <c r="E1307">
        <v>24.15</v>
      </c>
      <c r="F1307">
        <v>15.56</v>
      </c>
      <c r="G1307">
        <v>20</v>
      </c>
      <c r="H1307">
        <v>35.56</v>
      </c>
      <c r="I1307" t="s">
        <v>344</v>
      </c>
      <c r="J1307">
        <v>136.99</v>
      </c>
      <c r="K1307">
        <v>-10.35</v>
      </c>
      <c r="L1307" t="s">
        <v>348</v>
      </c>
      <c r="M1307" s="1">
        <v>0.10349999999999999</v>
      </c>
      <c r="N1307" t="s">
        <v>350</v>
      </c>
      <c r="O1307">
        <v>1.74</v>
      </c>
      <c r="P1307" t="s">
        <v>343</v>
      </c>
      <c r="Q1307">
        <v>-9.6199999999999992</v>
      </c>
      <c r="R1307" t="s">
        <v>343</v>
      </c>
      <c r="S1307">
        <v>0</v>
      </c>
    </row>
    <row r="1308" spans="1:19" x14ac:dyDescent="0.25">
      <c r="A1308" t="s">
        <v>37</v>
      </c>
      <c r="B1308" t="s">
        <v>56</v>
      </c>
      <c r="C1308">
        <v>0</v>
      </c>
      <c r="D1308" t="s">
        <v>342</v>
      </c>
      <c r="E1308">
        <v>24.15</v>
      </c>
      <c r="F1308">
        <v>14.69</v>
      </c>
      <c r="G1308">
        <v>14.88</v>
      </c>
      <c r="H1308">
        <v>29.57</v>
      </c>
      <c r="I1308" t="s">
        <v>344</v>
      </c>
      <c r="J1308">
        <v>157.44</v>
      </c>
      <c r="L1308" t="s">
        <v>345</v>
      </c>
      <c r="N1308" t="s">
        <v>345</v>
      </c>
      <c r="O1308">
        <v>2.76</v>
      </c>
      <c r="P1308" t="s">
        <v>344</v>
      </c>
      <c r="Q1308">
        <v>-1.71</v>
      </c>
      <c r="R1308" t="s">
        <v>343</v>
      </c>
      <c r="S1308">
        <v>1</v>
      </c>
    </row>
    <row r="1309" spans="1:19" x14ac:dyDescent="0.25">
      <c r="A1309" t="s">
        <v>37</v>
      </c>
      <c r="B1309" t="s">
        <v>57</v>
      </c>
      <c r="C1309">
        <v>20</v>
      </c>
      <c r="D1309" t="s">
        <v>342</v>
      </c>
      <c r="E1309">
        <v>24.15</v>
      </c>
      <c r="F1309">
        <v>14.67</v>
      </c>
      <c r="G1309">
        <v>14.88</v>
      </c>
      <c r="H1309">
        <v>29.55</v>
      </c>
      <c r="I1309" t="s">
        <v>344</v>
      </c>
      <c r="J1309">
        <v>156.49</v>
      </c>
      <c r="K1309">
        <v>-4.74</v>
      </c>
      <c r="L1309" t="s">
        <v>346</v>
      </c>
      <c r="M1309" s="1">
        <v>4.7399999999999998E-2</v>
      </c>
      <c r="N1309" t="s">
        <v>350</v>
      </c>
      <c r="O1309">
        <v>0.03</v>
      </c>
      <c r="P1309" t="s">
        <v>343</v>
      </c>
      <c r="Q1309">
        <v>2.06</v>
      </c>
      <c r="R1309" t="s">
        <v>344</v>
      </c>
      <c r="S1309">
        <v>1</v>
      </c>
    </row>
    <row r="1310" spans="1:19" x14ac:dyDescent="0.25">
      <c r="A1310" t="s">
        <v>37</v>
      </c>
      <c r="B1310" t="s">
        <v>58</v>
      </c>
      <c r="C1310">
        <v>40</v>
      </c>
      <c r="D1310" t="s">
        <v>342</v>
      </c>
      <c r="E1310">
        <v>24.15</v>
      </c>
      <c r="F1310">
        <v>11.63</v>
      </c>
      <c r="G1310">
        <v>13.42</v>
      </c>
      <c r="H1310">
        <v>25.05</v>
      </c>
      <c r="I1310" t="s">
        <v>344</v>
      </c>
      <c r="J1310">
        <v>153.80000000000001</v>
      </c>
      <c r="K1310">
        <v>-13.42</v>
      </c>
      <c r="L1310" t="s">
        <v>348</v>
      </c>
      <c r="M1310" s="1">
        <v>0.13420000000000001</v>
      </c>
      <c r="N1310" t="s">
        <v>350</v>
      </c>
      <c r="O1310">
        <v>2.65</v>
      </c>
      <c r="P1310" t="s">
        <v>344</v>
      </c>
      <c r="Q1310">
        <v>-0.15</v>
      </c>
      <c r="R1310" t="s">
        <v>343</v>
      </c>
      <c r="S1310">
        <v>1</v>
      </c>
    </row>
    <row r="1311" spans="1:19" x14ac:dyDescent="0.25">
      <c r="A1311" t="s">
        <v>37</v>
      </c>
      <c r="B1311" t="s">
        <v>59</v>
      </c>
      <c r="C1311">
        <v>60</v>
      </c>
      <c r="D1311" t="s">
        <v>342</v>
      </c>
      <c r="E1311">
        <v>24.15</v>
      </c>
      <c r="F1311">
        <v>12.36</v>
      </c>
      <c r="G1311">
        <v>13.42</v>
      </c>
      <c r="H1311">
        <v>25.78</v>
      </c>
      <c r="I1311" t="s">
        <v>344</v>
      </c>
      <c r="J1311">
        <v>152.47999999999999</v>
      </c>
      <c r="K1311">
        <v>-6.62</v>
      </c>
      <c r="L1311" t="s">
        <v>346</v>
      </c>
      <c r="M1311" s="1">
        <v>6.6199999999999995E-2</v>
      </c>
      <c r="N1311" t="s">
        <v>350</v>
      </c>
      <c r="O1311">
        <v>4.21</v>
      </c>
      <c r="P1311" t="s">
        <v>343</v>
      </c>
      <c r="Q1311">
        <v>-0.74</v>
      </c>
      <c r="R1311" t="s">
        <v>343</v>
      </c>
      <c r="S1311">
        <v>1</v>
      </c>
    </row>
    <row r="1312" spans="1:19" x14ac:dyDescent="0.25">
      <c r="A1312" t="s">
        <v>37</v>
      </c>
      <c r="B1312" t="s">
        <v>60</v>
      </c>
      <c r="C1312">
        <v>80</v>
      </c>
      <c r="D1312" t="s">
        <v>342</v>
      </c>
      <c r="E1312">
        <v>24.15</v>
      </c>
      <c r="F1312">
        <v>12.91</v>
      </c>
      <c r="G1312">
        <v>12.7</v>
      </c>
      <c r="H1312">
        <v>25.61</v>
      </c>
      <c r="I1312" t="s">
        <v>344</v>
      </c>
      <c r="J1312">
        <v>151.04</v>
      </c>
      <c r="K1312">
        <v>-7.22</v>
      </c>
      <c r="L1312" t="s">
        <v>346</v>
      </c>
      <c r="M1312" s="1">
        <v>7.22E-2</v>
      </c>
      <c r="N1312" t="s">
        <v>350</v>
      </c>
      <c r="O1312">
        <v>4.1399999999999997</v>
      </c>
      <c r="P1312" t="s">
        <v>343</v>
      </c>
      <c r="Q1312">
        <v>3.09</v>
      </c>
      <c r="R1312" t="s">
        <v>344</v>
      </c>
      <c r="S1312">
        <v>1</v>
      </c>
    </row>
    <row r="1313" spans="1:19" x14ac:dyDescent="0.25">
      <c r="A1313" t="s">
        <v>37</v>
      </c>
      <c r="B1313" t="s">
        <v>61</v>
      </c>
      <c r="C1313">
        <v>100</v>
      </c>
      <c r="D1313" t="s">
        <v>342</v>
      </c>
      <c r="E1313">
        <v>24.15</v>
      </c>
      <c r="F1313">
        <v>13.4</v>
      </c>
      <c r="G1313">
        <v>14.88</v>
      </c>
      <c r="H1313">
        <v>28.28</v>
      </c>
      <c r="I1313" t="s">
        <v>344</v>
      </c>
      <c r="J1313">
        <v>149.49</v>
      </c>
      <c r="K1313">
        <v>-7.75</v>
      </c>
      <c r="L1313" t="s">
        <v>346</v>
      </c>
      <c r="M1313" s="1">
        <v>7.7499999999999999E-2</v>
      </c>
      <c r="N1313" t="s">
        <v>350</v>
      </c>
      <c r="O1313">
        <v>2.71</v>
      </c>
      <c r="P1313" t="s">
        <v>344</v>
      </c>
      <c r="Q1313">
        <v>2.2999999999999998</v>
      </c>
      <c r="R1313" t="s">
        <v>344</v>
      </c>
      <c r="S1313">
        <v>1</v>
      </c>
    </row>
    <row r="1314" spans="1:19" x14ac:dyDescent="0.25">
      <c r="A1314" t="s">
        <v>37</v>
      </c>
      <c r="B1314" t="s">
        <v>62</v>
      </c>
      <c r="C1314">
        <v>120</v>
      </c>
      <c r="D1314" t="s">
        <v>342</v>
      </c>
      <c r="E1314">
        <v>24.15</v>
      </c>
      <c r="F1314">
        <v>14.38</v>
      </c>
      <c r="G1314">
        <v>16.649999999999999</v>
      </c>
      <c r="H1314">
        <v>31.03</v>
      </c>
      <c r="I1314" t="s">
        <v>344</v>
      </c>
      <c r="J1314">
        <v>147.94999999999999</v>
      </c>
      <c r="K1314">
        <v>-7.7</v>
      </c>
      <c r="L1314" t="s">
        <v>346</v>
      </c>
      <c r="M1314" s="1">
        <v>7.6999999999999999E-2</v>
      </c>
      <c r="N1314" t="s">
        <v>350</v>
      </c>
      <c r="O1314">
        <v>2.7</v>
      </c>
      <c r="P1314" t="s">
        <v>344</v>
      </c>
      <c r="Q1314">
        <v>0.64</v>
      </c>
      <c r="R1314" t="s">
        <v>343</v>
      </c>
      <c r="S1314">
        <v>1</v>
      </c>
    </row>
    <row r="1315" spans="1:19" x14ac:dyDescent="0.25">
      <c r="A1315" t="s">
        <v>37</v>
      </c>
      <c r="B1315" t="s">
        <v>63</v>
      </c>
      <c r="C1315">
        <v>140</v>
      </c>
      <c r="D1315" t="s">
        <v>342</v>
      </c>
      <c r="E1315">
        <v>24.15</v>
      </c>
      <c r="F1315">
        <v>13.47</v>
      </c>
      <c r="G1315">
        <v>15.97</v>
      </c>
      <c r="H1315">
        <v>29.45</v>
      </c>
      <c r="I1315" t="s">
        <v>344</v>
      </c>
      <c r="J1315">
        <v>146.58000000000001</v>
      </c>
      <c r="K1315">
        <v>-6.85</v>
      </c>
      <c r="L1315" t="s">
        <v>346</v>
      </c>
      <c r="M1315" s="1">
        <v>6.8499999999999991E-2</v>
      </c>
      <c r="N1315" t="s">
        <v>350</v>
      </c>
      <c r="O1315">
        <v>3.76</v>
      </c>
      <c r="P1315" t="s">
        <v>344</v>
      </c>
      <c r="Q1315">
        <v>-0.91</v>
      </c>
      <c r="R1315" t="s">
        <v>343</v>
      </c>
      <c r="S1315">
        <v>1</v>
      </c>
    </row>
    <row r="1316" spans="1:19" x14ac:dyDescent="0.25">
      <c r="A1316" t="s">
        <v>37</v>
      </c>
      <c r="B1316" t="s">
        <v>64</v>
      </c>
      <c r="C1316">
        <v>160</v>
      </c>
      <c r="D1316" t="s">
        <v>342</v>
      </c>
      <c r="E1316">
        <v>24.15</v>
      </c>
      <c r="F1316">
        <v>13.26</v>
      </c>
      <c r="G1316">
        <v>15.97</v>
      </c>
      <c r="H1316">
        <v>29.24</v>
      </c>
      <c r="I1316" t="s">
        <v>344</v>
      </c>
      <c r="J1316">
        <v>145.4</v>
      </c>
      <c r="K1316">
        <v>-5.89</v>
      </c>
      <c r="L1316" t="s">
        <v>346</v>
      </c>
      <c r="M1316" s="1">
        <v>5.8899999999999987E-2</v>
      </c>
      <c r="N1316" t="s">
        <v>350</v>
      </c>
      <c r="O1316">
        <v>3.14</v>
      </c>
      <c r="P1316" t="s">
        <v>344</v>
      </c>
      <c r="Q1316">
        <v>0.72</v>
      </c>
      <c r="R1316" t="s">
        <v>343</v>
      </c>
      <c r="S1316">
        <v>1</v>
      </c>
    </row>
    <row r="1317" spans="1:19" x14ac:dyDescent="0.25">
      <c r="A1317" t="s">
        <v>37</v>
      </c>
      <c r="B1317" t="s">
        <v>65</v>
      </c>
      <c r="C1317">
        <v>180</v>
      </c>
      <c r="D1317" t="s">
        <v>342</v>
      </c>
      <c r="E1317">
        <v>24.15</v>
      </c>
      <c r="F1317">
        <v>12.83</v>
      </c>
      <c r="G1317">
        <v>14.51</v>
      </c>
      <c r="H1317">
        <v>27.34</v>
      </c>
      <c r="I1317" t="s">
        <v>344</v>
      </c>
      <c r="J1317">
        <v>144.21</v>
      </c>
      <c r="K1317">
        <v>-5.93</v>
      </c>
      <c r="L1317" t="s">
        <v>346</v>
      </c>
      <c r="M1317" s="1">
        <v>5.9299999999999999E-2</v>
      </c>
      <c r="N1317" t="s">
        <v>350</v>
      </c>
      <c r="O1317">
        <v>2.3199999999999998</v>
      </c>
      <c r="P1317" t="s">
        <v>344</v>
      </c>
      <c r="Q1317">
        <v>1.6</v>
      </c>
      <c r="R1317" t="s">
        <v>343</v>
      </c>
      <c r="S1317">
        <v>1</v>
      </c>
    </row>
    <row r="1318" spans="1:19" x14ac:dyDescent="0.25">
      <c r="A1318" t="s">
        <v>37</v>
      </c>
      <c r="B1318" t="s">
        <v>66</v>
      </c>
      <c r="C1318">
        <v>200</v>
      </c>
      <c r="D1318" t="s">
        <v>342</v>
      </c>
      <c r="E1318">
        <v>24.15</v>
      </c>
      <c r="F1318">
        <v>13.27</v>
      </c>
      <c r="G1318">
        <v>14.6</v>
      </c>
      <c r="H1318">
        <v>27.87</v>
      </c>
      <c r="I1318" t="s">
        <v>344</v>
      </c>
      <c r="J1318">
        <v>143.22999999999999</v>
      </c>
      <c r="K1318">
        <v>-4.93</v>
      </c>
      <c r="L1318" t="s">
        <v>346</v>
      </c>
      <c r="M1318" s="1">
        <v>4.9299999999999997E-2</v>
      </c>
      <c r="N1318" t="s">
        <v>350</v>
      </c>
      <c r="O1318">
        <v>3.22</v>
      </c>
      <c r="P1318" t="s">
        <v>344</v>
      </c>
      <c r="Q1318">
        <v>2.83</v>
      </c>
      <c r="R1318" t="s">
        <v>344</v>
      </c>
      <c r="S1318">
        <v>1</v>
      </c>
    </row>
    <row r="1319" spans="1:19" x14ac:dyDescent="0.25">
      <c r="A1319" t="s">
        <v>37</v>
      </c>
      <c r="B1319" t="s">
        <v>67</v>
      </c>
      <c r="C1319">
        <v>220</v>
      </c>
      <c r="D1319" t="s">
        <v>342</v>
      </c>
      <c r="E1319">
        <v>24.15</v>
      </c>
      <c r="F1319">
        <v>13.95</v>
      </c>
      <c r="G1319">
        <v>14.9</v>
      </c>
      <c r="H1319">
        <v>28.85</v>
      </c>
      <c r="I1319" t="s">
        <v>344</v>
      </c>
      <c r="J1319">
        <v>142.24</v>
      </c>
      <c r="K1319">
        <v>-4.91</v>
      </c>
      <c r="L1319" t="s">
        <v>346</v>
      </c>
      <c r="M1319" s="1">
        <v>4.9099999999999998E-2</v>
      </c>
      <c r="N1319" t="s">
        <v>350</v>
      </c>
      <c r="O1319">
        <v>0.96</v>
      </c>
      <c r="P1319" t="s">
        <v>343</v>
      </c>
      <c r="Q1319">
        <v>3.26</v>
      </c>
      <c r="R1319" t="s">
        <v>344</v>
      </c>
      <c r="S1319">
        <v>1</v>
      </c>
    </row>
    <row r="1320" spans="1:19" x14ac:dyDescent="0.25">
      <c r="A1320" t="s">
        <v>37</v>
      </c>
      <c r="B1320" t="s">
        <v>68</v>
      </c>
      <c r="C1320">
        <v>240</v>
      </c>
      <c r="D1320" t="s">
        <v>342</v>
      </c>
      <c r="E1320">
        <v>24.15</v>
      </c>
      <c r="F1320">
        <v>12.73</v>
      </c>
      <c r="G1320">
        <v>15.07</v>
      </c>
      <c r="H1320">
        <v>27.8</v>
      </c>
      <c r="I1320" t="s">
        <v>344</v>
      </c>
      <c r="J1320">
        <v>141.63</v>
      </c>
      <c r="K1320">
        <v>-3.06</v>
      </c>
      <c r="L1320" t="s">
        <v>346</v>
      </c>
      <c r="M1320" s="1">
        <v>3.0599999999999999E-2</v>
      </c>
      <c r="N1320" t="s">
        <v>350</v>
      </c>
      <c r="O1320">
        <v>-0.19</v>
      </c>
      <c r="P1320" t="s">
        <v>343</v>
      </c>
      <c r="Q1320">
        <v>3.2</v>
      </c>
      <c r="R1320" t="s">
        <v>344</v>
      </c>
      <c r="S1320">
        <v>1</v>
      </c>
    </row>
    <row r="1321" spans="1:19" x14ac:dyDescent="0.25">
      <c r="A1321" t="s">
        <v>37</v>
      </c>
      <c r="B1321" t="s">
        <v>69</v>
      </c>
      <c r="C1321">
        <v>260</v>
      </c>
      <c r="D1321" t="s">
        <v>342</v>
      </c>
      <c r="E1321">
        <v>24.15</v>
      </c>
      <c r="F1321">
        <v>11.06</v>
      </c>
      <c r="G1321">
        <v>15.55</v>
      </c>
      <c r="H1321">
        <v>26.61</v>
      </c>
      <c r="I1321" t="s">
        <v>344</v>
      </c>
      <c r="J1321">
        <v>141.22999999999999</v>
      </c>
      <c r="K1321">
        <v>-1.99</v>
      </c>
      <c r="L1321" t="s">
        <v>346</v>
      </c>
      <c r="M1321" s="1">
        <v>1.9900000000000001E-2</v>
      </c>
      <c r="N1321" t="s">
        <v>349</v>
      </c>
      <c r="O1321">
        <v>4.8600000000000003</v>
      </c>
      <c r="P1321" t="s">
        <v>343</v>
      </c>
      <c r="Q1321">
        <v>2.66</v>
      </c>
      <c r="R1321" t="s">
        <v>344</v>
      </c>
      <c r="S1321">
        <v>1</v>
      </c>
    </row>
    <row r="1322" spans="1:19" x14ac:dyDescent="0.25">
      <c r="A1322" t="s">
        <v>37</v>
      </c>
      <c r="B1322" t="s">
        <v>70</v>
      </c>
      <c r="C1322">
        <v>280</v>
      </c>
      <c r="D1322" t="s">
        <v>342</v>
      </c>
      <c r="E1322">
        <v>24.15</v>
      </c>
      <c r="F1322">
        <v>11.67</v>
      </c>
      <c r="G1322">
        <v>15.95</v>
      </c>
      <c r="H1322">
        <v>27.62</v>
      </c>
      <c r="I1322" t="s">
        <v>344</v>
      </c>
      <c r="J1322">
        <v>140.38999999999999</v>
      </c>
      <c r="K1322">
        <v>-4.22</v>
      </c>
      <c r="L1322" t="s">
        <v>346</v>
      </c>
      <c r="M1322" s="1">
        <v>4.2199999999999988E-2</v>
      </c>
      <c r="N1322" t="s">
        <v>350</v>
      </c>
      <c r="O1322">
        <v>4.7</v>
      </c>
      <c r="P1322" t="s">
        <v>343</v>
      </c>
      <c r="Q1322">
        <v>1.33</v>
      </c>
      <c r="R1322" t="s">
        <v>343</v>
      </c>
      <c r="S1322">
        <v>1</v>
      </c>
    </row>
    <row r="1323" spans="1:19" x14ac:dyDescent="0.25">
      <c r="A1323" t="s">
        <v>37</v>
      </c>
      <c r="B1323" t="s">
        <v>71</v>
      </c>
      <c r="C1323">
        <v>300</v>
      </c>
      <c r="D1323" t="s">
        <v>342</v>
      </c>
      <c r="E1323">
        <v>24.15</v>
      </c>
      <c r="F1323">
        <v>11.61</v>
      </c>
      <c r="G1323">
        <v>14.94</v>
      </c>
      <c r="H1323">
        <v>26.55</v>
      </c>
      <c r="I1323" t="s">
        <v>344</v>
      </c>
      <c r="J1323">
        <v>139.56</v>
      </c>
      <c r="K1323">
        <v>-4.16</v>
      </c>
      <c r="L1323" t="s">
        <v>346</v>
      </c>
      <c r="M1323" s="1">
        <v>4.1599999999999998E-2</v>
      </c>
      <c r="N1323" t="s">
        <v>350</v>
      </c>
      <c r="O1323">
        <v>5.6</v>
      </c>
      <c r="P1323" t="s">
        <v>343</v>
      </c>
      <c r="Q1323">
        <v>0.82</v>
      </c>
      <c r="R1323" t="s">
        <v>343</v>
      </c>
      <c r="S1323">
        <v>1</v>
      </c>
    </row>
    <row r="1324" spans="1:19" x14ac:dyDescent="0.25">
      <c r="A1324" t="s">
        <v>37</v>
      </c>
      <c r="B1324" t="s">
        <v>72</v>
      </c>
      <c r="C1324">
        <v>320</v>
      </c>
      <c r="D1324" t="s">
        <v>342</v>
      </c>
      <c r="E1324">
        <v>24.15</v>
      </c>
      <c r="F1324">
        <v>11.24</v>
      </c>
      <c r="G1324">
        <v>13.98</v>
      </c>
      <c r="H1324">
        <v>25.22</v>
      </c>
      <c r="I1324" t="s">
        <v>344</v>
      </c>
      <c r="J1324">
        <v>138.80000000000001</v>
      </c>
      <c r="K1324">
        <v>-3.81</v>
      </c>
      <c r="L1324" t="s">
        <v>346</v>
      </c>
      <c r="M1324" s="1">
        <v>3.8100000000000002E-2</v>
      </c>
      <c r="N1324" t="s">
        <v>350</v>
      </c>
      <c r="O1324">
        <v>4.09</v>
      </c>
      <c r="P1324" t="s">
        <v>343</v>
      </c>
      <c r="Q1324">
        <v>1.77</v>
      </c>
      <c r="R1324" t="s">
        <v>343</v>
      </c>
      <c r="S1324">
        <v>1</v>
      </c>
    </row>
    <row r="1325" spans="1:19" x14ac:dyDescent="0.25">
      <c r="A1325" t="s">
        <v>37</v>
      </c>
      <c r="B1325" t="s">
        <v>73</v>
      </c>
      <c r="C1325">
        <v>340</v>
      </c>
      <c r="D1325" t="s">
        <v>342</v>
      </c>
      <c r="E1325">
        <v>24.15</v>
      </c>
      <c r="F1325">
        <v>10.81</v>
      </c>
      <c r="G1325">
        <v>13.98</v>
      </c>
      <c r="H1325">
        <v>24.78</v>
      </c>
      <c r="I1325" t="s">
        <v>344</v>
      </c>
      <c r="J1325">
        <v>138</v>
      </c>
      <c r="K1325">
        <v>-4</v>
      </c>
      <c r="L1325" t="s">
        <v>346</v>
      </c>
      <c r="M1325" s="1">
        <v>0.04</v>
      </c>
      <c r="N1325" t="s">
        <v>350</v>
      </c>
      <c r="O1325">
        <v>4.1900000000000004</v>
      </c>
      <c r="P1325" t="s">
        <v>343</v>
      </c>
      <c r="Q1325">
        <v>3.24</v>
      </c>
      <c r="R1325" t="s">
        <v>344</v>
      </c>
      <c r="S1325">
        <v>1</v>
      </c>
    </row>
    <row r="1326" spans="1:19" x14ac:dyDescent="0.25">
      <c r="A1326" t="s">
        <v>37</v>
      </c>
      <c r="B1326" t="s">
        <v>74</v>
      </c>
      <c r="C1326">
        <v>360</v>
      </c>
      <c r="D1326" t="s">
        <v>342</v>
      </c>
      <c r="E1326">
        <v>24.15</v>
      </c>
      <c r="F1326">
        <v>11.5</v>
      </c>
      <c r="G1326">
        <v>12.82</v>
      </c>
      <c r="H1326">
        <v>24.32</v>
      </c>
      <c r="I1326" t="s">
        <v>344</v>
      </c>
      <c r="J1326">
        <v>137.22999999999999</v>
      </c>
      <c r="K1326">
        <v>-3.83</v>
      </c>
      <c r="L1326" t="s">
        <v>346</v>
      </c>
      <c r="M1326" s="1">
        <v>3.8300000000000001E-2</v>
      </c>
      <c r="N1326" t="s">
        <v>350</v>
      </c>
      <c r="O1326">
        <v>4.6900000000000004</v>
      </c>
      <c r="P1326" t="s">
        <v>343</v>
      </c>
      <c r="Q1326">
        <v>2.88</v>
      </c>
      <c r="R1326" t="s">
        <v>344</v>
      </c>
      <c r="S1326">
        <v>1</v>
      </c>
    </row>
    <row r="1327" spans="1:19" x14ac:dyDescent="0.25">
      <c r="A1327" t="s">
        <v>37</v>
      </c>
      <c r="B1327" t="s">
        <v>75</v>
      </c>
      <c r="C1327">
        <v>380</v>
      </c>
      <c r="D1327" t="s">
        <v>342</v>
      </c>
      <c r="E1327">
        <v>24.15</v>
      </c>
      <c r="F1327">
        <v>10.73</v>
      </c>
      <c r="G1327">
        <v>12.75</v>
      </c>
      <c r="H1327">
        <v>23.48</v>
      </c>
      <c r="I1327" t="s">
        <v>343</v>
      </c>
      <c r="J1327">
        <v>136.47</v>
      </c>
      <c r="K1327">
        <v>-3.81</v>
      </c>
      <c r="L1327" t="s">
        <v>346</v>
      </c>
      <c r="M1327" s="1">
        <v>3.8100000000000002E-2</v>
      </c>
      <c r="N1327" t="s">
        <v>350</v>
      </c>
      <c r="O1327">
        <v>5.22</v>
      </c>
      <c r="P1327" t="s">
        <v>343</v>
      </c>
      <c r="Q1327">
        <v>1.44</v>
      </c>
      <c r="R1327" t="s">
        <v>343</v>
      </c>
      <c r="S1327">
        <v>1</v>
      </c>
    </row>
    <row r="1328" spans="1:19" x14ac:dyDescent="0.25">
      <c r="A1328" t="s">
        <v>37</v>
      </c>
      <c r="B1328" t="s">
        <v>76</v>
      </c>
      <c r="C1328">
        <v>400</v>
      </c>
      <c r="D1328" t="s">
        <v>342</v>
      </c>
      <c r="E1328">
        <v>24.15</v>
      </c>
      <c r="F1328">
        <v>10.79</v>
      </c>
      <c r="G1328">
        <v>12.82</v>
      </c>
      <c r="H1328">
        <v>23.6</v>
      </c>
      <c r="I1328" t="s">
        <v>343</v>
      </c>
      <c r="J1328">
        <v>135.86000000000001</v>
      </c>
      <c r="K1328">
        <v>-3.04</v>
      </c>
      <c r="L1328" t="s">
        <v>346</v>
      </c>
      <c r="M1328" s="1">
        <v>3.04E-2</v>
      </c>
      <c r="N1328" t="s">
        <v>350</v>
      </c>
      <c r="O1328">
        <v>5.38</v>
      </c>
      <c r="P1328" t="s">
        <v>343</v>
      </c>
      <c r="Q1328">
        <v>0</v>
      </c>
      <c r="R1328" t="s">
        <v>343</v>
      </c>
      <c r="S1328">
        <v>1</v>
      </c>
    </row>
    <row r="1329" spans="1:19" x14ac:dyDescent="0.25">
      <c r="A1329" t="s">
        <v>37</v>
      </c>
      <c r="B1329" t="s">
        <v>77</v>
      </c>
      <c r="C1329">
        <v>420</v>
      </c>
      <c r="D1329" t="s">
        <v>342</v>
      </c>
      <c r="E1329">
        <v>24.15</v>
      </c>
      <c r="F1329">
        <v>11.69</v>
      </c>
      <c r="G1329">
        <v>13.12</v>
      </c>
      <c r="H1329">
        <v>24.81</v>
      </c>
      <c r="I1329" t="s">
        <v>344</v>
      </c>
      <c r="J1329">
        <v>135.43</v>
      </c>
      <c r="K1329">
        <v>-2.14</v>
      </c>
      <c r="L1329" t="s">
        <v>346</v>
      </c>
      <c r="M1329" s="1">
        <v>2.1399999999999999E-2</v>
      </c>
      <c r="N1329" t="s">
        <v>350</v>
      </c>
      <c r="O1329">
        <v>5.9</v>
      </c>
      <c r="P1329" t="s">
        <v>343</v>
      </c>
      <c r="Q1329">
        <v>0.15</v>
      </c>
      <c r="R1329" t="s">
        <v>343</v>
      </c>
      <c r="S1329">
        <v>1</v>
      </c>
    </row>
    <row r="1330" spans="1:19" x14ac:dyDescent="0.25">
      <c r="A1330" t="s">
        <v>37</v>
      </c>
      <c r="B1330" t="s">
        <v>78</v>
      </c>
      <c r="C1330">
        <v>440</v>
      </c>
      <c r="D1330" t="s">
        <v>342</v>
      </c>
      <c r="E1330">
        <v>24.15</v>
      </c>
      <c r="F1330">
        <v>12.04</v>
      </c>
      <c r="G1330">
        <v>12.39</v>
      </c>
      <c r="H1330">
        <v>24.43</v>
      </c>
      <c r="I1330" t="s">
        <v>344</v>
      </c>
      <c r="J1330">
        <v>135.03</v>
      </c>
      <c r="K1330">
        <v>-2</v>
      </c>
      <c r="L1330" t="s">
        <v>346</v>
      </c>
      <c r="M1330" s="1">
        <v>0.02</v>
      </c>
      <c r="N1330" t="s">
        <v>349</v>
      </c>
      <c r="O1330">
        <v>3.76</v>
      </c>
      <c r="P1330" t="s">
        <v>344</v>
      </c>
      <c r="Q1330">
        <v>1.98</v>
      </c>
      <c r="R1330" t="s">
        <v>343</v>
      </c>
      <c r="S1330">
        <v>1</v>
      </c>
    </row>
    <row r="1331" spans="1:19" x14ac:dyDescent="0.25">
      <c r="A1331" t="s">
        <v>37</v>
      </c>
      <c r="B1331" t="s">
        <v>79</v>
      </c>
      <c r="C1331">
        <v>460</v>
      </c>
      <c r="D1331" t="s">
        <v>342</v>
      </c>
      <c r="E1331">
        <v>24.15</v>
      </c>
      <c r="F1331">
        <v>12.76</v>
      </c>
      <c r="G1331">
        <v>12.56</v>
      </c>
      <c r="H1331">
        <v>25.32</v>
      </c>
      <c r="I1331" t="s">
        <v>344</v>
      </c>
      <c r="J1331">
        <v>135.87</v>
      </c>
      <c r="K1331">
        <v>4.2</v>
      </c>
      <c r="L1331" t="s">
        <v>346</v>
      </c>
      <c r="M1331" s="1">
        <v>4.2000000000000003E-2</v>
      </c>
      <c r="N1331" t="s">
        <v>350</v>
      </c>
      <c r="O1331">
        <v>1.85</v>
      </c>
      <c r="P1331" t="s">
        <v>343</v>
      </c>
      <c r="Q1331">
        <v>1.4</v>
      </c>
      <c r="R1331" t="s">
        <v>343</v>
      </c>
      <c r="S1331">
        <v>1</v>
      </c>
    </row>
    <row r="1332" spans="1:19" x14ac:dyDescent="0.25">
      <c r="A1332" t="s">
        <v>37</v>
      </c>
      <c r="B1332" t="s">
        <v>80</v>
      </c>
      <c r="C1332">
        <v>480</v>
      </c>
      <c r="D1332" t="s">
        <v>342</v>
      </c>
      <c r="E1332">
        <v>24.15</v>
      </c>
      <c r="F1332">
        <v>12.77</v>
      </c>
      <c r="G1332">
        <v>11.15</v>
      </c>
      <c r="H1332">
        <v>23.92</v>
      </c>
      <c r="I1332" t="s">
        <v>343</v>
      </c>
      <c r="J1332">
        <v>133.85</v>
      </c>
      <c r="K1332">
        <v>-10.130000000000001</v>
      </c>
      <c r="L1332" t="s">
        <v>348</v>
      </c>
      <c r="M1332" s="1">
        <v>0.1013</v>
      </c>
      <c r="N1332" t="s">
        <v>350</v>
      </c>
      <c r="O1332">
        <v>2.4</v>
      </c>
      <c r="P1332" t="s">
        <v>344</v>
      </c>
      <c r="Q1332">
        <v>1.36</v>
      </c>
      <c r="R1332" t="s">
        <v>343</v>
      </c>
      <c r="S1332">
        <v>1</v>
      </c>
    </row>
    <row r="1333" spans="1:19" x14ac:dyDescent="0.25">
      <c r="A1333" t="s">
        <v>37</v>
      </c>
      <c r="B1333" t="s">
        <v>81</v>
      </c>
      <c r="C1333">
        <v>500</v>
      </c>
      <c r="D1333" t="s">
        <v>342</v>
      </c>
      <c r="E1333">
        <v>24.15</v>
      </c>
      <c r="F1333">
        <v>12.77</v>
      </c>
      <c r="G1333">
        <v>12.56</v>
      </c>
      <c r="H1333">
        <v>25.33</v>
      </c>
      <c r="I1333" t="s">
        <v>344</v>
      </c>
      <c r="J1333">
        <v>133.59</v>
      </c>
      <c r="K1333">
        <v>-1.3</v>
      </c>
      <c r="L1333" t="s">
        <v>346</v>
      </c>
      <c r="M1333" s="1">
        <v>1.2999999999999999E-2</v>
      </c>
      <c r="N1333" t="s">
        <v>349</v>
      </c>
      <c r="O1333">
        <v>3.41</v>
      </c>
      <c r="P1333" t="s">
        <v>344</v>
      </c>
      <c r="Q1333">
        <v>1.24</v>
      </c>
      <c r="R1333" t="s">
        <v>343</v>
      </c>
      <c r="S1333">
        <v>1</v>
      </c>
    </row>
    <row r="1334" spans="1:19" x14ac:dyDescent="0.25">
      <c r="A1334" t="s">
        <v>37</v>
      </c>
      <c r="B1334" t="s">
        <v>82</v>
      </c>
      <c r="C1334">
        <v>520</v>
      </c>
      <c r="D1334" t="s">
        <v>342</v>
      </c>
      <c r="E1334">
        <v>24.15</v>
      </c>
      <c r="F1334">
        <v>12.77</v>
      </c>
      <c r="G1334">
        <v>12.12</v>
      </c>
      <c r="H1334">
        <v>24.89</v>
      </c>
      <c r="I1334" t="s">
        <v>344</v>
      </c>
      <c r="J1334">
        <v>135.31</v>
      </c>
      <c r="K1334">
        <v>8.64</v>
      </c>
      <c r="L1334" t="s">
        <v>347</v>
      </c>
      <c r="M1334" s="1">
        <v>8.6400000000000005E-2</v>
      </c>
      <c r="N1334" t="s">
        <v>350</v>
      </c>
      <c r="O1334">
        <v>2.99</v>
      </c>
      <c r="P1334" t="s">
        <v>344</v>
      </c>
      <c r="Q1334">
        <v>0.37</v>
      </c>
      <c r="R1334" t="s">
        <v>343</v>
      </c>
      <c r="S1334">
        <v>1</v>
      </c>
    </row>
    <row r="1335" spans="1:19" x14ac:dyDescent="0.25">
      <c r="A1335" t="s">
        <v>37</v>
      </c>
      <c r="B1335" t="s">
        <v>83</v>
      </c>
      <c r="C1335">
        <v>540</v>
      </c>
      <c r="D1335" t="s">
        <v>342</v>
      </c>
      <c r="E1335">
        <v>24.15</v>
      </c>
      <c r="F1335">
        <v>11.68</v>
      </c>
      <c r="G1335">
        <v>12.89</v>
      </c>
      <c r="H1335">
        <v>24.57</v>
      </c>
      <c r="I1335" t="s">
        <v>344</v>
      </c>
      <c r="J1335">
        <v>134.1</v>
      </c>
      <c r="K1335">
        <v>-6.06</v>
      </c>
      <c r="L1335" t="s">
        <v>346</v>
      </c>
      <c r="M1335" s="1">
        <v>6.0599999999999987E-2</v>
      </c>
      <c r="N1335" t="s">
        <v>350</v>
      </c>
      <c r="O1335">
        <v>4.76</v>
      </c>
      <c r="P1335" t="s">
        <v>343</v>
      </c>
      <c r="Q1335">
        <v>-1.07</v>
      </c>
      <c r="R1335" t="s">
        <v>343</v>
      </c>
      <c r="S1335">
        <v>1</v>
      </c>
    </row>
    <row r="1336" spans="1:19" x14ac:dyDescent="0.25">
      <c r="A1336" t="s">
        <v>37</v>
      </c>
      <c r="B1336" t="s">
        <v>84</v>
      </c>
      <c r="C1336">
        <v>560</v>
      </c>
      <c r="D1336" t="s">
        <v>342</v>
      </c>
      <c r="E1336">
        <v>24.15</v>
      </c>
      <c r="F1336">
        <v>13</v>
      </c>
      <c r="G1336">
        <v>11.89</v>
      </c>
      <c r="H1336">
        <v>24.89</v>
      </c>
      <c r="I1336" t="s">
        <v>344</v>
      </c>
      <c r="J1336">
        <v>134.6</v>
      </c>
      <c r="K1336">
        <v>2.4700000000000002</v>
      </c>
      <c r="L1336" t="s">
        <v>346</v>
      </c>
      <c r="M1336" s="1">
        <v>2.47E-2</v>
      </c>
      <c r="N1336" t="s">
        <v>350</v>
      </c>
      <c r="O1336">
        <v>4.41</v>
      </c>
      <c r="P1336" t="s">
        <v>343</v>
      </c>
      <c r="Q1336">
        <v>1.18</v>
      </c>
      <c r="R1336" t="s">
        <v>343</v>
      </c>
      <c r="S1336">
        <v>1</v>
      </c>
    </row>
    <row r="1337" spans="1:19" x14ac:dyDescent="0.25">
      <c r="A1337" t="s">
        <v>37</v>
      </c>
      <c r="B1337" t="s">
        <v>85</v>
      </c>
      <c r="C1337">
        <v>580</v>
      </c>
      <c r="D1337" t="s">
        <v>342</v>
      </c>
      <c r="E1337">
        <v>24.15</v>
      </c>
      <c r="F1337">
        <v>12.93</v>
      </c>
      <c r="G1337">
        <v>10.9</v>
      </c>
      <c r="H1337">
        <v>23.83</v>
      </c>
      <c r="I1337" t="s">
        <v>343</v>
      </c>
      <c r="J1337">
        <v>135.16999999999999</v>
      </c>
      <c r="K1337">
        <v>2.89</v>
      </c>
      <c r="L1337" t="s">
        <v>346</v>
      </c>
      <c r="M1337" s="1">
        <v>2.8899999999999999E-2</v>
      </c>
      <c r="N1337" t="s">
        <v>350</v>
      </c>
      <c r="O1337">
        <v>4.92</v>
      </c>
      <c r="P1337" t="s">
        <v>343</v>
      </c>
      <c r="Q1337">
        <v>-0.18</v>
      </c>
      <c r="R1337" t="s">
        <v>343</v>
      </c>
      <c r="S1337">
        <v>1</v>
      </c>
    </row>
    <row r="1338" spans="1:19" x14ac:dyDescent="0.25">
      <c r="A1338" t="s">
        <v>37</v>
      </c>
      <c r="B1338" t="s">
        <v>86</v>
      </c>
      <c r="C1338">
        <v>600</v>
      </c>
      <c r="D1338" t="s">
        <v>342</v>
      </c>
      <c r="E1338">
        <v>24.15</v>
      </c>
      <c r="F1338">
        <v>12.97</v>
      </c>
      <c r="G1338">
        <v>10.34</v>
      </c>
      <c r="H1338">
        <v>23.31</v>
      </c>
      <c r="I1338" t="s">
        <v>343</v>
      </c>
      <c r="J1338">
        <v>135.72999999999999</v>
      </c>
      <c r="K1338">
        <v>2.77</v>
      </c>
      <c r="L1338" t="s">
        <v>346</v>
      </c>
      <c r="M1338" s="1">
        <v>2.7699999999999999E-2</v>
      </c>
      <c r="N1338" t="s">
        <v>350</v>
      </c>
      <c r="O1338">
        <v>3.56</v>
      </c>
      <c r="P1338" t="s">
        <v>344</v>
      </c>
      <c r="Q1338">
        <v>1.08</v>
      </c>
      <c r="R1338" t="s">
        <v>343</v>
      </c>
      <c r="S1338">
        <v>1</v>
      </c>
    </row>
    <row r="1339" spans="1:19" x14ac:dyDescent="0.25">
      <c r="A1339" t="s">
        <v>37</v>
      </c>
      <c r="B1339" t="s">
        <v>87</v>
      </c>
      <c r="C1339">
        <v>620</v>
      </c>
      <c r="D1339" t="s">
        <v>342</v>
      </c>
      <c r="E1339">
        <v>24.15</v>
      </c>
      <c r="F1339">
        <v>11.74</v>
      </c>
      <c r="G1339">
        <v>10.210000000000001</v>
      </c>
      <c r="H1339">
        <v>21.95</v>
      </c>
      <c r="I1339" t="s">
        <v>343</v>
      </c>
      <c r="J1339">
        <v>136.19</v>
      </c>
      <c r="K1339">
        <v>2.3199999999999998</v>
      </c>
      <c r="L1339" t="s">
        <v>346</v>
      </c>
      <c r="M1339" s="1">
        <v>2.3199999999999998E-2</v>
      </c>
      <c r="N1339" t="s">
        <v>350</v>
      </c>
      <c r="O1339">
        <v>3.84</v>
      </c>
      <c r="P1339" t="s">
        <v>344</v>
      </c>
      <c r="Q1339">
        <v>2.58</v>
      </c>
      <c r="R1339" t="s">
        <v>344</v>
      </c>
      <c r="S1339">
        <v>1</v>
      </c>
    </row>
    <row r="1340" spans="1:19" x14ac:dyDescent="0.25">
      <c r="A1340" t="s">
        <v>37</v>
      </c>
      <c r="B1340" t="s">
        <v>88</v>
      </c>
      <c r="C1340">
        <v>640</v>
      </c>
      <c r="D1340" t="s">
        <v>342</v>
      </c>
      <c r="E1340">
        <v>24.15</v>
      </c>
      <c r="F1340">
        <v>12.07</v>
      </c>
      <c r="G1340">
        <v>10.43</v>
      </c>
      <c r="H1340">
        <v>22.5</v>
      </c>
      <c r="I1340" t="s">
        <v>343</v>
      </c>
      <c r="J1340">
        <v>136.63999999999999</v>
      </c>
      <c r="K1340">
        <v>2.2200000000000002</v>
      </c>
      <c r="L1340" t="s">
        <v>346</v>
      </c>
      <c r="M1340" s="1">
        <v>2.2200000000000001E-2</v>
      </c>
      <c r="N1340" t="s">
        <v>350</v>
      </c>
      <c r="O1340">
        <v>3.24</v>
      </c>
      <c r="P1340" t="s">
        <v>344</v>
      </c>
      <c r="Q1340">
        <v>0.22</v>
      </c>
      <c r="R1340" t="s">
        <v>343</v>
      </c>
      <c r="S1340">
        <v>1</v>
      </c>
    </row>
    <row r="1341" spans="1:19" x14ac:dyDescent="0.25">
      <c r="A1341" t="s">
        <v>37</v>
      </c>
      <c r="B1341" t="s">
        <v>89</v>
      </c>
      <c r="C1341">
        <v>660</v>
      </c>
      <c r="D1341" t="s">
        <v>342</v>
      </c>
      <c r="E1341">
        <v>24.15</v>
      </c>
      <c r="F1341">
        <v>12.43</v>
      </c>
      <c r="G1341">
        <v>12.58</v>
      </c>
      <c r="H1341">
        <v>25.01</v>
      </c>
      <c r="I1341" t="s">
        <v>344</v>
      </c>
      <c r="J1341">
        <v>137.22</v>
      </c>
      <c r="K1341">
        <v>2.92</v>
      </c>
      <c r="L1341" t="s">
        <v>346</v>
      </c>
      <c r="M1341" s="1">
        <v>2.92E-2</v>
      </c>
      <c r="N1341" t="s">
        <v>350</v>
      </c>
      <c r="O1341">
        <v>5.36</v>
      </c>
      <c r="P1341" t="s">
        <v>343</v>
      </c>
      <c r="Q1341">
        <v>-1.74</v>
      </c>
      <c r="R1341" t="s">
        <v>343</v>
      </c>
      <c r="S1341">
        <v>1</v>
      </c>
    </row>
    <row r="1342" spans="1:19" x14ac:dyDescent="0.25">
      <c r="A1342" t="s">
        <v>37</v>
      </c>
      <c r="B1342" t="s">
        <v>90</v>
      </c>
      <c r="C1342">
        <v>680</v>
      </c>
      <c r="D1342" t="s">
        <v>342</v>
      </c>
      <c r="E1342">
        <v>24.15</v>
      </c>
      <c r="F1342">
        <v>12.4</v>
      </c>
      <c r="G1342">
        <v>14.13</v>
      </c>
      <c r="H1342">
        <v>26.53</v>
      </c>
      <c r="I1342" t="s">
        <v>344</v>
      </c>
      <c r="J1342">
        <v>137.88</v>
      </c>
      <c r="K1342">
        <v>3.3</v>
      </c>
      <c r="L1342" t="s">
        <v>346</v>
      </c>
      <c r="M1342" s="1">
        <v>3.3000000000000002E-2</v>
      </c>
      <c r="N1342" t="s">
        <v>350</v>
      </c>
      <c r="O1342">
        <v>5.71</v>
      </c>
      <c r="P1342" t="s">
        <v>343</v>
      </c>
      <c r="Q1342">
        <v>-1.36</v>
      </c>
      <c r="R1342" t="s">
        <v>343</v>
      </c>
      <c r="S1342">
        <v>1</v>
      </c>
    </row>
    <row r="1343" spans="1:19" x14ac:dyDescent="0.25">
      <c r="A1343" t="s">
        <v>37</v>
      </c>
      <c r="B1343" t="s">
        <v>91</v>
      </c>
      <c r="C1343">
        <v>700</v>
      </c>
      <c r="D1343" t="s">
        <v>342</v>
      </c>
      <c r="E1343">
        <v>24.15</v>
      </c>
      <c r="F1343">
        <v>13.62</v>
      </c>
      <c r="G1343">
        <v>14.45</v>
      </c>
      <c r="H1343">
        <v>28.07</v>
      </c>
      <c r="I1343" t="s">
        <v>344</v>
      </c>
      <c r="J1343">
        <v>138.54</v>
      </c>
      <c r="K1343">
        <v>3.33</v>
      </c>
      <c r="L1343" t="s">
        <v>346</v>
      </c>
      <c r="M1343" s="1">
        <v>3.3300000000000003E-2</v>
      </c>
      <c r="N1343" t="s">
        <v>350</v>
      </c>
      <c r="O1343">
        <v>4.01</v>
      </c>
      <c r="P1343" t="s">
        <v>343</v>
      </c>
      <c r="Q1343">
        <v>0.85</v>
      </c>
      <c r="R1343" t="s">
        <v>343</v>
      </c>
      <c r="S1343">
        <v>1</v>
      </c>
    </row>
    <row r="1344" spans="1:19" x14ac:dyDescent="0.25">
      <c r="A1344" t="s">
        <v>37</v>
      </c>
      <c r="B1344" t="s">
        <v>92</v>
      </c>
      <c r="C1344">
        <v>720</v>
      </c>
      <c r="D1344" t="s">
        <v>342</v>
      </c>
      <c r="E1344">
        <v>24.15</v>
      </c>
      <c r="F1344">
        <v>13.64</v>
      </c>
      <c r="G1344">
        <v>14.32</v>
      </c>
      <c r="H1344">
        <v>27.97</v>
      </c>
      <c r="I1344" t="s">
        <v>344</v>
      </c>
      <c r="J1344">
        <v>139.41</v>
      </c>
      <c r="K1344">
        <v>4.34</v>
      </c>
      <c r="L1344" t="s">
        <v>346</v>
      </c>
      <c r="M1344" s="1">
        <v>4.3400000000000001E-2</v>
      </c>
      <c r="N1344" t="s">
        <v>350</v>
      </c>
      <c r="O1344">
        <v>4.3899999999999997</v>
      </c>
      <c r="P1344" t="s">
        <v>343</v>
      </c>
      <c r="Q1344">
        <v>0.85</v>
      </c>
      <c r="R1344" t="s">
        <v>343</v>
      </c>
      <c r="S1344">
        <v>1</v>
      </c>
    </row>
    <row r="1345" spans="1:19" x14ac:dyDescent="0.25">
      <c r="A1345" t="s">
        <v>37</v>
      </c>
      <c r="B1345" t="s">
        <v>93</v>
      </c>
      <c r="C1345">
        <v>740</v>
      </c>
      <c r="D1345" t="s">
        <v>342</v>
      </c>
      <c r="E1345">
        <v>24.15</v>
      </c>
      <c r="F1345">
        <v>16.25</v>
      </c>
      <c r="G1345">
        <v>14.32</v>
      </c>
      <c r="H1345">
        <v>30.57</v>
      </c>
      <c r="I1345" t="s">
        <v>344</v>
      </c>
      <c r="J1345">
        <v>140.06</v>
      </c>
      <c r="K1345">
        <v>3.23</v>
      </c>
      <c r="L1345" t="s">
        <v>346</v>
      </c>
      <c r="M1345" s="1">
        <v>3.2300000000000002E-2</v>
      </c>
      <c r="N1345" t="s">
        <v>350</v>
      </c>
      <c r="O1345">
        <v>5.18</v>
      </c>
      <c r="P1345" t="s">
        <v>343</v>
      </c>
      <c r="Q1345">
        <v>0.75</v>
      </c>
      <c r="R1345" t="s">
        <v>343</v>
      </c>
      <c r="S1345">
        <v>1</v>
      </c>
    </row>
    <row r="1346" spans="1:19" x14ac:dyDescent="0.25">
      <c r="A1346" t="s">
        <v>37</v>
      </c>
      <c r="B1346" t="s">
        <v>94</v>
      </c>
      <c r="C1346">
        <v>760</v>
      </c>
      <c r="D1346" t="s">
        <v>342</v>
      </c>
      <c r="E1346">
        <v>24.15</v>
      </c>
      <c r="F1346">
        <v>14.89</v>
      </c>
      <c r="G1346">
        <v>12.89</v>
      </c>
      <c r="H1346">
        <v>27.78</v>
      </c>
      <c r="I1346" t="s">
        <v>344</v>
      </c>
      <c r="J1346">
        <v>140.34</v>
      </c>
      <c r="K1346">
        <v>1.4</v>
      </c>
      <c r="L1346" t="s">
        <v>346</v>
      </c>
      <c r="M1346" s="1">
        <v>1.4E-2</v>
      </c>
      <c r="N1346" t="s">
        <v>349</v>
      </c>
      <c r="O1346">
        <v>5.24</v>
      </c>
      <c r="P1346" t="s">
        <v>343</v>
      </c>
      <c r="Q1346">
        <v>-0.18</v>
      </c>
      <c r="R1346" t="s">
        <v>343</v>
      </c>
      <c r="S1346">
        <v>1</v>
      </c>
    </row>
    <row r="1347" spans="1:19" x14ac:dyDescent="0.25">
      <c r="A1347" t="s">
        <v>37</v>
      </c>
      <c r="B1347" t="s">
        <v>95</v>
      </c>
      <c r="C1347">
        <v>780</v>
      </c>
      <c r="D1347" t="s">
        <v>342</v>
      </c>
      <c r="E1347">
        <v>24.15</v>
      </c>
      <c r="F1347">
        <v>14.89</v>
      </c>
      <c r="G1347">
        <v>13.69</v>
      </c>
      <c r="H1347">
        <v>28.58</v>
      </c>
      <c r="I1347" t="s">
        <v>344</v>
      </c>
      <c r="J1347">
        <v>140.69</v>
      </c>
      <c r="K1347">
        <v>1.76</v>
      </c>
      <c r="L1347" t="s">
        <v>346</v>
      </c>
      <c r="M1347" s="1">
        <v>1.7600000000000001E-2</v>
      </c>
      <c r="N1347" t="s">
        <v>349</v>
      </c>
      <c r="O1347">
        <v>4.76</v>
      </c>
      <c r="P1347" t="s">
        <v>343</v>
      </c>
      <c r="Q1347">
        <v>-0.54</v>
      </c>
      <c r="R1347" t="s">
        <v>343</v>
      </c>
      <c r="S1347">
        <v>1</v>
      </c>
    </row>
    <row r="1348" spans="1:19" x14ac:dyDescent="0.25">
      <c r="A1348" t="s">
        <v>37</v>
      </c>
      <c r="B1348" t="s">
        <v>96</v>
      </c>
      <c r="C1348">
        <v>800</v>
      </c>
      <c r="D1348" t="s">
        <v>342</v>
      </c>
      <c r="E1348">
        <v>24.15</v>
      </c>
      <c r="F1348">
        <v>13.92</v>
      </c>
      <c r="G1348">
        <v>14.3</v>
      </c>
      <c r="H1348">
        <v>28.22</v>
      </c>
      <c r="I1348" t="s">
        <v>344</v>
      </c>
      <c r="J1348">
        <v>140.88999999999999</v>
      </c>
      <c r="K1348">
        <v>1.01</v>
      </c>
      <c r="L1348" t="s">
        <v>346</v>
      </c>
      <c r="M1348" s="1">
        <v>1.01E-2</v>
      </c>
      <c r="N1348" t="s">
        <v>349</v>
      </c>
      <c r="O1348">
        <v>5.49</v>
      </c>
      <c r="P1348" t="s">
        <v>343</v>
      </c>
      <c r="Q1348">
        <v>-1.1200000000000001</v>
      </c>
      <c r="R1348" t="s">
        <v>343</v>
      </c>
      <c r="S1348">
        <v>1</v>
      </c>
    </row>
    <row r="1349" spans="1:19" x14ac:dyDescent="0.25">
      <c r="A1349" t="s">
        <v>37</v>
      </c>
      <c r="B1349" t="s">
        <v>97</v>
      </c>
      <c r="C1349">
        <v>820</v>
      </c>
      <c r="D1349" t="s">
        <v>342</v>
      </c>
      <c r="E1349">
        <v>24.15</v>
      </c>
      <c r="F1349">
        <v>13.92</v>
      </c>
      <c r="G1349">
        <v>14.31</v>
      </c>
      <c r="H1349">
        <v>28.24</v>
      </c>
      <c r="I1349" t="s">
        <v>344</v>
      </c>
      <c r="J1349">
        <v>141.1</v>
      </c>
      <c r="K1349">
        <v>1.06</v>
      </c>
      <c r="L1349" t="s">
        <v>346</v>
      </c>
      <c r="M1349" s="1">
        <v>1.06E-2</v>
      </c>
      <c r="N1349" t="s">
        <v>349</v>
      </c>
      <c r="O1349">
        <v>6.3</v>
      </c>
      <c r="P1349" t="s">
        <v>343</v>
      </c>
      <c r="Q1349">
        <v>-1.99</v>
      </c>
      <c r="R1349" t="s">
        <v>343</v>
      </c>
      <c r="S1349">
        <v>1</v>
      </c>
    </row>
    <row r="1350" spans="1:19" x14ac:dyDescent="0.25">
      <c r="A1350" t="s">
        <v>37</v>
      </c>
      <c r="B1350" t="s">
        <v>98</v>
      </c>
      <c r="C1350">
        <v>840</v>
      </c>
      <c r="D1350" t="s">
        <v>342</v>
      </c>
      <c r="E1350">
        <v>24.15</v>
      </c>
      <c r="F1350">
        <v>13.42</v>
      </c>
      <c r="G1350">
        <v>14.36</v>
      </c>
      <c r="H1350">
        <v>27.77</v>
      </c>
      <c r="I1350" t="s">
        <v>344</v>
      </c>
      <c r="J1350">
        <v>141.15</v>
      </c>
      <c r="K1350">
        <v>0.26</v>
      </c>
      <c r="L1350" t="s">
        <v>346</v>
      </c>
      <c r="M1350" s="1">
        <v>2.5999999999999999E-3</v>
      </c>
      <c r="N1350" t="s">
        <v>349</v>
      </c>
      <c r="O1350">
        <v>5.92</v>
      </c>
      <c r="P1350" t="s">
        <v>343</v>
      </c>
      <c r="Q1350">
        <v>-1.75</v>
      </c>
      <c r="R1350" t="s">
        <v>343</v>
      </c>
      <c r="S1350">
        <v>1</v>
      </c>
    </row>
    <row r="1351" spans="1:19" x14ac:dyDescent="0.25">
      <c r="A1351" t="s">
        <v>37</v>
      </c>
      <c r="B1351" t="s">
        <v>99</v>
      </c>
      <c r="C1351">
        <v>860</v>
      </c>
      <c r="D1351" t="s">
        <v>342</v>
      </c>
      <c r="E1351">
        <v>24.15</v>
      </c>
      <c r="F1351">
        <v>12.62</v>
      </c>
      <c r="G1351">
        <v>14.75</v>
      </c>
      <c r="H1351">
        <v>27.37</v>
      </c>
      <c r="I1351" t="s">
        <v>344</v>
      </c>
      <c r="J1351">
        <v>141.26</v>
      </c>
      <c r="K1351">
        <v>0.53</v>
      </c>
      <c r="L1351" t="s">
        <v>346</v>
      </c>
      <c r="M1351" s="1">
        <v>5.3E-3</v>
      </c>
      <c r="N1351" t="s">
        <v>349</v>
      </c>
      <c r="O1351">
        <v>5.65</v>
      </c>
      <c r="P1351" t="s">
        <v>343</v>
      </c>
      <c r="Q1351">
        <v>-1.41</v>
      </c>
      <c r="R1351" t="s">
        <v>343</v>
      </c>
      <c r="S1351">
        <v>1</v>
      </c>
    </row>
    <row r="1352" spans="1:19" x14ac:dyDescent="0.25">
      <c r="A1352" t="s">
        <v>37</v>
      </c>
      <c r="B1352" t="s">
        <v>100</v>
      </c>
      <c r="C1352">
        <v>880</v>
      </c>
      <c r="D1352" t="s">
        <v>342</v>
      </c>
      <c r="E1352">
        <v>24.15</v>
      </c>
      <c r="F1352">
        <v>13.42</v>
      </c>
      <c r="G1352">
        <v>15.5</v>
      </c>
      <c r="H1352">
        <v>28.91</v>
      </c>
      <c r="I1352" t="s">
        <v>344</v>
      </c>
      <c r="J1352">
        <v>141.34</v>
      </c>
      <c r="K1352">
        <v>0.42</v>
      </c>
      <c r="L1352" t="s">
        <v>346</v>
      </c>
      <c r="M1352" s="1">
        <v>4.1999999999999997E-3</v>
      </c>
      <c r="N1352" t="s">
        <v>349</v>
      </c>
      <c r="O1352">
        <v>4.26</v>
      </c>
      <c r="P1352" t="s">
        <v>343</v>
      </c>
      <c r="Q1352">
        <v>-0.53</v>
      </c>
      <c r="R1352" t="s">
        <v>343</v>
      </c>
      <c r="S1352">
        <v>1</v>
      </c>
    </row>
    <row r="1353" spans="1:19" x14ac:dyDescent="0.25">
      <c r="A1353" t="s">
        <v>37</v>
      </c>
      <c r="B1353" t="s">
        <v>101</v>
      </c>
      <c r="C1353">
        <v>900</v>
      </c>
      <c r="D1353" t="s">
        <v>342</v>
      </c>
      <c r="E1353">
        <v>24.15</v>
      </c>
      <c r="F1353">
        <v>13.42</v>
      </c>
      <c r="G1353">
        <v>14.57</v>
      </c>
      <c r="H1353">
        <v>27.98</v>
      </c>
      <c r="I1353" t="s">
        <v>344</v>
      </c>
      <c r="J1353">
        <v>141.43</v>
      </c>
      <c r="K1353">
        <v>0.43</v>
      </c>
      <c r="L1353" t="s">
        <v>346</v>
      </c>
      <c r="M1353" s="1">
        <v>4.3E-3</v>
      </c>
      <c r="N1353" t="s">
        <v>349</v>
      </c>
      <c r="O1353">
        <v>5.16</v>
      </c>
      <c r="P1353" t="s">
        <v>343</v>
      </c>
      <c r="Q1353">
        <v>-0.66</v>
      </c>
      <c r="R1353" t="s">
        <v>343</v>
      </c>
      <c r="S1353">
        <v>1</v>
      </c>
    </row>
    <row r="1354" spans="1:19" x14ac:dyDescent="0.25">
      <c r="A1354" t="s">
        <v>37</v>
      </c>
      <c r="B1354" t="s">
        <v>102</v>
      </c>
      <c r="C1354">
        <v>920</v>
      </c>
      <c r="D1354" t="s">
        <v>342</v>
      </c>
      <c r="E1354">
        <v>24.15</v>
      </c>
      <c r="F1354">
        <v>13.71</v>
      </c>
      <c r="G1354">
        <v>13.95</v>
      </c>
      <c r="H1354">
        <v>27.66</v>
      </c>
      <c r="I1354" t="s">
        <v>344</v>
      </c>
      <c r="J1354">
        <v>141.32</v>
      </c>
      <c r="K1354">
        <v>-0.54</v>
      </c>
      <c r="L1354" t="s">
        <v>346</v>
      </c>
      <c r="M1354" s="1">
        <v>5.4000000000000003E-3</v>
      </c>
      <c r="N1354" t="s">
        <v>349</v>
      </c>
      <c r="O1354">
        <v>4.12</v>
      </c>
      <c r="P1354" t="s">
        <v>343</v>
      </c>
      <c r="Q1354">
        <v>-3.13</v>
      </c>
      <c r="R1354" t="s">
        <v>344</v>
      </c>
      <c r="S1354">
        <v>1</v>
      </c>
    </row>
    <row r="1355" spans="1:19" x14ac:dyDescent="0.25">
      <c r="A1355" t="s">
        <v>37</v>
      </c>
      <c r="B1355" t="s">
        <v>103</v>
      </c>
      <c r="C1355">
        <v>940</v>
      </c>
      <c r="D1355" t="s">
        <v>342</v>
      </c>
      <c r="E1355">
        <v>24.15</v>
      </c>
      <c r="F1355">
        <v>12.95</v>
      </c>
      <c r="G1355">
        <v>13.73</v>
      </c>
      <c r="H1355">
        <v>26.68</v>
      </c>
      <c r="I1355" t="s">
        <v>344</v>
      </c>
      <c r="J1355">
        <v>141.31</v>
      </c>
      <c r="K1355">
        <v>-0.06</v>
      </c>
      <c r="L1355" t="s">
        <v>346</v>
      </c>
      <c r="M1355" s="1">
        <v>5.9999999999999995E-4</v>
      </c>
      <c r="N1355" t="s">
        <v>349</v>
      </c>
      <c r="O1355">
        <v>4.66</v>
      </c>
      <c r="P1355" t="s">
        <v>343</v>
      </c>
      <c r="Q1355">
        <v>-2.81</v>
      </c>
      <c r="R1355" t="s">
        <v>344</v>
      </c>
      <c r="S1355">
        <v>1</v>
      </c>
    </row>
    <row r="1356" spans="1:19" x14ac:dyDescent="0.25">
      <c r="A1356" t="s">
        <v>37</v>
      </c>
      <c r="B1356" t="s">
        <v>104</v>
      </c>
      <c r="C1356">
        <v>960</v>
      </c>
      <c r="D1356" t="s">
        <v>342</v>
      </c>
      <c r="E1356">
        <v>24.15</v>
      </c>
      <c r="F1356">
        <v>12.4</v>
      </c>
      <c r="G1356">
        <v>13.52</v>
      </c>
      <c r="H1356">
        <v>25.92</v>
      </c>
      <c r="I1356" t="s">
        <v>344</v>
      </c>
      <c r="J1356">
        <v>141.22999999999999</v>
      </c>
      <c r="K1356">
        <v>-0.41</v>
      </c>
      <c r="L1356" t="s">
        <v>346</v>
      </c>
      <c r="M1356" s="1">
        <v>4.0999999999999986E-3</v>
      </c>
      <c r="N1356" t="s">
        <v>349</v>
      </c>
      <c r="O1356">
        <v>3.92</v>
      </c>
      <c r="P1356" t="s">
        <v>344</v>
      </c>
      <c r="Q1356">
        <v>-1.6</v>
      </c>
      <c r="R1356" t="s">
        <v>343</v>
      </c>
      <c r="S1356">
        <v>1</v>
      </c>
    </row>
    <row r="1357" spans="1:19" x14ac:dyDescent="0.25">
      <c r="A1357" t="s">
        <v>37</v>
      </c>
      <c r="B1357" t="s">
        <v>105</v>
      </c>
      <c r="C1357">
        <v>980</v>
      </c>
      <c r="D1357" t="s">
        <v>342</v>
      </c>
      <c r="E1357">
        <v>24.15</v>
      </c>
      <c r="F1357">
        <v>14.43</v>
      </c>
      <c r="G1357">
        <v>14.07</v>
      </c>
      <c r="H1357">
        <v>28.5</v>
      </c>
      <c r="I1357" t="s">
        <v>344</v>
      </c>
      <c r="J1357">
        <v>141.15</v>
      </c>
      <c r="K1357">
        <v>-0.39</v>
      </c>
      <c r="L1357" t="s">
        <v>346</v>
      </c>
      <c r="M1357" s="1">
        <v>3.8999999999999998E-3</v>
      </c>
      <c r="N1357" t="s">
        <v>349</v>
      </c>
      <c r="O1357">
        <v>4.95</v>
      </c>
      <c r="P1357" t="s">
        <v>343</v>
      </c>
      <c r="Q1357">
        <v>-0.47</v>
      </c>
      <c r="R1357" t="s">
        <v>343</v>
      </c>
      <c r="S1357">
        <v>1</v>
      </c>
    </row>
    <row r="1358" spans="1:19" x14ac:dyDescent="0.25">
      <c r="A1358" t="s">
        <v>37</v>
      </c>
      <c r="B1358" t="s">
        <v>106</v>
      </c>
      <c r="C1358">
        <v>1000</v>
      </c>
      <c r="D1358" t="s">
        <v>342</v>
      </c>
      <c r="E1358">
        <v>24.15</v>
      </c>
      <c r="F1358">
        <v>14.43</v>
      </c>
      <c r="G1358">
        <v>13.3</v>
      </c>
      <c r="H1358">
        <v>27.73</v>
      </c>
      <c r="I1358" t="s">
        <v>344</v>
      </c>
      <c r="J1358">
        <v>141.18</v>
      </c>
      <c r="K1358">
        <v>0.14000000000000001</v>
      </c>
      <c r="L1358" t="s">
        <v>346</v>
      </c>
      <c r="M1358" s="1">
        <v>1.4E-3</v>
      </c>
      <c r="N1358" t="s">
        <v>349</v>
      </c>
      <c r="O1358">
        <v>6.1</v>
      </c>
      <c r="P1358" t="s">
        <v>343</v>
      </c>
      <c r="Q1358">
        <v>-0.7</v>
      </c>
      <c r="R1358" t="s">
        <v>343</v>
      </c>
      <c r="S1358">
        <v>1</v>
      </c>
    </row>
    <row r="1359" spans="1:19" x14ac:dyDescent="0.25">
      <c r="A1359" t="s">
        <v>37</v>
      </c>
      <c r="B1359" t="s">
        <v>108</v>
      </c>
      <c r="C1359">
        <v>1020</v>
      </c>
      <c r="D1359" t="s">
        <v>342</v>
      </c>
      <c r="E1359">
        <v>24.15</v>
      </c>
      <c r="F1359">
        <v>14.57</v>
      </c>
      <c r="G1359">
        <v>14.5</v>
      </c>
      <c r="H1359">
        <v>29.07</v>
      </c>
      <c r="I1359" t="s">
        <v>344</v>
      </c>
      <c r="J1359">
        <v>140.91999999999999</v>
      </c>
      <c r="K1359">
        <v>-1.28</v>
      </c>
      <c r="L1359" t="s">
        <v>346</v>
      </c>
      <c r="M1359" s="1">
        <v>1.2800000000000001E-2</v>
      </c>
      <c r="N1359" t="s">
        <v>349</v>
      </c>
      <c r="O1359">
        <v>5.55</v>
      </c>
      <c r="P1359" t="s">
        <v>343</v>
      </c>
      <c r="Q1359">
        <v>-1.64</v>
      </c>
      <c r="R1359" t="s">
        <v>343</v>
      </c>
      <c r="S1359">
        <v>1</v>
      </c>
    </row>
    <row r="1360" spans="1:19" x14ac:dyDescent="0.25">
      <c r="A1360" t="s">
        <v>37</v>
      </c>
      <c r="B1360" t="s">
        <v>109</v>
      </c>
      <c r="C1360">
        <v>1040</v>
      </c>
      <c r="D1360" t="s">
        <v>342</v>
      </c>
      <c r="E1360">
        <v>24.15</v>
      </c>
      <c r="F1360">
        <v>14.21</v>
      </c>
      <c r="G1360">
        <v>14.5</v>
      </c>
      <c r="H1360">
        <v>28.71</v>
      </c>
      <c r="I1360" t="s">
        <v>344</v>
      </c>
      <c r="J1360">
        <v>140.94999999999999</v>
      </c>
      <c r="K1360">
        <v>0.14000000000000001</v>
      </c>
      <c r="L1360" t="s">
        <v>346</v>
      </c>
      <c r="M1360" s="1">
        <v>1.4E-3</v>
      </c>
      <c r="N1360" t="s">
        <v>349</v>
      </c>
      <c r="O1360">
        <v>6.48</v>
      </c>
      <c r="P1360" t="s">
        <v>343</v>
      </c>
      <c r="Q1360">
        <v>-0.71</v>
      </c>
      <c r="R1360" t="s">
        <v>343</v>
      </c>
      <c r="S1360">
        <v>1</v>
      </c>
    </row>
    <row r="1361" spans="1:19" x14ac:dyDescent="0.25">
      <c r="A1361" t="s">
        <v>37</v>
      </c>
      <c r="B1361" t="s">
        <v>110</v>
      </c>
      <c r="C1361">
        <v>1060</v>
      </c>
      <c r="D1361" t="s">
        <v>342</v>
      </c>
      <c r="E1361">
        <v>24.15</v>
      </c>
      <c r="F1361">
        <v>14.18</v>
      </c>
      <c r="G1361">
        <v>14.5</v>
      </c>
      <c r="H1361">
        <v>28.69</v>
      </c>
      <c r="I1361" t="s">
        <v>344</v>
      </c>
      <c r="J1361">
        <v>140.15</v>
      </c>
      <c r="K1361">
        <v>-4</v>
      </c>
      <c r="L1361" t="s">
        <v>346</v>
      </c>
      <c r="M1361" s="1">
        <v>0.04</v>
      </c>
      <c r="N1361" t="s">
        <v>350</v>
      </c>
      <c r="O1361">
        <v>2.82</v>
      </c>
      <c r="P1361" t="s">
        <v>344</v>
      </c>
      <c r="Q1361">
        <v>-0.22</v>
      </c>
      <c r="R1361" t="s">
        <v>343</v>
      </c>
      <c r="S1361">
        <v>1</v>
      </c>
    </row>
    <row r="1362" spans="1:19" x14ac:dyDescent="0.25">
      <c r="A1362" t="s">
        <v>37</v>
      </c>
      <c r="B1362" t="s">
        <v>111</v>
      </c>
      <c r="C1362">
        <v>1080</v>
      </c>
      <c r="D1362" t="s">
        <v>342</v>
      </c>
      <c r="E1362">
        <v>24.15</v>
      </c>
      <c r="F1362">
        <v>14.48</v>
      </c>
      <c r="G1362">
        <v>14.45</v>
      </c>
      <c r="H1362">
        <v>28.93</v>
      </c>
      <c r="I1362" t="s">
        <v>344</v>
      </c>
      <c r="J1362">
        <v>139.03</v>
      </c>
      <c r="K1362">
        <v>-5.62</v>
      </c>
      <c r="L1362" t="s">
        <v>346</v>
      </c>
      <c r="M1362" s="1">
        <v>5.62E-2</v>
      </c>
      <c r="N1362" t="s">
        <v>350</v>
      </c>
      <c r="O1362">
        <v>1.91</v>
      </c>
      <c r="P1362" t="s">
        <v>343</v>
      </c>
      <c r="Q1362">
        <v>-0.3</v>
      </c>
      <c r="R1362" t="s">
        <v>343</v>
      </c>
      <c r="S1362">
        <v>1</v>
      </c>
    </row>
    <row r="1363" spans="1:19" x14ac:dyDescent="0.25">
      <c r="A1363" t="s">
        <v>37</v>
      </c>
      <c r="B1363" t="s">
        <v>112</v>
      </c>
      <c r="C1363">
        <v>1100</v>
      </c>
      <c r="D1363" t="s">
        <v>342</v>
      </c>
      <c r="E1363">
        <v>24.15</v>
      </c>
      <c r="F1363">
        <v>15.89</v>
      </c>
      <c r="G1363">
        <v>14.07</v>
      </c>
      <c r="H1363">
        <v>29.96</v>
      </c>
      <c r="I1363" t="s">
        <v>344</v>
      </c>
      <c r="J1363">
        <v>137.83000000000001</v>
      </c>
      <c r="K1363">
        <v>-5.97</v>
      </c>
      <c r="L1363" t="s">
        <v>346</v>
      </c>
      <c r="M1363" s="1">
        <v>5.9700000000000003E-2</v>
      </c>
      <c r="N1363" t="s">
        <v>350</v>
      </c>
      <c r="O1363">
        <v>1.65</v>
      </c>
      <c r="P1363" t="s">
        <v>343</v>
      </c>
      <c r="Q1363">
        <v>-0.01</v>
      </c>
      <c r="R1363" t="s">
        <v>343</v>
      </c>
      <c r="S1363">
        <v>1</v>
      </c>
    </row>
    <row r="1364" spans="1:19" x14ac:dyDescent="0.25">
      <c r="A1364" t="s">
        <v>37</v>
      </c>
      <c r="B1364" t="s">
        <v>113</v>
      </c>
      <c r="C1364">
        <v>1120</v>
      </c>
      <c r="D1364" t="s">
        <v>342</v>
      </c>
      <c r="E1364">
        <v>24.15</v>
      </c>
      <c r="F1364">
        <v>16.190000000000001</v>
      </c>
      <c r="G1364">
        <v>14.77</v>
      </c>
      <c r="H1364">
        <v>30.95</v>
      </c>
      <c r="I1364" t="s">
        <v>344</v>
      </c>
      <c r="J1364">
        <v>136.55000000000001</v>
      </c>
      <c r="K1364">
        <v>-6.41</v>
      </c>
      <c r="L1364" t="s">
        <v>346</v>
      </c>
      <c r="M1364" s="1">
        <v>6.4100000000000004E-2</v>
      </c>
      <c r="N1364" t="s">
        <v>350</v>
      </c>
      <c r="O1364">
        <v>1.41</v>
      </c>
      <c r="P1364" t="s">
        <v>343</v>
      </c>
      <c r="Q1364">
        <v>1.1299999999999999</v>
      </c>
      <c r="R1364" t="s">
        <v>343</v>
      </c>
      <c r="S1364">
        <v>1</v>
      </c>
    </row>
    <row r="1365" spans="1:19" x14ac:dyDescent="0.25">
      <c r="A1365" t="s">
        <v>37</v>
      </c>
      <c r="B1365" t="s">
        <v>114</v>
      </c>
      <c r="C1365">
        <v>1140</v>
      </c>
      <c r="D1365" t="s">
        <v>342</v>
      </c>
      <c r="E1365">
        <v>24.15</v>
      </c>
      <c r="F1365">
        <v>14.67</v>
      </c>
      <c r="G1365">
        <v>14.3</v>
      </c>
      <c r="H1365">
        <v>28.97</v>
      </c>
      <c r="I1365" t="s">
        <v>344</v>
      </c>
      <c r="J1365">
        <v>135.05000000000001</v>
      </c>
      <c r="K1365">
        <v>-7.5</v>
      </c>
      <c r="L1365" t="s">
        <v>346</v>
      </c>
      <c r="M1365" s="1">
        <v>7.4999999999999997E-2</v>
      </c>
      <c r="N1365" t="s">
        <v>350</v>
      </c>
      <c r="O1365">
        <v>1</v>
      </c>
      <c r="P1365" t="s">
        <v>343</v>
      </c>
      <c r="Q1365">
        <v>1.1599999999999999</v>
      </c>
      <c r="R1365" t="s">
        <v>343</v>
      </c>
      <c r="S1365">
        <v>1</v>
      </c>
    </row>
    <row r="1366" spans="1:19" x14ac:dyDescent="0.25">
      <c r="A1366" t="s">
        <v>37</v>
      </c>
      <c r="B1366" t="s">
        <v>115</v>
      </c>
      <c r="C1366">
        <v>1160</v>
      </c>
      <c r="D1366" t="s">
        <v>342</v>
      </c>
      <c r="E1366">
        <v>24.15</v>
      </c>
      <c r="F1366">
        <v>15.23</v>
      </c>
      <c r="G1366">
        <v>14.91</v>
      </c>
      <c r="H1366">
        <v>30.15</v>
      </c>
      <c r="I1366" t="s">
        <v>344</v>
      </c>
      <c r="J1366">
        <v>133.57</v>
      </c>
      <c r="K1366">
        <v>-7.4</v>
      </c>
      <c r="L1366" t="s">
        <v>346</v>
      </c>
      <c r="M1366" s="1">
        <v>7.400000000000001E-2</v>
      </c>
      <c r="N1366" t="s">
        <v>350</v>
      </c>
      <c r="O1366">
        <v>0.86</v>
      </c>
      <c r="P1366" t="s">
        <v>343</v>
      </c>
      <c r="Q1366">
        <v>1.42</v>
      </c>
      <c r="R1366" t="s">
        <v>343</v>
      </c>
      <c r="S1366">
        <v>1</v>
      </c>
    </row>
    <row r="1367" spans="1:19" x14ac:dyDescent="0.25">
      <c r="A1367" t="s">
        <v>37</v>
      </c>
      <c r="B1367" t="s">
        <v>116</v>
      </c>
      <c r="C1367">
        <v>1180</v>
      </c>
      <c r="D1367" t="s">
        <v>342</v>
      </c>
      <c r="E1367">
        <v>24.15</v>
      </c>
      <c r="F1367">
        <v>13.65</v>
      </c>
      <c r="G1367">
        <v>15.8</v>
      </c>
      <c r="H1367">
        <v>29.45</v>
      </c>
      <c r="I1367" t="s">
        <v>344</v>
      </c>
      <c r="J1367">
        <v>132.1</v>
      </c>
      <c r="K1367">
        <v>-7.32</v>
      </c>
      <c r="L1367" t="s">
        <v>346</v>
      </c>
      <c r="M1367" s="1">
        <v>7.3200000000000001E-2</v>
      </c>
      <c r="N1367" t="s">
        <v>350</v>
      </c>
      <c r="O1367">
        <v>-1.2</v>
      </c>
      <c r="P1367" t="s">
        <v>343</v>
      </c>
      <c r="Q1367">
        <v>0.86</v>
      </c>
      <c r="R1367" t="s">
        <v>343</v>
      </c>
      <c r="S1367">
        <v>1</v>
      </c>
    </row>
    <row r="1368" spans="1:19" x14ac:dyDescent="0.25">
      <c r="A1368" t="s">
        <v>37</v>
      </c>
      <c r="B1368" t="s">
        <v>117</v>
      </c>
      <c r="C1368">
        <v>1200</v>
      </c>
      <c r="D1368" t="s">
        <v>342</v>
      </c>
      <c r="E1368">
        <v>24.15</v>
      </c>
      <c r="F1368">
        <v>12.2</v>
      </c>
      <c r="G1368">
        <v>16.47</v>
      </c>
      <c r="H1368">
        <v>28.68</v>
      </c>
      <c r="I1368" t="s">
        <v>344</v>
      </c>
      <c r="J1368">
        <v>130.61000000000001</v>
      </c>
      <c r="K1368">
        <v>-7.46</v>
      </c>
      <c r="L1368" t="s">
        <v>346</v>
      </c>
      <c r="M1368" s="1">
        <v>7.46E-2</v>
      </c>
      <c r="N1368" t="s">
        <v>350</v>
      </c>
      <c r="O1368">
        <v>0.13</v>
      </c>
      <c r="P1368" t="s">
        <v>343</v>
      </c>
      <c r="Q1368">
        <v>1.22</v>
      </c>
      <c r="R1368" t="s">
        <v>343</v>
      </c>
      <c r="S1368">
        <v>1</v>
      </c>
    </row>
    <row r="1369" spans="1:19" x14ac:dyDescent="0.25">
      <c r="A1369" t="s">
        <v>37</v>
      </c>
      <c r="B1369" t="s">
        <v>118</v>
      </c>
      <c r="C1369">
        <v>1220</v>
      </c>
      <c r="D1369" t="s">
        <v>342</v>
      </c>
      <c r="E1369">
        <v>24.15</v>
      </c>
      <c r="F1369">
        <v>11.66</v>
      </c>
      <c r="G1369">
        <v>15.91</v>
      </c>
      <c r="H1369">
        <v>27.57</v>
      </c>
      <c r="I1369" t="s">
        <v>344</v>
      </c>
      <c r="J1369">
        <v>129.21</v>
      </c>
      <c r="K1369">
        <v>-7.02</v>
      </c>
      <c r="L1369" t="s">
        <v>346</v>
      </c>
      <c r="M1369" s="1">
        <v>7.0199999999999999E-2</v>
      </c>
      <c r="N1369" t="s">
        <v>350</v>
      </c>
      <c r="O1369">
        <v>2</v>
      </c>
      <c r="P1369" t="s">
        <v>344</v>
      </c>
      <c r="Q1369">
        <v>1.71</v>
      </c>
      <c r="R1369" t="s">
        <v>343</v>
      </c>
      <c r="S1369">
        <v>1</v>
      </c>
    </row>
    <row r="1370" spans="1:19" x14ac:dyDescent="0.25">
      <c r="A1370" t="s">
        <v>37</v>
      </c>
      <c r="B1370" t="s">
        <v>119</v>
      </c>
      <c r="C1370">
        <v>1240</v>
      </c>
      <c r="D1370" t="s">
        <v>342</v>
      </c>
      <c r="E1370">
        <v>24.15</v>
      </c>
      <c r="F1370">
        <v>12.57</v>
      </c>
      <c r="G1370">
        <v>15.5</v>
      </c>
      <c r="H1370">
        <v>28.07</v>
      </c>
      <c r="I1370" t="s">
        <v>344</v>
      </c>
      <c r="J1370">
        <v>129.16</v>
      </c>
      <c r="K1370">
        <v>-0.24</v>
      </c>
      <c r="L1370" t="s">
        <v>346</v>
      </c>
      <c r="M1370" s="1">
        <v>2.3999999999999998E-3</v>
      </c>
      <c r="N1370" t="s">
        <v>349</v>
      </c>
      <c r="O1370">
        <v>0.05</v>
      </c>
      <c r="P1370" t="s">
        <v>343</v>
      </c>
      <c r="Q1370">
        <v>1.83</v>
      </c>
      <c r="R1370" t="s">
        <v>343</v>
      </c>
      <c r="S1370">
        <v>1</v>
      </c>
    </row>
    <row r="1371" spans="1:19" x14ac:dyDescent="0.25">
      <c r="A1371" t="s">
        <v>37</v>
      </c>
      <c r="B1371" t="s">
        <v>120</v>
      </c>
      <c r="C1371">
        <v>1260</v>
      </c>
      <c r="D1371" t="s">
        <v>342</v>
      </c>
      <c r="E1371">
        <v>24.15</v>
      </c>
      <c r="F1371">
        <v>13.63</v>
      </c>
      <c r="G1371">
        <v>15.87</v>
      </c>
      <c r="H1371">
        <v>29.49</v>
      </c>
      <c r="I1371" t="s">
        <v>344</v>
      </c>
      <c r="J1371">
        <v>128.03</v>
      </c>
      <c r="K1371">
        <v>-5.63</v>
      </c>
      <c r="L1371" t="s">
        <v>346</v>
      </c>
      <c r="M1371" s="1">
        <v>5.6300000000000003E-2</v>
      </c>
      <c r="N1371" t="s">
        <v>350</v>
      </c>
      <c r="O1371">
        <v>2.39</v>
      </c>
      <c r="P1371" t="s">
        <v>344</v>
      </c>
      <c r="Q1371">
        <v>1.05</v>
      </c>
      <c r="R1371" t="s">
        <v>343</v>
      </c>
      <c r="S1371">
        <v>1</v>
      </c>
    </row>
    <row r="1372" spans="1:19" x14ac:dyDescent="0.25">
      <c r="A1372" t="s">
        <v>37</v>
      </c>
      <c r="B1372" t="s">
        <v>121</v>
      </c>
      <c r="C1372">
        <v>1280</v>
      </c>
      <c r="D1372" t="s">
        <v>342</v>
      </c>
      <c r="E1372">
        <v>24.15</v>
      </c>
      <c r="F1372">
        <v>17.149999999999999</v>
      </c>
      <c r="G1372">
        <v>14.86</v>
      </c>
      <c r="H1372">
        <v>32.01</v>
      </c>
      <c r="I1372" t="s">
        <v>344</v>
      </c>
      <c r="J1372">
        <v>126.02</v>
      </c>
      <c r="K1372">
        <v>-10.08</v>
      </c>
      <c r="L1372" t="s">
        <v>348</v>
      </c>
      <c r="M1372" s="1">
        <v>0.1008</v>
      </c>
      <c r="N1372" t="s">
        <v>350</v>
      </c>
      <c r="O1372">
        <v>1.69</v>
      </c>
      <c r="P1372" t="s">
        <v>343</v>
      </c>
      <c r="Q1372">
        <v>2.57</v>
      </c>
      <c r="R1372" t="s">
        <v>344</v>
      </c>
      <c r="S1372">
        <v>1</v>
      </c>
    </row>
    <row r="1373" spans="1:19" x14ac:dyDescent="0.25">
      <c r="A1373" t="s">
        <v>37</v>
      </c>
      <c r="B1373" t="s">
        <v>123</v>
      </c>
      <c r="C1373">
        <v>1300</v>
      </c>
      <c r="D1373" t="s">
        <v>342</v>
      </c>
      <c r="E1373">
        <v>24.15</v>
      </c>
      <c r="F1373">
        <v>17.350000000000001</v>
      </c>
      <c r="G1373">
        <v>14.86</v>
      </c>
      <c r="H1373">
        <v>32.21</v>
      </c>
      <c r="I1373" t="s">
        <v>344</v>
      </c>
      <c r="J1373">
        <v>124.39</v>
      </c>
      <c r="K1373">
        <v>-8.15</v>
      </c>
      <c r="L1373" t="s">
        <v>347</v>
      </c>
      <c r="M1373" s="1">
        <v>8.1500000000000003E-2</v>
      </c>
      <c r="N1373" t="s">
        <v>350</v>
      </c>
      <c r="O1373">
        <v>1.9</v>
      </c>
      <c r="P1373" t="s">
        <v>343</v>
      </c>
      <c r="Q1373">
        <v>2.15</v>
      </c>
      <c r="R1373" t="s">
        <v>344</v>
      </c>
      <c r="S1373">
        <v>1</v>
      </c>
    </row>
    <row r="1374" spans="1:19" x14ac:dyDescent="0.25">
      <c r="A1374" t="s">
        <v>37</v>
      </c>
      <c r="B1374" t="s">
        <v>124</v>
      </c>
      <c r="C1374">
        <v>1320</v>
      </c>
      <c r="D1374" t="s">
        <v>342</v>
      </c>
      <c r="E1374">
        <v>24.15</v>
      </c>
      <c r="F1374">
        <v>17.7</v>
      </c>
      <c r="G1374">
        <v>15.45</v>
      </c>
      <c r="H1374">
        <v>33.15</v>
      </c>
      <c r="I1374" t="s">
        <v>344</v>
      </c>
      <c r="J1374">
        <v>122.93</v>
      </c>
      <c r="K1374">
        <v>-7.27</v>
      </c>
      <c r="L1374" t="s">
        <v>346</v>
      </c>
      <c r="M1374" s="1">
        <v>7.2700000000000001E-2</v>
      </c>
      <c r="N1374" t="s">
        <v>350</v>
      </c>
      <c r="O1374">
        <v>0.08</v>
      </c>
      <c r="P1374" t="s">
        <v>343</v>
      </c>
      <c r="Q1374">
        <v>2.0699999999999998</v>
      </c>
      <c r="R1374" t="s">
        <v>344</v>
      </c>
      <c r="S1374">
        <v>1</v>
      </c>
    </row>
    <row r="1375" spans="1:19" x14ac:dyDescent="0.25">
      <c r="A1375" t="s">
        <v>37</v>
      </c>
      <c r="B1375" t="s">
        <v>125</v>
      </c>
      <c r="C1375">
        <v>1340</v>
      </c>
      <c r="D1375" t="s">
        <v>342</v>
      </c>
      <c r="E1375">
        <v>24.15</v>
      </c>
      <c r="F1375">
        <v>16.89</v>
      </c>
      <c r="G1375">
        <v>15.79</v>
      </c>
      <c r="H1375">
        <v>32.69</v>
      </c>
      <c r="I1375" t="s">
        <v>344</v>
      </c>
      <c r="J1375">
        <v>121.79</v>
      </c>
      <c r="K1375">
        <v>-5.71</v>
      </c>
      <c r="L1375" t="s">
        <v>346</v>
      </c>
      <c r="M1375" s="1">
        <v>5.7099999999999998E-2</v>
      </c>
      <c r="N1375" t="s">
        <v>350</v>
      </c>
      <c r="O1375">
        <v>1.42</v>
      </c>
      <c r="P1375" t="s">
        <v>343</v>
      </c>
      <c r="Q1375">
        <v>1.58</v>
      </c>
      <c r="R1375" t="s">
        <v>343</v>
      </c>
      <c r="S1375">
        <v>1</v>
      </c>
    </row>
    <row r="1376" spans="1:19" x14ac:dyDescent="0.25">
      <c r="A1376" t="s">
        <v>37</v>
      </c>
      <c r="B1376" t="s">
        <v>126</v>
      </c>
      <c r="C1376">
        <v>1360</v>
      </c>
      <c r="D1376" t="s">
        <v>342</v>
      </c>
      <c r="E1376">
        <v>24.15</v>
      </c>
      <c r="F1376">
        <v>16.89</v>
      </c>
      <c r="G1376">
        <v>14.7</v>
      </c>
      <c r="H1376">
        <v>31.6</v>
      </c>
      <c r="I1376" t="s">
        <v>344</v>
      </c>
      <c r="J1376">
        <v>120.58</v>
      </c>
      <c r="K1376">
        <v>-6.07</v>
      </c>
      <c r="L1376" t="s">
        <v>346</v>
      </c>
      <c r="M1376" s="1">
        <v>6.0699999999999997E-2</v>
      </c>
      <c r="N1376" t="s">
        <v>350</v>
      </c>
      <c r="O1376">
        <v>0.98</v>
      </c>
      <c r="P1376" t="s">
        <v>343</v>
      </c>
      <c r="Q1376">
        <v>1.1000000000000001</v>
      </c>
      <c r="R1376" t="s">
        <v>343</v>
      </c>
      <c r="S1376">
        <v>1</v>
      </c>
    </row>
    <row r="1377" spans="1:19" x14ac:dyDescent="0.25">
      <c r="A1377" t="s">
        <v>37</v>
      </c>
      <c r="B1377" t="s">
        <v>127</v>
      </c>
      <c r="C1377">
        <v>1380</v>
      </c>
      <c r="D1377" t="s">
        <v>342</v>
      </c>
      <c r="E1377">
        <v>24.15</v>
      </c>
      <c r="F1377">
        <v>15.2</v>
      </c>
      <c r="G1377">
        <v>16.05</v>
      </c>
      <c r="H1377">
        <v>31.25</v>
      </c>
      <c r="I1377" t="s">
        <v>344</v>
      </c>
      <c r="J1377">
        <v>117.92</v>
      </c>
      <c r="K1377">
        <v>-13.28</v>
      </c>
      <c r="L1377" t="s">
        <v>348</v>
      </c>
      <c r="M1377" s="1">
        <v>0.1328</v>
      </c>
      <c r="N1377" t="s">
        <v>350</v>
      </c>
      <c r="O1377">
        <v>-0.44</v>
      </c>
      <c r="P1377" t="s">
        <v>343</v>
      </c>
      <c r="Q1377">
        <v>0.72</v>
      </c>
      <c r="R1377" t="s">
        <v>343</v>
      </c>
      <c r="S1377">
        <v>1</v>
      </c>
    </row>
    <row r="1378" spans="1:19" x14ac:dyDescent="0.25">
      <c r="A1378" t="s">
        <v>37</v>
      </c>
      <c r="B1378" t="s">
        <v>128</v>
      </c>
      <c r="C1378">
        <v>1400</v>
      </c>
      <c r="D1378" t="s">
        <v>342</v>
      </c>
      <c r="E1378">
        <v>24.15</v>
      </c>
      <c r="F1378">
        <v>15.58</v>
      </c>
      <c r="G1378">
        <v>15.29</v>
      </c>
      <c r="H1378">
        <v>30.87</v>
      </c>
      <c r="I1378" t="s">
        <v>344</v>
      </c>
      <c r="J1378">
        <v>116.64</v>
      </c>
      <c r="K1378">
        <v>-6.4</v>
      </c>
      <c r="L1378" t="s">
        <v>346</v>
      </c>
      <c r="M1378" s="1">
        <v>6.4000000000000001E-2</v>
      </c>
      <c r="N1378" t="s">
        <v>350</v>
      </c>
      <c r="O1378">
        <v>1.01</v>
      </c>
      <c r="P1378" t="s">
        <v>343</v>
      </c>
      <c r="Q1378">
        <v>-0.16</v>
      </c>
      <c r="R1378" t="s">
        <v>343</v>
      </c>
      <c r="S1378">
        <v>1</v>
      </c>
    </row>
    <row r="1379" spans="1:19" x14ac:dyDescent="0.25">
      <c r="A1379" t="s">
        <v>37</v>
      </c>
      <c r="B1379" t="s">
        <v>129</v>
      </c>
      <c r="C1379">
        <v>1420</v>
      </c>
      <c r="D1379" t="s">
        <v>342</v>
      </c>
      <c r="E1379">
        <v>24.15</v>
      </c>
      <c r="F1379">
        <v>16.73</v>
      </c>
      <c r="G1379">
        <v>13.25</v>
      </c>
      <c r="H1379">
        <v>29.98</v>
      </c>
      <c r="I1379" t="s">
        <v>344</v>
      </c>
      <c r="J1379">
        <v>115.51</v>
      </c>
      <c r="K1379">
        <v>-5.67</v>
      </c>
      <c r="L1379" t="s">
        <v>346</v>
      </c>
      <c r="M1379" s="1">
        <v>5.67E-2</v>
      </c>
      <c r="N1379" t="s">
        <v>350</v>
      </c>
      <c r="O1379">
        <v>1.1599999999999999</v>
      </c>
      <c r="P1379" t="s">
        <v>343</v>
      </c>
      <c r="Q1379">
        <v>0.17</v>
      </c>
      <c r="R1379" t="s">
        <v>343</v>
      </c>
      <c r="S1379">
        <v>1</v>
      </c>
    </row>
    <row r="1380" spans="1:19" x14ac:dyDescent="0.25">
      <c r="A1380" t="s">
        <v>37</v>
      </c>
      <c r="B1380" t="s">
        <v>130</v>
      </c>
      <c r="C1380">
        <v>1440</v>
      </c>
      <c r="D1380" t="s">
        <v>342</v>
      </c>
      <c r="E1380">
        <v>24.15</v>
      </c>
      <c r="F1380">
        <v>16.670000000000002</v>
      </c>
      <c r="G1380">
        <v>13.41</v>
      </c>
      <c r="H1380">
        <v>30.08</v>
      </c>
      <c r="I1380" t="s">
        <v>344</v>
      </c>
      <c r="J1380">
        <v>114.64</v>
      </c>
      <c r="K1380">
        <v>-4.32</v>
      </c>
      <c r="L1380" t="s">
        <v>346</v>
      </c>
      <c r="M1380" s="1">
        <v>4.3200000000000002E-2</v>
      </c>
      <c r="N1380" t="s">
        <v>350</v>
      </c>
      <c r="O1380">
        <v>0.03</v>
      </c>
      <c r="P1380" t="s">
        <v>343</v>
      </c>
      <c r="Q1380">
        <v>0.65</v>
      </c>
      <c r="R1380" t="s">
        <v>343</v>
      </c>
      <c r="S1380">
        <v>1</v>
      </c>
    </row>
    <row r="1381" spans="1:19" x14ac:dyDescent="0.25">
      <c r="A1381" t="s">
        <v>37</v>
      </c>
      <c r="B1381" t="s">
        <v>131</v>
      </c>
      <c r="C1381">
        <v>1460</v>
      </c>
      <c r="D1381" t="s">
        <v>342</v>
      </c>
      <c r="E1381">
        <v>24.15</v>
      </c>
      <c r="F1381">
        <v>15.61</v>
      </c>
      <c r="G1381">
        <v>13.32</v>
      </c>
      <c r="H1381">
        <v>28.93</v>
      </c>
      <c r="I1381" t="s">
        <v>344</v>
      </c>
      <c r="J1381">
        <v>113.81</v>
      </c>
      <c r="K1381">
        <v>-4.17</v>
      </c>
      <c r="L1381" t="s">
        <v>346</v>
      </c>
      <c r="M1381" s="1">
        <v>4.1700000000000001E-2</v>
      </c>
      <c r="N1381" t="s">
        <v>350</v>
      </c>
      <c r="O1381">
        <v>0.01</v>
      </c>
      <c r="P1381" t="s">
        <v>343</v>
      </c>
      <c r="Q1381">
        <v>0.52</v>
      </c>
      <c r="R1381" t="s">
        <v>343</v>
      </c>
      <c r="S1381">
        <v>1</v>
      </c>
    </row>
    <row r="1382" spans="1:19" x14ac:dyDescent="0.25">
      <c r="A1382" t="s">
        <v>37</v>
      </c>
      <c r="B1382" t="s">
        <v>132</v>
      </c>
      <c r="C1382">
        <v>1480</v>
      </c>
      <c r="D1382" t="s">
        <v>342</v>
      </c>
      <c r="E1382">
        <v>24.15</v>
      </c>
      <c r="F1382">
        <v>16.12</v>
      </c>
      <c r="G1382">
        <v>13.67</v>
      </c>
      <c r="H1382">
        <v>29.8</v>
      </c>
      <c r="I1382" t="s">
        <v>344</v>
      </c>
      <c r="J1382">
        <v>112.89</v>
      </c>
      <c r="K1382">
        <v>-4.6100000000000003</v>
      </c>
      <c r="L1382" t="s">
        <v>346</v>
      </c>
      <c r="M1382" s="1">
        <v>4.6100000000000002E-2</v>
      </c>
      <c r="N1382" t="s">
        <v>350</v>
      </c>
      <c r="O1382">
        <v>0.31</v>
      </c>
      <c r="P1382" t="s">
        <v>343</v>
      </c>
      <c r="Q1382">
        <v>0.95</v>
      </c>
      <c r="R1382" t="s">
        <v>343</v>
      </c>
      <c r="S1382">
        <v>1</v>
      </c>
    </row>
    <row r="1383" spans="1:19" x14ac:dyDescent="0.25">
      <c r="A1383" t="s">
        <v>37</v>
      </c>
      <c r="B1383" t="s">
        <v>133</v>
      </c>
      <c r="C1383">
        <v>1500</v>
      </c>
      <c r="D1383" t="s">
        <v>342</v>
      </c>
      <c r="E1383">
        <v>24.15</v>
      </c>
      <c r="F1383">
        <v>14.75</v>
      </c>
      <c r="G1383">
        <v>11.82</v>
      </c>
      <c r="H1383">
        <v>26.57</v>
      </c>
      <c r="I1383" t="s">
        <v>344</v>
      </c>
      <c r="J1383">
        <v>111.92</v>
      </c>
      <c r="K1383">
        <v>-4.8600000000000003</v>
      </c>
      <c r="L1383" t="s">
        <v>346</v>
      </c>
      <c r="M1383" s="1">
        <v>4.8599999999999997E-2</v>
      </c>
      <c r="N1383" t="s">
        <v>350</v>
      </c>
      <c r="O1383">
        <v>1.51</v>
      </c>
      <c r="P1383" t="s">
        <v>343</v>
      </c>
      <c r="Q1383">
        <v>1.22</v>
      </c>
      <c r="R1383" t="s">
        <v>343</v>
      </c>
      <c r="S1383">
        <v>1</v>
      </c>
    </row>
    <row r="1384" spans="1:19" x14ac:dyDescent="0.25">
      <c r="A1384" t="s">
        <v>37</v>
      </c>
      <c r="B1384" t="s">
        <v>134</v>
      </c>
      <c r="C1384">
        <v>1520</v>
      </c>
      <c r="D1384" t="s">
        <v>342</v>
      </c>
      <c r="E1384">
        <v>24.15</v>
      </c>
      <c r="F1384">
        <v>16.760000000000002</v>
      </c>
      <c r="G1384">
        <v>10.53</v>
      </c>
      <c r="H1384">
        <v>27.3</v>
      </c>
      <c r="I1384" t="s">
        <v>344</v>
      </c>
      <c r="J1384">
        <v>110.52</v>
      </c>
      <c r="K1384">
        <v>-6.98</v>
      </c>
      <c r="L1384" t="s">
        <v>346</v>
      </c>
      <c r="M1384" s="1">
        <v>6.9800000000000001E-2</v>
      </c>
      <c r="N1384" t="s">
        <v>350</v>
      </c>
      <c r="O1384">
        <v>-0.28000000000000003</v>
      </c>
      <c r="P1384" t="s">
        <v>343</v>
      </c>
      <c r="Q1384">
        <v>0.89</v>
      </c>
      <c r="R1384" t="s">
        <v>343</v>
      </c>
      <c r="S1384">
        <v>1</v>
      </c>
    </row>
    <row r="1385" spans="1:19" x14ac:dyDescent="0.25">
      <c r="A1385" t="s">
        <v>37</v>
      </c>
      <c r="B1385" t="s">
        <v>135</v>
      </c>
      <c r="C1385">
        <v>1540</v>
      </c>
      <c r="D1385" t="s">
        <v>342</v>
      </c>
      <c r="E1385">
        <v>24.15</v>
      </c>
      <c r="F1385">
        <v>17.43</v>
      </c>
      <c r="G1385">
        <v>10.91</v>
      </c>
      <c r="H1385">
        <v>28.33</v>
      </c>
      <c r="I1385" t="s">
        <v>344</v>
      </c>
      <c r="J1385">
        <v>109.13</v>
      </c>
      <c r="K1385">
        <v>-6.92</v>
      </c>
      <c r="L1385" t="s">
        <v>346</v>
      </c>
      <c r="M1385" s="1">
        <v>6.9199999999999998E-2</v>
      </c>
      <c r="N1385" t="s">
        <v>350</v>
      </c>
      <c r="O1385">
        <v>1.26</v>
      </c>
      <c r="P1385" t="s">
        <v>343</v>
      </c>
      <c r="Q1385">
        <v>1.98</v>
      </c>
      <c r="R1385" t="s">
        <v>343</v>
      </c>
      <c r="S1385">
        <v>1</v>
      </c>
    </row>
    <row r="1386" spans="1:19" x14ac:dyDescent="0.25">
      <c r="A1386" t="s">
        <v>37</v>
      </c>
      <c r="B1386" t="s">
        <v>136</v>
      </c>
      <c r="C1386">
        <v>1560</v>
      </c>
      <c r="D1386" t="s">
        <v>342</v>
      </c>
      <c r="E1386">
        <v>24.15</v>
      </c>
      <c r="F1386">
        <v>16.91</v>
      </c>
      <c r="G1386">
        <v>10.77</v>
      </c>
      <c r="H1386">
        <v>27.68</v>
      </c>
      <c r="I1386" t="s">
        <v>344</v>
      </c>
      <c r="J1386">
        <v>107.75</v>
      </c>
      <c r="K1386">
        <v>-6.92</v>
      </c>
      <c r="L1386" t="s">
        <v>346</v>
      </c>
      <c r="M1386" s="1">
        <v>6.9199999999999998E-2</v>
      </c>
      <c r="N1386" t="s">
        <v>350</v>
      </c>
      <c r="O1386">
        <v>1.36</v>
      </c>
      <c r="P1386" t="s">
        <v>343</v>
      </c>
      <c r="Q1386">
        <v>2.34</v>
      </c>
      <c r="R1386" t="s">
        <v>344</v>
      </c>
      <c r="S1386">
        <v>1</v>
      </c>
    </row>
    <row r="1387" spans="1:19" x14ac:dyDescent="0.25">
      <c r="A1387" t="s">
        <v>37</v>
      </c>
      <c r="B1387" t="s">
        <v>137</v>
      </c>
      <c r="C1387">
        <v>1580</v>
      </c>
      <c r="D1387" t="s">
        <v>342</v>
      </c>
      <c r="E1387">
        <v>24.15</v>
      </c>
      <c r="F1387">
        <v>16.62</v>
      </c>
      <c r="G1387">
        <v>9.34</v>
      </c>
      <c r="H1387">
        <v>25.96</v>
      </c>
      <c r="I1387" t="s">
        <v>344</v>
      </c>
      <c r="J1387">
        <v>106.48</v>
      </c>
      <c r="K1387">
        <v>-6.34</v>
      </c>
      <c r="L1387" t="s">
        <v>346</v>
      </c>
      <c r="M1387" s="1">
        <v>6.3399999999999998E-2</v>
      </c>
      <c r="N1387" t="s">
        <v>350</v>
      </c>
      <c r="O1387">
        <v>1.75</v>
      </c>
      <c r="P1387" t="s">
        <v>343</v>
      </c>
      <c r="Q1387">
        <v>1.83</v>
      </c>
      <c r="R1387" t="s">
        <v>343</v>
      </c>
      <c r="S1387">
        <v>1</v>
      </c>
    </row>
    <row r="1388" spans="1:19" x14ac:dyDescent="0.25">
      <c r="A1388" t="s">
        <v>37</v>
      </c>
      <c r="B1388" t="s">
        <v>138</v>
      </c>
      <c r="C1388">
        <v>1600</v>
      </c>
      <c r="D1388" t="s">
        <v>342</v>
      </c>
      <c r="E1388">
        <v>24.15</v>
      </c>
      <c r="F1388">
        <v>17.38</v>
      </c>
      <c r="G1388">
        <v>8.73</v>
      </c>
      <c r="H1388">
        <v>26.12</v>
      </c>
      <c r="I1388" t="s">
        <v>344</v>
      </c>
      <c r="J1388">
        <v>105.12</v>
      </c>
      <c r="K1388">
        <v>-6.84</v>
      </c>
      <c r="L1388" t="s">
        <v>346</v>
      </c>
      <c r="M1388" s="1">
        <v>6.8400000000000002E-2</v>
      </c>
      <c r="N1388" t="s">
        <v>350</v>
      </c>
      <c r="O1388">
        <v>1.18</v>
      </c>
      <c r="P1388" t="s">
        <v>343</v>
      </c>
      <c r="Q1388">
        <v>2.21</v>
      </c>
      <c r="R1388" t="s">
        <v>344</v>
      </c>
      <c r="S1388">
        <v>1</v>
      </c>
    </row>
    <row r="1389" spans="1:19" x14ac:dyDescent="0.25">
      <c r="A1389" t="s">
        <v>37</v>
      </c>
      <c r="B1389" t="s">
        <v>139</v>
      </c>
      <c r="C1389">
        <v>1620</v>
      </c>
      <c r="D1389" t="s">
        <v>342</v>
      </c>
      <c r="E1389">
        <v>24.15</v>
      </c>
      <c r="F1389">
        <v>18.34</v>
      </c>
      <c r="G1389">
        <v>9.58</v>
      </c>
      <c r="H1389">
        <v>27.93</v>
      </c>
      <c r="I1389" t="s">
        <v>344</v>
      </c>
      <c r="J1389">
        <v>103.65</v>
      </c>
      <c r="K1389">
        <v>-7.35</v>
      </c>
      <c r="L1389" t="s">
        <v>346</v>
      </c>
      <c r="M1389" s="1">
        <v>7.3499999999999996E-2</v>
      </c>
      <c r="N1389" t="s">
        <v>350</v>
      </c>
      <c r="O1389">
        <v>0.13</v>
      </c>
      <c r="P1389" t="s">
        <v>343</v>
      </c>
      <c r="Q1389">
        <v>3.8</v>
      </c>
      <c r="R1389" t="s">
        <v>344</v>
      </c>
      <c r="S1389">
        <v>1</v>
      </c>
    </row>
    <row r="1390" spans="1:19" x14ac:dyDescent="0.25">
      <c r="A1390" t="s">
        <v>37</v>
      </c>
      <c r="B1390" t="s">
        <v>140</v>
      </c>
      <c r="C1390">
        <v>1640</v>
      </c>
      <c r="D1390" t="s">
        <v>342</v>
      </c>
      <c r="E1390">
        <v>24.15</v>
      </c>
      <c r="F1390">
        <v>18.309999999999999</v>
      </c>
      <c r="G1390">
        <v>10.4</v>
      </c>
      <c r="H1390">
        <v>28.71</v>
      </c>
      <c r="I1390" t="s">
        <v>344</v>
      </c>
      <c r="J1390">
        <v>102.2</v>
      </c>
      <c r="K1390">
        <v>-7.24</v>
      </c>
      <c r="L1390" t="s">
        <v>346</v>
      </c>
      <c r="M1390" s="1">
        <v>7.2400000000000006E-2</v>
      </c>
      <c r="N1390" t="s">
        <v>350</v>
      </c>
      <c r="O1390">
        <v>-0.12</v>
      </c>
      <c r="P1390" t="s">
        <v>343</v>
      </c>
      <c r="Q1390">
        <v>3.55</v>
      </c>
      <c r="R1390" t="s">
        <v>344</v>
      </c>
      <c r="S1390">
        <v>1</v>
      </c>
    </row>
    <row r="1391" spans="1:19" x14ac:dyDescent="0.25">
      <c r="A1391" t="s">
        <v>37</v>
      </c>
      <c r="B1391" t="s">
        <v>141</v>
      </c>
      <c r="C1391">
        <v>1660</v>
      </c>
      <c r="D1391" t="s">
        <v>342</v>
      </c>
      <c r="E1391">
        <v>24.15</v>
      </c>
      <c r="F1391">
        <v>18.309999999999999</v>
      </c>
      <c r="G1391">
        <v>10.93</v>
      </c>
      <c r="H1391">
        <v>29.25</v>
      </c>
      <c r="I1391" t="s">
        <v>344</v>
      </c>
      <c r="J1391">
        <v>100.85</v>
      </c>
      <c r="K1391">
        <v>-6.75</v>
      </c>
      <c r="L1391" t="s">
        <v>346</v>
      </c>
      <c r="M1391" s="1">
        <v>6.7500000000000004E-2</v>
      </c>
      <c r="N1391" t="s">
        <v>350</v>
      </c>
      <c r="O1391">
        <v>0.16</v>
      </c>
      <c r="P1391" t="s">
        <v>343</v>
      </c>
      <c r="Q1391">
        <v>1.1499999999999999</v>
      </c>
      <c r="R1391" t="s">
        <v>343</v>
      </c>
      <c r="S1391">
        <v>1</v>
      </c>
    </row>
    <row r="1392" spans="1:19" x14ac:dyDescent="0.25">
      <c r="A1392" t="s">
        <v>37</v>
      </c>
      <c r="B1392" t="s">
        <v>142</v>
      </c>
      <c r="C1392">
        <v>1680</v>
      </c>
      <c r="D1392" t="s">
        <v>342</v>
      </c>
      <c r="E1392">
        <v>24.15</v>
      </c>
      <c r="F1392">
        <v>17.350000000000001</v>
      </c>
      <c r="G1392">
        <v>10.93</v>
      </c>
      <c r="H1392">
        <v>28.29</v>
      </c>
      <c r="I1392" t="s">
        <v>344</v>
      </c>
      <c r="J1392">
        <v>99.36</v>
      </c>
      <c r="K1392">
        <v>-7.45</v>
      </c>
      <c r="L1392" t="s">
        <v>346</v>
      </c>
      <c r="M1392" s="1">
        <v>7.4499999999999997E-2</v>
      </c>
      <c r="N1392" t="s">
        <v>350</v>
      </c>
      <c r="O1392">
        <v>0.24</v>
      </c>
      <c r="P1392" t="s">
        <v>343</v>
      </c>
      <c r="Q1392">
        <v>1.03</v>
      </c>
      <c r="R1392" t="s">
        <v>343</v>
      </c>
      <c r="S1392">
        <v>1</v>
      </c>
    </row>
    <row r="1393" spans="1:19" x14ac:dyDescent="0.25">
      <c r="A1393" t="s">
        <v>37</v>
      </c>
      <c r="B1393" t="s">
        <v>143</v>
      </c>
      <c r="C1393">
        <v>1700</v>
      </c>
      <c r="D1393" t="s">
        <v>342</v>
      </c>
      <c r="E1393">
        <v>24.15</v>
      </c>
      <c r="F1393">
        <v>17.36</v>
      </c>
      <c r="G1393">
        <v>9.77</v>
      </c>
      <c r="H1393">
        <v>27.14</v>
      </c>
      <c r="I1393" t="s">
        <v>344</v>
      </c>
      <c r="J1393">
        <v>97.86</v>
      </c>
      <c r="K1393">
        <v>-7.51</v>
      </c>
      <c r="L1393" t="s">
        <v>346</v>
      </c>
      <c r="M1393" s="1">
        <v>7.51E-2</v>
      </c>
      <c r="N1393" t="s">
        <v>350</v>
      </c>
      <c r="O1393">
        <v>0.5</v>
      </c>
      <c r="P1393" t="s">
        <v>343</v>
      </c>
      <c r="Q1393">
        <v>3.66</v>
      </c>
      <c r="R1393" t="s">
        <v>344</v>
      </c>
      <c r="S1393">
        <v>1</v>
      </c>
    </row>
    <row r="1394" spans="1:19" x14ac:dyDescent="0.25">
      <c r="A1394" t="s">
        <v>37</v>
      </c>
      <c r="B1394" t="s">
        <v>144</v>
      </c>
      <c r="C1394">
        <v>1720</v>
      </c>
      <c r="D1394" t="s">
        <v>342</v>
      </c>
      <c r="E1394">
        <v>24.15</v>
      </c>
      <c r="F1394">
        <v>16.29</v>
      </c>
      <c r="G1394">
        <v>10.91</v>
      </c>
      <c r="H1394">
        <v>27.2</v>
      </c>
      <c r="I1394" t="s">
        <v>344</v>
      </c>
      <c r="J1394">
        <v>96.26</v>
      </c>
      <c r="K1394">
        <v>-7.98</v>
      </c>
      <c r="L1394" t="s">
        <v>346</v>
      </c>
      <c r="M1394" s="1">
        <v>7.980000000000001E-2</v>
      </c>
      <c r="N1394" t="s">
        <v>350</v>
      </c>
      <c r="O1394">
        <v>-0.06</v>
      </c>
      <c r="P1394" t="s">
        <v>343</v>
      </c>
      <c r="Q1394">
        <v>3.59</v>
      </c>
      <c r="R1394" t="s">
        <v>344</v>
      </c>
      <c r="S1394">
        <v>1</v>
      </c>
    </row>
    <row r="1395" spans="1:19" x14ac:dyDescent="0.25">
      <c r="A1395" t="s">
        <v>37</v>
      </c>
      <c r="B1395" t="s">
        <v>145</v>
      </c>
      <c r="C1395">
        <v>1740</v>
      </c>
      <c r="D1395" t="s">
        <v>342</v>
      </c>
      <c r="E1395">
        <v>24.15</v>
      </c>
      <c r="F1395">
        <v>16.86</v>
      </c>
      <c r="G1395">
        <v>10.96</v>
      </c>
      <c r="H1395">
        <v>27.82</v>
      </c>
      <c r="I1395" t="s">
        <v>344</v>
      </c>
      <c r="J1395">
        <v>94.82</v>
      </c>
      <c r="K1395">
        <v>-7.23</v>
      </c>
      <c r="L1395" t="s">
        <v>346</v>
      </c>
      <c r="M1395" s="1">
        <v>7.2300000000000003E-2</v>
      </c>
      <c r="N1395" t="s">
        <v>350</v>
      </c>
      <c r="O1395">
        <v>0.77</v>
      </c>
      <c r="P1395" t="s">
        <v>343</v>
      </c>
      <c r="Q1395">
        <v>3.95</v>
      </c>
      <c r="R1395" t="s">
        <v>344</v>
      </c>
      <c r="S1395">
        <v>1</v>
      </c>
    </row>
    <row r="1396" spans="1:19" x14ac:dyDescent="0.25">
      <c r="A1396" t="s">
        <v>37</v>
      </c>
      <c r="B1396" t="s">
        <v>146</v>
      </c>
      <c r="C1396">
        <v>1760</v>
      </c>
      <c r="D1396" t="s">
        <v>342</v>
      </c>
      <c r="E1396">
        <v>24.15</v>
      </c>
      <c r="F1396">
        <v>16.440000000000001</v>
      </c>
      <c r="G1396">
        <v>11.71</v>
      </c>
      <c r="H1396">
        <v>28.15</v>
      </c>
      <c r="I1396" t="s">
        <v>344</v>
      </c>
      <c r="J1396">
        <v>93.26</v>
      </c>
      <c r="K1396">
        <v>-7.77</v>
      </c>
      <c r="L1396" t="s">
        <v>346</v>
      </c>
      <c r="M1396" s="1">
        <v>7.7699999999999991E-2</v>
      </c>
      <c r="N1396" t="s">
        <v>350</v>
      </c>
      <c r="O1396">
        <v>2.21</v>
      </c>
      <c r="P1396" t="s">
        <v>344</v>
      </c>
      <c r="Q1396">
        <v>2.73</v>
      </c>
      <c r="R1396" t="s">
        <v>344</v>
      </c>
      <c r="S1396">
        <v>1</v>
      </c>
    </row>
    <row r="1397" spans="1:19" x14ac:dyDescent="0.25">
      <c r="A1397" t="s">
        <v>37</v>
      </c>
      <c r="B1397" t="s">
        <v>147</v>
      </c>
      <c r="C1397">
        <v>1780</v>
      </c>
      <c r="D1397" t="s">
        <v>342</v>
      </c>
      <c r="E1397">
        <v>24.15</v>
      </c>
      <c r="F1397">
        <v>16.3</v>
      </c>
      <c r="G1397">
        <v>12.55</v>
      </c>
      <c r="H1397">
        <v>28.85</v>
      </c>
      <c r="I1397" t="s">
        <v>344</v>
      </c>
      <c r="J1397">
        <v>91.65</v>
      </c>
      <c r="K1397">
        <v>-8.08</v>
      </c>
      <c r="L1397" t="s">
        <v>347</v>
      </c>
      <c r="M1397" s="1">
        <v>8.0799999999999997E-2</v>
      </c>
      <c r="N1397" t="s">
        <v>350</v>
      </c>
      <c r="O1397">
        <v>1.96</v>
      </c>
      <c r="P1397" t="s">
        <v>343</v>
      </c>
      <c r="Q1397">
        <v>1.96</v>
      </c>
      <c r="R1397" t="s">
        <v>343</v>
      </c>
      <c r="S1397">
        <v>1</v>
      </c>
    </row>
    <row r="1398" spans="1:19" x14ac:dyDescent="0.25">
      <c r="A1398" t="s">
        <v>37</v>
      </c>
      <c r="B1398" t="s">
        <v>148</v>
      </c>
      <c r="C1398">
        <v>1800</v>
      </c>
      <c r="D1398" t="s">
        <v>342</v>
      </c>
      <c r="E1398">
        <v>24.15</v>
      </c>
      <c r="F1398">
        <v>17.18</v>
      </c>
      <c r="G1398">
        <v>13.78</v>
      </c>
      <c r="H1398">
        <v>30.96</v>
      </c>
      <c r="I1398" t="s">
        <v>344</v>
      </c>
      <c r="J1398">
        <v>89.94</v>
      </c>
      <c r="K1398">
        <v>-8.5399999999999991</v>
      </c>
      <c r="L1398" t="s">
        <v>347</v>
      </c>
      <c r="M1398" s="1">
        <v>8.539999999999999E-2</v>
      </c>
      <c r="N1398" t="s">
        <v>350</v>
      </c>
      <c r="O1398">
        <v>0.42</v>
      </c>
      <c r="P1398" t="s">
        <v>343</v>
      </c>
      <c r="Q1398">
        <v>1.31</v>
      </c>
      <c r="R1398" t="s">
        <v>343</v>
      </c>
      <c r="S1398">
        <v>1</v>
      </c>
    </row>
    <row r="1399" spans="1:19" x14ac:dyDescent="0.25">
      <c r="A1399" t="s">
        <v>37</v>
      </c>
      <c r="B1399" t="s">
        <v>149</v>
      </c>
      <c r="C1399">
        <v>1820</v>
      </c>
      <c r="D1399" t="s">
        <v>342</v>
      </c>
      <c r="E1399">
        <v>24.15</v>
      </c>
      <c r="F1399">
        <v>16.95</v>
      </c>
      <c r="G1399">
        <v>13.78</v>
      </c>
      <c r="H1399">
        <v>30.72</v>
      </c>
      <c r="I1399" t="s">
        <v>344</v>
      </c>
      <c r="J1399">
        <v>88.39</v>
      </c>
      <c r="K1399">
        <v>-7.75</v>
      </c>
      <c r="L1399" t="s">
        <v>346</v>
      </c>
      <c r="M1399" s="1">
        <v>7.7499999999999999E-2</v>
      </c>
      <c r="N1399" t="s">
        <v>350</v>
      </c>
      <c r="O1399">
        <v>1.2</v>
      </c>
      <c r="P1399" t="s">
        <v>343</v>
      </c>
      <c r="Q1399">
        <v>-0.33</v>
      </c>
      <c r="R1399" t="s">
        <v>343</v>
      </c>
      <c r="S1399">
        <v>1</v>
      </c>
    </row>
    <row r="1400" spans="1:19" x14ac:dyDescent="0.25">
      <c r="A1400" t="s">
        <v>37</v>
      </c>
      <c r="B1400" t="s">
        <v>150</v>
      </c>
      <c r="C1400">
        <v>1840</v>
      </c>
      <c r="D1400" t="s">
        <v>342</v>
      </c>
      <c r="E1400">
        <v>24.15</v>
      </c>
      <c r="F1400">
        <v>17.399999999999999</v>
      </c>
      <c r="G1400">
        <v>13.15</v>
      </c>
      <c r="H1400">
        <v>30.55</v>
      </c>
      <c r="I1400" t="s">
        <v>344</v>
      </c>
      <c r="J1400">
        <v>87.01</v>
      </c>
      <c r="K1400">
        <v>-6.87</v>
      </c>
      <c r="L1400" t="s">
        <v>346</v>
      </c>
      <c r="M1400" s="1">
        <v>6.8699999999999997E-2</v>
      </c>
      <c r="N1400" t="s">
        <v>350</v>
      </c>
      <c r="O1400">
        <v>1.63</v>
      </c>
      <c r="P1400" t="s">
        <v>343</v>
      </c>
      <c r="Q1400">
        <v>0.67</v>
      </c>
      <c r="R1400" t="s">
        <v>343</v>
      </c>
      <c r="S1400">
        <v>1</v>
      </c>
    </row>
    <row r="1401" spans="1:19" x14ac:dyDescent="0.25">
      <c r="A1401" t="s">
        <v>37</v>
      </c>
      <c r="B1401" t="s">
        <v>151</v>
      </c>
      <c r="C1401">
        <v>1860</v>
      </c>
      <c r="D1401" t="s">
        <v>342</v>
      </c>
      <c r="E1401">
        <v>24.15</v>
      </c>
      <c r="F1401">
        <v>16.850000000000001</v>
      </c>
      <c r="G1401">
        <v>12.43</v>
      </c>
      <c r="H1401">
        <v>29.27</v>
      </c>
      <c r="I1401" t="s">
        <v>344</v>
      </c>
      <c r="J1401">
        <v>85.46</v>
      </c>
      <c r="K1401">
        <v>-7.76</v>
      </c>
      <c r="L1401" t="s">
        <v>346</v>
      </c>
      <c r="M1401" s="1">
        <v>7.7600000000000002E-2</v>
      </c>
      <c r="N1401" t="s">
        <v>350</v>
      </c>
      <c r="O1401">
        <v>1.46</v>
      </c>
      <c r="P1401" t="s">
        <v>343</v>
      </c>
      <c r="Q1401">
        <v>0.82</v>
      </c>
      <c r="R1401" t="s">
        <v>343</v>
      </c>
      <c r="S1401">
        <v>1</v>
      </c>
    </row>
    <row r="1402" spans="1:19" x14ac:dyDescent="0.25">
      <c r="A1402" t="s">
        <v>37</v>
      </c>
      <c r="B1402" t="s">
        <v>152</v>
      </c>
      <c r="C1402">
        <v>1880</v>
      </c>
      <c r="D1402" t="s">
        <v>342</v>
      </c>
      <c r="E1402">
        <v>24.15</v>
      </c>
      <c r="F1402">
        <v>17.420000000000002</v>
      </c>
      <c r="G1402">
        <v>11.87</v>
      </c>
      <c r="H1402">
        <v>29.29</v>
      </c>
      <c r="I1402" t="s">
        <v>344</v>
      </c>
      <c r="J1402">
        <v>84.03</v>
      </c>
      <c r="K1402">
        <v>-7.17</v>
      </c>
      <c r="L1402" t="s">
        <v>346</v>
      </c>
      <c r="M1402" s="1">
        <v>7.17E-2</v>
      </c>
      <c r="N1402" t="s">
        <v>350</v>
      </c>
      <c r="O1402">
        <v>1.5</v>
      </c>
      <c r="P1402" t="s">
        <v>343</v>
      </c>
      <c r="Q1402">
        <v>3.33</v>
      </c>
      <c r="R1402" t="s">
        <v>344</v>
      </c>
      <c r="S1402">
        <v>1</v>
      </c>
    </row>
    <row r="1403" spans="1:19" x14ac:dyDescent="0.25">
      <c r="A1403" t="s">
        <v>37</v>
      </c>
      <c r="B1403" t="s">
        <v>153</v>
      </c>
      <c r="C1403">
        <v>1900</v>
      </c>
      <c r="D1403" t="s">
        <v>342</v>
      </c>
      <c r="E1403">
        <v>24.15</v>
      </c>
      <c r="F1403">
        <v>18.21</v>
      </c>
      <c r="G1403">
        <v>11.05</v>
      </c>
      <c r="H1403">
        <v>29.26</v>
      </c>
      <c r="I1403" t="s">
        <v>344</v>
      </c>
      <c r="J1403">
        <v>82.45</v>
      </c>
      <c r="K1403">
        <v>-7.88</v>
      </c>
      <c r="L1403" t="s">
        <v>346</v>
      </c>
      <c r="M1403" s="1">
        <v>7.8799999999999995E-2</v>
      </c>
      <c r="N1403" t="s">
        <v>350</v>
      </c>
      <c r="O1403">
        <v>0.81</v>
      </c>
      <c r="P1403" t="s">
        <v>343</v>
      </c>
      <c r="Q1403">
        <v>2.81</v>
      </c>
      <c r="R1403" t="s">
        <v>344</v>
      </c>
      <c r="S1403">
        <v>1</v>
      </c>
    </row>
    <row r="1404" spans="1:19" x14ac:dyDescent="0.25">
      <c r="A1404" t="s">
        <v>37</v>
      </c>
      <c r="B1404" t="s">
        <v>154</v>
      </c>
      <c r="C1404">
        <v>1920</v>
      </c>
      <c r="D1404" t="s">
        <v>342</v>
      </c>
      <c r="E1404">
        <v>24.15</v>
      </c>
      <c r="F1404">
        <v>18.190000000000001</v>
      </c>
      <c r="G1404">
        <v>10.25</v>
      </c>
      <c r="H1404">
        <v>28.44</v>
      </c>
      <c r="I1404" t="s">
        <v>344</v>
      </c>
      <c r="J1404">
        <v>80.849999999999994</v>
      </c>
      <c r="K1404">
        <v>-8</v>
      </c>
      <c r="L1404" t="s">
        <v>347</v>
      </c>
      <c r="M1404" s="1">
        <v>0.08</v>
      </c>
      <c r="N1404" t="s">
        <v>350</v>
      </c>
      <c r="O1404">
        <v>0.21</v>
      </c>
      <c r="P1404" t="s">
        <v>343</v>
      </c>
      <c r="Q1404">
        <v>2.23</v>
      </c>
      <c r="R1404" t="s">
        <v>344</v>
      </c>
      <c r="S1404">
        <v>1</v>
      </c>
    </row>
    <row r="1405" spans="1:19" x14ac:dyDescent="0.25">
      <c r="A1405" t="s">
        <v>37</v>
      </c>
      <c r="B1405" t="s">
        <v>155</v>
      </c>
      <c r="C1405">
        <v>1940</v>
      </c>
      <c r="D1405" t="s">
        <v>342</v>
      </c>
      <c r="E1405">
        <v>24.15</v>
      </c>
      <c r="F1405">
        <v>18.22</v>
      </c>
      <c r="G1405">
        <v>10.039999999999999</v>
      </c>
      <c r="H1405">
        <v>28.26</v>
      </c>
      <c r="I1405" t="s">
        <v>344</v>
      </c>
      <c r="J1405">
        <v>79.41</v>
      </c>
      <c r="K1405">
        <v>-7.21</v>
      </c>
      <c r="L1405" t="s">
        <v>346</v>
      </c>
      <c r="M1405" s="1">
        <v>7.2099999999999997E-2</v>
      </c>
      <c r="N1405" t="s">
        <v>350</v>
      </c>
      <c r="O1405">
        <v>0.35</v>
      </c>
      <c r="P1405" t="s">
        <v>343</v>
      </c>
      <c r="Q1405">
        <v>2.57</v>
      </c>
      <c r="R1405" t="s">
        <v>344</v>
      </c>
      <c r="S1405">
        <v>1</v>
      </c>
    </row>
    <row r="1406" spans="1:19" x14ac:dyDescent="0.25">
      <c r="A1406" t="s">
        <v>37</v>
      </c>
      <c r="B1406" t="s">
        <v>156</v>
      </c>
      <c r="C1406">
        <v>1960</v>
      </c>
      <c r="D1406" t="s">
        <v>342</v>
      </c>
      <c r="E1406">
        <v>24.15</v>
      </c>
      <c r="F1406">
        <v>18.079999999999998</v>
      </c>
      <c r="G1406">
        <v>10.19</v>
      </c>
      <c r="H1406">
        <v>28.27</v>
      </c>
      <c r="I1406" t="s">
        <v>344</v>
      </c>
      <c r="J1406">
        <v>77.790000000000006</v>
      </c>
      <c r="K1406">
        <v>-8.1</v>
      </c>
      <c r="L1406" t="s">
        <v>347</v>
      </c>
      <c r="M1406" s="1">
        <v>8.1000000000000003E-2</v>
      </c>
      <c r="N1406" t="s">
        <v>350</v>
      </c>
      <c r="O1406">
        <v>-1.06</v>
      </c>
      <c r="P1406" t="s">
        <v>343</v>
      </c>
      <c r="Q1406">
        <v>3.76</v>
      </c>
      <c r="R1406" t="s">
        <v>344</v>
      </c>
      <c r="S1406">
        <v>1</v>
      </c>
    </row>
    <row r="1407" spans="1:19" x14ac:dyDescent="0.25">
      <c r="A1407" t="s">
        <v>37</v>
      </c>
      <c r="B1407" t="s">
        <v>157</v>
      </c>
      <c r="C1407">
        <v>1980</v>
      </c>
      <c r="D1407" t="s">
        <v>342</v>
      </c>
      <c r="E1407">
        <v>24.15</v>
      </c>
      <c r="F1407">
        <v>17.78</v>
      </c>
      <c r="G1407">
        <v>9.9</v>
      </c>
      <c r="H1407">
        <v>27.68</v>
      </c>
      <c r="I1407" t="s">
        <v>344</v>
      </c>
      <c r="J1407">
        <v>76.19</v>
      </c>
      <c r="K1407">
        <v>-8.01</v>
      </c>
      <c r="L1407" t="s">
        <v>347</v>
      </c>
      <c r="M1407" s="1">
        <v>8.0100000000000005E-2</v>
      </c>
      <c r="N1407" t="s">
        <v>350</v>
      </c>
      <c r="O1407">
        <v>-1.03</v>
      </c>
      <c r="P1407" t="s">
        <v>343</v>
      </c>
      <c r="Q1407">
        <v>3.18</v>
      </c>
      <c r="R1407" t="s">
        <v>344</v>
      </c>
      <c r="S1407">
        <v>1</v>
      </c>
    </row>
    <row r="1408" spans="1:19" x14ac:dyDescent="0.25">
      <c r="A1408" t="s">
        <v>37</v>
      </c>
      <c r="B1408" t="s">
        <v>158</v>
      </c>
      <c r="C1408">
        <v>2000</v>
      </c>
      <c r="D1408" t="s">
        <v>342</v>
      </c>
      <c r="E1408">
        <v>24.15</v>
      </c>
      <c r="F1408">
        <v>17.39</v>
      </c>
      <c r="G1408">
        <v>9.4600000000000009</v>
      </c>
      <c r="H1408">
        <v>26.85</v>
      </c>
      <c r="I1408" t="s">
        <v>344</v>
      </c>
      <c r="J1408">
        <v>74.67</v>
      </c>
      <c r="K1408">
        <v>-7.6</v>
      </c>
      <c r="L1408" t="s">
        <v>346</v>
      </c>
      <c r="M1408" s="1">
        <v>7.5999999999999998E-2</v>
      </c>
      <c r="N1408" t="s">
        <v>350</v>
      </c>
      <c r="O1408">
        <v>-0.48</v>
      </c>
      <c r="P1408" t="s">
        <v>343</v>
      </c>
      <c r="Q1408">
        <v>4.01</v>
      </c>
      <c r="R1408" t="s">
        <v>343</v>
      </c>
      <c r="S1408">
        <v>1</v>
      </c>
    </row>
    <row r="1409" spans="1:19" x14ac:dyDescent="0.25">
      <c r="A1409" t="s">
        <v>37</v>
      </c>
      <c r="B1409" t="s">
        <v>159</v>
      </c>
      <c r="C1409">
        <v>2020</v>
      </c>
      <c r="D1409" t="s">
        <v>342</v>
      </c>
      <c r="E1409">
        <v>24.15</v>
      </c>
      <c r="F1409">
        <v>20</v>
      </c>
      <c r="G1409">
        <v>9.7899999999999991</v>
      </c>
      <c r="H1409">
        <v>29.79</v>
      </c>
      <c r="I1409" t="s">
        <v>344</v>
      </c>
      <c r="J1409">
        <v>73.08</v>
      </c>
      <c r="K1409">
        <v>-7.92</v>
      </c>
      <c r="L1409" t="s">
        <v>346</v>
      </c>
      <c r="M1409" s="1">
        <v>7.9199999999999993E-2</v>
      </c>
      <c r="N1409" t="s">
        <v>350</v>
      </c>
      <c r="O1409">
        <v>-0.89</v>
      </c>
      <c r="P1409" t="s">
        <v>343</v>
      </c>
      <c r="Q1409">
        <v>2.92</v>
      </c>
      <c r="R1409" t="s">
        <v>344</v>
      </c>
      <c r="S1409">
        <v>1</v>
      </c>
    </row>
    <row r="1410" spans="1:19" x14ac:dyDescent="0.25">
      <c r="A1410" t="s">
        <v>37</v>
      </c>
      <c r="B1410" t="s">
        <v>160</v>
      </c>
      <c r="C1410">
        <v>2040</v>
      </c>
      <c r="D1410" t="s">
        <v>342</v>
      </c>
      <c r="E1410">
        <v>24.15</v>
      </c>
      <c r="F1410">
        <v>20</v>
      </c>
      <c r="G1410">
        <v>10.15</v>
      </c>
      <c r="H1410">
        <v>30.15</v>
      </c>
      <c r="I1410" t="s">
        <v>344</v>
      </c>
      <c r="J1410">
        <v>71.59</v>
      </c>
      <c r="K1410">
        <v>-7.47</v>
      </c>
      <c r="L1410" t="s">
        <v>346</v>
      </c>
      <c r="M1410" s="1">
        <v>7.4700000000000003E-2</v>
      </c>
      <c r="N1410" t="s">
        <v>350</v>
      </c>
      <c r="O1410">
        <v>-1.41</v>
      </c>
      <c r="P1410" t="s">
        <v>343</v>
      </c>
      <c r="Q1410">
        <v>3.29</v>
      </c>
      <c r="R1410" t="s">
        <v>344</v>
      </c>
      <c r="S1410">
        <v>1</v>
      </c>
    </row>
    <row r="1411" spans="1:19" x14ac:dyDescent="0.25">
      <c r="A1411" t="s">
        <v>37</v>
      </c>
      <c r="B1411" t="s">
        <v>161</v>
      </c>
      <c r="C1411">
        <v>2060</v>
      </c>
      <c r="D1411" t="s">
        <v>342</v>
      </c>
      <c r="E1411">
        <v>24.15</v>
      </c>
      <c r="F1411">
        <v>20</v>
      </c>
      <c r="G1411">
        <v>10.54</v>
      </c>
      <c r="H1411">
        <v>30.54</v>
      </c>
      <c r="I1411" t="s">
        <v>344</v>
      </c>
      <c r="J1411">
        <v>70.180000000000007</v>
      </c>
      <c r="K1411">
        <v>-7.04</v>
      </c>
      <c r="L1411" t="s">
        <v>346</v>
      </c>
      <c r="M1411" s="1">
        <v>7.0400000000000004E-2</v>
      </c>
      <c r="N1411" t="s">
        <v>350</v>
      </c>
      <c r="O1411">
        <v>-0.88</v>
      </c>
      <c r="P1411" t="s">
        <v>343</v>
      </c>
      <c r="Q1411">
        <v>1.51</v>
      </c>
      <c r="R1411" t="s">
        <v>343</v>
      </c>
      <c r="S1411">
        <v>1</v>
      </c>
    </row>
    <row r="1412" spans="1:19" x14ac:dyDescent="0.25">
      <c r="A1412" t="s">
        <v>37</v>
      </c>
      <c r="B1412" t="s">
        <v>162</v>
      </c>
      <c r="C1412">
        <v>2080</v>
      </c>
      <c r="D1412" t="s">
        <v>342</v>
      </c>
      <c r="E1412">
        <v>24.15</v>
      </c>
      <c r="F1412">
        <v>20</v>
      </c>
      <c r="G1412">
        <v>10.83</v>
      </c>
      <c r="H1412">
        <v>30.83</v>
      </c>
      <c r="I1412" t="s">
        <v>344</v>
      </c>
      <c r="J1412">
        <v>69.09</v>
      </c>
      <c r="K1412">
        <v>-5.45</v>
      </c>
      <c r="L1412" t="s">
        <v>346</v>
      </c>
      <c r="M1412" s="1">
        <v>5.45E-2</v>
      </c>
      <c r="N1412" t="s">
        <v>350</v>
      </c>
      <c r="O1412">
        <v>-0.61</v>
      </c>
      <c r="P1412" t="s">
        <v>343</v>
      </c>
      <c r="Q1412">
        <v>2.82</v>
      </c>
      <c r="R1412" t="s">
        <v>344</v>
      </c>
      <c r="S1412">
        <v>1</v>
      </c>
    </row>
    <row r="1413" spans="1:19" x14ac:dyDescent="0.25">
      <c r="A1413" t="s">
        <v>37</v>
      </c>
      <c r="B1413" t="s">
        <v>163</v>
      </c>
      <c r="C1413">
        <v>2100</v>
      </c>
      <c r="D1413" t="s">
        <v>342</v>
      </c>
      <c r="E1413">
        <v>24.15</v>
      </c>
      <c r="F1413">
        <v>17.03</v>
      </c>
      <c r="G1413">
        <v>11.31</v>
      </c>
      <c r="H1413">
        <v>28.34</v>
      </c>
      <c r="I1413" t="s">
        <v>344</v>
      </c>
      <c r="J1413">
        <v>67.94</v>
      </c>
      <c r="K1413">
        <v>-5.78</v>
      </c>
      <c r="L1413" t="s">
        <v>346</v>
      </c>
      <c r="M1413" s="1">
        <v>5.7799999999999997E-2</v>
      </c>
      <c r="N1413" t="s">
        <v>350</v>
      </c>
      <c r="O1413">
        <v>1.61</v>
      </c>
      <c r="P1413" t="s">
        <v>343</v>
      </c>
      <c r="Q1413">
        <v>1.76</v>
      </c>
      <c r="R1413" t="s">
        <v>343</v>
      </c>
      <c r="S1413">
        <v>1</v>
      </c>
    </row>
    <row r="1414" spans="1:19" x14ac:dyDescent="0.25">
      <c r="A1414" t="s">
        <v>37</v>
      </c>
      <c r="B1414" t="s">
        <v>164</v>
      </c>
      <c r="C1414">
        <v>2120</v>
      </c>
      <c r="D1414" t="s">
        <v>342</v>
      </c>
      <c r="E1414">
        <v>24.15</v>
      </c>
      <c r="F1414">
        <v>17.010000000000002</v>
      </c>
      <c r="G1414">
        <v>12.03</v>
      </c>
      <c r="H1414">
        <v>29.04</v>
      </c>
      <c r="I1414" t="s">
        <v>344</v>
      </c>
      <c r="J1414">
        <v>66.91</v>
      </c>
      <c r="K1414">
        <v>-5.12</v>
      </c>
      <c r="L1414" t="s">
        <v>346</v>
      </c>
      <c r="M1414" s="1">
        <v>5.1200000000000002E-2</v>
      </c>
      <c r="N1414" t="s">
        <v>350</v>
      </c>
      <c r="O1414">
        <v>2.27</v>
      </c>
      <c r="P1414" t="s">
        <v>344</v>
      </c>
      <c r="Q1414">
        <v>-0.39</v>
      </c>
      <c r="R1414" t="s">
        <v>343</v>
      </c>
      <c r="S1414">
        <v>1</v>
      </c>
    </row>
    <row r="1415" spans="1:19" x14ac:dyDescent="0.25">
      <c r="A1415" t="s">
        <v>37</v>
      </c>
      <c r="B1415" t="s">
        <v>170</v>
      </c>
      <c r="C1415">
        <v>2140</v>
      </c>
      <c r="D1415" t="s">
        <v>342</v>
      </c>
      <c r="E1415">
        <v>24.15</v>
      </c>
      <c r="F1415">
        <v>16.899999999999999</v>
      </c>
      <c r="G1415">
        <v>12.23</v>
      </c>
      <c r="H1415">
        <v>29.13</v>
      </c>
      <c r="I1415" t="s">
        <v>344</v>
      </c>
      <c r="J1415">
        <v>65.87</v>
      </c>
      <c r="K1415">
        <v>-5.22</v>
      </c>
      <c r="L1415" t="s">
        <v>346</v>
      </c>
      <c r="M1415" s="1">
        <v>5.2200000000000003E-2</v>
      </c>
      <c r="N1415" t="s">
        <v>350</v>
      </c>
      <c r="O1415">
        <v>1.57</v>
      </c>
      <c r="P1415" t="s">
        <v>343</v>
      </c>
      <c r="Q1415">
        <v>0.26</v>
      </c>
      <c r="R1415" t="s">
        <v>343</v>
      </c>
      <c r="S1415">
        <v>1</v>
      </c>
    </row>
    <row r="1416" spans="1:19" x14ac:dyDescent="0.25">
      <c r="A1416" t="s">
        <v>37</v>
      </c>
      <c r="B1416" t="s">
        <v>171</v>
      </c>
      <c r="C1416">
        <v>2160</v>
      </c>
      <c r="D1416" t="s">
        <v>342</v>
      </c>
      <c r="E1416">
        <v>24.15</v>
      </c>
      <c r="F1416">
        <v>17.29</v>
      </c>
      <c r="G1416">
        <v>13.03</v>
      </c>
      <c r="H1416">
        <v>30.32</v>
      </c>
      <c r="I1416" t="s">
        <v>344</v>
      </c>
      <c r="J1416">
        <v>64.97</v>
      </c>
      <c r="K1416">
        <v>-4.51</v>
      </c>
      <c r="L1416" t="s">
        <v>346</v>
      </c>
      <c r="M1416" s="1">
        <v>4.5100000000000001E-2</v>
      </c>
      <c r="N1416" t="s">
        <v>350</v>
      </c>
      <c r="O1416">
        <v>2.23</v>
      </c>
      <c r="P1416" t="s">
        <v>344</v>
      </c>
      <c r="Q1416">
        <v>3.26</v>
      </c>
      <c r="R1416" t="s">
        <v>344</v>
      </c>
      <c r="S1416">
        <v>1</v>
      </c>
    </row>
    <row r="1417" spans="1:19" x14ac:dyDescent="0.25">
      <c r="A1417" t="s">
        <v>37</v>
      </c>
      <c r="B1417" t="s">
        <v>172</v>
      </c>
      <c r="C1417">
        <v>2180</v>
      </c>
      <c r="D1417" t="s">
        <v>342</v>
      </c>
      <c r="E1417">
        <v>24.15</v>
      </c>
      <c r="F1417">
        <v>17.600000000000001</v>
      </c>
      <c r="G1417">
        <v>14.53</v>
      </c>
      <c r="H1417">
        <v>32.119999999999997</v>
      </c>
      <c r="I1417" t="s">
        <v>344</v>
      </c>
      <c r="J1417">
        <v>63.82</v>
      </c>
      <c r="K1417">
        <v>-5.71</v>
      </c>
      <c r="L1417" t="s">
        <v>346</v>
      </c>
      <c r="M1417" s="1">
        <v>5.7099999999999998E-2</v>
      </c>
      <c r="N1417" t="s">
        <v>350</v>
      </c>
      <c r="O1417">
        <v>1.67</v>
      </c>
      <c r="P1417" t="s">
        <v>343</v>
      </c>
      <c r="Q1417">
        <v>0.65</v>
      </c>
      <c r="R1417" t="s">
        <v>343</v>
      </c>
      <c r="S1417">
        <v>1</v>
      </c>
    </row>
    <row r="1418" spans="1:19" x14ac:dyDescent="0.25">
      <c r="A1418" t="s">
        <v>37</v>
      </c>
      <c r="B1418" t="s">
        <v>173</v>
      </c>
      <c r="C1418">
        <v>2200</v>
      </c>
      <c r="D1418" t="s">
        <v>342</v>
      </c>
      <c r="E1418">
        <v>24.15</v>
      </c>
      <c r="F1418">
        <v>17</v>
      </c>
      <c r="G1418">
        <v>15.46</v>
      </c>
      <c r="H1418">
        <v>32.47</v>
      </c>
      <c r="I1418" t="s">
        <v>344</v>
      </c>
      <c r="J1418">
        <v>62.81</v>
      </c>
      <c r="K1418">
        <v>-5.08</v>
      </c>
      <c r="L1418" t="s">
        <v>346</v>
      </c>
      <c r="M1418" s="1">
        <v>5.0799999999999998E-2</v>
      </c>
      <c r="N1418" t="s">
        <v>350</v>
      </c>
      <c r="O1418">
        <v>2.0099999999999998</v>
      </c>
      <c r="P1418" t="s">
        <v>344</v>
      </c>
      <c r="Q1418">
        <v>0.28000000000000003</v>
      </c>
      <c r="R1418" t="s">
        <v>343</v>
      </c>
      <c r="S1418">
        <v>1</v>
      </c>
    </row>
    <row r="1419" spans="1:19" x14ac:dyDescent="0.25">
      <c r="A1419" t="s">
        <v>37</v>
      </c>
      <c r="B1419" t="s">
        <v>174</v>
      </c>
      <c r="C1419">
        <v>2220</v>
      </c>
      <c r="D1419" t="s">
        <v>342</v>
      </c>
      <c r="E1419">
        <v>24.15</v>
      </c>
      <c r="F1419">
        <v>15.77</v>
      </c>
      <c r="G1419">
        <v>15.42</v>
      </c>
      <c r="H1419">
        <v>31.19</v>
      </c>
      <c r="I1419" t="s">
        <v>344</v>
      </c>
      <c r="J1419">
        <v>61.68</v>
      </c>
      <c r="K1419">
        <v>-5.62</v>
      </c>
      <c r="L1419" t="s">
        <v>346</v>
      </c>
      <c r="M1419" s="1">
        <v>5.62E-2</v>
      </c>
      <c r="N1419" t="s">
        <v>350</v>
      </c>
      <c r="O1419">
        <v>2.67</v>
      </c>
      <c r="P1419" t="s">
        <v>344</v>
      </c>
      <c r="Q1419">
        <v>0.27</v>
      </c>
      <c r="R1419" t="s">
        <v>343</v>
      </c>
      <c r="S1419">
        <v>1</v>
      </c>
    </row>
    <row r="1420" spans="1:19" x14ac:dyDescent="0.25">
      <c r="A1420" t="s">
        <v>37</v>
      </c>
      <c r="B1420" t="s">
        <v>175</v>
      </c>
      <c r="C1420">
        <v>2240</v>
      </c>
      <c r="D1420" t="s">
        <v>342</v>
      </c>
      <c r="E1420">
        <v>24.15</v>
      </c>
      <c r="F1420">
        <v>15.5</v>
      </c>
      <c r="G1420">
        <v>15.18</v>
      </c>
      <c r="H1420">
        <v>30.68</v>
      </c>
      <c r="I1420" t="s">
        <v>344</v>
      </c>
      <c r="J1420">
        <v>60.32</v>
      </c>
      <c r="K1420">
        <v>-6.83</v>
      </c>
      <c r="L1420" t="s">
        <v>346</v>
      </c>
      <c r="M1420" s="1">
        <v>6.83E-2</v>
      </c>
      <c r="N1420" t="s">
        <v>350</v>
      </c>
      <c r="O1420">
        <v>2.92</v>
      </c>
      <c r="P1420" t="s">
        <v>344</v>
      </c>
      <c r="Q1420">
        <v>1.63</v>
      </c>
      <c r="R1420" t="s">
        <v>343</v>
      </c>
      <c r="S1420">
        <v>1</v>
      </c>
    </row>
    <row r="1421" spans="1:19" x14ac:dyDescent="0.25">
      <c r="A1421" t="s">
        <v>37</v>
      </c>
      <c r="B1421" t="s">
        <v>176</v>
      </c>
      <c r="C1421">
        <v>2260</v>
      </c>
      <c r="D1421" t="s">
        <v>342</v>
      </c>
      <c r="E1421">
        <v>24.15</v>
      </c>
      <c r="F1421">
        <v>14.61</v>
      </c>
      <c r="G1421">
        <v>12.75</v>
      </c>
      <c r="H1421">
        <v>27.36</v>
      </c>
      <c r="I1421" t="s">
        <v>344</v>
      </c>
      <c r="J1421">
        <v>58.77</v>
      </c>
      <c r="K1421">
        <v>-7.74</v>
      </c>
      <c r="L1421" t="s">
        <v>346</v>
      </c>
      <c r="M1421" s="1">
        <v>7.7399999999999997E-2</v>
      </c>
      <c r="N1421" t="s">
        <v>350</v>
      </c>
      <c r="O1421">
        <v>2.0699999999999998</v>
      </c>
      <c r="P1421" t="s">
        <v>344</v>
      </c>
      <c r="Q1421">
        <v>2.04</v>
      </c>
      <c r="R1421" t="s">
        <v>344</v>
      </c>
      <c r="S1421">
        <v>1</v>
      </c>
    </row>
    <row r="1422" spans="1:19" x14ac:dyDescent="0.25">
      <c r="A1422" t="s">
        <v>37</v>
      </c>
      <c r="B1422" t="s">
        <v>177</v>
      </c>
      <c r="C1422">
        <v>2280</v>
      </c>
      <c r="D1422" t="s">
        <v>342</v>
      </c>
      <c r="E1422">
        <v>24.15</v>
      </c>
      <c r="F1422">
        <v>14.8</v>
      </c>
      <c r="G1422">
        <v>12.75</v>
      </c>
      <c r="H1422">
        <v>27.55</v>
      </c>
      <c r="I1422" t="s">
        <v>344</v>
      </c>
      <c r="J1422">
        <v>57.1</v>
      </c>
      <c r="K1422">
        <v>-8.33</v>
      </c>
      <c r="L1422" t="s">
        <v>347</v>
      </c>
      <c r="M1422" s="1">
        <v>8.3299999999999999E-2</v>
      </c>
      <c r="N1422" t="s">
        <v>350</v>
      </c>
      <c r="O1422">
        <v>0.27</v>
      </c>
      <c r="P1422" t="s">
        <v>343</v>
      </c>
      <c r="Q1422">
        <v>3.92</v>
      </c>
      <c r="R1422" t="s">
        <v>344</v>
      </c>
      <c r="S1422">
        <v>1</v>
      </c>
    </row>
    <row r="1423" spans="1:19" x14ac:dyDescent="0.25">
      <c r="A1423" t="s">
        <v>37</v>
      </c>
      <c r="B1423" t="s">
        <v>178</v>
      </c>
      <c r="C1423">
        <v>2300</v>
      </c>
      <c r="D1423" t="s">
        <v>342</v>
      </c>
      <c r="E1423">
        <v>24.15</v>
      </c>
      <c r="F1423">
        <v>16.32</v>
      </c>
      <c r="G1423">
        <v>11.67</v>
      </c>
      <c r="H1423">
        <v>27.99</v>
      </c>
      <c r="I1423" t="s">
        <v>344</v>
      </c>
      <c r="J1423">
        <v>55.34</v>
      </c>
      <c r="K1423">
        <v>-8.81</v>
      </c>
      <c r="L1423" t="s">
        <v>347</v>
      </c>
      <c r="M1423" s="1">
        <v>8.8100000000000012E-2</v>
      </c>
      <c r="N1423" t="s">
        <v>350</v>
      </c>
      <c r="O1423">
        <v>-2.95</v>
      </c>
      <c r="P1423" t="s">
        <v>344</v>
      </c>
      <c r="Q1423">
        <v>4.75</v>
      </c>
      <c r="R1423" t="s">
        <v>343</v>
      </c>
      <c r="S1423">
        <v>1</v>
      </c>
    </row>
    <row r="1424" spans="1:19" x14ac:dyDescent="0.25">
      <c r="A1424" t="s">
        <v>37</v>
      </c>
      <c r="B1424" t="s">
        <v>179</v>
      </c>
      <c r="C1424">
        <v>2320</v>
      </c>
      <c r="D1424" t="s">
        <v>342</v>
      </c>
      <c r="E1424">
        <v>24.15</v>
      </c>
      <c r="F1424">
        <v>16.78</v>
      </c>
      <c r="G1424">
        <v>11.5</v>
      </c>
      <c r="H1424">
        <v>28.28</v>
      </c>
      <c r="I1424" t="s">
        <v>344</v>
      </c>
      <c r="J1424">
        <v>53.74</v>
      </c>
      <c r="K1424">
        <v>-8.02</v>
      </c>
      <c r="L1424" t="s">
        <v>347</v>
      </c>
      <c r="M1424" s="1">
        <v>8.0199999999999994E-2</v>
      </c>
      <c r="N1424" t="s">
        <v>350</v>
      </c>
      <c r="O1424">
        <v>-2.56</v>
      </c>
      <c r="P1424" t="s">
        <v>344</v>
      </c>
      <c r="Q1424">
        <v>4.2</v>
      </c>
      <c r="R1424" t="s">
        <v>343</v>
      </c>
      <c r="S1424">
        <v>1</v>
      </c>
    </row>
    <row r="1425" spans="1:19" x14ac:dyDescent="0.25">
      <c r="A1425" t="s">
        <v>37</v>
      </c>
      <c r="B1425" t="s">
        <v>180</v>
      </c>
      <c r="C1425">
        <v>2340</v>
      </c>
      <c r="D1425" t="s">
        <v>342</v>
      </c>
      <c r="E1425">
        <v>24.15</v>
      </c>
      <c r="F1425">
        <v>16.79</v>
      </c>
      <c r="G1425">
        <v>11.38</v>
      </c>
      <c r="H1425">
        <v>28.17</v>
      </c>
      <c r="I1425" t="s">
        <v>344</v>
      </c>
      <c r="J1425">
        <v>52.16</v>
      </c>
      <c r="K1425">
        <v>-7.91</v>
      </c>
      <c r="L1425" t="s">
        <v>346</v>
      </c>
      <c r="M1425" s="1">
        <v>7.9100000000000004E-2</v>
      </c>
      <c r="N1425" t="s">
        <v>350</v>
      </c>
      <c r="O1425">
        <v>-1.1200000000000001</v>
      </c>
      <c r="P1425" t="s">
        <v>343</v>
      </c>
      <c r="Q1425">
        <v>4.29</v>
      </c>
      <c r="R1425" t="s">
        <v>343</v>
      </c>
      <c r="S1425">
        <v>1</v>
      </c>
    </row>
    <row r="1426" spans="1:19" x14ac:dyDescent="0.25">
      <c r="A1426" t="s">
        <v>37</v>
      </c>
      <c r="B1426" t="s">
        <v>181</v>
      </c>
      <c r="C1426">
        <v>2360</v>
      </c>
      <c r="D1426" t="s">
        <v>342</v>
      </c>
      <c r="E1426">
        <v>24.15</v>
      </c>
      <c r="F1426">
        <v>17.350000000000001</v>
      </c>
      <c r="G1426">
        <v>11.5</v>
      </c>
      <c r="H1426">
        <v>28.85</v>
      </c>
      <c r="I1426" t="s">
        <v>344</v>
      </c>
      <c r="J1426">
        <v>50.65</v>
      </c>
      <c r="K1426">
        <v>-7.55</v>
      </c>
      <c r="L1426" t="s">
        <v>346</v>
      </c>
      <c r="M1426" s="1">
        <v>7.5499999999999998E-2</v>
      </c>
      <c r="N1426" t="s">
        <v>350</v>
      </c>
      <c r="O1426">
        <v>-1.33</v>
      </c>
      <c r="P1426" t="s">
        <v>343</v>
      </c>
      <c r="Q1426">
        <v>3.97</v>
      </c>
      <c r="R1426" t="s">
        <v>344</v>
      </c>
      <c r="S1426">
        <v>1</v>
      </c>
    </row>
    <row r="1427" spans="1:19" x14ac:dyDescent="0.25">
      <c r="A1427" t="s">
        <v>37</v>
      </c>
      <c r="B1427" t="s">
        <v>182</v>
      </c>
      <c r="C1427">
        <v>2380</v>
      </c>
      <c r="D1427" t="s">
        <v>342</v>
      </c>
      <c r="E1427">
        <v>24.15</v>
      </c>
      <c r="F1427">
        <v>17.7</v>
      </c>
      <c r="G1427">
        <v>11.35</v>
      </c>
      <c r="H1427">
        <v>29.05</v>
      </c>
      <c r="I1427" t="s">
        <v>344</v>
      </c>
      <c r="J1427">
        <v>49.22</v>
      </c>
      <c r="K1427">
        <v>-7.11</v>
      </c>
      <c r="L1427" t="s">
        <v>346</v>
      </c>
      <c r="M1427" s="1">
        <v>7.1099999999999997E-2</v>
      </c>
      <c r="N1427" t="s">
        <v>350</v>
      </c>
      <c r="O1427">
        <v>-0.57999999999999996</v>
      </c>
      <c r="P1427" t="s">
        <v>343</v>
      </c>
      <c r="Q1427">
        <v>2.09</v>
      </c>
      <c r="R1427" t="s">
        <v>344</v>
      </c>
      <c r="S1427">
        <v>1</v>
      </c>
    </row>
    <row r="1428" spans="1:19" x14ac:dyDescent="0.25">
      <c r="A1428" t="s">
        <v>37</v>
      </c>
      <c r="B1428" t="s">
        <v>183</v>
      </c>
      <c r="C1428">
        <v>2400</v>
      </c>
      <c r="D1428" t="s">
        <v>342</v>
      </c>
      <c r="E1428">
        <v>24.15</v>
      </c>
      <c r="F1428">
        <v>18.239999999999998</v>
      </c>
      <c r="G1428">
        <v>10.26</v>
      </c>
      <c r="H1428">
        <v>28.5</v>
      </c>
      <c r="I1428" t="s">
        <v>344</v>
      </c>
      <c r="J1428">
        <v>47.64</v>
      </c>
      <c r="K1428">
        <v>-7.92</v>
      </c>
      <c r="L1428" t="s">
        <v>346</v>
      </c>
      <c r="M1428" s="1">
        <v>7.9199999999999993E-2</v>
      </c>
      <c r="N1428" t="s">
        <v>350</v>
      </c>
      <c r="O1428">
        <v>-0.52</v>
      </c>
      <c r="P1428" t="s">
        <v>343</v>
      </c>
      <c r="Q1428">
        <v>1.92</v>
      </c>
      <c r="R1428" t="s">
        <v>343</v>
      </c>
      <c r="S1428">
        <v>1</v>
      </c>
    </row>
    <row r="1429" spans="1:19" x14ac:dyDescent="0.25">
      <c r="A1429" t="s">
        <v>37</v>
      </c>
      <c r="B1429" t="s">
        <v>184</v>
      </c>
      <c r="C1429">
        <v>2420</v>
      </c>
      <c r="D1429" t="s">
        <v>342</v>
      </c>
      <c r="E1429">
        <v>24.15</v>
      </c>
      <c r="F1429">
        <v>20</v>
      </c>
      <c r="G1429">
        <v>9.69</v>
      </c>
      <c r="H1429">
        <v>29.69</v>
      </c>
      <c r="I1429" t="s">
        <v>344</v>
      </c>
      <c r="J1429">
        <v>46.15</v>
      </c>
      <c r="K1429">
        <v>-7.44</v>
      </c>
      <c r="L1429" t="s">
        <v>346</v>
      </c>
      <c r="M1429" s="1">
        <v>7.4400000000000008E-2</v>
      </c>
      <c r="N1429" t="s">
        <v>350</v>
      </c>
      <c r="O1429">
        <v>-0.74</v>
      </c>
      <c r="P1429" t="s">
        <v>343</v>
      </c>
      <c r="Q1429">
        <v>2.44</v>
      </c>
      <c r="R1429" t="s">
        <v>344</v>
      </c>
      <c r="S1429">
        <v>1</v>
      </c>
    </row>
    <row r="1430" spans="1:19" x14ac:dyDescent="0.25">
      <c r="A1430" t="s">
        <v>37</v>
      </c>
      <c r="B1430" t="s">
        <v>185</v>
      </c>
      <c r="C1430">
        <v>2440</v>
      </c>
      <c r="D1430" t="s">
        <v>342</v>
      </c>
      <c r="E1430">
        <v>24.15</v>
      </c>
      <c r="F1430">
        <v>20</v>
      </c>
      <c r="G1430">
        <v>10.98</v>
      </c>
      <c r="H1430">
        <v>30.98</v>
      </c>
      <c r="I1430" t="s">
        <v>344</v>
      </c>
      <c r="J1430">
        <v>44.7</v>
      </c>
      <c r="K1430">
        <v>-7.27</v>
      </c>
      <c r="L1430" t="s">
        <v>346</v>
      </c>
      <c r="M1430" s="1">
        <v>7.2700000000000001E-2</v>
      </c>
      <c r="N1430" t="s">
        <v>350</v>
      </c>
      <c r="O1430">
        <v>-0.5</v>
      </c>
      <c r="P1430" t="s">
        <v>343</v>
      </c>
      <c r="Q1430">
        <v>2.83</v>
      </c>
      <c r="R1430" t="s">
        <v>344</v>
      </c>
      <c r="S1430">
        <v>1</v>
      </c>
    </row>
    <row r="1431" spans="1:19" x14ac:dyDescent="0.25">
      <c r="A1431" t="s">
        <v>37</v>
      </c>
      <c r="B1431" t="s">
        <v>186</v>
      </c>
      <c r="C1431">
        <v>2460</v>
      </c>
      <c r="D1431" t="s">
        <v>342</v>
      </c>
      <c r="E1431">
        <v>24.15</v>
      </c>
      <c r="F1431">
        <v>20</v>
      </c>
      <c r="G1431">
        <v>11.38</v>
      </c>
      <c r="H1431">
        <v>31.38</v>
      </c>
      <c r="I1431" t="s">
        <v>344</v>
      </c>
      <c r="J1431">
        <v>43.31</v>
      </c>
      <c r="K1431">
        <v>-6.94</v>
      </c>
      <c r="L1431" t="s">
        <v>346</v>
      </c>
      <c r="M1431" s="1">
        <v>6.9400000000000003E-2</v>
      </c>
      <c r="N1431" t="s">
        <v>350</v>
      </c>
      <c r="O1431">
        <v>-0.72</v>
      </c>
      <c r="P1431" t="s">
        <v>343</v>
      </c>
      <c r="Q1431">
        <v>0.42</v>
      </c>
      <c r="R1431" t="s">
        <v>343</v>
      </c>
      <c r="S1431">
        <v>1</v>
      </c>
    </row>
    <row r="1432" spans="1:19" x14ac:dyDescent="0.25">
      <c r="A1432" t="s">
        <v>37</v>
      </c>
      <c r="B1432" t="s">
        <v>187</v>
      </c>
      <c r="C1432">
        <v>2480</v>
      </c>
      <c r="D1432" t="s">
        <v>342</v>
      </c>
      <c r="E1432">
        <v>24.15</v>
      </c>
      <c r="F1432">
        <v>20</v>
      </c>
      <c r="G1432">
        <v>9.67</v>
      </c>
      <c r="H1432">
        <v>29.67</v>
      </c>
      <c r="I1432" t="s">
        <v>344</v>
      </c>
      <c r="J1432">
        <v>41.96</v>
      </c>
      <c r="K1432">
        <v>-6.74</v>
      </c>
      <c r="L1432" t="s">
        <v>346</v>
      </c>
      <c r="M1432" s="1">
        <v>6.7400000000000002E-2</v>
      </c>
      <c r="N1432" t="s">
        <v>350</v>
      </c>
      <c r="O1432">
        <v>-0.81</v>
      </c>
      <c r="P1432" t="s">
        <v>343</v>
      </c>
      <c r="Q1432">
        <v>0.77</v>
      </c>
      <c r="R1432" t="s">
        <v>343</v>
      </c>
      <c r="S1432">
        <v>1</v>
      </c>
    </row>
    <row r="1433" spans="1:19" x14ac:dyDescent="0.25">
      <c r="A1433" t="s">
        <v>37</v>
      </c>
      <c r="B1433" t="s">
        <v>188</v>
      </c>
      <c r="C1433">
        <v>2500</v>
      </c>
      <c r="D1433" t="s">
        <v>342</v>
      </c>
      <c r="E1433">
        <v>24.15</v>
      </c>
      <c r="F1433">
        <v>20</v>
      </c>
      <c r="G1433">
        <v>10.18</v>
      </c>
      <c r="H1433">
        <v>30.18</v>
      </c>
      <c r="I1433" t="s">
        <v>344</v>
      </c>
      <c r="J1433">
        <v>40.79</v>
      </c>
      <c r="K1433">
        <v>-5.85</v>
      </c>
      <c r="L1433" t="s">
        <v>346</v>
      </c>
      <c r="M1433" s="1">
        <v>5.8500000000000003E-2</v>
      </c>
      <c r="N1433" t="s">
        <v>350</v>
      </c>
      <c r="O1433">
        <v>-0.72</v>
      </c>
      <c r="P1433" t="s">
        <v>343</v>
      </c>
      <c r="Q1433">
        <v>3.06</v>
      </c>
      <c r="R1433" t="s">
        <v>344</v>
      </c>
      <c r="S1433">
        <v>1</v>
      </c>
    </row>
    <row r="1434" spans="1:19" x14ac:dyDescent="0.25">
      <c r="A1434" t="s">
        <v>37</v>
      </c>
      <c r="B1434" t="s">
        <v>189</v>
      </c>
      <c r="C1434">
        <v>2520</v>
      </c>
      <c r="D1434" t="s">
        <v>342</v>
      </c>
      <c r="E1434">
        <v>24.15</v>
      </c>
      <c r="F1434">
        <v>20</v>
      </c>
      <c r="G1434">
        <v>9.9499999999999993</v>
      </c>
      <c r="H1434">
        <v>29.95</v>
      </c>
      <c r="I1434" t="s">
        <v>344</v>
      </c>
      <c r="J1434">
        <v>39.67</v>
      </c>
      <c r="K1434">
        <v>-5.61</v>
      </c>
      <c r="L1434" t="s">
        <v>346</v>
      </c>
      <c r="M1434" s="1">
        <v>5.6099999999999997E-2</v>
      </c>
      <c r="N1434" t="s">
        <v>350</v>
      </c>
      <c r="O1434">
        <v>-1.47</v>
      </c>
      <c r="P1434" t="s">
        <v>343</v>
      </c>
      <c r="Q1434">
        <v>1.47</v>
      </c>
      <c r="R1434" t="s">
        <v>343</v>
      </c>
      <c r="S1434">
        <v>1</v>
      </c>
    </row>
    <row r="1435" spans="1:19" x14ac:dyDescent="0.25">
      <c r="A1435" t="s">
        <v>37</v>
      </c>
      <c r="B1435" t="s">
        <v>190</v>
      </c>
      <c r="C1435">
        <v>2540</v>
      </c>
      <c r="D1435" t="s">
        <v>342</v>
      </c>
      <c r="E1435">
        <v>24.15</v>
      </c>
      <c r="F1435">
        <v>20</v>
      </c>
      <c r="G1435">
        <v>10.34</v>
      </c>
      <c r="H1435">
        <v>30.34</v>
      </c>
      <c r="I1435" t="s">
        <v>344</v>
      </c>
      <c r="J1435">
        <v>38.85</v>
      </c>
      <c r="K1435">
        <v>-4.13</v>
      </c>
      <c r="L1435" t="s">
        <v>346</v>
      </c>
      <c r="M1435" s="1">
        <v>4.1300000000000003E-2</v>
      </c>
      <c r="N1435" t="s">
        <v>350</v>
      </c>
      <c r="O1435">
        <v>-0.18</v>
      </c>
      <c r="P1435" t="s">
        <v>343</v>
      </c>
      <c r="Q1435">
        <v>2.2799999999999998</v>
      </c>
      <c r="R1435" t="s">
        <v>344</v>
      </c>
      <c r="S1435">
        <v>1</v>
      </c>
    </row>
    <row r="1436" spans="1:19" x14ac:dyDescent="0.25">
      <c r="A1436" t="s">
        <v>37</v>
      </c>
      <c r="B1436" t="s">
        <v>191</v>
      </c>
      <c r="C1436">
        <v>2560</v>
      </c>
      <c r="D1436" t="s">
        <v>342</v>
      </c>
      <c r="E1436">
        <v>24.15</v>
      </c>
      <c r="F1436">
        <v>20</v>
      </c>
      <c r="G1436">
        <v>10.37</v>
      </c>
      <c r="H1436">
        <v>30.37</v>
      </c>
      <c r="I1436" t="s">
        <v>344</v>
      </c>
      <c r="J1436">
        <v>37.97</v>
      </c>
      <c r="K1436">
        <v>-4.3899999999999997</v>
      </c>
      <c r="L1436" t="s">
        <v>346</v>
      </c>
      <c r="M1436" s="1">
        <v>4.3899999999999988E-2</v>
      </c>
      <c r="N1436" t="s">
        <v>350</v>
      </c>
      <c r="O1436">
        <v>-0.19</v>
      </c>
      <c r="P1436" t="s">
        <v>343</v>
      </c>
      <c r="Q1436">
        <v>2.08</v>
      </c>
      <c r="R1436" t="s">
        <v>344</v>
      </c>
      <c r="S1436">
        <v>1</v>
      </c>
    </row>
    <row r="1437" spans="1:19" x14ac:dyDescent="0.25">
      <c r="A1437" t="s">
        <v>37</v>
      </c>
      <c r="B1437" t="s">
        <v>192</v>
      </c>
      <c r="C1437">
        <v>2580</v>
      </c>
      <c r="D1437" t="s">
        <v>342</v>
      </c>
      <c r="E1437">
        <v>24.15</v>
      </c>
      <c r="F1437">
        <v>20</v>
      </c>
      <c r="G1437">
        <v>12.14</v>
      </c>
      <c r="H1437">
        <v>32.14</v>
      </c>
      <c r="I1437" t="s">
        <v>344</v>
      </c>
      <c r="J1437">
        <v>37.46</v>
      </c>
      <c r="K1437">
        <v>-2.5499999999999998</v>
      </c>
      <c r="L1437" t="s">
        <v>346</v>
      </c>
      <c r="M1437" s="1">
        <v>2.5499999999999998E-2</v>
      </c>
      <c r="N1437" t="s">
        <v>350</v>
      </c>
      <c r="O1437">
        <v>0.72</v>
      </c>
      <c r="P1437" t="s">
        <v>343</v>
      </c>
      <c r="Q1437">
        <v>2.41</v>
      </c>
      <c r="R1437" t="s">
        <v>344</v>
      </c>
      <c r="S1437">
        <v>1</v>
      </c>
    </row>
    <row r="1438" spans="1:19" x14ac:dyDescent="0.25">
      <c r="A1438" t="s">
        <v>37</v>
      </c>
      <c r="B1438" t="s">
        <v>193</v>
      </c>
      <c r="C1438">
        <v>2600</v>
      </c>
      <c r="D1438" t="s">
        <v>342</v>
      </c>
      <c r="E1438">
        <v>24.15</v>
      </c>
      <c r="F1438">
        <v>20</v>
      </c>
      <c r="G1438">
        <v>12.2</v>
      </c>
      <c r="H1438">
        <v>32.200000000000003</v>
      </c>
      <c r="I1438" t="s">
        <v>344</v>
      </c>
      <c r="J1438">
        <v>37.130000000000003</v>
      </c>
      <c r="K1438">
        <v>-1.66</v>
      </c>
      <c r="L1438" t="s">
        <v>346</v>
      </c>
      <c r="M1438" s="1">
        <v>1.66E-2</v>
      </c>
      <c r="N1438" t="s">
        <v>349</v>
      </c>
      <c r="O1438">
        <v>1.58</v>
      </c>
      <c r="P1438" t="s">
        <v>343</v>
      </c>
      <c r="Q1438">
        <v>3.2</v>
      </c>
      <c r="R1438" t="s">
        <v>344</v>
      </c>
      <c r="S1438">
        <v>1</v>
      </c>
    </row>
    <row r="1439" spans="1:19" x14ac:dyDescent="0.25">
      <c r="A1439" t="s">
        <v>37</v>
      </c>
      <c r="B1439" t="s">
        <v>194</v>
      </c>
      <c r="C1439">
        <v>2620</v>
      </c>
      <c r="D1439" t="s">
        <v>342</v>
      </c>
      <c r="E1439">
        <v>24.15</v>
      </c>
      <c r="F1439">
        <v>20</v>
      </c>
      <c r="G1439">
        <v>11.02</v>
      </c>
      <c r="H1439">
        <v>31.02</v>
      </c>
      <c r="I1439" t="s">
        <v>344</v>
      </c>
      <c r="J1439">
        <v>36.54</v>
      </c>
      <c r="K1439">
        <v>-2.95</v>
      </c>
      <c r="L1439" t="s">
        <v>346</v>
      </c>
      <c r="M1439" s="1">
        <v>2.9499999999999998E-2</v>
      </c>
      <c r="N1439" t="s">
        <v>350</v>
      </c>
      <c r="O1439">
        <v>0.05</v>
      </c>
      <c r="P1439" t="s">
        <v>343</v>
      </c>
      <c r="Q1439">
        <v>1.66</v>
      </c>
      <c r="R1439" t="s">
        <v>343</v>
      </c>
      <c r="S1439">
        <v>1</v>
      </c>
    </row>
    <row r="1440" spans="1:19" x14ac:dyDescent="0.25">
      <c r="A1440" t="s">
        <v>37</v>
      </c>
      <c r="B1440" t="s">
        <v>195</v>
      </c>
      <c r="C1440">
        <v>2640</v>
      </c>
      <c r="D1440" t="s">
        <v>342</v>
      </c>
      <c r="E1440">
        <v>24.15</v>
      </c>
      <c r="F1440">
        <v>20</v>
      </c>
      <c r="G1440">
        <v>11.05</v>
      </c>
      <c r="H1440">
        <v>31.05</v>
      </c>
      <c r="I1440" t="s">
        <v>344</v>
      </c>
      <c r="J1440">
        <v>36.130000000000003</v>
      </c>
      <c r="K1440">
        <v>-2.04</v>
      </c>
      <c r="L1440" t="s">
        <v>346</v>
      </c>
      <c r="M1440" s="1">
        <v>2.0400000000000001E-2</v>
      </c>
      <c r="N1440" t="s">
        <v>350</v>
      </c>
      <c r="O1440">
        <v>0.39</v>
      </c>
      <c r="P1440" t="s">
        <v>343</v>
      </c>
      <c r="Q1440">
        <v>0.37</v>
      </c>
      <c r="R1440" t="s">
        <v>343</v>
      </c>
      <c r="S1440">
        <v>1</v>
      </c>
    </row>
    <row r="1441" spans="1:19" x14ac:dyDescent="0.25">
      <c r="A1441" t="s">
        <v>37</v>
      </c>
      <c r="B1441" t="s">
        <v>196</v>
      </c>
      <c r="C1441">
        <v>2660</v>
      </c>
      <c r="D1441" t="s">
        <v>342</v>
      </c>
      <c r="E1441">
        <v>24.15</v>
      </c>
      <c r="F1441">
        <v>20</v>
      </c>
      <c r="G1441">
        <v>9.19</v>
      </c>
      <c r="H1441">
        <v>29.19</v>
      </c>
      <c r="I1441" t="s">
        <v>344</v>
      </c>
      <c r="J1441">
        <v>35.950000000000003</v>
      </c>
      <c r="K1441">
        <v>-0.9</v>
      </c>
      <c r="L1441" t="s">
        <v>346</v>
      </c>
      <c r="M1441" s="1">
        <v>9.0000000000000011E-3</v>
      </c>
      <c r="N1441" t="s">
        <v>349</v>
      </c>
      <c r="O1441">
        <v>-5.82</v>
      </c>
      <c r="P1441" t="s">
        <v>343</v>
      </c>
      <c r="Q1441">
        <v>3.87</v>
      </c>
      <c r="R1441" t="s">
        <v>344</v>
      </c>
      <c r="S1441">
        <v>1</v>
      </c>
    </row>
    <row r="1442" spans="1:19" x14ac:dyDescent="0.25">
      <c r="A1442" t="s">
        <v>37</v>
      </c>
      <c r="B1442" t="s">
        <v>197</v>
      </c>
      <c r="C1442">
        <v>2680</v>
      </c>
      <c r="D1442" t="s">
        <v>342</v>
      </c>
      <c r="E1442">
        <v>24.15</v>
      </c>
      <c r="F1442">
        <v>20</v>
      </c>
      <c r="G1442">
        <v>8.64</v>
      </c>
      <c r="H1442">
        <v>28.64</v>
      </c>
      <c r="I1442" t="s">
        <v>344</v>
      </c>
      <c r="J1442">
        <v>35.979999999999997</v>
      </c>
      <c r="K1442">
        <v>0.18</v>
      </c>
      <c r="L1442" t="s">
        <v>346</v>
      </c>
      <c r="M1442" s="1">
        <v>1.8E-3</v>
      </c>
      <c r="N1442" t="s">
        <v>349</v>
      </c>
      <c r="O1442">
        <v>0.18</v>
      </c>
      <c r="P1442" t="s">
        <v>343</v>
      </c>
      <c r="Q1442">
        <v>4.8099999999999996</v>
      </c>
      <c r="R1442" t="s">
        <v>343</v>
      </c>
      <c r="S1442">
        <v>1</v>
      </c>
    </row>
    <row r="1443" spans="1:19" x14ac:dyDescent="0.25">
      <c r="A1443" t="s">
        <v>37</v>
      </c>
      <c r="B1443" t="s">
        <v>198</v>
      </c>
      <c r="C1443">
        <v>2700</v>
      </c>
      <c r="D1443" t="s">
        <v>342</v>
      </c>
      <c r="E1443">
        <v>24.15</v>
      </c>
      <c r="F1443">
        <v>20</v>
      </c>
      <c r="G1443">
        <v>9.0299999999999994</v>
      </c>
      <c r="H1443">
        <v>29.03</v>
      </c>
      <c r="I1443" t="s">
        <v>344</v>
      </c>
      <c r="J1443">
        <v>35.770000000000003</v>
      </c>
      <c r="K1443">
        <v>-1.04</v>
      </c>
      <c r="L1443" t="s">
        <v>346</v>
      </c>
      <c r="M1443" s="1">
        <v>1.04E-2</v>
      </c>
      <c r="N1443" t="s">
        <v>349</v>
      </c>
      <c r="O1443">
        <v>-0.5</v>
      </c>
      <c r="P1443" t="s">
        <v>343</v>
      </c>
      <c r="Q1443">
        <v>3.07</v>
      </c>
      <c r="R1443" t="s">
        <v>344</v>
      </c>
      <c r="S1443">
        <v>1</v>
      </c>
    </row>
    <row r="1444" spans="1:19" x14ac:dyDescent="0.25">
      <c r="A1444" t="s">
        <v>37</v>
      </c>
      <c r="B1444" t="s">
        <v>199</v>
      </c>
      <c r="C1444">
        <v>2720</v>
      </c>
      <c r="D1444" t="s">
        <v>342</v>
      </c>
      <c r="E1444">
        <v>24.15</v>
      </c>
      <c r="F1444">
        <v>20</v>
      </c>
      <c r="G1444">
        <v>13.83</v>
      </c>
      <c r="H1444">
        <v>33.83</v>
      </c>
      <c r="I1444" t="s">
        <v>344</v>
      </c>
      <c r="J1444">
        <v>35.71</v>
      </c>
      <c r="K1444">
        <v>-0.34</v>
      </c>
      <c r="L1444" t="s">
        <v>346</v>
      </c>
      <c r="M1444" s="1">
        <v>3.3999999999999998E-3</v>
      </c>
      <c r="N1444" t="s">
        <v>349</v>
      </c>
      <c r="O1444">
        <v>2.2400000000000002</v>
      </c>
      <c r="P1444" t="s">
        <v>344</v>
      </c>
      <c r="Q1444">
        <v>4.84</v>
      </c>
      <c r="R1444" t="s">
        <v>343</v>
      </c>
      <c r="S1444">
        <v>1</v>
      </c>
    </row>
    <row r="1445" spans="1:19" x14ac:dyDescent="0.25">
      <c r="A1445" t="s">
        <v>37</v>
      </c>
      <c r="B1445" t="s">
        <v>200</v>
      </c>
      <c r="C1445">
        <v>2740</v>
      </c>
      <c r="D1445" t="s">
        <v>342</v>
      </c>
      <c r="E1445">
        <v>24.15</v>
      </c>
      <c r="F1445">
        <v>20</v>
      </c>
      <c r="G1445">
        <v>13.83</v>
      </c>
      <c r="H1445">
        <v>33.83</v>
      </c>
      <c r="I1445" t="s">
        <v>344</v>
      </c>
      <c r="J1445">
        <v>35.799999999999997</v>
      </c>
      <c r="K1445">
        <v>0.44</v>
      </c>
      <c r="L1445" t="s">
        <v>346</v>
      </c>
      <c r="M1445" s="1">
        <v>4.4000000000000003E-3</v>
      </c>
      <c r="N1445" t="s">
        <v>349</v>
      </c>
      <c r="O1445">
        <v>-1.45</v>
      </c>
      <c r="P1445" t="s">
        <v>343</v>
      </c>
      <c r="Q1445">
        <v>6.04</v>
      </c>
      <c r="R1445" t="s">
        <v>343</v>
      </c>
      <c r="S1445">
        <v>1</v>
      </c>
    </row>
    <row r="1446" spans="1:19" x14ac:dyDescent="0.25">
      <c r="A1446" t="s">
        <v>37</v>
      </c>
      <c r="B1446" t="s">
        <v>201</v>
      </c>
      <c r="C1446">
        <v>2760</v>
      </c>
      <c r="D1446" t="s">
        <v>342</v>
      </c>
      <c r="E1446">
        <v>24.15</v>
      </c>
      <c r="F1446">
        <v>20</v>
      </c>
      <c r="G1446">
        <v>13.85</v>
      </c>
      <c r="H1446">
        <v>33.85</v>
      </c>
      <c r="I1446" t="s">
        <v>344</v>
      </c>
      <c r="J1446">
        <v>34.54</v>
      </c>
      <c r="K1446">
        <v>-6.26</v>
      </c>
      <c r="L1446" t="s">
        <v>346</v>
      </c>
      <c r="M1446" s="1">
        <v>6.2600000000000003E-2</v>
      </c>
      <c r="N1446" t="s">
        <v>350</v>
      </c>
      <c r="O1446">
        <v>-5.68</v>
      </c>
      <c r="P1446" t="s">
        <v>343</v>
      </c>
      <c r="Q1446">
        <v>7.23</v>
      </c>
      <c r="R1446" t="s">
        <v>343</v>
      </c>
      <c r="S1446">
        <v>1</v>
      </c>
    </row>
    <row r="1447" spans="1:19" x14ac:dyDescent="0.25">
      <c r="A1447" t="s">
        <v>37</v>
      </c>
      <c r="B1447" t="s">
        <v>202</v>
      </c>
      <c r="C1447">
        <v>2780</v>
      </c>
      <c r="D1447" t="s">
        <v>342</v>
      </c>
      <c r="E1447">
        <v>24.15</v>
      </c>
      <c r="F1447">
        <v>20</v>
      </c>
      <c r="G1447">
        <v>20</v>
      </c>
      <c r="H1447">
        <v>40</v>
      </c>
      <c r="I1447" t="s">
        <v>344</v>
      </c>
      <c r="J1447">
        <v>33.47</v>
      </c>
      <c r="K1447">
        <v>-5.37</v>
      </c>
      <c r="L1447" t="s">
        <v>346</v>
      </c>
      <c r="M1447" s="1">
        <v>5.3699999999999998E-2</v>
      </c>
      <c r="N1447" t="s">
        <v>350</v>
      </c>
      <c r="O1447">
        <v>-10.06</v>
      </c>
      <c r="P1447" t="s">
        <v>343</v>
      </c>
      <c r="Q1447">
        <v>-4.5999999999999996</v>
      </c>
      <c r="R1447" t="s">
        <v>343</v>
      </c>
      <c r="S1447">
        <v>1</v>
      </c>
    </row>
    <row r="1448" spans="1:19" x14ac:dyDescent="0.25">
      <c r="A1448" t="s">
        <v>37</v>
      </c>
      <c r="B1448" t="s">
        <v>237</v>
      </c>
      <c r="C1448">
        <v>2780.5529999999999</v>
      </c>
      <c r="D1448" t="s">
        <v>342</v>
      </c>
      <c r="E1448">
        <v>24.15</v>
      </c>
      <c r="F1448">
        <v>20</v>
      </c>
      <c r="G1448">
        <v>20</v>
      </c>
      <c r="H1448">
        <v>40</v>
      </c>
      <c r="I1448" t="s">
        <v>344</v>
      </c>
      <c r="J1448">
        <v>33.44</v>
      </c>
      <c r="K1448">
        <v>-5.38</v>
      </c>
      <c r="L1448" t="s">
        <v>346</v>
      </c>
      <c r="M1448" s="1">
        <v>5.3800000000000001E-2</v>
      </c>
      <c r="N1448" t="s">
        <v>350</v>
      </c>
      <c r="O1448">
        <v>-10.47</v>
      </c>
      <c r="P1448" t="s">
        <v>343</v>
      </c>
      <c r="Q1448">
        <v>-4.6100000000000003</v>
      </c>
      <c r="R1448" t="s">
        <v>343</v>
      </c>
      <c r="S1448">
        <v>0</v>
      </c>
    </row>
    <row r="1449" spans="1:19" x14ac:dyDescent="0.25">
      <c r="A1449" t="s">
        <v>38</v>
      </c>
      <c r="B1449" t="s">
        <v>56</v>
      </c>
      <c r="C1449">
        <v>0</v>
      </c>
      <c r="D1449" t="s">
        <v>342</v>
      </c>
      <c r="E1449">
        <v>24.15</v>
      </c>
      <c r="F1449">
        <v>18.149999999999999</v>
      </c>
      <c r="G1449">
        <v>14.98</v>
      </c>
      <c r="H1449">
        <v>33.130000000000003</v>
      </c>
      <c r="I1449" t="s">
        <v>344</v>
      </c>
      <c r="J1449">
        <v>152.19999999999999</v>
      </c>
      <c r="L1449" t="s">
        <v>345</v>
      </c>
      <c r="N1449" t="s">
        <v>345</v>
      </c>
      <c r="O1449">
        <v>2.77</v>
      </c>
      <c r="P1449" t="s">
        <v>344</v>
      </c>
      <c r="Q1449">
        <v>-3.82</v>
      </c>
      <c r="R1449" t="s">
        <v>344</v>
      </c>
      <c r="S1449">
        <v>1</v>
      </c>
    </row>
    <row r="1450" spans="1:19" x14ac:dyDescent="0.25">
      <c r="A1450" t="s">
        <v>38</v>
      </c>
      <c r="B1450" t="s">
        <v>57</v>
      </c>
      <c r="C1450">
        <v>20</v>
      </c>
      <c r="D1450" t="s">
        <v>342</v>
      </c>
      <c r="E1450">
        <v>24.15</v>
      </c>
      <c r="F1450">
        <v>18.149999999999999</v>
      </c>
      <c r="G1450">
        <v>14.98</v>
      </c>
      <c r="H1450">
        <v>33.130000000000003</v>
      </c>
      <c r="I1450" t="s">
        <v>344</v>
      </c>
      <c r="J1450">
        <v>149.44999999999999</v>
      </c>
      <c r="K1450">
        <v>-13.71</v>
      </c>
      <c r="L1450" t="s">
        <v>348</v>
      </c>
      <c r="M1450" s="1">
        <v>0.1371</v>
      </c>
      <c r="N1450" t="s">
        <v>350</v>
      </c>
      <c r="O1450">
        <v>0.68</v>
      </c>
      <c r="P1450" t="s">
        <v>343</v>
      </c>
      <c r="Q1450">
        <v>-2.38</v>
      </c>
      <c r="R1450" t="s">
        <v>344</v>
      </c>
      <c r="S1450">
        <v>1</v>
      </c>
    </row>
    <row r="1451" spans="1:19" x14ac:dyDescent="0.25">
      <c r="A1451" t="s">
        <v>38</v>
      </c>
      <c r="B1451" t="s">
        <v>58</v>
      </c>
      <c r="C1451">
        <v>40</v>
      </c>
      <c r="D1451" t="s">
        <v>342</v>
      </c>
      <c r="E1451">
        <v>24.15</v>
      </c>
      <c r="F1451">
        <v>18.149999999999999</v>
      </c>
      <c r="G1451">
        <v>14.98</v>
      </c>
      <c r="H1451">
        <v>33.130000000000003</v>
      </c>
      <c r="I1451" t="s">
        <v>344</v>
      </c>
      <c r="J1451">
        <v>148.55000000000001</v>
      </c>
      <c r="K1451">
        <v>-4.53</v>
      </c>
      <c r="L1451" t="s">
        <v>346</v>
      </c>
      <c r="M1451" s="1">
        <v>4.53E-2</v>
      </c>
      <c r="N1451" t="s">
        <v>350</v>
      </c>
      <c r="O1451">
        <v>2.88</v>
      </c>
      <c r="P1451" t="s">
        <v>344</v>
      </c>
      <c r="Q1451">
        <v>-1.29</v>
      </c>
      <c r="R1451" t="s">
        <v>343</v>
      </c>
      <c r="S1451">
        <v>1</v>
      </c>
    </row>
    <row r="1452" spans="1:19" x14ac:dyDescent="0.25">
      <c r="A1452" t="s">
        <v>38</v>
      </c>
      <c r="B1452" t="s">
        <v>59</v>
      </c>
      <c r="C1452">
        <v>60</v>
      </c>
      <c r="D1452" t="s">
        <v>342</v>
      </c>
      <c r="E1452">
        <v>24.15</v>
      </c>
      <c r="F1452">
        <v>16.68</v>
      </c>
      <c r="G1452">
        <v>12.46</v>
      </c>
      <c r="H1452">
        <v>29.14</v>
      </c>
      <c r="I1452" t="s">
        <v>344</v>
      </c>
      <c r="J1452">
        <v>148.06</v>
      </c>
      <c r="K1452">
        <v>-2.4500000000000002</v>
      </c>
      <c r="L1452" t="s">
        <v>346</v>
      </c>
      <c r="M1452" s="1">
        <v>2.4500000000000001E-2</v>
      </c>
      <c r="N1452" t="s">
        <v>350</v>
      </c>
      <c r="O1452">
        <v>2.3199999999999998</v>
      </c>
      <c r="P1452" t="s">
        <v>344</v>
      </c>
      <c r="Q1452">
        <v>-0.39</v>
      </c>
      <c r="R1452" t="s">
        <v>343</v>
      </c>
      <c r="S1452">
        <v>1</v>
      </c>
    </row>
    <row r="1453" spans="1:19" x14ac:dyDescent="0.25">
      <c r="A1453" t="s">
        <v>38</v>
      </c>
      <c r="B1453" t="s">
        <v>60</v>
      </c>
      <c r="C1453">
        <v>80</v>
      </c>
      <c r="D1453" t="s">
        <v>342</v>
      </c>
      <c r="E1453">
        <v>24.15</v>
      </c>
      <c r="F1453">
        <v>15.29</v>
      </c>
      <c r="G1453">
        <v>11.05</v>
      </c>
      <c r="H1453">
        <v>26.34</v>
      </c>
      <c r="I1453" t="s">
        <v>344</v>
      </c>
      <c r="J1453">
        <v>147.66</v>
      </c>
      <c r="K1453">
        <v>-1.99</v>
      </c>
      <c r="L1453" t="s">
        <v>346</v>
      </c>
      <c r="M1453" s="1">
        <v>1.9900000000000001E-2</v>
      </c>
      <c r="N1453" t="s">
        <v>349</v>
      </c>
      <c r="O1453">
        <v>0.95</v>
      </c>
      <c r="P1453" t="s">
        <v>343</v>
      </c>
      <c r="Q1453">
        <v>0.95</v>
      </c>
      <c r="R1453" t="s">
        <v>343</v>
      </c>
      <c r="S1453">
        <v>1</v>
      </c>
    </row>
    <row r="1454" spans="1:19" x14ac:dyDescent="0.25">
      <c r="A1454" t="s">
        <v>38</v>
      </c>
      <c r="B1454" t="s">
        <v>61</v>
      </c>
      <c r="C1454">
        <v>100</v>
      </c>
      <c r="D1454" t="s">
        <v>342</v>
      </c>
      <c r="E1454">
        <v>24.15</v>
      </c>
      <c r="F1454">
        <v>13.68</v>
      </c>
      <c r="G1454">
        <v>10.99</v>
      </c>
      <c r="H1454">
        <v>24.67</v>
      </c>
      <c r="I1454" t="s">
        <v>344</v>
      </c>
      <c r="J1454">
        <v>147.5</v>
      </c>
      <c r="K1454">
        <v>-0.78</v>
      </c>
      <c r="L1454" t="s">
        <v>346</v>
      </c>
      <c r="M1454" s="1">
        <v>7.8000000000000014E-3</v>
      </c>
      <c r="N1454" t="s">
        <v>349</v>
      </c>
      <c r="O1454">
        <v>1.78</v>
      </c>
      <c r="P1454" t="s">
        <v>343</v>
      </c>
      <c r="Q1454">
        <v>2.2400000000000002</v>
      </c>
      <c r="R1454" t="s">
        <v>344</v>
      </c>
      <c r="S1454">
        <v>1</v>
      </c>
    </row>
    <row r="1455" spans="1:19" x14ac:dyDescent="0.25">
      <c r="A1455" t="s">
        <v>38</v>
      </c>
      <c r="B1455" t="s">
        <v>62</v>
      </c>
      <c r="C1455">
        <v>120</v>
      </c>
      <c r="D1455" t="s">
        <v>342</v>
      </c>
      <c r="E1455">
        <v>24.15</v>
      </c>
      <c r="F1455">
        <v>13.71</v>
      </c>
      <c r="G1455">
        <v>10.95</v>
      </c>
      <c r="H1455">
        <v>24.65</v>
      </c>
      <c r="I1455" t="s">
        <v>344</v>
      </c>
      <c r="J1455">
        <v>147.36000000000001</v>
      </c>
      <c r="K1455">
        <v>-0.74</v>
      </c>
      <c r="L1455" t="s">
        <v>346</v>
      </c>
      <c r="M1455" s="1">
        <v>7.4000000000000003E-3</v>
      </c>
      <c r="N1455" t="s">
        <v>349</v>
      </c>
      <c r="O1455">
        <v>2.21</v>
      </c>
      <c r="P1455" t="s">
        <v>344</v>
      </c>
      <c r="Q1455">
        <v>2.12</v>
      </c>
      <c r="R1455" t="s">
        <v>344</v>
      </c>
      <c r="S1455">
        <v>1</v>
      </c>
    </row>
    <row r="1456" spans="1:19" x14ac:dyDescent="0.25">
      <c r="A1456" t="s">
        <v>38</v>
      </c>
      <c r="B1456" t="s">
        <v>63</v>
      </c>
      <c r="C1456">
        <v>140</v>
      </c>
      <c r="D1456" t="s">
        <v>342</v>
      </c>
      <c r="E1456">
        <v>24.15</v>
      </c>
      <c r="F1456">
        <v>13.15</v>
      </c>
      <c r="G1456">
        <v>11.17</v>
      </c>
      <c r="H1456">
        <v>24.32</v>
      </c>
      <c r="I1456" t="s">
        <v>344</v>
      </c>
      <c r="J1456">
        <v>147.24</v>
      </c>
      <c r="K1456">
        <v>-0.59</v>
      </c>
      <c r="L1456" t="s">
        <v>346</v>
      </c>
      <c r="M1456" s="1">
        <v>5.8999999999999999E-3</v>
      </c>
      <c r="N1456" t="s">
        <v>349</v>
      </c>
      <c r="O1456">
        <v>3.34</v>
      </c>
      <c r="P1456" t="s">
        <v>344</v>
      </c>
      <c r="Q1456">
        <v>1.89</v>
      </c>
      <c r="R1456" t="s">
        <v>343</v>
      </c>
      <c r="S1456">
        <v>1</v>
      </c>
    </row>
    <row r="1457" spans="1:19" x14ac:dyDescent="0.25">
      <c r="A1457" t="s">
        <v>38</v>
      </c>
      <c r="B1457" t="s">
        <v>64</v>
      </c>
      <c r="C1457">
        <v>160</v>
      </c>
      <c r="D1457" t="s">
        <v>342</v>
      </c>
      <c r="E1457">
        <v>24.15</v>
      </c>
      <c r="F1457">
        <v>13.51</v>
      </c>
      <c r="G1457">
        <v>11.59</v>
      </c>
      <c r="H1457">
        <v>25.1</v>
      </c>
      <c r="I1457" t="s">
        <v>344</v>
      </c>
      <c r="J1457">
        <v>147.11000000000001</v>
      </c>
      <c r="K1457">
        <v>-0.64</v>
      </c>
      <c r="L1457" t="s">
        <v>346</v>
      </c>
      <c r="M1457" s="1">
        <v>6.4000000000000003E-3</v>
      </c>
      <c r="N1457" t="s">
        <v>349</v>
      </c>
      <c r="O1457">
        <v>3.52</v>
      </c>
      <c r="P1457" t="s">
        <v>344</v>
      </c>
      <c r="Q1457">
        <v>-0.05</v>
      </c>
      <c r="R1457" t="s">
        <v>343</v>
      </c>
      <c r="S1457">
        <v>1</v>
      </c>
    </row>
    <row r="1458" spans="1:19" x14ac:dyDescent="0.25">
      <c r="A1458" t="s">
        <v>38</v>
      </c>
      <c r="B1458" t="s">
        <v>65</v>
      </c>
      <c r="C1458">
        <v>180</v>
      </c>
      <c r="D1458" t="s">
        <v>342</v>
      </c>
      <c r="E1458">
        <v>24.15</v>
      </c>
      <c r="F1458">
        <v>13.89</v>
      </c>
      <c r="G1458">
        <v>12.8</v>
      </c>
      <c r="H1458">
        <v>26.69</v>
      </c>
      <c r="I1458" t="s">
        <v>344</v>
      </c>
      <c r="J1458">
        <v>147.03</v>
      </c>
      <c r="K1458">
        <v>-0.41</v>
      </c>
      <c r="L1458" t="s">
        <v>346</v>
      </c>
      <c r="M1458" s="1">
        <v>4.0999999999999986E-3</v>
      </c>
      <c r="N1458" t="s">
        <v>349</v>
      </c>
      <c r="O1458">
        <v>2.74</v>
      </c>
      <c r="P1458" t="s">
        <v>344</v>
      </c>
      <c r="Q1458">
        <v>0.38</v>
      </c>
      <c r="R1458" t="s">
        <v>343</v>
      </c>
      <c r="S1458">
        <v>1</v>
      </c>
    </row>
    <row r="1459" spans="1:19" x14ac:dyDescent="0.25">
      <c r="A1459" t="s">
        <v>38</v>
      </c>
      <c r="B1459" t="s">
        <v>66</v>
      </c>
      <c r="C1459">
        <v>200</v>
      </c>
      <c r="D1459" t="s">
        <v>342</v>
      </c>
      <c r="E1459">
        <v>24.15</v>
      </c>
      <c r="F1459">
        <v>13.34</v>
      </c>
      <c r="G1459">
        <v>12.99</v>
      </c>
      <c r="H1459">
        <v>26.32</v>
      </c>
      <c r="I1459" t="s">
        <v>344</v>
      </c>
      <c r="J1459">
        <v>146.99</v>
      </c>
      <c r="K1459">
        <v>-0.17</v>
      </c>
      <c r="L1459" t="s">
        <v>346</v>
      </c>
      <c r="M1459" s="1">
        <v>1.6999999999999999E-3</v>
      </c>
      <c r="N1459" t="s">
        <v>349</v>
      </c>
      <c r="O1459">
        <v>1.49</v>
      </c>
      <c r="P1459" t="s">
        <v>343</v>
      </c>
      <c r="Q1459">
        <v>0.66</v>
      </c>
      <c r="R1459" t="s">
        <v>343</v>
      </c>
      <c r="S1459">
        <v>1</v>
      </c>
    </row>
    <row r="1460" spans="1:19" x14ac:dyDescent="0.25">
      <c r="A1460" t="s">
        <v>38</v>
      </c>
      <c r="B1460" t="s">
        <v>67</v>
      </c>
      <c r="C1460">
        <v>220</v>
      </c>
      <c r="D1460" t="s">
        <v>342</v>
      </c>
      <c r="E1460">
        <v>24.15</v>
      </c>
      <c r="F1460">
        <v>13.8</v>
      </c>
      <c r="G1460">
        <v>14.28</v>
      </c>
      <c r="H1460">
        <v>28.08</v>
      </c>
      <c r="I1460" t="s">
        <v>344</v>
      </c>
      <c r="J1460">
        <v>146.84</v>
      </c>
      <c r="K1460">
        <v>-0.75</v>
      </c>
      <c r="L1460" t="s">
        <v>346</v>
      </c>
      <c r="M1460" s="1">
        <v>7.4999999999999997E-3</v>
      </c>
      <c r="N1460" t="s">
        <v>349</v>
      </c>
      <c r="O1460">
        <v>1.61</v>
      </c>
      <c r="P1460" t="s">
        <v>343</v>
      </c>
      <c r="Q1460">
        <v>0.32</v>
      </c>
      <c r="R1460" t="s">
        <v>343</v>
      </c>
      <c r="S1460">
        <v>1</v>
      </c>
    </row>
    <row r="1461" spans="1:19" x14ac:dyDescent="0.25">
      <c r="A1461" t="s">
        <v>38</v>
      </c>
      <c r="B1461" t="s">
        <v>68</v>
      </c>
      <c r="C1461">
        <v>240</v>
      </c>
      <c r="D1461" t="s">
        <v>342</v>
      </c>
      <c r="E1461">
        <v>24.15</v>
      </c>
      <c r="F1461">
        <v>13.23</v>
      </c>
      <c r="G1461">
        <v>13.89</v>
      </c>
      <c r="H1461">
        <v>27.12</v>
      </c>
      <c r="I1461" t="s">
        <v>344</v>
      </c>
      <c r="J1461">
        <v>146.87</v>
      </c>
      <c r="K1461">
        <v>0.12</v>
      </c>
      <c r="L1461" t="s">
        <v>346</v>
      </c>
      <c r="M1461" s="1">
        <v>1.1999999999999999E-3</v>
      </c>
      <c r="N1461" t="s">
        <v>349</v>
      </c>
      <c r="O1461">
        <v>2.59</v>
      </c>
      <c r="P1461" t="s">
        <v>344</v>
      </c>
      <c r="Q1461">
        <v>1.67</v>
      </c>
      <c r="R1461" t="s">
        <v>343</v>
      </c>
      <c r="S1461">
        <v>1</v>
      </c>
    </row>
    <row r="1462" spans="1:19" x14ac:dyDescent="0.25">
      <c r="A1462" t="s">
        <v>38</v>
      </c>
      <c r="B1462" t="s">
        <v>69</v>
      </c>
      <c r="C1462">
        <v>260</v>
      </c>
      <c r="D1462" t="s">
        <v>342</v>
      </c>
      <c r="E1462">
        <v>24.15</v>
      </c>
      <c r="F1462">
        <v>13.8</v>
      </c>
      <c r="G1462">
        <v>15.31</v>
      </c>
      <c r="H1462">
        <v>29.11</v>
      </c>
      <c r="I1462" t="s">
        <v>344</v>
      </c>
      <c r="J1462">
        <v>146.87</v>
      </c>
      <c r="K1462">
        <v>0.01</v>
      </c>
      <c r="L1462" t="s">
        <v>346</v>
      </c>
      <c r="M1462" s="1">
        <v>1E-4</v>
      </c>
      <c r="N1462" t="s">
        <v>349</v>
      </c>
      <c r="O1462">
        <v>1.91</v>
      </c>
      <c r="P1462" t="s">
        <v>343</v>
      </c>
      <c r="Q1462">
        <v>0.94</v>
      </c>
      <c r="R1462" t="s">
        <v>343</v>
      </c>
      <c r="S1462">
        <v>1</v>
      </c>
    </row>
    <row r="1463" spans="1:19" x14ac:dyDescent="0.25">
      <c r="A1463" t="s">
        <v>38</v>
      </c>
      <c r="B1463" t="s">
        <v>70</v>
      </c>
      <c r="C1463">
        <v>280</v>
      </c>
      <c r="D1463" t="s">
        <v>342</v>
      </c>
      <c r="E1463">
        <v>24.15</v>
      </c>
      <c r="F1463">
        <v>14.84</v>
      </c>
      <c r="G1463">
        <v>20</v>
      </c>
      <c r="H1463">
        <v>34.840000000000003</v>
      </c>
      <c r="I1463" t="s">
        <v>344</v>
      </c>
      <c r="J1463">
        <v>147.59</v>
      </c>
      <c r="K1463">
        <v>3.6</v>
      </c>
      <c r="L1463" t="s">
        <v>346</v>
      </c>
      <c r="M1463" s="1">
        <v>3.5999999999999997E-2</v>
      </c>
      <c r="N1463" t="s">
        <v>350</v>
      </c>
      <c r="O1463">
        <v>1.71</v>
      </c>
      <c r="P1463" t="s">
        <v>343</v>
      </c>
      <c r="Q1463">
        <v>-7.16</v>
      </c>
      <c r="R1463" t="s">
        <v>343</v>
      </c>
      <c r="S1463">
        <v>1</v>
      </c>
    </row>
    <row r="1464" spans="1:19" x14ac:dyDescent="0.25">
      <c r="A1464" t="s">
        <v>38</v>
      </c>
      <c r="B1464" t="s">
        <v>71</v>
      </c>
      <c r="C1464">
        <v>300</v>
      </c>
      <c r="D1464" t="s">
        <v>342</v>
      </c>
      <c r="E1464">
        <v>24.15</v>
      </c>
      <c r="F1464">
        <v>14.84</v>
      </c>
      <c r="G1464">
        <v>20</v>
      </c>
      <c r="H1464">
        <v>34.840000000000003</v>
      </c>
      <c r="I1464" t="s">
        <v>344</v>
      </c>
      <c r="J1464">
        <v>147.06</v>
      </c>
      <c r="K1464">
        <v>-2.62</v>
      </c>
      <c r="L1464" t="s">
        <v>346</v>
      </c>
      <c r="M1464" s="1">
        <v>2.6200000000000001E-2</v>
      </c>
      <c r="N1464" t="s">
        <v>350</v>
      </c>
      <c r="O1464">
        <v>1.4</v>
      </c>
      <c r="P1464" t="s">
        <v>343</v>
      </c>
      <c r="Q1464">
        <v>0.81</v>
      </c>
      <c r="R1464" t="s">
        <v>343</v>
      </c>
      <c r="S1464">
        <v>1</v>
      </c>
    </row>
    <row r="1465" spans="1:19" x14ac:dyDescent="0.25">
      <c r="A1465" t="s">
        <v>38</v>
      </c>
      <c r="B1465" t="s">
        <v>72</v>
      </c>
      <c r="C1465">
        <v>320</v>
      </c>
      <c r="D1465" t="s">
        <v>342</v>
      </c>
      <c r="E1465">
        <v>24.15</v>
      </c>
      <c r="F1465">
        <v>14.84</v>
      </c>
      <c r="G1465">
        <v>20</v>
      </c>
      <c r="H1465">
        <v>34.840000000000003</v>
      </c>
      <c r="I1465" t="s">
        <v>344</v>
      </c>
      <c r="J1465">
        <v>147.13999999999999</v>
      </c>
      <c r="K1465">
        <v>0.38</v>
      </c>
      <c r="L1465" t="s">
        <v>346</v>
      </c>
      <c r="M1465" s="1">
        <v>3.8E-3</v>
      </c>
      <c r="N1465" t="s">
        <v>349</v>
      </c>
      <c r="O1465">
        <v>0.56999999999999995</v>
      </c>
      <c r="P1465" t="s">
        <v>343</v>
      </c>
      <c r="Q1465">
        <v>1.79</v>
      </c>
      <c r="R1465" t="s">
        <v>343</v>
      </c>
      <c r="S1465">
        <v>1</v>
      </c>
    </row>
    <row r="1466" spans="1:19" x14ac:dyDescent="0.25">
      <c r="A1466" t="s">
        <v>38</v>
      </c>
      <c r="B1466" t="s">
        <v>73</v>
      </c>
      <c r="C1466">
        <v>340</v>
      </c>
      <c r="D1466" t="s">
        <v>342</v>
      </c>
      <c r="E1466">
        <v>24.15</v>
      </c>
      <c r="F1466">
        <v>11.64</v>
      </c>
      <c r="G1466">
        <v>20</v>
      </c>
      <c r="H1466">
        <v>31.64</v>
      </c>
      <c r="I1466" t="s">
        <v>344</v>
      </c>
      <c r="J1466">
        <v>147.49</v>
      </c>
      <c r="K1466">
        <v>1.74</v>
      </c>
      <c r="L1466" t="s">
        <v>346</v>
      </c>
      <c r="M1466" s="1">
        <v>1.7399999999999999E-2</v>
      </c>
      <c r="N1466" t="s">
        <v>349</v>
      </c>
      <c r="O1466">
        <v>0.89</v>
      </c>
      <c r="P1466" t="s">
        <v>343</v>
      </c>
      <c r="Q1466">
        <v>1.33</v>
      </c>
      <c r="R1466" t="s">
        <v>343</v>
      </c>
      <c r="S1466">
        <v>1</v>
      </c>
    </row>
    <row r="1467" spans="1:19" x14ac:dyDescent="0.25">
      <c r="A1467" t="s">
        <v>38</v>
      </c>
      <c r="B1467" t="s">
        <v>74</v>
      </c>
      <c r="C1467">
        <v>360</v>
      </c>
      <c r="D1467" t="s">
        <v>342</v>
      </c>
      <c r="E1467">
        <v>24.15</v>
      </c>
      <c r="F1467">
        <v>11.22</v>
      </c>
      <c r="G1467">
        <v>11.75</v>
      </c>
      <c r="H1467">
        <v>22.97</v>
      </c>
      <c r="I1467" t="s">
        <v>343</v>
      </c>
      <c r="J1467">
        <v>147.78</v>
      </c>
      <c r="K1467">
        <v>1.45</v>
      </c>
      <c r="L1467" t="s">
        <v>346</v>
      </c>
      <c r="M1467" s="1">
        <v>1.4500000000000001E-2</v>
      </c>
      <c r="N1467" t="s">
        <v>349</v>
      </c>
      <c r="O1467">
        <v>2.4300000000000002</v>
      </c>
      <c r="P1467" t="s">
        <v>344</v>
      </c>
      <c r="Q1467">
        <v>0.82</v>
      </c>
      <c r="R1467" t="s">
        <v>343</v>
      </c>
      <c r="S1467">
        <v>1</v>
      </c>
    </row>
    <row r="1468" spans="1:19" x14ac:dyDescent="0.25">
      <c r="A1468" t="s">
        <v>38</v>
      </c>
      <c r="B1468" t="s">
        <v>75</v>
      </c>
      <c r="C1468">
        <v>380</v>
      </c>
      <c r="D1468" t="s">
        <v>342</v>
      </c>
      <c r="E1468">
        <v>24.15</v>
      </c>
      <c r="F1468">
        <v>11.76</v>
      </c>
      <c r="G1468">
        <v>11.17</v>
      </c>
      <c r="H1468">
        <v>22.93</v>
      </c>
      <c r="I1468" t="s">
        <v>343</v>
      </c>
      <c r="J1468">
        <v>147.97999999999999</v>
      </c>
      <c r="K1468">
        <v>1.03</v>
      </c>
      <c r="L1468" t="s">
        <v>346</v>
      </c>
      <c r="M1468" s="1">
        <v>1.03E-2</v>
      </c>
      <c r="N1468" t="s">
        <v>349</v>
      </c>
      <c r="O1468">
        <v>3.28</v>
      </c>
      <c r="P1468" t="s">
        <v>344</v>
      </c>
      <c r="Q1468">
        <v>0.9</v>
      </c>
      <c r="R1468" t="s">
        <v>343</v>
      </c>
      <c r="S1468">
        <v>1</v>
      </c>
    </row>
    <row r="1469" spans="1:19" x14ac:dyDescent="0.25">
      <c r="A1469" t="s">
        <v>38</v>
      </c>
      <c r="B1469" t="s">
        <v>76</v>
      </c>
      <c r="C1469">
        <v>400</v>
      </c>
      <c r="D1469" t="s">
        <v>342</v>
      </c>
      <c r="E1469">
        <v>24.15</v>
      </c>
      <c r="F1469">
        <v>13.63</v>
      </c>
      <c r="G1469">
        <v>11.06</v>
      </c>
      <c r="H1469">
        <v>24.69</v>
      </c>
      <c r="I1469" t="s">
        <v>344</v>
      </c>
      <c r="J1469">
        <v>148.13</v>
      </c>
      <c r="K1469">
        <v>0.75</v>
      </c>
      <c r="L1469" t="s">
        <v>346</v>
      </c>
      <c r="M1469" s="1">
        <v>7.4999999999999997E-3</v>
      </c>
      <c r="N1469" t="s">
        <v>349</v>
      </c>
      <c r="O1469">
        <v>4.03</v>
      </c>
      <c r="P1469" t="s">
        <v>343</v>
      </c>
      <c r="Q1469">
        <v>1.1299999999999999</v>
      </c>
      <c r="R1469" t="s">
        <v>343</v>
      </c>
      <c r="S1469">
        <v>1</v>
      </c>
    </row>
    <row r="1470" spans="1:19" x14ac:dyDescent="0.25">
      <c r="A1470" t="s">
        <v>38</v>
      </c>
      <c r="B1470" t="s">
        <v>77</v>
      </c>
      <c r="C1470">
        <v>420</v>
      </c>
      <c r="D1470" t="s">
        <v>342</v>
      </c>
      <c r="E1470">
        <v>24.15</v>
      </c>
      <c r="F1470">
        <v>13.81</v>
      </c>
      <c r="G1470">
        <v>11.01</v>
      </c>
      <c r="H1470">
        <v>24.82</v>
      </c>
      <c r="I1470" t="s">
        <v>344</v>
      </c>
      <c r="J1470">
        <v>148.22999999999999</v>
      </c>
      <c r="K1470">
        <v>0.51</v>
      </c>
      <c r="L1470" t="s">
        <v>346</v>
      </c>
      <c r="M1470" s="1">
        <v>5.1000000000000004E-3</v>
      </c>
      <c r="N1470" t="s">
        <v>349</v>
      </c>
      <c r="O1470">
        <v>2.89</v>
      </c>
      <c r="P1470" t="s">
        <v>344</v>
      </c>
      <c r="Q1470">
        <v>-0.18</v>
      </c>
      <c r="R1470" t="s">
        <v>343</v>
      </c>
      <c r="S1470">
        <v>1</v>
      </c>
    </row>
    <row r="1471" spans="1:19" x14ac:dyDescent="0.25">
      <c r="A1471" t="s">
        <v>38</v>
      </c>
      <c r="B1471" t="s">
        <v>78</v>
      </c>
      <c r="C1471">
        <v>440</v>
      </c>
      <c r="D1471" t="s">
        <v>342</v>
      </c>
      <c r="E1471">
        <v>24.15</v>
      </c>
      <c r="F1471">
        <v>13.63</v>
      </c>
      <c r="G1471">
        <v>11.14</v>
      </c>
      <c r="H1471">
        <v>24.77</v>
      </c>
      <c r="I1471" t="s">
        <v>344</v>
      </c>
      <c r="J1471">
        <v>148.56</v>
      </c>
      <c r="K1471">
        <v>1.61</v>
      </c>
      <c r="L1471" t="s">
        <v>346</v>
      </c>
      <c r="M1471" s="1">
        <v>1.61E-2</v>
      </c>
      <c r="N1471" t="s">
        <v>349</v>
      </c>
      <c r="O1471">
        <v>3.92</v>
      </c>
      <c r="P1471" t="s">
        <v>344</v>
      </c>
      <c r="Q1471">
        <v>-0.62</v>
      </c>
      <c r="R1471" t="s">
        <v>343</v>
      </c>
      <c r="S1471">
        <v>1</v>
      </c>
    </row>
    <row r="1472" spans="1:19" x14ac:dyDescent="0.25">
      <c r="A1472" t="s">
        <v>38</v>
      </c>
      <c r="B1472" t="s">
        <v>79</v>
      </c>
      <c r="C1472">
        <v>460</v>
      </c>
      <c r="D1472" t="s">
        <v>342</v>
      </c>
      <c r="E1472">
        <v>24.15</v>
      </c>
      <c r="F1472">
        <v>14.25</v>
      </c>
      <c r="G1472">
        <v>11.11</v>
      </c>
      <c r="H1472">
        <v>25.37</v>
      </c>
      <c r="I1472" t="s">
        <v>344</v>
      </c>
      <c r="J1472">
        <v>148.88999999999999</v>
      </c>
      <c r="K1472">
        <v>1.65</v>
      </c>
      <c r="L1472" t="s">
        <v>346</v>
      </c>
      <c r="M1472" s="1">
        <v>1.6500000000000001E-2</v>
      </c>
      <c r="N1472" t="s">
        <v>349</v>
      </c>
      <c r="O1472">
        <v>4.1399999999999997</v>
      </c>
      <c r="P1472" t="s">
        <v>343</v>
      </c>
      <c r="Q1472">
        <v>0.33</v>
      </c>
      <c r="R1472" t="s">
        <v>343</v>
      </c>
      <c r="S1472">
        <v>1</v>
      </c>
    </row>
    <row r="1473" spans="1:19" x14ac:dyDescent="0.25">
      <c r="A1473" t="s">
        <v>38</v>
      </c>
      <c r="B1473" t="s">
        <v>80</v>
      </c>
      <c r="C1473">
        <v>480</v>
      </c>
      <c r="D1473" t="s">
        <v>342</v>
      </c>
      <c r="E1473">
        <v>24.15</v>
      </c>
      <c r="F1473">
        <v>14.02</v>
      </c>
      <c r="G1473">
        <v>11.05</v>
      </c>
      <c r="H1473">
        <v>25.07</v>
      </c>
      <c r="I1473" t="s">
        <v>344</v>
      </c>
      <c r="J1473">
        <v>149.16999999999999</v>
      </c>
      <c r="K1473">
        <v>1.42</v>
      </c>
      <c r="L1473" t="s">
        <v>346</v>
      </c>
      <c r="M1473" s="1">
        <v>1.4200000000000001E-2</v>
      </c>
      <c r="N1473" t="s">
        <v>349</v>
      </c>
      <c r="O1473">
        <v>4.2699999999999996</v>
      </c>
      <c r="P1473" t="s">
        <v>343</v>
      </c>
      <c r="Q1473">
        <v>-1.26</v>
      </c>
      <c r="R1473" t="s">
        <v>343</v>
      </c>
      <c r="S1473">
        <v>1</v>
      </c>
    </row>
    <row r="1474" spans="1:19" x14ac:dyDescent="0.25">
      <c r="A1474" t="s">
        <v>38</v>
      </c>
      <c r="B1474" t="s">
        <v>81</v>
      </c>
      <c r="C1474">
        <v>500</v>
      </c>
      <c r="D1474" t="s">
        <v>342</v>
      </c>
      <c r="E1474">
        <v>24.15</v>
      </c>
      <c r="F1474">
        <v>13.15</v>
      </c>
      <c r="G1474">
        <v>12.17</v>
      </c>
      <c r="H1474">
        <v>25.33</v>
      </c>
      <c r="I1474" t="s">
        <v>344</v>
      </c>
      <c r="J1474">
        <v>149.38999999999999</v>
      </c>
      <c r="K1474">
        <v>1.08</v>
      </c>
      <c r="L1474" t="s">
        <v>346</v>
      </c>
      <c r="M1474" s="1">
        <v>1.0800000000000001E-2</v>
      </c>
      <c r="N1474" t="s">
        <v>349</v>
      </c>
      <c r="O1474">
        <v>4.43</v>
      </c>
      <c r="P1474" t="s">
        <v>343</v>
      </c>
      <c r="Q1474">
        <v>-1.61</v>
      </c>
      <c r="R1474" t="s">
        <v>343</v>
      </c>
      <c r="S1474">
        <v>1</v>
      </c>
    </row>
    <row r="1475" spans="1:19" x14ac:dyDescent="0.25">
      <c r="A1475" t="s">
        <v>38</v>
      </c>
      <c r="B1475" t="s">
        <v>82</v>
      </c>
      <c r="C1475">
        <v>520</v>
      </c>
      <c r="D1475" t="s">
        <v>342</v>
      </c>
      <c r="E1475">
        <v>24.15</v>
      </c>
      <c r="F1475">
        <v>14.02</v>
      </c>
      <c r="G1475">
        <v>13.4</v>
      </c>
      <c r="H1475">
        <v>27.42</v>
      </c>
      <c r="I1475" t="s">
        <v>344</v>
      </c>
      <c r="J1475">
        <v>149.41999999999999</v>
      </c>
      <c r="K1475">
        <v>0.16</v>
      </c>
      <c r="L1475" t="s">
        <v>346</v>
      </c>
      <c r="M1475" s="1">
        <v>1.6000000000000001E-3</v>
      </c>
      <c r="N1475" t="s">
        <v>349</v>
      </c>
      <c r="O1475">
        <v>6.59</v>
      </c>
      <c r="P1475" t="s">
        <v>343</v>
      </c>
      <c r="Q1475">
        <v>-1.67</v>
      </c>
      <c r="R1475" t="s">
        <v>343</v>
      </c>
      <c r="S1475">
        <v>1</v>
      </c>
    </row>
    <row r="1476" spans="1:19" x14ac:dyDescent="0.25">
      <c r="A1476" t="s">
        <v>38</v>
      </c>
      <c r="B1476" t="s">
        <v>83</v>
      </c>
      <c r="C1476">
        <v>540</v>
      </c>
      <c r="D1476" t="s">
        <v>342</v>
      </c>
      <c r="E1476">
        <v>24.15</v>
      </c>
      <c r="F1476">
        <v>13.15</v>
      </c>
      <c r="G1476">
        <v>13.96</v>
      </c>
      <c r="H1476">
        <v>27.11</v>
      </c>
      <c r="I1476" t="s">
        <v>344</v>
      </c>
      <c r="J1476">
        <v>149.49</v>
      </c>
      <c r="K1476">
        <v>0.34</v>
      </c>
      <c r="L1476" t="s">
        <v>346</v>
      </c>
      <c r="M1476" s="1">
        <v>3.3999999999999998E-3</v>
      </c>
      <c r="N1476" t="s">
        <v>349</v>
      </c>
      <c r="O1476">
        <v>6.37</v>
      </c>
      <c r="P1476" t="s">
        <v>343</v>
      </c>
      <c r="Q1476">
        <v>-2.5099999999999998</v>
      </c>
      <c r="R1476" t="s">
        <v>344</v>
      </c>
      <c r="S1476">
        <v>1</v>
      </c>
    </row>
    <row r="1477" spans="1:19" x14ac:dyDescent="0.25">
      <c r="A1477" t="s">
        <v>38</v>
      </c>
      <c r="B1477" t="s">
        <v>84</v>
      </c>
      <c r="C1477">
        <v>560</v>
      </c>
      <c r="D1477" t="s">
        <v>342</v>
      </c>
      <c r="E1477">
        <v>24.15</v>
      </c>
      <c r="F1477">
        <v>12.54</v>
      </c>
      <c r="G1477">
        <v>13.96</v>
      </c>
      <c r="H1477">
        <v>26.5</v>
      </c>
      <c r="I1477" t="s">
        <v>344</v>
      </c>
      <c r="J1477">
        <v>149.83000000000001</v>
      </c>
      <c r="K1477">
        <v>1.7</v>
      </c>
      <c r="L1477" t="s">
        <v>346</v>
      </c>
      <c r="M1477" s="1">
        <v>1.7000000000000001E-2</v>
      </c>
      <c r="N1477" t="s">
        <v>349</v>
      </c>
      <c r="O1477">
        <v>5.12</v>
      </c>
      <c r="P1477" t="s">
        <v>343</v>
      </c>
      <c r="Q1477">
        <v>-1.22</v>
      </c>
      <c r="R1477" t="s">
        <v>343</v>
      </c>
      <c r="S1477">
        <v>1</v>
      </c>
    </row>
    <row r="1478" spans="1:19" x14ac:dyDescent="0.25">
      <c r="A1478" t="s">
        <v>38</v>
      </c>
      <c r="B1478" t="s">
        <v>85</v>
      </c>
      <c r="C1478">
        <v>580</v>
      </c>
      <c r="D1478" t="s">
        <v>342</v>
      </c>
      <c r="E1478">
        <v>24.15</v>
      </c>
      <c r="F1478">
        <v>11.55</v>
      </c>
      <c r="G1478">
        <v>13.96</v>
      </c>
      <c r="H1478">
        <v>25.51</v>
      </c>
      <c r="I1478" t="s">
        <v>344</v>
      </c>
      <c r="J1478">
        <v>150.19999999999999</v>
      </c>
      <c r="K1478">
        <v>1.9</v>
      </c>
      <c r="L1478" t="s">
        <v>346</v>
      </c>
      <c r="M1478" s="1">
        <v>1.9E-2</v>
      </c>
      <c r="N1478" t="s">
        <v>349</v>
      </c>
      <c r="O1478">
        <v>4.12</v>
      </c>
      <c r="P1478" t="s">
        <v>343</v>
      </c>
      <c r="Q1478">
        <v>-0.23</v>
      </c>
      <c r="R1478" t="s">
        <v>343</v>
      </c>
      <c r="S1478">
        <v>1</v>
      </c>
    </row>
    <row r="1479" spans="1:19" x14ac:dyDescent="0.25">
      <c r="A1479" t="s">
        <v>38</v>
      </c>
      <c r="B1479" t="s">
        <v>86</v>
      </c>
      <c r="C1479">
        <v>600</v>
      </c>
      <c r="D1479" t="s">
        <v>342</v>
      </c>
      <c r="E1479">
        <v>24.15</v>
      </c>
      <c r="F1479">
        <v>12.54</v>
      </c>
      <c r="G1479">
        <v>12.5</v>
      </c>
      <c r="H1479">
        <v>25.04</v>
      </c>
      <c r="I1479" t="s">
        <v>344</v>
      </c>
      <c r="J1479">
        <v>150.75</v>
      </c>
      <c r="K1479">
        <v>2.73</v>
      </c>
      <c r="L1479" t="s">
        <v>346</v>
      </c>
      <c r="M1479" s="1">
        <v>2.7300000000000001E-2</v>
      </c>
      <c r="N1479" t="s">
        <v>350</v>
      </c>
      <c r="O1479">
        <v>4.34</v>
      </c>
      <c r="P1479" t="s">
        <v>343</v>
      </c>
      <c r="Q1479">
        <v>-0.88</v>
      </c>
      <c r="R1479" t="s">
        <v>343</v>
      </c>
      <c r="S1479">
        <v>1</v>
      </c>
    </row>
    <row r="1480" spans="1:19" x14ac:dyDescent="0.25">
      <c r="A1480" t="s">
        <v>38</v>
      </c>
      <c r="B1480" t="s">
        <v>87</v>
      </c>
      <c r="C1480">
        <v>620</v>
      </c>
      <c r="D1480" t="s">
        <v>342</v>
      </c>
      <c r="E1480">
        <v>24.15</v>
      </c>
      <c r="F1480">
        <v>13.34</v>
      </c>
      <c r="G1480">
        <v>11.25</v>
      </c>
      <c r="H1480">
        <v>24.59</v>
      </c>
      <c r="I1480" t="s">
        <v>344</v>
      </c>
      <c r="J1480">
        <v>151.11000000000001</v>
      </c>
      <c r="K1480">
        <v>1.8</v>
      </c>
      <c r="L1480" t="s">
        <v>346</v>
      </c>
      <c r="M1480" s="1">
        <v>1.7999999999999999E-2</v>
      </c>
      <c r="N1480" t="s">
        <v>349</v>
      </c>
      <c r="O1480">
        <v>3.58</v>
      </c>
      <c r="P1480" t="s">
        <v>344</v>
      </c>
      <c r="Q1480">
        <v>-1.2</v>
      </c>
      <c r="R1480" t="s">
        <v>343</v>
      </c>
      <c r="S1480">
        <v>1</v>
      </c>
    </row>
    <row r="1481" spans="1:19" x14ac:dyDescent="0.25">
      <c r="A1481" t="s">
        <v>38</v>
      </c>
      <c r="B1481" t="s">
        <v>88</v>
      </c>
      <c r="C1481">
        <v>640</v>
      </c>
      <c r="D1481" t="s">
        <v>342</v>
      </c>
      <c r="E1481">
        <v>24.15</v>
      </c>
      <c r="F1481">
        <v>12.72</v>
      </c>
      <c r="G1481">
        <v>11</v>
      </c>
      <c r="H1481">
        <v>23.71</v>
      </c>
      <c r="I1481" t="s">
        <v>343</v>
      </c>
      <c r="J1481">
        <v>151.25</v>
      </c>
      <c r="K1481">
        <v>0.7</v>
      </c>
      <c r="L1481" t="s">
        <v>346</v>
      </c>
      <c r="M1481" s="1">
        <v>6.9999999999999993E-3</v>
      </c>
      <c r="N1481" t="s">
        <v>349</v>
      </c>
      <c r="O1481">
        <v>3.27</v>
      </c>
      <c r="P1481" t="s">
        <v>344</v>
      </c>
      <c r="Q1481">
        <v>-1.87</v>
      </c>
      <c r="R1481" t="s">
        <v>343</v>
      </c>
      <c r="S1481">
        <v>1</v>
      </c>
    </row>
    <row r="1482" spans="1:19" x14ac:dyDescent="0.25">
      <c r="A1482" t="s">
        <v>38</v>
      </c>
      <c r="B1482" t="s">
        <v>89</v>
      </c>
      <c r="C1482">
        <v>660</v>
      </c>
      <c r="D1482" t="s">
        <v>342</v>
      </c>
      <c r="E1482">
        <v>24.15</v>
      </c>
      <c r="F1482">
        <v>12.5</v>
      </c>
      <c r="G1482">
        <v>12.14</v>
      </c>
      <c r="H1482">
        <v>24.64</v>
      </c>
      <c r="I1482" t="s">
        <v>344</v>
      </c>
      <c r="J1482">
        <v>151.13999999999999</v>
      </c>
      <c r="K1482">
        <v>-0.55000000000000004</v>
      </c>
      <c r="L1482" t="s">
        <v>346</v>
      </c>
      <c r="M1482" s="1">
        <v>5.5000000000000014E-3</v>
      </c>
      <c r="N1482" t="s">
        <v>349</v>
      </c>
      <c r="O1482">
        <v>4.71</v>
      </c>
      <c r="P1482" t="s">
        <v>343</v>
      </c>
      <c r="Q1482">
        <v>-1.51</v>
      </c>
      <c r="R1482" t="s">
        <v>343</v>
      </c>
      <c r="S1482">
        <v>1</v>
      </c>
    </row>
    <row r="1483" spans="1:19" x14ac:dyDescent="0.25">
      <c r="A1483" t="s">
        <v>38</v>
      </c>
      <c r="B1483" t="s">
        <v>90</v>
      </c>
      <c r="C1483">
        <v>680</v>
      </c>
      <c r="D1483" t="s">
        <v>342</v>
      </c>
      <c r="E1483">
        <v>24.15</v>
      </c>
      <c r="F1483">
        <v>11.73</v>
      </c>
      <c r="G1483">
        <v>11.43</v>
      </c>
      <c r="H1483">
        <v>23.16</v>
      </c>
      <c r="I1483" t="s">
        <v>343</v>
      </c>
      <c r="J1483">
        <v>150.58000000000001</v>
      </c>
      <c r="K1483">
        <v>-2.81</v>
      </c>
      <c r="L1483" t="s">
        <v>346</v>
      </c>
      <c r="M1483" s="1">
        <v>2.81E-2</v>
      </c>
      <c r="N1483" t="s">
        <v>350</v>
      </c>
      <c r="O1483">
        <v>4.37</v>
      </c>
      <c r="P1483" t="s">
        <v>343</v>
      </c>
      <c r="Q1483">
        <v>-1.58</v>
      </c>
      <c r="R1483" t="s">
        <v>343</v>
      </c>
      <c r="S1483">
        <v>1</v>
      </c>
    </row>
    <row r="1484" spans="1:19" x14ac:dyDescent="0.25">
      <c r="A1484" t="s">
        <v>38</v>
      </c>
      <c r="B1484" t="s">
        <v>91</v>
      </c>
      <c r="C1484">
        <v>700</v>
      </c>
      <c r="D1484" t="s">
        <v>342</v>
      </c>
      <c r="E1484">
        <v>24.15</v>
      </c>
      <c r="F1484">
        <v>12.5</v>
      </c>
      <c r="G1484">
        <v>11.2</v>
      </c>
      <c r="H1484">
        <v>23.7</v>
      </c>
      <c r="I1484" t="s">
        <v>343</v>
      </c>
      <c r="J1484">
        <v>149.38</v>
      </c>
      <c r="K1484">
        <v>-5.99</v>
      </c>
      <c r="L1484" t="s">
        <v>346</v>
      </c>
      <c r="M1484" s="1">
        <v>5.9900000000000002E-2</v>
      </c>
      <c r="N1484" t="s">
        <v>350</v>
      </c>
      <c r="O1484">
        <v>3.7</v>
      </c>
      <c r="P1484" t="s">
        <v>344</v>
      </c>
      <c r="Q1484">
        <v>-2.89</v>
      </c>
      <c r="R1484" t="s">
        <v>344</v>
      </c>
      <c r="S1484">
        <v>1</v>
      </c>
    </row>
    <row r="1485" spans="1:19" x14ac:dyDescent="0.25">
      <c r="A1485" t="s">
        <v>38</v>
      </c>
      <c r="B1485" t="s">
        <v>92</v>
      </c>
      <c r="C1485">
        <v>720</v>
      </c>
      <c r="D1485" t="s">
        <v>342</v>
      </c>
      <c r="E1485">
        <v>24.15</v>
      </c>
      <c r="F1485">
        <v>12.25</v>
      </c>
      <c r="G1485">
        <v>11.72</v>
      </c>
      <c r="H1485">
        <v>23.97</v>
      </c>
      <c r="I1485" t="s">
        <v>343</v>
      </c>
      <c r="J1485">
        <v>147.97</v>
      </c>
      <c r="K1485">
        <v>-7.06</v>
      </c>
      <c r="L1485" t="s">
        <v>346</v>
      </c>
      <c r="M1485" s="1">
        <v>7.0599999999999996E-2</v>
      </c>
      <c r="N1485" t="s">
        <v>350</v>
      </c>
      <c r="O1485">
        <v>3.71</v>
      </c>
      <c r="P1485" t="s">
        <v>344</v>
      </c>
      <c r="Q1485">
        <v>-1.27</v>
      </c>
      <c r="R1485" t="s">
        <v>343</v>
      </c>
      <c r="S1485">
        <v>1</v>
      </c>
    </row>
    <row r="1486" spans="1:19" x14ac:dyDescent="0.25">
      <c r="A1486" t="s">
        <v>38</v>
      </c>
      <c r="B1486" t="s">
        <v>93</v>
      </c>
      <c r="C1486">
        <v>740</v>
      </c>
      <c r="D1486" t="s">
        <v>342</v>
      </c>
      <c r="E1486">
        <v>24.15</v>
      </c>
      <c r="F1486">
        <v>12.6</v>
      </c>
      <c r="G1486">
        <v>11.74</v>
      </c>
      <c r="H1486">
        <v>24.34</v>
      </c>
      <c r="I1486" t="s">
        <v>344</v>
      </c>
      <c r="J1486">
        <v>146.49</v>
      </c>
      <c r="K1486">
        <v>-7.4</v>
      </c>
      <c r="L1486" t="s">
        <v>346</v>
      </c>
      <c r="M1486" s="1">
        <v>7.400000000000001E-2</v>
      </c>
      <c r="N1486" t="s">
        <v>350</v>
      </c>
      <c r="O1486">
        <v>3.98</v>
      </c>
      <c r="P1486" t="s">
        <v>344</v>
      </c>
      <c r="Q1486">
        <v>-1.61</v>
      </c>
      <c r="R1486" t="s">
        <v>343</v>
      </c>
      <c r="S1486">
        <v>1</v>
      </c>
    </row>
    <row r="1487" spans="1:19" x14ac:dyDescent="0.25">
      <c r="A1487" t="s">
        <v>38</v>
      </c>
      <c r="B1487" t="s">
        <v>94</v>
      </c>
      <c r="C1487">
        <v>760</v>
      </c>
      <c r="D1487" t="s">
        <v>342</v>
      </c>
      <c r="E1487">
        <v>24.15</v>
      </c>
      <c r="F1487">
        <v>12.86</v>
      </c>
      <c r="G1487">
        <v>12.07</v>
      </c>
      <c r="H1487">
        <v>24.94</v>
      </c>
      <c r="I1487" t="s">
        <v>344</v>
      </c>
      <c r="J1487">
        <v>144.99</v>
      </c>
      <c r="K1487">
        <v>-7.51</v>
      </c>
      <c r="L1487" t="s">
        <v>346</v>
      </c>
      <c r="M1487" s="1">
        <v>7.51E-2</v>
      </c>
      <c r="N1487" t="s">
        <v>350</v>
      </c>
      <c r="O1487">
        <v>4.32</v>
      </c>
      <c r="P1487" t="s">
        <v>343</v>
      </c>
      <c r="Q1487">
        <v>-2.65</v>
      </c>
      <c r="R1487" t="s">
        <v>344</v>
      </c>
      <c r="S1487">
        <v>1</v>
      </c>
    </row>
    <row r="1488" spans="1:19" x14ac:dyDescent="0.25">
      <c r="A1488" t="s">
        <v>38</v>
      </c>
      <c r="B1488" t="s">
        <v>95</v>
      </c>
      <c r="C1488">
        <v>780</v>
      </c>
      <c r="D1488" t="s">
        <v>342</v>
      </c>
      <c r="E1488">
        <v>24.15</v>
      </c>
      <c r="F1488">
        <v>14.4</v>
      </c>
      <c r="G1488">
        <v>13.25</v>
      </c>
      <c r="H1488">
        <v>27.66</v>
      </c>
      <c r="I1488" t="s">
        <v>344</v>
      </c>
      <c r="J1488">
        <v>143.6</v>
      </c>
      <c r="K1488">
        <v>-6.92</v>
      </c>
      <c r="L1488" t="s">
        <v>346</v>
      </c>
      <c r="M1488" s="1">
        <v>6.9199999999999998E-2</v>
      </c>
      <c r="N1488" t="s">
        <v>350</v>
      </c>
      <c r="O1488">
        <v>4.21</v>
      </c>
      <c r="P1488" t="s">
        <v>343</v>
      </c>
      <c r="Q1488">
        <v>0.04</v>
      </c>
      <c r="R1488" t="s">
        <v>343</v>
      </c>
      <c r="S1488">
        <v>1</v>
      </c>
    </row>
    <row r="1489" spans="1:19" x14ac:dyDescent="0.25">
      <c r="A1489" t="s">
        <v>38</v>
      </c>
      <c r="B1489" t="s">
        <v>96</v>
      </c>
      <c r="C1489">
        <v>800</v>
      </c>
      <c r="D1489" t="s">
        <v>342</v>
      </c>
      <c r="E1489">
        <v>24.15</v>
      </c>
      <c r="F1489">
        <v>16.66</v>
      </c>
      <c r="G1489">
        <v>16.53</v>
      </c>
      <c r="H1489">
        <v>33.19</v>
      </c>
      <c r="I1489" t="s">
        <v>344</v>
      </c>
      <c r="J1489">
        <v>142.99</v>
      </c>
      <c r="K1489">
        <v>-3.06</v>
      </c>
      <c r="L1489" t="s">
        <v>346</v>
      </c>
      <c r="M1489" s="1">
        <v>3.0599999999999999E-2</v>
      </c>
      <c r="N1489" t="s">
        <v>350</v>
      </c>
      <c r="O1489">
        <v>4.03</v>
      </c>
      <c r="P1489" t="s">
        <v>343</v>
      </c>
      <c r="Q1489">
        <v>0.03</v>
      </c>
      <c r="R1489" t="s">
        <v>343</v>
      </c>
      <c r="S1489">
        <v>1</v>
      </c>
    </row>
    <row r="1490" spans="1:19" x14ac:dyDescent="0.25">
      <c r="A1490" t="s">
        <v>38</v>
      </c>
      <c r="B1490" t="s">
        <v>97</v>
      </c>
      <c r="C1490">
        <v>820</v>
      </c>
      <c r="D1490" t="s">
        <v>342</v>
      </c>
      <c r="E1490">
        <v>24.15</v>
      </c>
      <c r="F1490">
        <v>16.940000000000001</v>
      </c>
      <c r="G1490">
        <v>15.16</v>
      </c>
      <c r="H1490">
        <v>32.1</v>
      </c>
      <c r="I1490" t="s">
        <v>344</v>
      </c>
      <c r="J1490">
        <v>141.09</v>
      </c>
      <c r="K1490">
        <v>-9.48</v>
      </c>
      <c r="L1490" t="s">
        <v>348</v>
      </c>
      <c r="M1490" s="1">
        <v>9.4800000000000009E-2</v>
      </c>
      <c r="N1490" t="s">
        <v>350</v>
      </c>
      <c r="O1490">
        <v>2.69</v>
      </c>
      <c r="P1490" t="s">
        <v>344</v>
      </c>
      <c r="Q1490">
        <v>0.92</v>
      </c>
      <c r="R1490" t="s">
        <v>343</v>
      </c>
      <c r="S1490">
        <v>1</v>
      </c>
    </row>
    <row r="1491" spans="1:19" x14ac:dyDescent="0.25">
      <c r="A1491" t="s">
        <v>38</v>
      </c>
      <c r="B1491" t="s">
        <v>98</v>
      </c>
      <c r="C1491">
        <v>840</v>
      </c>
      <c r="D1491" t="s">
        <v>342</v>
      </c>
      <c r="E1491">
        <v>24.15</v>
      </c>
      <c r="F1491">
        <v>16.63</v>
      </c>
      <c r="G1491">
        <v>16.28</v>
      </c>
      <c r="H1491">
        <v>32.909999999999997</v>
      </c>
      <c r="I1491" t="s">
        <v>344</v>
      </c>
      <c r="J1491">
        <v>139.22999999999999</v>
      </c>
      <c r="K1491">
        <v>-9.32</v>
      </c>
      <c r="L1491" t="s">
        <v>348</v>
      </c>
      <c r="M1491" s="1">
        <v>9.3200000000000005E-2</v>
      </c>
      <c r="N1491" t="s">
        <v>350</v>
      </c>
      <c r="O1491">
        <v>2.41</v>
      </c>
      <c r="P1491" t="s">
        <v>344</v>
      </c>
      <c r="Q1491">
        <v>1.89</v>
      </c>
      <c r="R1491" t="s">
        <v>343</v>
      </c>
      <c r="S1491">
        <v>1</v>
      </c>
    </row>
    <row r="1492" spans="1:19" x14ac:dyDescent="0.25">
      <c r="A1492" t="s">
        <v>38</v>
      </c>
      <c r="B1492" t="s">
        <v>99</v>
      </c>
      <c r="C1492">
        <v>860</v>
      </c>
      <c r="D1492" t="s">
        <v>342</v>
      </c>
      <c r="E1492">
        <v>24.15</v>
      </c>
      <c r="F1492">
        <v>15.99</v>
      </c>
      <c r="G1492">
        <v>17.18</v>
      </c>
      <c r="H1492">
        <v>33.18</v>
      </c>
      <c r="I1492" t="s">
        <v>344</v>
      </c>
      <c r="J1492">
        <v>137.34</v>
      </c>
      <c r="K1492">
        <v>-9.43</v>
      </c>
      <c r="L1492" t="s">
        <v>348</v>
      </c>
      <c r="M1492" s="1">
        <v>9.4299999999999995E-2</v>
      </c>
      <c r="N1492" t="s">
        <v>350</v>
      </c>
      <c r="O1492">
        <v>2.1</v>
      </c>
      <c r="P1492" t="s">
        <v>344</v>
      </c>
      <c r="Q1492">
        <v>0.71</v>
      </c>
      <c r="R1492" t="s">
        <v>343</v>
      </c>
      <c r="S1492">
        <v>1</v>
      </c>
    </row>
    <row r="1493" spans="1:19" x14ac:dyDescent="0.25">
      <c r="A1493" t="s">
        <v>38</v>
      </c>
      <c r="B1493" t="s">
        <v>100</v>
      </c>
      <c r="C1493">
        <v>880</v>
      </c>
      <c r="D1493" t="s">
        <v>342</v>
      </c>
      <c r="E1493">
        <v>24.15</v>
      </c>
      <c r="F1493">
        <v>16.05</v>
      </c>
      <c r="G1493">
        <v>17.21</v>
      </c>
      <c r="H1493">
        <v>33.26</v>
      </c>
      <c r="I1493" t="s">
        <v>344</v>
      </c>
      <c r="J1493">
        <v>135.72999999999999</v>
      </c>
      <c r="K1493">
        <v>-8.08</v>
      </c>
      <c r="L1493" t="s">
        <v>347</v>
      </c>
      <c r="M1493" s="1">
        <v>8.0799999999999997E-2</v>
      </c>
      <c r="N1493" t="s">
        <v>350</v>
      </c>
      <c r="O1493">
        <v>2.19</v>
      </c>
      <c r="P1493" t="s">
        <v>344</v>
      </c>
      <c r="Q1493">
        <v>0.21</v>
      </c>
      <c r="R1493" t="s">
        <v>343</v>
      </c>
      <c r="S1493">
        <v>1</v>
      </c>
    </row>
    <row r="1494" spans="1:19" x14ac:dyDescent="0.25">
      <c r="A1494" t="s">
        <v>38</v>
      </c>
      <c r="B1494" t="s">
        <v>101</v>
      </c>
      <c r="C1494">
        <v>900</v>
      </c>
      <c r="D1494" t="s">
        <v>342</v>
      </c>
      <c r="E1494">
        <v>24.15</v>
      </c>
      <c r="F1494">
        <v>16.059999999999999</v>
      </c>
      <c r="G1494">
        <v>17.72</v>
      </c>
      <c r="H1494">
        <v>33.78</v>
      </c>
      <c r="I1494" t="s">
        <v>344</v>
      </c>
      <c r="J1494">
        <v>133.9</v>
      </c>
      <c r="K1494">
        <v>-9.1300000000000008</v>
      </c>
      <c r="L1494" t="s">
        <v>348</v>
      </c>
      <c r="M1494" s="1">
        <v>9.1300000000000006E-2</v>
      </c>
      <c r="N1494" t="s">
        <v>350</v>
      </c>
      <c r="O1494">
        <v>3.58</v>
      </c>
      <c r="P1494" t="s">
        <v>344</v>
      </c>
      <c r="Q1494">
        <v>0.57999999999999996</v>
      </c>
      <c r="R1494" t="s">
        <v>343</v>
      </c>
      <c r="S1494">
        <v>1</v>
      </c>
    </row>
    <row r="1495" spans="1:19" x14ac:dyDescent="0.25">
      <c r="A1495" t="s">
        <v>38</v>
      </c>
      <c r="B1495" t="s">
        <v>102</v>
      </c>
      <c r="C1495">
        <v>920</v>
      </c>
      <c r="D1495" t="s">
        <v>342</v>
      </c>
      <c r="E1495">
        <v>24.15</v>
      </c>
      <c r="F1495">
        <v>15.39</v>
      </c>
      <c r="G1495">
        <v>17.34</v>
      </c>
      <c r="H1495">
        <v>32.74</v>
      </c>
      <c r="I1495" t="s">
        <v>344</v>
      </c>
      <c r="J1495">
        <v>131.97999999999999</v>
      </c>
      <c r="K1495">
        <v>-9.64</v>
      </c>
      <c r="L1495" t="s">
        <v>348</v>
      </c>
      <c r="M1495" s="1">
        <v>9.64E-2</v>
      </c>
      <c r="N1495" t="s">
        <v>350</v>
      </c>
      <c r="O1495">
        <v>3.55</v>
      </c>
      <c r="P1495" t="s">
        <v>344</v>
      </c>
      <c r="Q1495">
        <v>-0.36</v>
      </c>
      <c r="R1495" t="s">
        <v>343</v>
      </c>
      <c r="S1495">
        <v>1</v>
      </c>
    </row>
    <row r="1496" spans="1:19" x14ac:dyDescent="0.25">
      <c r="A1496" t="s">
        <v>38</v>
      </c>
      <c r="B1496" t="s">
        <v>103</v>
      </c>
      <c r="C1496">
        <v>940</v>
      </c>
      <c r="D1496" t="s">
        <v>342</v>
      </c>
      <c r="E1496">
        <v>24.15</v>
      </c>
      <c r="F1496">
        <v>15.11</v>
      </c>
      <c r="G1496">
        <v>18.170000000000002</v>
      </c>
      <c r="H1496">
        <v>33.270000000000003</v>
      </c>
      <c r="I1496" t="s">
        <v>344</v>
      </c>
      <c r="J1496">
        <v>130.28</v>
      </c>
      <c r="K1496">
        <v>-8.4499999999999993</v>
      </c>
      <c r="L1496" t="s">
        <v>347</v>
      </c>
      <c r="M1496" s="1">
        <v>8.4499999999999992E-2</v>
      </c>
      <c r="N1496" t="s">
        <v>350</v>
      </c>
      <c r="O1496">
        <v>3.55</v>
      </c>
      <c r="P1496" t="s">
        <v>344</v>
      </c>
      <c r="Q1496">
        <v>0.76</v>
      </c>
      <c r="R1496" t="s">
        <v>343</v>
      </c>
      <c r="S1496">
        <v>1</v>
      </c>
    </row>
    <row r="1497" spans="1:19" x14ac:dyDescent="0.25">
      <c r="A1497" t="s">
        <v>38</v>
      </c>
      <c r="B1497" t="s">
        <v>104</v>
      </c>
      <c r="C1497">
        <v>960</v>
      </c>
      <c r="D1497" t="s">
        <v>342</v>
      </c>
      <c r="E1497">
        <v>24.15</v>
      </c>
      <c r="F1497">
        <v>16.690000000000001</v>
      </c>
      <c r="G1497">
        <v>17.32</v>
      </c>
      <c r="H1497">
        <v>34</v>
      </c>
      <c r="I1497" t="s">
        <v>344</v>
      </c>
      <c r="J1497">
        <v>127.96</v>
      </c>
      <c r="K1497">
        <v>-11.62</v>
      </c>
      <c r="L1497" t="s">
        <v>348</v>
      </c>
      <c r="M1497" s="1">
        <v>0.1162</v>
      </c>
      <c r="N1497" t="s">
        <v>350</v>
      </c>
      <c r="O1497">
        <v>4.38</v>
      </c>
      <c r="P1497" t="s">
        <v>343</v>
      </c>
      <c r="Q1497">
        <v>-1.39</v>
      </c>
      <c r="R1497" t="s">
        <v>343</v>
      </c>
      <c r="S1497">
        <v>1</v>
      </c>
    </row>
    <row r="1498" spans="1:19" x14ac:dyDescent="0.25">
      <c r="A1498" t="s">
        <v>38</v>
      </c>
      <c r="B1498" t="s">
        <v>105</v>
      </c>
      <c r="C1498">
        <v>980</v>
      </c>
      <c r="D1498" t="s">
        <v>342</v>
      </c>
      <c r="E1498">
        <v>24.15</v>
      </c>
      <c r="F1498">
        <v>17.559999999999999</v>
      </c>
      <c r="G1498">
        <v>17.18</v>
      </c>
      <c r="H1498">
        <v>34.729999999999997</v>
      </c>
      <c r="I1498" t="s">
        <v>344</v>
      </c>
      <c r="J1498">
        <v>126.01</v>
      </c>
      <c r="K1498">
        <v>-9.73</v>
      </c>
      <c r="L1498" t="s">
        <v>348</v>
      </c>
      <c r="M1498" s="1">
        <v>9.7299999999999998E-2</v>
      </c>
      <c r="N1498" t="s">
        <v>350</v>
      </c>
      <c r="O1498">
        <v>2.87</v>
      </c>
      <c r="P1498" t="s">
        <v>344</v>
      </c>
      <c r="Q1498">
        <v>-1.19</v>
      </c>
      <c r="R1498" t="s">
        <v>343</v>
      </c>
      <c r="S1498">
        <v>1</v>
      </c>
    </row>
    <row r="1499" spans="1:19" x14ac:dyDescent="0.25">
      <c r="A1499" t="s">
        <v>38</v>
      </c>
      <c r="B1499" t="s">
        <v>106</v>
      </c>
      <c r="C1499">
        <v>1000</v>
      </c>
      <c r="D1499" t="s">
        <v>342</v>
      </c>
      <c r="E1499">
        <v>24.15</v>
      </c>
      <c r="F1499">
        <v>16.45</v>
      </c>
      <c r="G1499">
        <v>18.190000000000001</v>
      </c>
      <c r="H1499">
        <v>34.64</v>
      </c>
      <c r="I1499" t="s">
        <v>344</v>
      </c>
      <c r="J1499">
        <v>124.35</v>
      </c>
      <c r="K1499">
        <v>-8.33</v>
      </c>
      <c r="L1499" t="s">
        <v>347</v>
      </c>
      <c r="M1499" s="1">
        <v>8.3299999999999999E-2</v>
      </c>
      <c r="N1499" t="s">
        <v>350</v>
      </c>
      <c r="O1499">
        <v>2.76</v>
      </c>
      <c r="P1499" t="s">
        <v>344</v>
      </c>
      <c r="Q1499">
        <v>0.37</v>
      </c>
      <c r="R1499" t="s">
        <v>343</v>
      </c>
      <c r="S1499">
        <v>1</v>
      </c>
    </row>
    <row r="1500" spans="1:19" x14ac:dyDescent="0.25">
      <c r="A1500" t="s">
        <v>38</v>
      </c>
      <c r="B1500" t="s">
        <v>108</v>
      </c>
      <c r="C1500">
        <v>1020</v>
      </c>
      <c r="D1500" t="s">
        <v>342</v>
      </c>
      <c r="E1500">
        <v>24.15</v>
      </c>
      <c r="F1500">
        <v>16.8</v>
      </c>
      <c r="G1500">
        <v>17.95</v>
      </c>
      <c r="H1500">
        <v>34.75</v>
      </c>
      <c r="I1500" t="s">
        <v>344</v>
      </c>
      <c r="J1500">
        <v>122.93</v>
      </c>
      <c r="K1500">
        <v>-7.1</v>
      </c>
      <c r="L1500" t="s">
        <v>346</v>
      </c>
      <c r="M1500" s="1">
        <v>7.0999999999999994E-2</v>
      </c>
      <c r="N1500" t="s">
        <v>350</v>
      </c>
      <c r="O1500">
        <v>5.14</v>
      </c>
      <c r="P1500" t="s">
        <v>343</v>
      </c>
      <c r="Q1500">
        <v>-1.39</v>
      </c>
      <c r="R1500" t="s">
        <v>343</v>
      </c>
      <c r="S1500">
        <v>1</v>
      </c>
    </row>
    <row r="1501" spans="1:19" x14ac:dyDescent="0.25">
      <c r="A1501" t="s">
        <v>38</v>
      </c>
      <c r="B1501" t="s">
        <v>109</v>
      </c>
      <c r="C1501">
        <v>1040</v>
      </c>
      <c r="D1501" t="s">
        <v>342</v>
      </c>
      <c r="E1501">
        <v>24.15</v>
      </c>
      <c r="F1501">
        <v>15.5</v>
      </c>
      <c r="G1501">
        <v>18.260000000000002</v>
      </c>
      <c r="H1501">
        <v>33.770000000000003</v>
      </c>
      <c r="I1501" t="s">
        <v>344</v>
      </c>
      <c r="J1501">
        <v>121.36</v>
      </c>
      <c r="K1501">
        <v>-7.83</v>
      </c>
      <c r="L1501" t="s">
        <v>346</v>
      </c>
      <c r="M1501" s="1">
        <v>7.8299999999999995E-2</v>
      </c>
      <c r="N1501" t="s">
        <v>350</v>
      </c>
      <c r="O1501">
        <v>3.62</v>
      </c>
      <c r="P1501" t="s">
        <v>344</v>
      </c>
      <c r="Q1501">
        <v>-0.41</v>
      </c>
      <c r="R1501" t="s">
        <v>343</v>
      </c>
      <c r="S1501">
        <v>1</v>
      </c>
    </row>
    <row r="1502" spans="1:19" x14ac:dyDescent="0.25">
      <c r="A1502" t="s">
        <v>38</v>
      </c>
      <c r="B1502" t="s">
        <v>110</v>
      </c>
      <c r="C1502">
        <v>1060</v>
      </c>
      <c r="D1502" t="s">
        <v>342</v>
      </c>
      <c r="E1502">
        <v>24.15</v>
      </c>
      <c r="F1502">
        <v>15.25</v>
      </c>
      <c r="G1502">
        <v>17.95</v>
      </c>
      <c r="H1502">
        <v>33.200000000000003</v>
      </c>
      <c r="I1502" t="s">
        <v>344</v>
      </c>
      <c r="J1502">
        <v>119.98</v>
      </c>
      <c r="K1502">
        <v>-6.89</v>
      </c>
      <c r="L1502" t="s">
        <v>346</v>
      </c>
      <c r="M1502" s="1">
        <v>6.8900000000000003E-2</v>
      </c>
      <c r="N1502" t="s">
        <v>350</v>
      </c>
      <c r="O1502">
        <v>2.96</v>
      </c>
      <c r="P1502" t="s">
        <v>344</v>
      </c>
      <c r="Q1502">
        <v>0.43</v>
      </c>
      <c r="R1502" t="s">
        <v>343</v>
      </c>
      <c r="S1502">
        <v>1</v>
      </c>
    </row>
    <row r="1503" spans="1:19" x14ac:dyDescent="0.25">
      <c r="A1503" t="s">
        <v>38</v>
      </c>
      <c r="B1503" t="s">
        <v>111</v>
      </c>
      <c r="C1503">
        <v>1080</v>
      </c>
      <c r="D1503" t="s">
        <v>342</v>
      </c>
      <c r="E1503">
        <v>24.15</v>
      </c>
      <c r="F1503">
        <v>15.84</v>
      </c>
      <c r="G1503">
        <v>17.2</v>
      </c>
      <c r="H1503">
        <v>33.04</v>
      </c>
      <c r="I1503" t="s">
        <v>344</v>
      </c>
      <c r="J1503">
        <v>118.48</v>
      </c>
      <c r="K1503">
        <v>-7.53</v>
      </c>
      <c r="L1503" t="s">
        <v>346</v>
      </c>
      <c r="M1503" s="1">
        <v>7.5300000000000006E-2</v>
      </c>
      <c r="N1503" t="s">
        <v>350</v>
      </c>
      <c r="O1503">
        <v>1.64</v>
      </c>
      <c r="P1503" t="s">
        <v>343</v>
      </c>
      <c r="Q1503">
        <v>-0.03</v>
      </c>
      <c r="R1503" t="s">
        <v>343</v>
      </c>
      <c r="S1503">
        <v>1</v>
      </c>
    </row>
    <row r="1504" spans="1:19" x14ac:dyDescent="0.25">
      <c r="A1504" t="s">
        <v>38</v>
      </c>
      <c r="B1504" t="s">
        <v>112</v>
      </c>
      <c r="C1504">
        <v>1100</v>
      </c>
      <c r="D1504" t="s">
        <v>342</v>
      </c>
      <c r="E1504">
        <v>24.15</v>
      </c>
      <c r="F1504">
        <v>14.72</v>
      </c>
      <c r="G1504">
        <v>17.23</v>
      </c>
      <c r="H1504">
        <v>31.94</v>
      </c>
      <c r="I1504" t="s">
        <v>344</v>
      </c>
      <c r="J1504">
        <v>115.79</v>
      </c>
      <c r="K1504">
        <v>-13.42</v>
      </c>
      <c r="L1504" t="s">
        <v>348</v>
      </c>
      <c r="M1504" s="1">
        <v>0.13420000000000001</v>
      </c>
      <c r="N1504" t="s">
        <v>350</v>
      </c>
      <c r="O1504">
        <v>2.57</v>
      </c>
      <c r="P1504" t="s">
        <v>344</v>
      </c>
      <c r="Q1504">
        <v>1.77</v>
      </c>
      <c r="R1504" t="s">
        <v>343</v>
      </c>
      <c r="S1504">
        <v>1</v>
      </c>
    </row>
    <row r="1505" spans="1:19" x14ac:dyDescent="0.25">
      <c r="A1505" t="s">
        <v>38</v>
      </c>
      <c r="B1505" t="s">
        <v>113</v>
      </c>
      <c r="C1505">
        <v>1120</v>
      </c>
      <c r="D1505" t="s">
        <v>342</v>
      </c>
      <c r="E1505">
        <v>24.15</v>
      </c>
      <c r="F1505">
        <v>13.97</v>
      </c>
      <c r="G1505">
        <v>15.59</v>
      </c>
      <c r="H1505">
        <v>29.56</v>
      </c>
      <c r="I1505" t="s">
        <v>344</v>
      </c>
      <c r="J1505">
        <v>113.47</v>
      </c>
      <c r="K1505">
        <v>-11.63</v>
      </c>
      <c r="L1505" t="s">
        <v>348</v>
      </c>
      <c r="M1505" s="1">
        <v>0.1163</v>
      </c>
      <c r="N1505" t="s">
        <v>350</v>
      </c>
      <c r="O1505">
        <v>2.41</v>
      </c>
      <c r="P1505" t="s">
        <v>344</v>
      </c>
      <c r="Q1505">
        <v>0.01</v>
      </c>
      <c r="R1505" t="s">
        <v>343</v>
      </c>
      <c r="S1505">
        <v>1</v>
      </c>
    </row>
    <row r="1506" spans="1:19" x14ac:dyDescent="0.25">
      <c r="A1506" t="s">
        <v>38</v>
      </c>
      <c r="B1506" t="s">
        <v>114</v>
      </c>
      <c r="C1506">
        <v>1140</v>
      </c>
      <c r="D1506" t="s">
        <v>342</v>
      </c>
      <c r="E1506">
        <v>24.15</v>
      </c>
      <c r="F1506">
        <v>13.97</v>
      </c>
      <c r="G1506">
        <v>14.89</v>
      </c>
      <c r="H1506">
        <v>28.86</v>
      </c>
      <c r="I1506" t="s">
        <v>344</v>
      </c>
      <c r="J1506">
        <v>111.97</v>
      </c>
      <c r="K1506">
        <v>-7.5</v>
      </c>
      <c r="L1506" t="s">
        <v>346</v>
      </c>
      <c r="M1506" s="1">
        <v>7.4999999999999997E-2</v>
      </c>
      <c r="N1506" t="s">
        <v>350</v>
      </c>
      <c r="O1506">
        <v>1.61</v>
      </c>
      <c r="P1506" t="s">
        <v>343</v>
      </c>
      <c r="Q1506">
        <v>0.64</v>
      </c>
      <c r="R1506" t="s">
        <v>343</v>
      </c>
      <c r="S1506">
        <v>1</v>
      </c>
    </row>
    <row r="1507" spans="1:19" x14ac:dyDescent="0.25">
      <c r="A1507" t="s">
        <v>38</v>
      </c>
      <c r="B1507" t="s">
        <v>115</v>
      </c>
      <c r="C1507">
        <v>1160</v>
      </c>
      <c r="D1507" t="s">
        <v>342</v>
      </c>
      <c r="E1507">
        <v>24.15</v>
      </c>
      <c r="F1507">
        <v>12.75</v>
      </c>
      <c r="G1507">
        <v>13.74</v>
      </c>
      <c r="H1507">
        <v>26.49</v>
      </c>
      <c r="I1507" t="s">
        <v>344</v>
      </c>
      <c r="J1507">
        <v>110.47</v>
      </c>
      <c r="K1507">
        <v>-7.51</v>
      </c>
      <c r="L1507" t="s">
        <v>346</v>
      </c>
      <c r="M1507" s="1">
        <v>7.51E-2</v>
      </c>
      <c r="N1507" t="s">
        <v>350</v>
      </c>
      <c r="O1507">
        <v>1.27</v>
      </c>
      <c r="P1507" t="s">
        <v>343</v>
      </c>
      <c r="Q1507">
        <v>-0.23</v>
      </c>
      <c r="R1507" t="s">
        <v>343</v>
      </c>
      <c r="S1507">
        <v>1</v>
      </c>
    </row>
    <row r="1508" spans="1:19" x14ac:dyDescent="0.25">
      <c r="A1508" t="s">
        <v>38</v>
      </c>
      <c r="B1508" t="s">
        <v>116</v>
      </c>
      <c r="C1508">
        <v>1180</v>
      </c>
      <c r="D1508" t="s">
        <v>342</v>
      </c>
      <c r="E1508">
        <v>24.15</v>
      </c>
      <c r="F1508">
        <v>12.94</v>
      </c>
      <c r="G1508">
        <v>13.14</v>
      </c>
      <c r="H1508">
        <v>26.08</v>
      </c>
      <c r="I1508" t="s">
        <v>344</v>
      </c>
      <c r="J1508">
        <v>109.25</v>
      </c>
      <c r="K1508">
        <v>-6.07</v>
      </c>
      <c r="L1508" t="s">
        <v>346</v>
      </c>
      <c r="M1508" s="1">
        <v>6.0699999999999997E-2</v>
      </c>
      <c r="N1508" t="s">
        <v>350</v>
      </c>
      <c r="O1508">
        <v>1.66</v>
      </c>
      <c r="P1508" t="s">
        <v>343</v>
      </c>
      <c r="Q1508">
        <v>0.68</v>
      </c>
      <c r="R1508" t="s">
        <v>343</v>
      </c>
      <c r="S1508">
        <v>1</v>
      </c>
    </row>
    <row r="1509" spans="1:19" x14ac:dyDescent="0.25">
      <c r="A1509" t="s">
        <v>38</v>
      </c>
      <c r="B1509" t="s">
        <v>117</v>
      </c>
      <c r="C1509">
        <v>1200</v>
      </c>
      <c r="D1509" t="s">
        <v>342</v>
      </c>
      <c r="E1509">
        <v>24.15</v>
      </c>
      <c r="F1509">
        <v>12.77</v>
      </c>
      <c r="G1509">
        <v>12.42</v>
      </c>
      <c r="H1509">
        <v>25.2</v>
      </c>
      <c r="I1509" t="s">
        <v>344</v>
      </c>
      <c r="J1509">
        <v>108.01</v>
      </c>
      <c r="K1509">
        <v>-6.2</v>
      </c>
      <c r="L1509" t="s">
        <v>346</v>
      </c>
      <c r="M1509" s="1">
        <v>6.2E-2</v>
      </c>
      <c r="N1509" t="s">
        <v>350</v>
      </c>
      <c r="O1509">
        <v>1.78</v>
      </c>
      <c r="P1509" t="s">
        <v>343</v>
      </c>
      <c r="Q1509">
        <v>0.34</v>
      </c>
      <c r="R1509" t="s">
        <v>343</v>
      </c>
      <c r="S1509">
        <v>1</v>
      </c>
    </row>
    <row r="1510" spans="1:19" x14ac:dyDescent="0.25">
      <c r="A1510" t="s">
        <v>38</v>
      </c>
      <c r="B1510" t="s">
        <v>118</v>
      </c>
      <c r="C1510">
        <v>1220</v>
      </c>
      <c r="D1510" t="s">
        <v>342</v>
      </c>
      <c r="E1510">
        <v>24.15</v>
      </c>
      <c r="F1510">
        <v>12.8</v>
      </c>
      <c r="G1510">
        <v>12.59</v>
      </c>
      <c r="H1510">
        <v>25.39</v>
      </c>
      <c r="I1510" t="s">
        <v>344</v>
      </c>
      <c r="J1510">
        <v>106.72</v>
      </c>
      <c r="K1510">
        <v>-6.44</v>
      </c>
      <c r="L1510" t="s">
        <v>346</v>
      </c>
      <c r="M1510" s="1">
        <v>6.4399999999999999E-2</v>
      </c>
      <c r="N1510" t="s">
        <v>350</v>
      </c>
      <c r="O1510">
        <v>2.0099999999999998</v>
      </c>
      <c r="P1510" t="s">
        <v>344</v>
      </c>
      <c r="Q1510">
        <v>0.12</v>
      </c>
      <c r="R1510" t="s">
        <v>343</v>
      </c>
      <c r="S1510">
        <v>1</v>
      </c>
    </row>
    <row r="1511" spans="1:19" x14ac:dyDescent="0.25">
      <c r="A1511" t="s">
        <v>38</v>
      </c>
      <c r="B1511" t="s">
        <v>119</v>
      </c>
      <c r="C1511">
        <v>1240</v>
      </c>
      <c r="D1511" t="s">
        <v>342</v>
      </c>
      <c r="E1511">
        <v>24.15</v>
      </c>
      <c r="F1511">
        <v>12.12</v>
      </c>
      <c r="G1511">
        <v>12.45</v>
      </c>
      <c r="H1511">
        <v>24.58</v>
      </c>
      <c r="I1511" t="s">
        <v>344</v>
      </c>
      <c r="J1511">
        <v>105.47</v>
      </c>
      <c r="K1511">
        <v>-6.25</v>
      </c>
      <c r="L1511" t="s">
        <v>346</v>
      </c>
      <c r="M1511" s="1">
        <v>6.25E-2</v>
      </c>
      <c r="N1511" t="s">
        <v>350</v>
      </c>
      <c r="O1511">
        <v>1.99</v>
      </c>
      <c r="P1511" t="s">
        <v>343</v>
      </c>
      <c r="Q1511">
        <v>0.1</v>
      </c>
      <c r="R1511" t="s">
        <v>343</v>
      </c>
      <c r="S1511">
        <v>1</v>
      </c>
    </row>
    <row r="1512" spans="1:19" x14ac:dyDescent="0.25">
      <c r="A1512" t="s">
        <v>38</v>
      </c>
      <c r="B1512" t="s">
        <v>120</v>
      </c>
      <c r="C1512">
        <v>1260</v>
      </c>
      <c r="D1512" t="s">
        <v>342</v>
      </c>
      <c r="E1512">
        <v>24.15</v>
      </c>
      <c r="F1512">
        <v>12.55</v>
      </c>
      <c r="G1512">
        <v>11.99</v>
      </c>
      <c r="H1512">
        <v>24.54</v>
      </c>
      <c r="I1512" t="s">
        <v>344</v>
      </c>
      <c r="J1512">
        <v>104.38</v>
      </c>
      <c r="K1512">
        <v>-5.47</v>
      </c>
      <c r="L1512" t="s">
        <v>346</v>
      </c>
      <c r="M1512" s="1">
        <v>5.4699999999999999E-2</v>
      </c>
      <c r="N1512" t="s">
        <v>350</v>
      </c>
      <c r="O1512">
        <v>2.57</v>
      </c>
      <c r="P1512" t="s">
        <v>344</v>
      </c>
      <c r="Q1512">
        <v>-0.93</v>
      </c>
      <c r="R1512" t="s">
        <v>343</v>
      </c>
      <c r="S1512">
        <v>1</v>
      </c>
    </row>
    <row r="1513" spans="1:19" x14ac:dyDescent="0.25">
      <c r="A1513" t="s">
        <v>38</v>
      </c>
      <c r="B1513" t="s">
        <v>121</v>
      </c>
      <c r="C1513">
        <v>1280</v>
      </c>
      <c r="D1513" t="s">
        <v>342</v>
      </c>
      <c r="E1513">
        <v>24.15</v>
      </c>
      <c r="F1513">
        <v>11.86</v>
      </c>
      <c r="G1513">
        <v>11.66</v>
      </c>
      <c r="H1513">
        <v>23.52</v>
      </c>
      <c r="I1513" t="s">
        <v>343</v>
      </c>
      <c r="J1513">
        <v>103.48</v>
      </c>
      <c r="K1513">
        <v>-4.5</v>
      </c>
      <c r="L1513" t="s">
        <v>346</v>
      </c>
      <c r="M1513" s="1">
        <v>4.4999999999999998E-2</v>
      </c>
      <c r="N1513" t="s">
        <v>350</v>
      </c>
      <c r="O1513">
        <v>2.5299999999999998</v>
      </c>
      <c r="P1513" t="s">
        <v>344</v>
      </c>
      <c r="Q1513">
        <v>-0.4</v>
      </c>
      <c r="R1513" t="s">
        <v>343</v>
      </c>
      <c r="S1513">
        <v>1</v>
      </c>
    </row>
    <row r="1514" spans="1:19" x14ac:dyDescent="0.25">
      <c r="A1514" t="s">
        <v>38</v>
      </c>
      <c r="B1514" t="s">
        <v>123</v>
      </c>
      <c r="C1514">
        <v>1300</v>
      </c>
      <c r="D1514" t="s">
        <v>342</v>
      </c>
      <c r="E1514">
        <v>24.15</v>
      </c>
      <c r="F1514">
        <v>11.58</v>
      </c>
      <c r="G1514">
        <v>12.17</v>
      </c>
      <c r="H1514">
        <v>23.76</v>
      </c>
      <c r="I1514" t="s">
        <v>343</v>
      </c>
      <c r="J1514">
        <v>102.5</v>
      </c>
      <c r="K1514">
        <v>-4.91</v>
      </c>
      <c r="L1514" t="s">
        <v>346</v>
      </c>
      <c r="M1514" s="1">
        <v>4.9099999999999998E-2</v>
      </c>
      <c r="N1514" t="s">
        <v>350</v>
      </c>
      <c r="O1514">
        <v>3.05</v>
      </c>
      <c r="P1514" t="s">
        <v>344</v>
      </c>
      <c r="Q1514">
        <v>-1.54</v>
      </c>
      <c r="R1514" t="s">
        <v>343</v>
      </c>
      <c r="S1514">
        <v>1</v>
      </c>
    </row>
    <row r="1515" spans="1:19" x14ac:dyDescent="0.25">
      <c r="A1515" t="s">
        <v>38</v>
      </c>
      <c r="B1515" t="s">
        <v>124</v>
      </c>
      <c r="C1515">
        <v>1320</v>
      </c>
      <c r="D1515" t="s">
        <v>342</v>
      </c>
      <c r="E1515">
        <v>24.15</v>
      </c>
      <c r="F1515">
        <v>11.14</v>
      </c>
      <c r="G1515">
        <v>12.22</v>
      </c>
      <c r="H1515">
        <v>23.37</v>
      </c>
      <c r="I1515" t="s">
        <v>343</v>
      </c>
      <c r="J1515">
        <v>101.6</v>
      </c>
      <c r="K1515">
        <v>-4.4800000000000004</v>
      </c>
      <c r="L1515" t="s">
        <v>346</v>
      </c>
      <c r="M1515" s="1">
        <v>4.4800000000000013E-2</v>
      </c>
      <c r="N1515" t="s">
        <v>350</v>
      </c>
      <c r="O1515">
        <v>3.9</v>
      </c>
      <c r="P1515" t="s">
        <v>344</v>
      </c>
      <c r="Q1515">
        <v>-1.31</v>
      </c>
      <c r="R1515" t="s">
        <v>343</v>
      </c>
      <c r="S1515">
        <v>1</v>
      </c>
    </row>
    <row r="1516" spans="1:19" x14ac:dyDescent="0.25">
      <c r="A1516" t="s">
        <v>38</v>
      </c>
      <c r="B1516" t="s">
        <v>125</v>
      </c>
      <c r="C1516">
        <v>1340</v>
      </c>
      <c r="D1516" t="s">
        <v>342</v>
      </c>
      <c r="E1516">
        <v>24.15</v>
      </c>
      <c r="F1516">
        <v>11.35</v>
      </c>
      <c r="G1516">
        <v>12.61</v>
      </c>
      <c r="H1516">
        <v>23.96</v>
      </c>
      <c r="I1516" t="s">
        <v>343</v>
      </c>
      <c r="J1516">
        <v>100.7</v>
      </c>
      <c r="K1516">
        <v>-4.4800000000000004</v>
      </c>
      <c r="L1516" t="s">
        <v>346</v>
      </c>
      <c r="M1516" s="1">
        <v>4.4800000000000013E-2</v>
      </c>
      <c r="N1516" t="s">
        <v>350</v>
      </c>
      <c r="O1516">
        <v>4.3499999999999996</v>
      </c>
      <c r="P1516" t="s">
        <v>343</v>
      </c>
      <c r="Q1516">
        <v>-1.06</v>
      </c>
      <c r="R1516" t="s">
        <v>343</v>
      </c>
      <c r="S1516">
        <v>1</v>
      </c>
    </row>
    <row r="1517" spans="1:19" x14ac:dyDescent="0.25">
      <c r="A1517" t="s">
        <v>38</v>
      </c>
      <c r="B1517" t="s">
        <v>126</v>
      </c>
      <c r="C1517">
        <v>1360</v>
      </c>
      <c r="D1517" t="s">
        <v>342</v>
      </c>
      <c r="E1517">
        <v>24.15</v>
      </c>
      <c r="F1517">
        <v>11.75</v>
      </c>
      <c r="G1517">
        <v>13.21</v>
      </c>
      <c r="H1517">
        <v>24.95</v>
      </c>
      <c r="I1517" t="s">
        <v>344</v>
      </c>
      <c r="J1517">
        <v>99.86</v>
      </c>
      <c r="K1517">
        <v>-4.22</v>
      </c>
      <c r="L1517" t="s">
        <v>346</v>
      </c>
      <c r="M1517" s="1">
        <v>4.2199999999999988E-2</v>
      </c>
      <c r="N1517" t="s">
        <v>350</v>
      </c>
      <c r="O1517">
        <v>5.36</v>
      </c>
      <c r="P1517" t="s">
        <v>343</v>
      </c>
      <c r="Q1517">
        <v>-1.1100000000000001</v>
      </c>
      <c r="R1517" t="s">
        <v>343</v>
      </c>
      <c r="S1517">
        <v>1</v>
      </c>
    </row>
    <row r="1518" spans="1:19" x14ac:dyDescent="0.25">
      <c r="A1518" t="s">
        <v>38</v>
      </c>
      <c r="B1518" t="s">
        <v>127</v>
      </c>
      <c r="C1518">
        <v>1380</v>
      </c>
      <c r="D1518" t="s">
        <v>342</v>
      </c>
      <c r="E1518">
        <v>24.15</v>
      </c>
      <c r="F1518">
        <v>11.77</v>
      </c>
      <c r="G1518">
        <v>12.84</v>
      </c>
      <c r="H1518">
        <v>24.61</v>
      </c>
      <c r="I1518" t="s">
        <v>344</v>
      </c>
      <c r="J1518">
        <v>98.9</v>
      </c>
      <c r="K1518">
        <v>-4.8</v>
      </c>
      <c r="L1518" t="s">
        <v>346</v>
      </c>
      <c r="M1518" s="1">
        <v>4.8000000000000001E-2</v>
      </c>
      <c r="N1518" t="s">
        <v>350</v>
      </c>
      <c r="O1518">
        <v>4.91</v>
      </c>
      <c r="P1518" t="s">
        <v>343</v>
      </c>
      <c r="Q1518">
        <v>-0.95</v>
      </c>
      <c r="R1518" t="s">
        <v>343</v>
      </c>
      <c r="S1518">
        <v>1</v>
      </c>
    </row>
    <row r="1519" spans="1:19" x14ac:dyDescent="0.25">
      <c r="A1519" t="s">
        <v>38</v>
      </c>
      <c r="B1519" t="s">
        <v>128</v>
      </c>
      <c r="C1519">
        <v>1400</v>
      </c>
      <c r="D1519" t="s">
        <v>342</v>
      </c>
      <c r="E1519">
        <v>24.15</v>
      </c>
      <c r="F1519">
        <v>12.28</v>
      </c>
      <c r="G1519">
        <v>12.38</v>
      </c>
      <c r="H1519">
        <v>24.66</v>
      </c>
      <c r="I1519" t="s">
        <v>344</v>
      </c>
      <c r="J1519">
        <v>97.76</v>
      </c>
      <c r="K1519">
        <v>-5.69</v>
      </c>
      <c r="L1519" t="s">
        <v>346</v>
      </c>
      <c r="M1519" s="1">
        <v>5.6900000000000013E-2</v>
      </c>
      <c r="N1519" t="s">
        <v>350</v>
      </c>
      <c r="O1519">
        <v>3.64</v>
      </c>
      <c r="P1519" t="s">
        <v>344</v>
      </c>
      <c r="Q1519">
        <v>-0.94</v>
      </c>
      <c r="R1519" t="s">
        <v>343</v>
      </c>
      <c r="S1519">
        <v>1</v>
      </c>
    </row>
    <row r="1520" spans="1:19" x14ac:dyDescent="0.25">
      <c r="A1520" t="s">
        <v>38</v>
      </c>
      <c r="B1520" t="s">
        <v>129</v>
      </c>
      <c r="C1520">
        <v>1420</v>
      </c>
      <c r="D1520" t="s">
        <v>342</v>
      </c>
      <c r="E1520">
        <v>24.15</v>
      </c>
      <c r="F1520">
        <v>12.66</v>
      </c>
      <c r="G1520">
        <v>12.62</v>
      </c>
      <c r="H1520">
        <v>25.28</v>
      </c>
      <c r="I1520" t="s">
        <v>344</v>
      </c>
      <c r="J1520">
        <v>96.49</v>
      </c>
      <c r="K1520">
        <v>-6.35</v>
      </c>
      <c r="L1520" t="s">
        <v>346</v>
      </c>
      <c r="M1520" s="1">
        <v>6.3500000000000001E-2</v>
      </c>
      <c r="N1520" t="s">
        <v>350</v>
      </c>
      <c r="O1520">
        <v>3.79</v>
      </c>
      <c r="P1520" t="s">
        <v>344</v>
      </c>
      <c r="Q1520">
        <v>1.19</v>
      </c>
      <c r="R1520" t="s">
        <v>343</v>
      </c>
      <c r="S1520">
        <v>1</v>
      </c>
    </row>
    <row r="1521" spans="1:19" x14ac:dyDescent="0.25">
      <c r="A1521" t="s">
        <v>38</v>
      </c>
      <c r="B1521" t="s">
        <v>130</v>
      </c>
      <c r="C1521">
        <v>1440</v>
      </c>
      <c r="D1521" t="s">
        <v>342</v>
      </c>
      <c r="E1521">
        <v>24.15</v>
      </c>
      <c r="F1521">
        <v>12.81</v>
      </c>
      <c r="G1521">
        <v>12.99</v>
      </c>
      <c r="H1521">
        <v>25.8</v>
      </c>
      <c r="I1521" t="s">
        <v>344</v>
      </c>
      <c r="J1521">
        <v>95.11</v>
      </c>
      <c r="K1521">
        <v>-6.94</v>
      </c>
      <c r="L1521" t="s">
        <v>346</v>
      </c>
      <c r="M1521" s="1">
        <v>6.9400000000000003E-2</v>
      </c>
      <c r="N1521" t="s">
        <v>350</v>
      </c>
      <c r="O1521">
        <v>3.24</v>
      </c>
      <c r="P1521" t="s">
        <v>344</v>
      </c>
      <c r="Q1521">
        <v>0.86</v>
      </c>
      <c r="R1521" t="s">
        <v>343</v>
      </c>
      <c r="S1521">
        <v>1</v>
      </c>
    </row>
    <row r="1522" spans="1:19" x14ac:dyDescent="0.25">
      <c r="A1522" t="s">
        <v>38</v>
      </c>
      <c r="B1522" t="s">
        <v>131</v>
      </c>
      <c r="C1522">
        <v>1460</v>
      </c>
      <c r="D1522" t="s">
        <v>342</v>
      </c>
      <c r="E1522">
        <v>24.15</v>
      </c>
      <c r="F1522">
        <v>12.45</v>
      </c>
      <c r="G1522">
        <v>12.92</v>
      </c>
      <c r="H1522">
        <v>25.37</v>
      </c>
      <c r="I1522" t="s">
        <v>344</v>
      </c>
      <c r="J1522">
        <v>93.68</v>
      </c>
      <c r="K1522">
        <v>-7.14</v>
      </c>
      <c r="L1522" t="s">
        <v>346</v>
      </c>
      <c r="M1522" s="1">
        <v>7.1399999999999991E-2</v>
      </c>
      <c r="N1522" t="s">
        <v>350</v>
      </c>
      <c r="O1522">
        <v>3.59</v>
      </c>
      <c r="P1522" t="s">
        <v>344</v>
      </c>
      <c r="Q1522">
        <v>0.79</v>
      </c>
      <c r="R1522" t="s">
        <v>343</v>
      </c>
      <c r="S1522">
        <v>1</v>
      </c>
    </row>
    <row r="1523" spans="1:19" x14ac:dyDescent="0.25">
      <c r="A1523" t="s">
        <v>38</v>
      </c>
      <c r="B1523" t="s">
        <v>132</v>
      </c>
      <c r="C1523">
        <v>1480</v>
      </c>
      <c r="D1523" t="s">
        <v>342</v>
      </c>
      <c r="E1523">
        <v>24.15</v>
      </c>
      <c r="F1523">
        <v>11.86</v>
      </c>
      <c r="G1523">
        <v>12.73</v>
      </c>
      <c r="H1523">
        <v>24.6</v>
      </c>
      <c r="I1523" t="s">
        <v>344</v>
      </c>
      <c r="J1523">
        <v>92.21</v>
      </c>
      <c r="K1523">
        <v>-7.32</v>
      </c>
      <c r="L1523" t="s">
        <v>346</v>
      </c>
      <c r="M1523" s="1">
        <v>7.3200000000000001E-2</v>
      </c>
      <c r="N1523" t="s">
        <v>350</v>
      </c>
      <c r="O1523">
        <v>4.99</v>
      </c>
      <c r="P1523" t="s">
        <v>343</v>
      </c>
      <c r="Q1523">
        <v>1.01</v>
      </c>
      <c r="R1523" t="s">
        <v>343</v>
      </c>
      <c r="S1523">
        <v>1</v>
      </c>
    </row>
    <row r="1524" spans="1:19" x14ac:dyDescent="0.25">
      <c r="A1524" t="s">
        <v>38</v>
      </c>
      <c r="B1524" t="s">
        <v>133</v>
      </c>
      <c r="C1524">
        <v>1500</v>
      </c>
      <c r="D1524" t="s">
        <v>342</v>
      </c>
      <c r="E1524">
        <v>24.15</v>
      </c>
      <c r="F1524">
        <v>12.5</v>
      </c>
      <c r="G1524">
        <v>11.89</v>
      </c>
      <c r="H1524">
        <v>24.39</v>
      </c>
      <c r="I1524" t="s">
        <v>344</v>
      </c>
      <c r="J1524">
        <v>90.74</v>
      </c>
      <c r="K1524">
        <v>-7.35</v>
      </c>
      <c r="L1524" t="s">
        <v>346</v>
      </c>
      <c r="M1524" s="1">
        <v>7.3499999999999996E-2</v>
      </c>
      <c r="N1524" t="s">
        <v>350</v>
      </c>
      <c r="O1524">
        <v>4.1500000000000004</v>
      </c>
      <c r="P1524" t="s">
        <v>343</v>
      </c>
      <c r="Q1524">
        <v>-0.55000000000000004</v>
      </c>
      <c r="R1524" t="s">
        <v>343</v>
      </c>
      <c r="S1524">
        <v>1</v>
      </c>
    </row>
    <row r="1525" spans="1:19" x14ac:dyDescent="0.25">
      <c r="A1525" t="s">
        <v>38</v>
      </c>
      <c r="B1525" t="s">
        <v>134</v>
      </c>
      <c r="C1525">
        <v>1520</v>
      </c>
      <c r="D1525" t="s">
        <v>342</v>
      </c>
      <c r="E1525">
        <v>24.15</v>
      </c>
      <c r="F1525">
        <v>12.55</v>
      </c>
      <c r="G1525">
        <v>11.14</v>
      </c>
      <c r="H1525">
        <v>23.69</v>
      </c>
      <c r="I1525" t="s">
        <v>343</v>
      </c>
      <c r="J1525">
        <v>89.26</v>
      </c>
      <c r="K1525">
        <v>-7.43</v>
      </c>
      <c r="L1525" t="s">
        <v>346</v>
      </c>
      <c r="M1525" s="1">
        <v>7.4299999999999991E-2</v>
      </c>
      <c r="N1525" t="s">
        <v>350</v>
      </c>
      <c r="O1525">
        <v>4.63</v>
      </c>
      <c r="P1525" t="s">
        <v>343</v>
      </c>
      <c r="Q1525">
        <v>-1.22</v>
      </c>
      <c r="R1525" t="s">
        <v>343</v>
      </c>
      <c r="S1525">
        <v>1</v>
      </c>
    </row>
    <row r="1526" spans="1:19" x14ac:dyDescent="0.25">
      <c r="A1526" t="s">
        <v>38</v>
      </c>
      <c r="B1526" t="s">
        <v>135</v>
      </c>
      <c r="C1526">
        <v>1540</v>
      </c>
      <c r="D1526" t="s">
        <v>342</v>
      </c>
      <c r="E1526">
        <v>24.15</v>
      </c>
      <c r="F1526">
        <v>13.14</v>
      </c>
      <c r="G1526">
        <v>11.67</v>
      </c>
      <c r="H1526">
        <v>24.81</v>
      </c>
      <c r="I1526" t="s">
        <v>344</v>
      </c>
      <c r="J1526">
        <v>87.82</v>
      </c>
      <c r="K1526">
        <v>-7.17</v>
      </c>
      <c r="L1526" t="s">
        <v>346</v>
      </c>
      <c r="M1526" s="1">
        <v>7.17E-2</v>
      </c>
      <c r="N1526" t="s">
        <v>350</v>
      </c>
      <c r="O1526">
        <v>4.57</v>
      </c>
      <c r="P1526" t="s">
        <v>343</v>
      </c>
      <c r="Q1526">
        <v>0.33</v>
      </c>
      <c r="R1526" t="s">
        <v>343</v>
      </c>
      <c r="S1526">
        <v>1</v>
      </c>
    </row>
    <row r="1527" spans="1:19" x14ac:dyDescent="0.25">
      <c r="A1527" t="s">
        <v>38</v>
      </c>
      <c r="B1527" t="s">
        <v>136</v>
      </c>
      <c r="C1527">
        <v>1560</v>
      </c>
      <c r="D1527" t="s">
        <v>342</v>
      </c>
      <c r="E1527">
        <v>24.15</v>
      </c>
      <c r="F1527">
        <v>12.96</v>
      </c>
      <c r="G1527">
        <v>11.48</v>
      </c>
      <c r="H1527">
        <v>24.43</v>
      </c>
      <c r="I1527" t="s">
        <v>344</v>
      </c>
      <c r="J1527">
        <v>86.28</v>
      </c>
      <c r="K1527">
        <v>-7.7</v>
      </c>
      <c r="L1527" t="s">
        <v>346</v>
      </c>
      <c r="M1527" s="1">
        <v>7.6999999999999999E-2</v>
      </c>
      <c r="N1527" t="s">
        <v>350</v>
      </c>
      <c r="O1527">
        <v>2.83</v>
      </c>
      <c r="P1527" t="s">
        <v>344</v>
      </c>
      <c r="Q1527">
        <v>0.55000000000000004</v>
      </c>
      <c r="R1527" t="s">
        <v>343</v>
      </c>
      <c r="S1527">
        <v>1</v>
      </c>
    </row>
    <row r="1528" spans="1:19" x14ac:dyDescent="0.25">
      <c r="A1528" t="s">
        <v>38</v>
      </c>
      <c r="B1528" t="s">
        <v>137</v>
      </c>
      <c r="C1528">
        <v>1580</v>
      </c>
      <c r="D1528" t="s">
        <v>342</v>
      </c>
      <c r="E1528">
        <v>24.15</v>
      </c>
      <c r="F1528">
        <v>12.49</v>
      </c>
      <c r="G1528">
        <v>11.27</v>
      </c>
      <c r="H1528">
        <v>23.76</v>
      </c>
      <c r="I1528" t="s">
        <v>343</v>
      </c>
      <c r="J1528">
        <v>84.81</v>
      </c>
      <c r="K1528">
        <v>-7.36</v>
      </c>
      <c r="L1528" t="s">
        <v>346</v>
      </c>
      <c r="M1528" s="1">
        <v>7.3599999999999999E-2</v>
      </c>
      <c r="N1528" t="s">
        <v>350</v>
      </c>
      <c r="O1528">
        <v>2.87</v>
      </c>
      <c r="P1528" t="s">
        <v>344</v>
      </c>
      <c r="Q1528">
        <v>0.86</v>
      </c>
      <c r="R1528" t="s">
        <v>343</v>
      </c>
      <c r="S1528">
        <v>1</v>
      </c>
    </row>
    <row r="1529" spans="1:19" x14ac:dyDescent="0.25">
      <c r="A1529" t="s">
        <v>38</v>
      </c>
      <c r="B1529" t="s">
        <v>138</v>
      </c>
      <c r="C1529">
        <v>1600</v>
      </c>
      <c r="D1529" t="s">
        <v>342</v>
      </c>
      <c r="E1529">
        <v>24.15</v>
      </c>
      <c r="F1529">
        <v>11.84</v>
      </c>
      <c r="G1529">
        <v>11.13</v>
      </c>
      <c r="H1529">
        <v>22.97</v>
      </c>
      <c r="I1529" t="s">
        <v>343</v>
      </c>
      <c r="J1529">
        <v>83.21</v>
      </c>
      <c r="K1529">
        <v>-8.02</v>
      </c>
      <c r="L1529" t="s">
        <v>347</v>
      </c>
      <c r="M1529" s="1">
        <v>8.0199999999999994E-2</v>
      </c>
      <c r="N1529" t="s">
        <v>350</v>
      </c>
      <c r="O1529">
        <v>2.02</v>
      </c>
      <c r="P1529" t="s">
        <v>344</v>
      </c>
      <c r="Q1529">
        <v>0.27</v>
      </c>
      <c r="R1529" t="s">
        <v>343</v>
      </c>
      <c r="S1529">
        <v>1</v>
      </c>
    </row>
    <row r="1530" spans="1:19" x14ac:dyDescent="0.25">
      <c r="A1530" t="s">
        <v>38</v>
      </c>
      <c r="B1530" t="s">
        <v>139</v>
      </c>
      <c r="C1530">
        <v>1620</v>
      </c>
      <c r="D1530" t="s">
        <v>342</v>
      </c>
      <c r="E1530">
        <v>24.15</v>
      </c>
      <c r="F1530">
        <v>12.43</v>
      </c>
      <c r="G1530">
        <v>11.54</v>
      </c>
      <c r="H1530">
        <v>23.98</v>
      </c>
      <c r="I1530" t="s">
        <v>343</v>
      </c>
      <c r="J1530">
        <v>81.75</v>
      </c>
      <c r="K1530">
        <v>-7.31</v>
      </c>
      <c r="L1530" t="s">
        <v>346</v>
      </c>
      <c r="M1530" s="1">
        <v>7.3099999999999998E-2</v>
      </c>
      <c r="N1530" t="s">
        <v>350</v>
      </c>
      <c r="O1530">
        <v>2.5099999999999998</v>
      </c>
      <c r="P1530" t="s">
        <v>344</v>
      </c>
      <c r="Q1530">
        <v>0.18</v>
      </c>
      <c r="R1530" t="s">
        <v>343</v>
      </c>
      <c r="S1530">
        <v>1</v>
      </c>
    </row>
    <row r="1531" spans="1:19" x14ac:dyDescent="0.25">
      <c r="A1531" t="s">
        <v>38</v>
      </c>
      <c r="B1531" t="s">
        <v>140</v>
      </c>
      <c r="C1531">
        <v>1640</v>
      </c>
      <c r="D1531" t="s">
        <v>342</v>
      </c>
      <c r="E1531">
        <v>24.15</v>
      </c>
      <c r="F1531">
        <v>12.99</v>
      </c>
      <c r="G1531">
        <v>11.82</v>
      </c>
      <c r="H1531">
        <v>24.81</v>
      </c>
      <c r="I1531" t="s">
        <v>344</v>
      </c>
      <c r="J1531">
        <v>80.33</v>
      </c>
      <c r="K1531">
        <v>-7.08</v>
      </c>
      <c r="L1531" t="s">
        <v>346</v>
      </c>
      <c r="M1531" s="1">
        <v>7.0800000000000002E-2</v>
      </c>
      <c r="N1531" t="s">
        <v>350</v>
      </c>
      <c r="O1531">
        <v>1.51</v>
      </c>
      <c r="P1531" t="s">
        <v>343</v>
      </c>
      <c r="Q1531">
        <v>-0.61</v>
      </c>
      <c r="R1531" t="s">
        <v>343</v>
      </c>
      <c r="S1531">
        <v>1</v>
      </c>
    </row>
    <row r="1532" spans="1:19" x14ac:dyDescent="0.25">
      <c r="A1532" t="s">
        <v>38</v>
      </c>
      <c r="B1532" t="s">
        <v>141</v>
      </c>
      <c r="C1532">
        <v>1660</v>
      </c>
      <c r="D1532" t="s">
        <v>342</v>
      </c>
      <c r="E1532">
        <v>24.15</v>
      </c>
      <c r="F1532">
        <v>13.36</v>
      </c>
      <c r="G1532">
        <v>11.47</v>
      </c>
      <c r="H1532">
        <v>24.83</v>
      </c>
      <c r="I1532" t="s">
        <v>344</v>
      </c>
      <c r="J1532">
        <v>79.06</v>
      </c>
      <c r="K1532">
        <v>-6.34</v>
      </c>
      <c r="L1532" t="s">
        <v>346</v>
      </c>
      <c r="M1532" s="1">
        <v>6.3399999999999998E-2</v>
      </c>
      <c r="N1532" t="s">
        <v>350</v>
      </c>
      <c r="O1532">
        <v>1.95</v>
      </c>
      <c r="P1532" t="s">
        <v>343</v>
      </c>
      <c r="Q1532">
        <v>7.0000000000000007E-2</v>
      </c>
      <c r="R1532" t="s">
        <v>343</v>
      </c>
      <c r="S1532">
        <v>1</v>
      </c>
    </row>
    <row r="1533" spans="1:19" x14ac:dyDescent="0.25">
      <c r="A1533" t="s">
        <v>38</v>
      </c>
      <c r="B1533" t="s">
        <v>142</v>
      </c>
      <c r="C1533">
        <v>1680</v>
      </c>
      <c r="D1533" t="s">
        <v>342</v>
      </c>
      <c r="E1533">
        <v>24.15</v>
      </c>
      <c r="F1533">
        <v>13.05</v>
      </c>
      <c r="G1533">
        <v>12.23</v>
      </c>
      <c r="H1533">
        <v>25.29</v>
      </c>
      <c r="I1533" t="s">
        <v>344</v>
      </c>
      <c r="J1533">
        <v>77.739999999999995</v>
      </c>
      <c r="K1533">
        <v>-6.62</v>
      </c>
      <c r="L1533" t="s">
        <v>346</v>
      </c>
      <c r="M1533" s="1">
        <v>6.6199999999999995E-2</v>
      </c>
      <c r="N1533" t="s">
        <v>350</v>
      </c>
      <c r="O1533">
        <v>2.89</v>
      </c>
      <c r="P1533" t="s">
        <v>344</v>
      </c>
      <c r="Q1533">
        <v>-0.33</v>
      </c>
      <c r="R1533" t="s">
        <v>343</v>
      </c>
      <c r="S1533">
        <v>1</v>
      </c>
    </row>
    <row r="1534" spans="1:19" x14ac:dyDescent="0.25">
      <c r="A1534" t="s">
        <v>38</v>
      </c>
      <c r="B1534" t="s">
        <v>143</v>
      </c>
      <c r="C1534">
        <v>1700</v>
      </c>
      <c r="D1534" t="s">
        <v>342</v>
      </c>
      <c r="E1534">
        <v>24.15</v>
      </c>
      <c r="F1534">
        <v>12.97</v>
      </c>
      <c r="G1534">
        <v>13.06</v>
      </c>
      <c r="H1534">
        <v>26.02</v>
      </c>
      <c r="I1534" t="s">
        <v>344</v>
      </c>
      <c r="J1534">
        <v>76.34</v>
      </c>
      <c r="K1534">
        <v>-6.96</v>
      </c>
      <c r="L1534" t="s">
        <v>346</v>
      </c>
      <c r="M1534" s="1">
        <v>6.9599999999999995E-2</v>
      </c>
      <c r="N1534" t="s">
        <v>350</v>
      </c>
      <c r="O1534">
        <v>2.38</v>
      </c>
      <c r="P1534" t="s">
        <v>344</v>
      </c>
      <c r="Q1534">
        <v>0.97</v>
      </c>
      <c r="R1534" t="s">
        <v>343</v>
      </c>
      <c r="S1534">
        <v>1</v>
      </c>
    </row>
    <row r="1535" spans="1:19" x14ac:dyDescent="0.25">
      <c r="A1535" t="s">
        <v>38</v>
      </c>
      <c r="B1535" t="s">
        <v>144</v>
      </c>
      <c r="C1535">
        <v>1720</v>
      </c>
      <c r="D1535" t="s">
        <v>342</v>
      </c>
      <c r="E1535">
        <v>24.15</v>
      </c>
      <c r="F1535">
        <v>12.43</v>
      </c>
      <c r="G1535">
        <v>13.41</v>
      </c>
      <c r="H1535">
        <v>25.84</v>
      </c>
      <c r="I1535" t="s">
        <v>344</v>
      </c>
      <c r="J1535">
        <v>75.03</v>
      </c>
      <c r="K1535">
        <v>-6.55</v>
      </c>
      <c r="L1535" t="s">
        <v>346</v>
      </c>
      <c r="M1535" s="1">
        <v>6.5500000000000003E-2</v>
      </c>
      <c r="N1535" t="s">
        <v>350</v>
      </c>
      <c r="O1535">
        <v>2.29</v>
      </c>
      <c r="P1535" t="s">
        <v>344</v>
      </c>
      <c r="Q1535">
        <v>1.35</v>
      </c>
      <c r="R1535" t="s">
        <v>343</v>
      </c>
      <c r="S1535">
        <v>1</v>
      </c>
    </row>
    <row r="1536" spans="1:19" x14ac:dyDescent="0.25">
      <c r="A1536" t="s">
        <v>38</v>
      </c>
      <c r="B1536" t="s">
        <v>145</v>
      </c>
      <c r="C1536">
        <v>1740</v>
      </c>
      <c r="D1536" t="s">
        <v>342</v>
      </c>
      <c r="E1536">
        <v>24.15</v>
      </c>
      <c r="F1536">
        <v>11.97</v>
      </c>
      <c r="G1536">
        <v>12.92</v>
      </c>
      <c r="H1536">
        <v>24.9</v>
      </c>
      <c r="I1536" t="s">
        <v>344</v>
      </c>
      <c r="J1536">
        <v>73.599999999999994</v>
      </c>
      <c r="K1536">
        <v>-7.14</v>
      </c>
      <c r="L1536" t="s">
        <v>346</v>
      </c>
      <c r="M1536" s="1">
        <v>7.1399999999999991E-2</v>
      </c>
      <c r="N1536" t="s">
        <v>350</v>
      </c>
      <c r="O1536">
        <v>3.23</v>
      </c>
      <c r="P1536" t="s">
        <v>344</v>
      </c>
      <c r="Q1536">
        <v>1.33</v>
      </c>
      <c r="R1536" t="s">
        <v>343</v>
      </c>
      <c r="S1536">
        <v>1</v>
      </c>
    </row>
    <row r="1537" spans="1:19" x14ac:dyDescent="0.25">
      <c r="A1537" t="s">
        <v>38</v>
      </c>
      <c r="B1537" t="s">
        <v>146</v>
      </c>
      <c r="C1537">
        <v>1760</v>
      </c>
      <c r="D1537" t="s">
        <v>342</v>
      </c>
      <c r="E1537">
        <v>24.15</v>
      </c>
      <c r="F1537">
        <v>11.68</v>
      </c>
      <c r="G1537">
        <v>12.43</v>
      </c>
      <c r="H1537">
        <v>24.11</v>
      </c>
      <c r="I1537" t="s">
        <v>343</v>
      </c>
      <c r="J1537">
        <v>72.22</v>
      </c>
      <c r="K1537">
        <v>-6.93</v>
      </c>
      <c r="L1537" t="s">
        <v>346</v>
      </c>
      <c r="M1537" s="1">
        <v>6.93E-2</v>
      </c>
      <c r="N1537" t="s">
        <v>350</v>
      </c>
      <c r="O1537">
        <v>4.01</v>
      </c>
      <c r="P1537" t="s">
        <v>343</v>
      </c>
      <c r="Q1537">
        <v>2.34</v>
      </c>
      <c r="R1537" t="s">
        <v>344</v>
      </c>
      <c r="S1537">
        <v>1</v>
      </c>
    </row>
    <row r="1538" spans="1:19" x14ac:dyDescent="0.25">
      <c r="A1538" t="s">
        <v>38</v>
      </c>
      <c r="B1538" t="s">
        <v>147</v>
      </c>
      <c r="C1538">
        <v>1780</v>
      </c>
      <c r="D1538" t="s">
        <v>342</v>
      </c>
      <c r="E1538">
        <v>24.15</v>
      </c>
      <c r="F1538">
        <v>11.67</v>
      </c>
      <c r="G1538">
        <v>12.07</v>
      </c>
      <c r="H1538">
        <v>23.74</v>
      </c>
      <c r="I1538" t="s">
        <v>343</v>
      </c>
      <c r="J1538">
        <v>70.83</v>
      </c>
      <c r="K1538">
        <v>-6.96</v>
      </c>
      <c r="L1538" t="s">
        <v>346</v>
      </c>
      <c r="M1538" s="1">
        <v>6.9599999999999995E-2</v>
      </c>
      <c r="N1538" t="s">
        <v>350</v>
      </c>
      <c r="O1538">
        <v>3.26</v>
      </c>
      <c r="P1538" t="s">
        <v>344</v>
      </c>
      <c r="Q1538">
        <v>2.36</v>
      </c>
      <c r="R1538" t="s">
        <v>344</v>
      </c>
      <c r="S1538">
        <v>1</v>
      </c>
    </row>
    <row r="1539" spans="1:19" x14ac:dyDescent="0.25">
      <c r="A1539" t="s">
        <v>38</v>
      </c>
      <c r="B1539" t="s">
        <v>148</v>
      </c>
      <c r="C1539">
        <v>1800</v>
      </c>
      <c r="D1539" t="s">
        <v>342</v>
      </c>
      <c r="E1539">
        <v>24.15</v>
      </c>
      <c r="F1539">
        <v>12.56</v>
      </c>
      <c r="G1539">
        <v>12.32</v>
      </c>
      <c r="H1539">
        <v>24.88</v>
      </c>
      <c r="I1539" t="s">
        <v>344</v>
      </c>
      <c r="J1539">
        <v>69.52</v>
      </c>
      <c r="K1539">
        <v>-6.54</v>
      </c>
      <c r="L1539" t="s">
        <v>346</v>
      </c>
      <c r="M1539" s="1">
        <v>6.54E-2</v>
      </c>
      <c r="N1539" t="s">
        <v>350</v>
      </c>
      <c r="O1539">
        <v>2.2200000000000002</v>
      </c>
      <c r="P1539" t="s">
        <v>344</v>
      </c>
      <c r="Q1539">
        <v>4.32</v>
      </c>
      <c r="R1539" t="s">
        <v>343</v>
      </c>
      <c r="S1539">
        <v>1</v>
      </c>
    </row>
    <row r="1540" spans="1:19" x14ac:dyDescent="0.25">
      <c r="A1540" t="s">
        <v>38</v>
      </c>
      <c r="B1540" t="s">
        <v>149</v>
      </c>
      <c r="C1540">
        <v>1820</v>
      </c>
      <c r="D1540" t="s">
        <v>342</v>
      </c>
      <c r="E1540">
        <v>24.15</v>
      </c>
      <c r="F1540">
        <v>11.28</v>
      </c>
      <c r="G1540">
        <v>12.84</v>
      </c>
      <c r="H1540">
        <v>24.12</v>
      </c>
      <c r="I1540" t="s">
        <v>343</v>
      </c>
      <c r="J1540">
        <v>68.08</v>
      </c>
      <c r="K1540">
        <v>-7.18</v>
      </c>
      <c r="L1540" t="s">
        <v>346</v>
      </c>
      <c r="M1540" s="1">
        <v>7.1800000000000003E-2</v>
      </c>
      <c r="N1540" t="s">
        <v>350</v>
      </c>
      <c r="O1540">
        <v>0.68</v>
      </c>
      <c r="P1540" t="s">
        <v>343</v>
      </c>
      <c r="Q1540">
        <v>3.86</v>
      </c>
      <c r="R1540" t="s">
        <v>344</v>
      </c>
      <c r="S1540">
        <v>1</v>
      </c>
    </row>
    <row r="1541" spans="1:19" x14ac:dyDescent="0.25">
      <c r="A1541" t="s">
        <v>38</v>
      </c>
      <c r="B1541" t="s">
        <v>150</v>
      </c>
      <c r="C1541">
        <v>1840</v>
      </c>
      <c r="D1541" t="s">
        <v>342</v>
      </c>
      <c r="E1541">
        <v>24.15</v>
      </c>
      <c r="F1541">
        <v>11.31</v>
      </c>
      <c r="G1541">
        <v>13.71</v>
      </c>
      <c r="H1541">
        <v>25.02</v>
      </c>
      <c r="I1541" t="s">
        <v>344</v>
      </c>
      <c r="J1541">
        <v>66.69</v>
      </c>
      <c r="K1541">
        <v>-6.98</v>
      </c>
      <c r="L1541" t="s">
        <v>346</v>
      </c>
      <c r="M1541" s="1">
        <v>6.9800000000000001E-2</v>
      </c>
      <c r="N1541" t="s">
        <v>350</v>
      </c>
      <c r="O1541">
        <v>1.33</v>
      </c>
      <c r="P1541" t="s">
        <v>343</v>
      </c>
      <c r="Q1541">
        <v>4.1900000000000004</v>
      </c>
      <c r="R1541" t="s">
        <v>343</v>
      </c>
      <c r="S1541">
        <v>1</v>
      </c>
    </row>
    <row r="1542" spans="1:19" x14ac:dyDescent="0.25">
      <c r="A1542" t="s">
        <v>38</v>
      </c>
      <c r="B1542" t="s">
        <v>151</v>
      </c>
      <c r="C1542">
        <v>1860</v>
      </c>
      <c r="D1542" t="s">
        <v>342</v>
      </c>
      <c r="E1542">
        <v>24.15</v>
      </c>
      <c r="F1542">
        <v>10.77</v>
      </c>
      <c r="G1542">
        <v>14.01</v>
      </c>
      <c r="H1542">
        <v>24.78</v>
      </c>
      <c r="I1542" t="s">
        <v>344</v>
      </c>
      <c r="J1542">
        <v>65.33</v>
      </c>
      <c r="K1542">
        <v>-6.75</v>
      </c>
      <c r="L1542" t="s">
        <v>346</v>
      </c>
      <c r="M1542" s="1">
        <v>6.7500000000000004E-2</v>
      </c>
      <c r="N1542" t="s">
        <v>350</v>
      </c>
      <c r="O1542">
        <v>0.85</v>
      </c>
      <c r="P1542" t="s">
        <v>343</v>
      </c>
      <c r="Q1542">
        <v>3.87</v>
      </c>
      <c r="R1542" t="s">
        <v>344</v>
      </c>
      <c r="S1542">
        <v>1</v>
      </c>
    </row>
    <row r="1543" spans="1:19" x14ac:dyDescent="0.25">
      <c r="A1543" t="s">
        <v>38</v>
      </c>
      <c r="B1543" t="s">
        <v>152</v>
      </c>
      <c r="C1543">
        <v>1880</v>
      </c>
      <c r="D1543" t="s">
        <v>342</v>
      </c>
      <c r="E1543">
        <v>24.15</v>
      </c>
      <c r="F1543">
        <v>10.4</v>
      </c>
      <c r="G1543">
        <v>14.08</v>
      </c>
      <c r="H1543">
        <v>24.48</v>
      </c>
      <c r="I1543" t="s">
        <v>344</v>
      </c>
      <c r="J1543">
        <v>64.11</v>
      </c>
      <c r="K1543">
        <v>-6.12</v>
      </c>
      <c r="L1543" t="s">
        <v>346</v>
      </c>
      <c r="M1543" s="1">
        <v>6.1199999999999997E-2</v>
      </c>
      <c r="N1543" t="s">
        <v>350</v>
      </c>
      <c r="O1543">
        <v>1.7</v>
      </c>
      <c r="P1543" t="s">
        <v>343</v>
      </c>
      <c r="Q1543">
        <v>4.13</v>
      </c>
      <c r="R1543" t="s">
        <v>343</v>
      </c>
      <c r="S1543">
        <v>1</v>
      </c>
    </row>
    <row r="1544" spans="1:19" x14ac:dyDescent="0.25">
      <c r="A1544" t="s">
        <v>38</v>
      </c>
      <c r="B1544" t="s">
        <v>153</v>
      </c>
      <c r="C1544">
        <v>1900</v>
      </c>
      <c r="D1544" t="s">
        <v>342</v>
      </c>
      <c r="E1544">
        <v>24.15</v>
      </c>
      <c r="F1544">
        <v>10.51</v>
      </c>
      <c r="G1544">
        <v>14.5</v>
      </c>
      <c r="H1544">
        <v>25.01</v>
      </c>
      <c r="I1544" t="s">
        <v>344</v>
      </c>
      <c r="J1544">
        <v>62.91</v>
      </c>
      <c r="K1544">
        <v>-5.99</v>
      </c>
      <c r="L1544" t="s">
        <v>346</v>
      </c>
      <c r="M1544" s="1">
        <v>5.9900000000000002E-2</v>
      </c>
      <c r="N1544" t="s">
        <v>350</v>
      </c>
      <c r="O1544">
        <v>2.4700000000000002</v>
      </c>
      <c r="P1544" t="s">
        <v>344</v>
      </c>
      <c r="Q1544">
        <v>2.98</v>
      </c>
      <c r="R1544" t="s">
        <v>344</v>
      </c>
      <c r="S1544">
        <v>1</v>
      </c>
    </row>
    <row r="1545" spans="1:19" x14ac:dyDescent="0.25">
      <c r="A1545" t="s">
        <v>38</v>
      </c>
      <c r="B1545" t="s">
        <v>154</v>
      </c>
      <c r="C1545">
        <v>1920</v>
      </c>
      <c r="D1545" t="s">
        <v>342</v>
      </c>
      <c r="E1545">
        <v>24.15</v>
      </c>
      <c r="F1545">
        <v>11.52</v>
      </c>
      <c r="G1545">
        <v>13.2</v>
      </c>
      <c r="H1545">
        <v>24.72</v>
      </c>
      <c r="I1545" t="s">
        <v>344</v>
      </c>
      <c r="J1545">
        <v>61.63</v>
      </c>
      <c r="K1545">
        <v>-6.41</v>
      </c>
      <c r="L1545" t="s">
        <v>346</v>
      </c>
      <c r="M1545" s="1">
        <v>6.4100000000000004E-2</v>
      </c>
      <c r="N1545" t="s">
        <v>350</v>
      </c>
      <c r="O1545">
        <v>1.9</v>
      </c>
      <c r="P1545" t="s">
        <v>343</v>
      </c>
      <c r="Q1545">
        <v>3.22</v>
      </c>
      <c r="R1545" t="s">
        <v>344</v>
      </c>
      <c r="S1545">
        <v>1</v>
      </c>
    </row>
    <row r="1546" spans="1:19" x14ac:dyDescent="0.25">
      <c r="A1546" t="s">
        <v>38</v>
      </c>
      <c r="B1546" t="s">
        <v>155</v>
      </c>
      <c r="C1546">
        <v>1940</v>
      </c>
      <c r="D1546" t="s">
        <v>342</v>
      </c>
      <c r="E1546">
        <v>24.15</v>
      </c>
      <c r="F1546">
        <v>10.75</v>
      </c>
      <c r="G1546">
        <v>13.3</v>
      </c>
      <c r="H1546">
        <v>24.05</v>
      </c>
      <c r="I1546" t="s">
        <v>343</v>
      </c>
      <c r="J1546">
        <v>60.32</v>
      </c>
      <c r="K1546">
        <v>-6.55</v>
      </c>
      <c r="L1546" t="s">
        <v>346</v>
      </c>
      <c r="M1546" s="1">
        <v>6.5500000000000003E-2</v>
      </c>
      <c r="N1546" t="s">
        <v>350</v>
      </c>
      <c r="O1546">
        <v>2.0699999999999998</v>
      </c>
      <c r="P1546" t="s">
        <v>344</v>
      </c>
      <c r="Q1546">
        <v>2.74</v>
      </c>
      <c r="R1546" t="s">
        <v>344</v>
      </c>
      <c r="S1546">
        <v>1</v>
      </c>
    </row>
    <row r="1547" spans="1:19" x14ac:dyDescent="0.25">
      <c r="A1547" t="s">
        <v>38</v>
      </c>
      <c r="B1547" t="s">
        <v>156</v>
      </c>
      <c r="C1547">
        <v>1960</v>
      </c>
      <c r="D1547" t="s">
        <v>342</v>
      </c>
      <c r="E1547">
        <v>24.15</v>
      </c>
      <c r="F1547">
        <v>12.14</v>
      </c>
      <c r="G1547">
        <v>12.78</v>
      </c>
      <c r="H1547">
        <v>24.92</v>
      </c>
      <c r="I1547" t="s">
        <v>344</v>
      </c>
      <c r="J1547">
        <v>59.04</v>
      </c>
      <c r="K1547">
        <v>-6.42</v>
      </c>
      <c r="L1547" t="s">
        <v>346</v>
      </c>
      <c r="M1547" s="1">
        <v>6.4199999999999993E-2</v>
      </c>
      <c r="N1547" t="s">
        <v>350</v>
      </c>
      <c r="O1547">
        <v>2.73</v>
      </c>
      <c r="P1547" t="s">
        <v>344</v>
      </c>
      <c r="Q1547">
        <v>2.38</v>
      </c>
      <c r="R1547" t="s">
        <v>344</v>
      </c>
      <c r="S1547">
        <v>1</v>
      </c>
    </row>
    <row r="1548" spans="1:19" x14ac:dyDescent="0.25">
      <c r="A1548" t="s">
        <v>38</v>
      </c>
      <c r="B1548" t="s">
        <v>157</v>
      </c>
      <c r="C1548">
        <v>1980</v>
      </c>
      <c r="D1548" t="s">
        <v>342</v>
      </c>
      <c r="E1548">
        <v>24.15</v>
      </c>
      <c r="F1548">
        <v>12.53</v>
      </c>
      <c r="G1548">
        <v>12.67</v>
      </c>
      <c r="H1548">
        <v>25.19</v>
      </c>
      <c r="I1548" t="s">
        <v>344</v>
      </c>
      <c r="J1548">
        <v>57.8</v>
      </c>
      <c r="K1548">
        <v>-6.17</v>
      </c>
      <c r="L1548" t="s">
        <v>346</v>
      </c>
      <c r="M1548" s="1">
        <v>6.1699999999999998E-2</v>
      </c>
      <c r="N1548" t="s">
        <v>350</v>
      </c>
      <c r="O1548">
        <v>1.29</v>
      </c>
      <c r="P1548" t="s">
        <v>343</v>
      </c>
      <c r="Q1548">
        <v>5.01</v>
      </c>
      <c r="R1548" t="s">
        <v>343</v>
      </c>
      <c r="S1548">
        <v>1</v>
      </c>
    </row>
    <row r="1549" spans="1:19" x14ac:dyDescent="0.25">
      <c r="A1549" t="s">
        <v>38</v>
      </c>
      <c r="B1549" t="s">
        <v>158</v>
      </c>
      <c r="C1549">
        <v>2000</v>
      </c>
      <c r="D1549" t="s">
        <v>342</v>
      </c>
      <c r="E1549">
        <v>24.15</v>
      </c>
      <c r="F1549">
        <v>11.68</v>
      </c>
      <c r="G1549">
        <v>12.89</v>
      </c>
      <c r="H1549">
        <v>24.57</v>
      </c>
      <c r="I1549" t="s">
        <v>344</v>
      </c>
      <c r="J1549">
        <v>56.42</v>
      </c>
      <c r="K1549">
        <v>-6.94</v>
      </c>
      <c r="L1549" t="s">
        <v>346</v>
      </c>
      <c r="M1549" s="1">
        <v>6.9400000000000003E-2</v>
      </c>
      <c r="N1549" t="s">
        <v>350</v>
      </c>
      <c r="O1549">
        <v>0.77</v>
      </c>
      <c r="P1549" t="s">
        <v>343</v>
      </c>
      <c r="Q1549">
        <v>3.97</v>
      </c>
      <c r="R1549" t="s">
        <v>344</v>
      </c>
      <c r="S1549">
        <v>1</v>
      </c>
    </row>
    <row r="1550" spans="1:19" x14ac:dyDescent="0.25">
      <c r="A1550" t="s">
        <v>38</v>
      </c>
      <c r="B1550" t="s">
        <v>159</v>
      </c>
      <c r="C1550">
        <v>2020</v>
      </c>
      <c r="D1550" t="s">
        <v>342</v>
      </c>
      <c r="E1550">
        <v>24.15</v>
      </c>
      <c r="F1550">
        <v>10.96</v>
      </c>
      <c r="G1550">
        <v>13.77</v>
      </c>
      <c r="H1550">
        <v>24.73</v>
      </c>
      <c r="I1550" t="s">
        <v>344</v>
      </c>
      <c r="J1550">
        <v>55.07</v>
      </c>
      <c r="K1550">
        <v>-6.72</v>
      </c>
      <c r="L1550" t="s">
        <v>346</v>
      </c>
      <c r="M1550" s="1">
        <v>6.7199999999999996E-2</v>
      </c>
      <c r="N1550" t="s">
        <v>350</v>
      </c>
      <c r="O1550">
        <v>0.94</v>
      </c>
      <c r="P1550" t="s">
        <v>343</v>
      </c>
      <c r="Q1550">
        <v>2.19</v>
      </c>
      <c r="R1550" t="s">
        <v>344</v>
      </c>
      <c r="S1550">
        <v>1</v>
      </c>
    </row>
    <row r="1551" spans="1:19" x14ac:dyDescent="0.25">
      <c r="A1551" t="s">
        <v>38</v>
      </c>
      <c r="B1551" t="s">
        <v>160</v>
      </c>
      <c r="C1551">
        <v>2040</v>
      </c>
      <c r="D1551" t="s">
        <v>342</v>
      </c>
      <c r="E1551">
        <v>24.15</v>
      </c>
      <c r="F1551">
        <v>11.99</v>
      </c>
      <c r="G1551">
        <v>12.7</v>
      </c>
      <c r="H1551">
        <v>24.69</v>
      </c>
      <c r="I1551" t="s">
        <v>344</v>
      </c>
      <c r="J1551">
        <v>53.71</v>
      </c>
      <c r="K1551">
        <v>-6.83</v>
      </c>
      <c r="L1551" t="s">
        <v>346</v>
      </c>
      <c r="M1551" s="1">
        <v>6.83E-2</v>
      </c>
      <c r="N1551" t="s">
        <v>350</v>
      </c>
      <c r="O1551">
        <v>1.86</v>
      </c>
      <c r="P1551" t="s">
        <v>343</v>
      </c>
      <c r="Q1551">
        <v>2.74</v>
      </c>
      <c r="R1551" t="s">
        <v>344</v>
      </c>
      <c r="S1551">
        <v>1</v>
      </c>
    </row>
    <row r="1552" spans="1:19" x14ac:dyDescent="0.25">
      <c r="A1552" t="s">
        <v>38</v>
      </c>
      <c r="B1552" t="s">
        <v>161</v>
      </c>
      <c r="C1552">
        <v>2060</v>
      </c>
      <c r="D1552" t="s">
        <v>342</v>
      </c>
      <c r="E1552">
        <v>24.15</v>
      </c>
      <c r="F1552">
        <v>11.18</v>
      </c>
      <c r="G1552">
        <v>12.67</v>
      </c>
      <c r="H1552">
        <v>23.85</v>
      </c>
      <c r="I1552" t="s">
        <v>343</v>
      </c>
      <c r="J1552">
        <v>52.21</v>
      </c>
      <c r="K1552">
        <v>-7.47</v>
      </c>
      <c r="L1552" t="s">
        <v>346</v>
      </c>
      <c r="M1552" s="1">
        <v>7.4700000000000003E-2</v>
      </c>
      <c r="N1552" t="s">
        <v>350</v>
      </c>
      <c r="O1552">
        <v>0.73</v>
      </c>
      <c r="P1552" t="s">
        <v>343</v>
      </c>
      <c r="Q1552">
        <v>2.5299999999999998</v>
      </c>
      <c r="R1552" t="s">
        <v>344</v>
      </c>
      <c r="S1552">
        <v>1</v>
      </c>
    </row>
    <row r="1553" spans="1:19" x14ac:dyDescent="0.25">
      <c r="A1553" t="s">
        <v>38</v>
      </c>
      <c r="B1553" t="s">
        <v>162</v>
      </c>
      <c r="C1553">
        <v>2080</v>
      </c>
      <c r="D1553" t="s">
        <v>342</v>
      </c>
      <c r="E1553">
        <v>24.15</v>
      </c>
      <c r="F1553">
        <v>11.32</v>
      </c>
      <c r="G1553">
        <v>13.35</v>
      </c>
      <c r="H1553">
        <v>24.67</v>
      </c>
      <c r="I1553" t="s">
        <v>344</v>
      </c>
      <c r="J1553">
        <v>50.83</v>
      </c>
      <c r="K1553">
        <v>-6.93</v>
      </c>
      <c r="L1553" t="s">
        <v>346</v>
      </c>
      <c r="M1553" s="1">
        <v>6.93E-2</v>
      </c>
      <c r="N1553" t="s">
        <v>350</v>
      </c>
      <c r="O1553">
        <v>-0.68</v>
      </c>
      <c r="P1553" t="s">
        <v>343</v>
      </c>
      <c r="Q1553">
        <v>2.25</v>
      </c>
      <c r="R1553" t="s">
        <v>344</v>
      </c>
      <c r="S1553">
        <v>1</v>
      </c>
    </row>
    <row r="1554" spans="1:19" x14ac:dyDescent="0.25">
      <c r="A1554" t="s">
        <v>38</v>
      </c>
      <c r="B1554" t="s">
        <v>163</v>
      </c>
      <c r="C1554">
        <v>2100</v>
      </c>
      <c r="D1554" t="s">
        <v>342</v>
      </c>
      <c r="E1554">
        <v>24.15</v>
      </c>
      <c r="F1554">
        <v>11.67</v>
      </c>
      <c r="G1554">
        <v>14.45</v>
      </c>
      <c r="H1554">
        <v>26.11</v>
      </c>
      <c r="I1554" t="s">
        <v>344</v>
      </c>
      <c r="J1554">
        <v>49.62</v>
      </c>
      <c r="K1554">
        <v>-6.03</v>
      </c>
      <c r="L1554" t="s">
        <v>346</v>
      </c>
      <c r="M1554" s="1">
        <v>6.0299999999999999E-2</v>
      </c>
      <c r="N1554" t="s">
        <v>350</v>
      </c>
      <c r="O1554">
        <v>0.35</v>
      </c>
      <c r="P1554" t="s">
        <v>343</v>
      </c>
      <c r="Q1554">
        <v>3.51</v>
      </c>
      <c r="R1554" t="s">
        <v>344</v>
      </c>
      <c r="S1554">
        <v>1</v>
      </c>
    </row>
    <row r="1555" spans="1:19" x14ac:dyDescent="0.25">
      <c r="A1555" t="s">
        <v>38</v>
      </c>
      <c r="B1555" t="s">
        <v>164</v>
      </c>
      <c r="C1555">
        <v>2120</v>
      </c>
      <c r="D1555" t="s">
        <v>342</v>
      </c>
      <c r="E1555">
        <v>24.15</v>
      </c>
      <c r="F1555">
        <v>10.8</v>
      </c>
      <c r="G1555">
        <v>14.41</v>
      </c>
      <c r="H1555">
        <v>25.21</v>
      </c>
      <c r="I1555" t="s">
        <v>344</v>
      </c>
      <c r="J1555">
        <v>48.28</v>
      </c>
      <c r="K1555">
        <v>-6.72</v>
      </c>
      <c r="L1555" t="s">
        <v>346</v>
      </c>
      <c r="M1555" s="1">
        <v>6.7199999999999996E-2</v>
      </c>
      <c r="N1555" t="s">
        <v>350</v>
      </c>
      <c r="O1555">
        <v>1.1299999999999999</v>
      </c>
      <c r="P1555" t="s">
        <v>343</v>
      </c>
      <c r="Q1555">
        <v>1.73</v>
      </c>
      <c r="R1555" t="s">
        <v>343</v>
      </c>
      <c r="S1555">
        <v>1</v>
      </c>
    </row>
    <row r="1556" spans="1:19" x14ac:dyDescent="0.25">
      <c r="A1556" t="s">
        <v>38</v>
      </c>
      <c r="B1556" t="s">
        <v>170</v>
      </c>
      <c r="C1556">
        <v>2140</v>
      </c>
      <c r="D1556" t="s">
        <v>342</v>
      </c>
      <c r="E1556">
        <v>24.15</v>
      </c>
      <c r="F1556">
        <v>10.17</v>
      </c>
      <c r="G1556">
        <v>14.45</v>
      </c>
      <c r="H1556">
        <v>24.61</v>
      </c>
      <c r="I1556" t="s">
        <v>344</v>
      </c>
      <c r="J1556">
        <v>47.21</v>
      </c>
      <c r="K1556">
        <v>-5.33</v>
      </c>
      <c r="L1556" t="s">
        <v>346</v>
      </c>
      <c r="M1556" s="1">
        <v>5.33E-2</v>
      </c>
      <c r="N1556" t="s">
        <v>350</v>
      </c>
      <c r="O1556">
        <v>1.51</v>
      </c>
      <c r="P1556" t="s">
        <v>343</v>
      </c>
      <c r="Q1556">
        <v>1.05</v>
      </c>
      <c r="R1556" t="s">
        <v>343</v>
      </c>
      <c r="S1556">
        <v>1</v>
      </c>
    </row>
    <row r="1557" spans="1:19" x14ac:dyDescent="0.25">
      <c r="A1557" t="s">
        <v>38</v>
      </c>
      <c r="B1557" t="s">
        <v>171</v>
      </c>
      <c r="C1557">
        <v>2160</v>
      </c>
      <c r="D1557" t="s">
        <v>342</v>
      </c>
      <c r="E1557">
        <v>24.15</v>
      </c>
      <c r="F1557">
        <v>10.1</v>
      </c>
      <c r="G1557">
        <v>14.36</v>
      </c>
      <c r="H1557">
        <v>24.46</v>
      </c>
      <c r="I1557" t="s">
        <v>344</v>
      </c>
      <c r="J1557">
        <v>46.49</v>
      </c>
      <c r="K1557">
        <v>-3.62</v>
      </c>
      <c r="L1557" t="s">
        <v>346</v>
      </c>
      <c r="M1557" s="1">
        <v>3.6200000000000003E-2</v>
      </c>
      <c r="N1557" t="s">
        <v>350</v>
      </c>
      <c r="O1557">
        <v>3.24</v>
      </c>
      <c r="P1557" t="s">
        <v>344</v>
      </c>
      <c r="Q1557">
        <v>1.83</v>
      </c>
      <c r="R1557" t="s">
        <v>343</v>
      </c>
      <c r="S1557">
        <v>1</v>
      </c>
    </row>
    <row r="1558" spans="1:19" x14ac:dyDescent="0.25">
      <c r="A1558" t="s">
        <v>38</v>
      </c>
      <c r="B1558" t="s">
        <v>172</v>
      </c>
      <c r="C1558">
        <v>2180</v>
      </c>
      <c r="D1558" t="s">
        <v>342</v>
      </c>
      <c r="E1558">
        <v>24.15</v>
      </c>
      <c r="F1558">
        <v>9.74</v>
      </c>
      <c r="G1558">
        <v>14.36</v>
      </c>
      <c r="H1558">
        <v>24.09</v>
      </c>
      <c r="I1558" t="s">
        <v>343</v>
      </c>
      <c r="J1558">
        <v>45.86</v>
      </c>
      <c r="K1558">
        <v>-3.12</v>
      </c>
      <c r="L1558" t="s">
        <v>346</v>
      </c>
      <c r="M1558" s="1">
        <v>3.1199999999999999E-2</v>
      </c>
      <c r="N1558" t="s">
        <v>350</v>
      </c>
      <c r="O1558">
        <v>4.25</v>
      </c>
      <c r="P1558" t="s">
        <v>343</v>
      </c>
      <c r="Q1558">
        <v>1.46</v>
      </c>
      <c r="R1558" t="s">
        <v>343</v>
      </c>
      <c r="S1558">
        <v>1</v>
      </c>
    </row>
    <row r="1559" spans="1:19" x14ac:dyDescent="0.25">
      <c r="A1559" t="s">
        <v>38</v>
      </c>
      <c r="B1559" t="s">
        <v>173</v>
      </c>
      <c r="C1559">
        <v>2200</v>
      </c>
      <c r="D1559" t="s">
        <v>342</v>
      </c>
      <c r="E1559">
        <v>24.15</v>
      </c>
      <c r="F1559">
        <v>10.71</v>
      </c>
      <c r="G1559">
        <v>13.01</v>
      </c>
      <c r="H1559">
        <v>23.72</v>
      </c>
      <c r="I1559" t="s">
        <v>343</v>
      </c>
      <c r="J1559">
        <v>45.3</v>
      </c>
      <c r="K1559">
        <v>-2.81</v>
      </c>
      <c r="L1559" t="s">
        <v>346</v>
      </c>
      <c r="M1559" s="1">
        <v>2.81E-2</v>
      </c>
      <c r="N1559" t="s">
        <v>350</v>
      </c>
      <c r="O1559">
        <v>1.1499999999999999</v>
      </c>
      <c r="P1559" t="s">
        <v>343</v>
      </c>
      <c r="Q1559">
        <v>2.3199999999999998</v>
      </c>
      <c r="R1559" t="s">
        <v>344</v>
      </c>
      <c r="S1559">
        <v>1</v>
      </c>
    </row>
    <row r="1560" spans="1:19" x14ac:dyDescent="0.25">
      <c r="A1560" t="s">
        <v>38</v>
      </c>
      <c r="B1560" t="s">
        <v>174</v>
      </c>
      <c r="C1560">
        <v>2220</v>
      </c>
      <c r="D1560" t="s">
        <v>342</v>
      </c>
      <c r="E1560">
        <v>24.15</v>
      </c>
      <c r="F1560">
        <v>11.12</v>
      </c>
      <c r="G1560">
        <v>15.84</v>
      </c>
      <c r="H1560">
        <v>26.97</v>
      </c>
      <c r="I1560" t="s">
        <v>344</v>
      </c>
      <c r="J1560">
        <v>44.92</v>
      </c>
      <c r="K1560">
        <v>-1.89</v>
      </c>
      <c r="L1560" t="s">
        <v>346</v>
      </c>
      <c r="M1560" s="1">
        <v>1.89E-2</v>
      </c>
      <c r="N1560" t="s">
        <v>349</v>
      </c>
      <c r="O1560">
        <v>0.45</v>
      </c>
      <c r="P1560" t="s">
        <v>343</v>
      </c>
      <c r="Q1560">
        <v>0.99</v>
      </c>
      <c r="R1560" t="s">
        <v>343</v>
      </c>
      <c r="S1560">
        <v>1</v>
      </c>
    </row>
    <row r="1561" spans="1:19" x14ac:dyDescent="0.25">
      <c r="A1561" t="s">
        <v>38</v>
      </c>
      <c r="B1561" t="s">
        <v>175</v>
      </c>
      <c r="C1561">
        <v>2240</v>
      </c>
      <c r="D1561" t="s">
        <v>342</v>
      </c>
      <c r="E1561">
        <v>24.15</v>
      </c>
      <c r="F1561">
        <v>11.73</v>
      </c>
      <c r="G1561">
        <v>15.84</v>
      </c>
      <c r="H1561">
        <v>27.57</v>
      </c>
      <c r="I1561" t="s">
        <v>344</v>
      </c>
      <c r="J1561">
        <v>44.61</v>
      </c>
      <c r="K1561">
        <v>-1.57</v>
      </c>
      <c r="L1561" t="s">
        <v>346</v>
      </c>
      <c r="M1561" s="1">
        <v>1.5699999999999999E-2</v>
      </c>
      <c r="N1561" t="s">
        <v>349</v>
      </c>
      <c r="O1561">
        <v>-0.38</v>
      </c>
      <c r="P1561" t="s">
        <v>343</v>
      </c>
      <c r="Q1561">
        <v>3.34</v>
      </c>
      <c r="R1561" t="s">
        <v>344</v>
      </c>
      <c r="S1561">
        <v>1</v>
      </c>
    </row>
    <row r="1562" spans="1:19" x14ac:dyDescent="0.25">
      <c r="A1562" t="s">
        <v>38</v>
      </c>
      <c r="B1562" t="s">
        <v>238</v>
      </c>
      <c r="C1562">
        <v>2250.6320000000001</v>
      </c>
      <c r="D1562" t="s">
        <v>342</v>
      </c>
      <c r="E1562">
        <v>24.15</v>
      </c>
      <c r="F1562">
        <v>11.92</v>
      </c>
      <c r="G1562">
        <v>20</v>
      </c>
      <c r="H1562">
        <v>31.92</v>
      </c>
      <c r="I1562" t="s">
        <v>344</v>
      </c>
      <c r="J1562">
        <v>45.51</v>
      </c>
      <c r="K1562">
        <v>8.5399999999999991</v>
      </c>
      <c r="L1562" t="s">
        <v>347</v>
      </c>
      <c r="M1562" s="1">
        <v>8.539999999999999E-2</v>
      </c>
      <c r="N1562" t="s">
        <v>350</v>
      </c>
      <c r="O1562">
        <v>-1.27</v>
      </c>
      <c r="P1562" t="s">
        <v>343</v>
      </c>
      <c r="Q1562">
        <v>3.92</v>
      </c>
      <c r="R1562" t="s">
        <v>344</v>
      </c>
      <c r="S1562">
        <v>0</v>
      </c>
    </row>
    <row r="1563" spans="1:19" x14ac:dyDescent="0.25">
      <c r="A1563" t="s">
        <v>39</v>
      </c>
      <c r="B1563" t="s">
        <v>56</v>
      </c>
      <c r="C1563">
        <v>0</v>
      </c>
      <c r="D1563" t="s">
        <v>342</v>
      </c>
      <c r="E1563">
        <v>24.15</v>
      </c>
      <c r="F1563">
        <v>20</v>
      </c>
      <c r="G1563">
        <v>20</v>
      </c>
      <c r="H1563">
        <v>40</v>
      </c>
      <c r="I1563" t="s">
        <v>344</v>
      </c>
      <c r="J1563">
        <v>41.75</v>
      </c>
      <c r="L1563" t="s">
        <v>345</v>
      </c>
      <c r="N1563" t="s">
        <v>345</v>
      </c>
      <c r="O1563">
        <v>5.12</v>
      </c>
      <c r="P1563" t="s">
        <v>343</v>
      </c>
      <c r="Q1563">
        <v>-8.25</v>
      </c>
      <c r="R1563" t="s">
        <v>343</v>
      </c>
      <c r="S1563">
        <v>1</v>
      </c>
    </row>
    <row r="1564" spans="1:19" x14ac:dyDescent="0.25">
      <c r="A1564" t="s">
        <v>39</v>
      </c>
      <c r="B1564" t="s">
        <v>57</v>
      </c>
      <c r="C1564">
        <v>20</v>
      </c>
      <c r="D1564" t="s">
        <v>342</v>
      </c>
      <c r="E1564">
        <v>24.15</v>
      </c>
      <c r="F1564">
        <v>20</v>
      </c>
      <c r="G1564">
        <v>20</v>
      </c>
      <c r="H1564">
        <v>40</v>
      </c>
      <c r="I1564" t="s">
        <v>344</v>
      </c>
      <c r="J1564">
        <v>42.36</v>
      </c>
      <c r="K1564">
        <v>3.03</v>
      </c>
      <c r="L1564" t="s">
        <v>346</v>
      </c>
      <c r="M1564" s="1">
        <v>3.0300000000000001E-2</v>
      </c>
      <c r="N1564" t="s">
        <v>350</v>
      </c>
      <c r="O1564">
        <v>4.1900000000000004</v>
      </c>
      <c r="P1564" t="s">
        <v>343</v>
      </c>
      <c r="Q1564">
        <v>-5.53</v>
      </c>
      <c r="R1564" t="s">
        <v>343</v>
      </c>
      <c r="S1564">
        <v>1</v>
      </c>
    </row>
    <row r="1565" spans="1:19" x14ac:dyDescent="0.25">
      <c r="A1565" t="s">
        <v>39</v>
      </c>
      <c r="B1565" t="s">
        <v>58</v>
      </c>
      <c r="C1565">
        <v>40</v>
      </c>
      <c r="D1565" t="s">
        <v>342</v>
      </c>
      <c r="E1565">
        <v>24.15</v>
      </c>
      <c r="F1565">
        <v>20</v>
      </c>
      <c r="G1565">
        <v>17.28</v>
      </c>
      <c r="H1565">
        <v>37.28</v>
      </c>
      <c r="I1565" t="s">
        <v>344</v>
      </c>
      <c r="J1565">
        <v>39.630000000000003</v>
      </c>
      <c r="K1565">
        <v>-13.63</v>
      </c>
      <c r="L1565" t="s">
        <v>348</v>
      </c>
      <c r="M1565" s="1">
        <v>0.1363</v>
      </c>
      <c r="N1565" t="s">
        <v>350</v>
      </c>
      <c r="O1565">
        <v>2.78</v>
      </c>
      <c r="P1565" t="s">
        <v>344</v>
      </c>
      <c r="Q1565">
        <v>-5.45</v>
      </c>
      <c r="R1565" t="s">
        <v>343</v>
      </c>
      <c r="S1565">
        <v>1</v>
      </c>
    </row>
    <row r="1566" spans="1:19" x14ac:dyDescent="0.25">
      <c r="A1566" t="s">
        <v>39</v>
      </c>
      <c r="B1566" t="s">
        <v>59</v>
      </c>
      <c r="C1566">
        <v>60</v>
      </c>
      <c r="D1566" t="s">
        <v>342</v>
      </c>
      <c r="E1566">
        <v>24.15</v>
      </c>
      <c r="F1566">
        <v>18.059999999999999</v>
      </c>
      <c r="G1566">
        <v>15.61</v>
      </c>
      <c r="H1566">
        <v>33.67</v>
      </c>
      <c r="I1566" t="s">
        <v>344</v>
      </c>
      <c r="J1566">
        <v>38.78</v>
      </c>
      <c r="K1566">
        <v>-4.24</v>
      </c>
      <c r="L1566" t="s">
        <v>346</v>
      </c>
      <c r="M1566" s="1">
        <v>4.24E-2</v>
      </c>
      <c r="N1566" t="s">
        <v>350</v>
      </c>
      <c r="O1566">
        <v>1.0900000000000001</v>
      </c>
      <c r="P1566" t="s">
        <v>343</v>
      </c>
      <c r="Q1566">
        <v>-4.12</v>
      </c>
      <c r="R1566" t="s">
        <v>343</v>
      </c>
      <c r="S1566">
        <v>1</v>
      </c>
    </row>
    <row r="1567" spans="1:19" x14ac:dyDescent="0.25">
      <c r="A1567" t="s">
        <v>39</v>
      </c>
      <c r="B1567" t="s">
        <v>60</v>
      </c>
      <c r="C1567">
        <v>80</v>
      </c>
      <c r="D1567" t="s">
        <v>342</v>
      </c>
      <c r="E1567">
        <v>24.15</v>
      </c>
      <c r="F1567">
        <v>16.32</v>
      </c>
      <c r="G1567">
        <v>14.58</v>
      </c>
      <c r="H1567">
        <v>30.9</v>
      </c>
      <c r="I1567" t="s">
        <v>344</v>
      </c>
      <c r="J1567">
        <v>38.06</v>
      </c>
      <c r="K1567">
        <v>-3.59</v>
      </c>
      <c r="L1567" t="s">
        <v>346</v>
      </c>
      <c r="M1567" s="1">
        <v>3.5900000000000001E-2</v>
      </c>
      <c r="N1567" t="s">
        <v>350</v>
      </c>
      <c r="O1567">
        <v>2.66</v>
      </c>
      <c r="P1567" t="s">
        <v>344</v>
      </c>
      <c r="Q1567">
        <v>-3.79</v>
      </c>
      <c r="R1567" t="s">
        <v>344</v>
      </c>
      <c r="S1567">
        <v>1</v>
      </c>
    </row>
    <row r="1568" spans="1:19" x14ac:dyDescent="0.25">
      <c r="A1568" t="s">
        <v>39</v>
      </c>
      <c r="B1568" t="s">
        <v>61</v>
      </c>
      <c r="C1568">
        <v>100</v>
      </c>
      <c r="D1568" t="s">
        <v>342</v>
      </c>
      <c r="E1568">
        <v>24.15</v>
      </c>
      <c r="F1568">
        <v>14.73</v>
      </c>
      <c r="G1568">
        <v>14.81</v>
      </c>
      <c r="H1568">
        <v>29.53</v>
      </c>
      <c r="I1568" t="s">
        <v>344</v>
      </c>
      <c r="J1568">
        <v>37.32</v>
      </c>
      <c r="K1568">
        <v>-3.73</v>
      </c>
      <c r="L1568" t="s">
        <v>346</v>
      </c>
      <c r="M1568" s="1">
        <v>3.73E-2</v>
      </c>
      <c r="N1568" t="s">
        <v>350</v>
      </c>
      <c r="O1568">
        <v>4.09</v>
      </c>
      <c r="P1568" t="s">
        <v>343</v>
      </c>
      <c r="Q1568">
        <v>-3.98</v>
      </c>
      <c r="R1568" t="s">
        <v>344</v>
      </c>
      <c r="S1568">
        <v>1</v>
      </c>
    </row>
    <row r="1569" spans="1:19" x14ac:dyDescent="0.25">
      <c r="A1569" t="s">
        <v>39</v>
      </c>
      <c r="B1569" t="s">
        <v>62</v>
      </c>
      <c r="C1569">
        <v>120</v>
      </c>
      <c r="D1569" t="s">
        <v>342</v>
      </c>
      <c r="E1569">
        <v>24.15</v>
      </c>
      <c r="F1569">
        <v>14.89</v>
      </c>
      <c r="G1569">
        <v>16.37</v>
      </c>
      <c r="H1569">
        <v>31.26</v>
      </c>
      <c r="I1569" t="s">
        <v>344</v>
      </c>
      <c r="J1569">
        <v>36.78</v>
      </c>
      <c r="K1569">
        <v>-2.69</v>
      </c>
      <c r="L1569" t="s">
        <v>346</v>
      </c>
      <c r="M1569" s="1">
        <v>2.69E-2</v>
      </c>
      <c r="N1569" t="s">
        <v>350</v>
      </c>
      <c r="O1569">
        <v>4.1900000000000004</v>
      </c>
      <c r="P1569" t="s">
        <v>343</v>
      </c>
      <c r="Q1569">
        <v>-1.73</v>
      </c>
      <c r="R1569" t="s">
        <v>343</v>
      </c>
      <c r="S1569">
        <v>1</v>
      </c>
    </row>
    <row r="1570" spans="1:19" x14ac:dyDescent="0.25">
      <c r="A1570" t="s">
        <v>39</v>
      </c>
      <c r="B1570" t="s">
        <v>63</v>
      </c>
      <c r="C1570">
        <v>140</v>
      </c>
      <c r="D1570" t="s">
        <v>342</v>
      </c>
      <c r="E1570">
        <v>24.15</v>
      </c>
      <c r="F1570">
        <v>14.78</v>
      </c>
      <c r="G1570">
        <v>16.309999999999999</v>
      </c>
      <c r="H1570">
        <v>31.09</v>
      </c>
      <c r="I1570" t="s">
        <v>344</v>
      </c>
      <c r="J1570">
        <v>36.409999999999997</v>
      </c>
      <c r="K1570">
        <v>-1.82</v>
      </c>
      <c r="L1570" t="s">
        <v>346</v>
      </c>
      <c r="M1570" s="1">
        <v>1.8200000000000001E-2</v>
      </c>
      <c r="N1570" t="s">
        <v>349</v>
      </c>
      <c r="O1570">
        <v>5.25</v>
      </c>
      <c r="P1570" t="s">
        <v>343</v>
      </c>
      <c r="Q1570">
        <v>-1.01</v>
      </c>
      <c r="R1570" t="s">
        <v>343</v>
      </c>
      <c r="S1570">
        <v>1</v>
      </c>
    </row>
    <row r="1571" spans="1:19" x14ac:dyDescent="0.25">
      <c r="A1571" t="s">
        <v>39</v>
      </c>
      <c r="B1571" t="s">
        <v>64</v>
      </c>
      <c r="C1571">
        <v>160</v>
      </c>
      <c r="D1571" t="s">
        <v>342</v>
      </c>
      <c r="E1571">
        <v>24.15</v>
      </c>
      <c r="F1571">
        <v>14.58</v>
      </c>
      <c r="G1571">
        <v>15.36</v>
      </c>
      <c r="H1571">
        <v>29.94</v>
      </c>
      <c r="I1571" t="s">
        <v>344</v>
      </c>
      <c r="J1571">
        <v>35.979999999999997</v>
      </c>
      <c r="K1571">
        <v>-2.16</v>
      </c>
      <c r="L1571" t="s">
        <v>346</v>
      </c>
      <c r="M1571" s="1">
        <v>2.1600000000000001E-2</v>
      </c>
      <c r="N1571" t="s">
        <v>350</v>
      </c>
      <c r="O1571">
        <v>3.11</v>
      </c>
      <c r="P1571" t="s">
        <v>344</v>
      </c>
      <c r="Q1571">
        <v>-1.74</v>
      </c>
      <c r="R1571" t="s">
        <v>343</v>
      </c>
      <c r="S1571">
        <v>1</v>
      </c>
    </row>
    <row r="1572" spans="1:19" x14ac:dyDescent="0.25">
      <c r="A1572" t="s">
        <v>39</v>
      </c>
      <c r="B1572" t="s">
        <v>65</v>
      </c>
      <c r="C1572">
        <v>180</v>
      </c>
      <c r="D1572" t="s">
        <v>342</v>
      </c>
      <c r="E1572">
        <v>24.15</v>
      </c>
      <c r="F1572">
        <v>14.15</v>
      </c>
      <c r="G1572">
        <v>15.03</v>
      </c>
      <c r="H1572">
        <v>29.18</v>
      </c>
      <c r="I1572" t="s">
        <v>344</v>
      </c>
      <c r="J1572">
        <v>35.590000000000003</v>
      </c>
      <c r="K1572">
        <v>-1.94</v>
      </c>
      <c r="L1572" t="s">
        <v>346</v>
      </c>
      <c r="M1572" s="1">
        <v>1.9400000000000001E-2</v>
      </c>
      <c r="N1572" t="s">
        <v>349</v>
      </c>
      <c r="O1572">
        <v>2.2400000000000002</v>
      </c>
      <c r="P1572" t="s">
        <v>344</v>
      </c>
      <c r="Q1572">
        <v>-1.29</v>
      </c>
      <c r="R1572" t="s">
        <v>343</v>
      </c>
      <c r="S1572">
        <v>1</v>
      </c>
    </row>
    <row r="1573" spans="1:19" x14ac:dyDescent="0.25">
      <c r="A1573" t="s">
        <v>39</v>
      </c>
      <c r="B1573" t="s">
        <v>66</v>
      </c>
      <c r="C1573">
        <v>200</v>
      </c>
      <c r="D1573" t="s">
        <v>342</v>
      </c>
      <c r="E1573">
        <v>24.15</v>
      </c>
      <c r="F1573">
        <v>13.18</v>
      </c>
      <c r="G1573">
        <v>14.13</v>
      </c>
      <c r="H1573">
        <v>27.31</v>
      </c>
      <c r="I1573" t="s">
        <v>344</v>
      </c>
      <c r="J1573">
        <v>35.369999999999997</v>
      </c>
      <c r="K1573">
        <v>-1.1499999999999999</v>
      </c>
      <c r="L1573" t="s">
        <v>346</v>
      </c>
      <c r="M1573" s="1">
        <v>1.15E-2</v>
      </c>
      <c r="N1573" t="s">
        <v>349</v>
      </c>
      <c r="O1573">
        <v>5.39</v>
      </c>
      <c r="P1573" t="s">
        <v>343</v>
      </c>
      <c r="Q1573">
        <v>-0.92</v>
      </c>
      <c r="R1573" t="s">
        <v>343</v>
      </c>
      <c r="S1573">
        <v>1</v>
      </c>
    </row>
    <row r="1574" spans="1:19" x14ac:dyDescent="0.25">
      <c r="A1574" t="s">
        <v>39</v>
      </c>
      <c r="B1574" t="s">
        <v>67</v>
      </c>
      <c r="C1574">
        <v>220</v>
      </c>
      <c r="D1574" t="s">
        <v>342</v>
      </c>
      <c r="E1574">
        <v>24.15</v>
      </c>
      <c r="F1574">
        <v>12.73</v>
      </c>
      <c r="G1574">
        <v>13.25</v>
      </c>
      <c r="H1574">
        <v>25.98</v>
      </c>
      <c r="I1574" t="s">
        <v>344</v>
      </c>
      <c r="J1574">
        <v>34.880000000000003</v>
      </c>
      <c r="K1574">
        <v>-2.4300000000000002</v>
      </c>
      <c r="L1574" t="s">
        <v>346</v>
      </c>
      <c r="M1574" s="1">
        <v>2.4299999999999999E-2</v>
      </c>
      <c r="N1574" t="s">
        <v>350</v>
      </c>
      <c r="O1574">
        <v>6.05</v>
      </c>
      <c r="P1574" t="s">
        <v>343</v>
      </c>
      <c r="Q1574">
        <v>-4.76</v>
      </c>
      <c r="R1574" t="s">
        <v>343</v>
      </c>
      <c r="S1574">
        <v>1</v>
      </c>
    </row>
    <row r="1575" spans="1:19" x14ac:dyDescent="0.25">
      <c r="A1575" t="s">
        <v>39</v>
      </c>
      <c r="B1575" t="s">
        <v>68</v>
      </c>
      <c r="C1575">
        <v>240</v>
      </c>
      <c r="D1575" t="s">
        <v>342</v>
      </c>
      <c r="E1575">
        <v>24.15</v>
      </c>
      <c r="F1575">
        <v>13.71</v>
      </c>
      <c r="G1575">
        <v>12.59</v>
      </c>
      <c r="H1575">
        <v>26.3</v>
      </c>
      <c r="I1575" t="s">
        <v>344</v>
      </c>
      <c r="J1575">
        <v>36.03</v>
      </c>
      <c r="K1575">
        <v>5.74</v>
      </c>
      <c r="L1575" t="s">
        <v>346</v>
      </c>
      <c r="M1575" s="1">
        <v>5.74E-2</v>
      </c>
      <c r="N1575" t="s">
        <v>350</v>
      </c>
      <c r="O1575">
        <v>4.5599999999999996</v>
      </c>
      <c r="P1575" t="s">
        <v>343</v>
      </c>
      <c r="Q1575">
        <v>-4.57</v>
      </c>
      <c r="R1575" t="s">
        <v>343</v>
      </c>
      <c r="S1575">
        <v>1</v>
      </c>
    </row>
    <row r="1576" spans="1:19" x14ac:dyDescent="0.25">
      <c r="A1576" t="s">
        <v>39</v>
      </c>
      <c r="B1576" t="s">
        <v>69</v>
      </c>
      <c r="C1576">
        <v>260</v>
      </c>
      <c r="D1576" t="s">
        <v>342</v>
      </c>
      <c r="E1576">
        <v>24.15</v>
      </c>
      <c r="F1576">
        <v>20</v>
      </c>
      <c r="G1576">
        <v>12</v>
      </c>
      <c r="H1576">
        <v>32</v>
      </c>
      <c r="I1576" t="s">
        <v>344</v>
      </c>
      <c r="J1576">
        <v>35.4</v>
      </c>
      <c r="K1576">
        <v>-3.13</v>
      </c>
      <c r="L1576" t="s">
        <v>346</v>
      </c>
      <c r="M1576" s="1">
        <v>3.1300000000000001E-2</v>
      </c>
      <c r="N1576" t="s">
        <v>350</v>
      </c>
      <c r="O1576">
        <v>7.73</v>
      </c>
      <c r="P1576" t="s">
        <v>343</v>
      </c>
      <c r="Q1576">
        <v>-2.91</v>
      </c>
      <c r="R1576" t="s">
        <v>344</v>
      </c>
      <c r="S1576">
        <v>1</v>
      </c>
    </row>
    <row r="1577" spans="1:19" x14ac:dyDescent="0.25">
      <c r="A1577" t="s">
        <v>39</v>
      </c>
      <c r="B1577" t="s">
        <v>70</v>
      </c>
      <c r="C1577">
        <v>280</v>
      </c>
      <c r="D1577" t="s">
        <v>342</v>
      </c>
      <c r="E1577">
        <v>24.15</v>
      </c>
      <c r="F1577">
        <v>20</v>
      </c>
      <c r="G1577">
        <v>20</v>
      </c>
      <c r="H1577">
        <v>40</v>
      </c>
      <c r="I1577" t="s">
        <v>344</v>
      </c>
      <c r="J1577">
        <v>34.74</v>
      </c>
      <c r="K1577">
        <v>-3.32</v>
      </c>
      <c r="L1577" t="s">
        <v>346</v>
      </c>
      <c r="M1577" s="1">
        <v>3.32E-2</v>
      </c>
      <c r="N1577" t="s">
        <v>350</v>
      </c>
      <c r="O1577">
        <v>8.2200000000000006</v>
      </c>
      <c r="P1577" t="s">
        <v>343</v>
      </c>
      <c r="Q1577">
        <v>-6.38</v>
      </c>
      <c r="R1577" t="s">
        <v>343</v>
      </c>
      <c r="S1577">
        <v>1</v>
      </c>
    </row>
    <row r="1578" spans="1:19" x14ac:dyDescent="0.25">
      <c r="A1578" t="s">
        <v>39</v>
      </c>
      <c r="B1578" t="s">
        <v>71</v>
      </c>
      <c r="C1578">
        <v>300</v>
      </c>
      <c r="D1578" t="s">
        <v>342</v>
      </c>
      <c r="E1578">
        <v>24.15</v>
      </c>
      <c r="F1578">
        <v>20</v>
      </c>
      <c r="G1578">
        <v>20</v>
      </c>
      <c r="H1578">
        <v>40</v>
      </c>
      <c r="I1578" t="s">
        <v>344</v>
      </c>
      <c r="J1578">
        <v>34.64</v>
      </c>
      <c r="K1578">
        <v>-0.47</v>
      </c>
      <c r="L1578" t="s">
        <v>346</v>
      </c>
      <c r="M1578" s="1">
        <v>4.6999999999999993E-3</v>
      </c>
      <c r="N1578" t="s">
        <v>349</v>
      </c>
      <c r="O1578">
        <v>0.63</v>
      </c>
      <c r="P1578" t="s">
        <v>343</v>
      </c>
      <c r="Q1578">
        <v>-5.29</v>
      </c>
      <c r="R1578" t="s">
        <v>343</v>
      </c>
      <c r="S1578">
        <v>1</v>
      </c>
    </row>
    <row r="1579" spans="1:19" x14ac:dyDescent="0.25">
      <c r="A1579" t="s">
        <v>39</v>
      </c>
      <c r="B1579" t="s">
        <v>72</v>
      </c>
      <c r="C1579">
        <v>320</v>
      </c>
      <c r="D1579" t="s">
        <v>342</v>
      </c>
      <c r="E1579">
        <v>24.15</v>
      </c>
      <c r="F1579">
        <v>20</v>
      </c>
      <c r="G1579">
        <v>20</v>
      </c>
      <c r="H1579">
        <v>40</v>
      </c>
      <c r="I1579" t="s">
        <v>344</v>
      </c>
      <c r="J1579">
        <v>33.950000000000003</v>
      </c>
      <c r="K1579">
        <v>-3.47</v>
      </c>
      <c r="L1579" t="s">
        <v>346</v>
      </c>
      <c r="M1579" s="1">
        <v>3.4700000000000002E-2</v>
      </c>
      <c r="N1579" t="s">
        <v>350</v>
      </c>
      <c r="O1579">
        <v>8.48</v>
      </c>
      <c r="P1579" t="s">
        <v>343</v>
      </c>
      <c r="Q1579">
        <v>0.34</v>
      </c>
      <c r="R1579" t="s">
        <v>343</v>
      </c>
      <c r="S1579">
        <v>1</v>
      </c>
    </row>
    <row r="1580" spans="1:19" x14ac:dyDescent="0.25">
      <c r="A1580" t="s">
        <v>39</v>
      </c>
      <c r="B1580" t="s">
        <v>73</v>
      </c>
      <c r="C1580">
        <v>340</v>
      </c>
      <c r="D1580" t="s">
        <v>342</v>
      </c>
      <c r="E1580">
        <v>24.15</v>
      </c>
      <c r="F1580">
        <v>20</v>
      </c>
      <c r="G1580">
        <v>17.98</v>
      </c>
      <c r="H1580">
        <v>37.979999999999997</v>
      </c>
      <c r="I1580" t="s">
        <v>344</v>
      </c>
      <c r="J1580">
        <v>32.56</v>
      </c>
      <c r="K1580">
        <v>-6.93</v>
      </c>
      <c r="L1580" t="s">
        <v>346</v>
      </c>
      <c r="M1580" s="1">
        <v>6.93E-2</v>
      </c>
      <c r="N1580" t="s">
        <v>350</v>
      </c>
      <c r="O1580">
        <v>1.75</v>
      </c>
      <c r="P1580" t="s">
        <v>343</v>
      </c>
      <c r="Q1580">
        <v>0.84</v>
      </c>
      <c r="R1580" t="s">
        <v>343</v>
      </c>
      <c r="S1580">
        <v>1</v>
      </c>
    </row>
    <row r="1581" spans="1:19" x14ac:dyDescent="0.25">
      <c r="A1581" t="s">
        <v>39</v>
      </c>
      <c r="B1581" t="s">
        <v>74</v>
      </c>
      <c r="C1581">
        <v>360</v>
      </c>
      <c r="D1581" t="s">
        <v>342</v>
      </c>
      <c r="E1581">
        <v>24.15</v>
      </c>
      <c r="F1581">
        <v>17.75</v>
      </c>
      <c r="G1581">
        <v>16.38</v>
      </c>
      <c r="H1581">
        <v>34.130000000000003</v>
      </c>
      <c r="I1581" t="s">
        <v>344</v>
      </c>
      <c r="J1581">
        <v>29.12</v>
      </c>
      <c r="K1581">
        <v>-17.23</v>
      </c>
      <c r="L1581" t="s">
        <v>348</v>
      </c>
      <c r="M1581" s="1">
        <v>0.17230000000000001</v>
      </c>
      <c r="N1581" t="s">
        <v>350</v>
      </c>
      <c r="O1581">
        <v>-0.81</v>
      </c>
      <c r="P1581" t="s">
        <v>343</v>
      </c>
      <c r="Q1581">
        <v>1.84</v>
      </c>
      <c r="R1581" t="s">
        <v>343</v>
      </c>
      <c r="S1581">
        <v>1</v>
      </c>
    </row>
    <row r="1582" spans="1:19" x14ac:dyDescent="0.25">
      <c r="A1582" t="s">
        <v>39</v>
      </c>
      <c r="B1582" t="s">
        <v>75</v>
      </c>
      <c r="C1582">
        <v>380</v>
      </c>
      <c r="D1582" t="s">
        <v>342</v>
      </c>
      <c r="E1582">
        <v>24.15</v>
      </c>
      <c r="F1582">
        <v>16.39</v>
      </c>
      <c r="G1582">
        <v>16.03</v>
      </c>
      <c r="H1582">
        <v>32.42</v>
      </c>
      <c r="I1582" t="s">
        <v>344</v>
      </c>
      <c r="J1582">
        <v>27.69</v>
      </c>
      <c r="K1582">
        <v>-7.15</v>
      </c>
      <c r="L1582" t="s">
        <v>346</v>
      </c>
      <c r="M1582" s="1">
        <v>7.1500000000000008E-2</v>
      </c>
      <c r="N1582" t="s">
        <v>350</v>
      </c>
      <c r="O1582">
        <v>0.38</v>
      </c>
      <c r="P1582" t="s">
        <v>343</v>
      </c>
      <c r="Q1582">
        <v>-0.3</v>
      </c>
      <c r="R1582" t="s">
        <v>343</v>
      </c>
      <c r="S1582">
        <v>1</v>
      </c>
    </row>
    <row r="1583" spans="1:19" x14ac:dyDescent="0.25">
      <c r="A1583" t="s">
        <v>39</v>
      </c>
      <c r="B1583" t="s">
        <v>76</v>
      </c>
      <c r="C1583">
        <v>400</v>
      </c>
      <c r="D1583" t="s">
        <v>342</v>
      </c>
      <c r="E1583">
        <v>24.15</v>
      </c>
      <c r="F1583">
        <v>15.71</v>
      </c>
      <c r="G1583">
        <v>16.36</v>
      </c>
      <c r="H1583">
        <v>32.07</v>
      </c>
      <c r="I1583" t="s">
        <v>344</v>
      </c>
      <c r="J1583">
        <v>26.42</v>
      </c>
      <c r="K1583">
        <v>-6.35</v>
      </c>
      <c r="L1583" t="s">
        <v>346</v>
      </c>
      <c r="M1583" s="1">
        <v>6.3500000000000001E-2</v>
      </c>
      <c r="N1583" t="s">
        <v>350</v>
      </c>
      <c r="O1583">
        <v>0.45</v>
      </c>
      <c r="P1583" t="s">
        <v>343</v>
      </c>
      <c r="Q1583">
        <v>-0.45</v>
      </c>
      <c r="R1583" t="s">
        <v>343</v>
      </c>
      <c r="S1583">
        <v>1</v>
      </c>
    </row>
    <row r="1584" spans="1:19" x14ac:dyDescent="0.25">
      <c r="A1584" t="s">
        <v>39</v>
      </c>
      <c r="B1584" t="s">
        <v>77</v>
      </c>
      <c r="C1584">
        <v>420</v>
      </c>
      <c r="D1584" t="s">
        <v>342</v>
      </c>
      <c r="E1584">
        <v>24.15</v>
      </c>
      <c r="F1584">
        <v>14.62</v>
      </c>
      <c r="G1584">
        <v>15.2</v>
      </c>
      <c r="H1584">
        <v>29.82</v>
      </c>
      <c r="I1584" t="s">
        <v>344</v>
      </c>
      <c r="J1584">
        <v>25.21</v>
      </c>
      <c r="K1584">
        <v>-6.05</v>
      </c>
      <c r="L1584" t="s">
        <v>346</v>
      </c>
      <c r="M1584" s="1">
        <v>6.0499999999999998E-2</v>
      </c>
      <c r="N1584" t="s">
        <v>350</v>
      </c>
      <c r="O1584">
        <v>2.52</v>
      </c>
      <c r="P1584" t="s">
        <v>344</v>
      </c>
      <c r="Q1584">
        <v>-0.25</v>
      </c>
      <c r="R1584" t="s">
        <v>343</v>
      </c>
      <c r="S1584">
        <v>1</v>
      </c>
    </row>
    <row r="1585" spans="1:19" x14ac:dyDescent="0.25">
      <c r="A1585" t="s">
        <v>39</v>
      </c>
      <c r="B1585" t="s">
        <v>78</v>
      </c>
      <c r="C1585">
        <v>440</v>
      </c>
      <c r="D1585" t="s">
        <v>342</v>
      </c>
      <c r="E1585">
        <v>24.15</v>
      </c>
      <c r="F1585">
        <v>15.71</v>
      </c>
      <c r="G1585">
        <v>13.52</v>
      </c>
      <c r="H1585">
        <v>29.22</v>
      </c>
      <c r="I1585" t="s">
        <v>344</v>
      </c>
      <c r="J1585">
        <v>24.02</v>
      </c>
      <c r="K1585">
        <v>-5.93</v>
      </c>
      <c r="L1585" t="s">
        <v>346</v>
      </c>
      <c r="M1585" s="1">
        <v>5.9299999999999999E-2</v>
      </c>
      <c r="N1585" t="s">
        <v>350</v>
      </c>
      <c r="O1585">
        <v>2.71</v>
      </c>
      <c r="P1585" t="s">
        <v>344</v>
      </c>
      <c r="Q1585">
        <v>0.89</v>
      </c>
      <c r="R1585" t="s">
        <v>343</v>
      </c>
      <c r="S1585">
        <v>1</v>
      </c>
    </row>
    <row r="1586" spans="1:19" x14ac:dyDescent="0.25">
      <c r="A1586" t="s">
        <v>39</v>
      </c>
      <c r="B1586" t="s">
        <v>79</v>
      </c>
      <c r="C1586">
        <v>460</v>
      </c>
      <c r="D1586" t="s">
        <v>342</v>
      </c>
      <c r="E1586">
        <v>24.15</v>
      </c>
      <c r="F1586">
        <v>14.94</v>
      </c>
      <c r="G1586">
        <v>13.27</v>
      </c>
      <c r="H1586">
        <v>28.21</v>
      </c>
      <c r="I1586" t="s">
        <v>344</v>
      </c>
      <c r="J1586">
        <v>22.81</v>
      </c>
      <c r="K1586">
        <v>-6.04</v>
      </c>
      <c r="L1586" t="s">
        <v>346</v>
      </c>
      <c r="M1586" s="1">
        <v>6.0400000000000002E-2</v>
      </c>
      <c r="N1586" t="s">
        <v>350</v>
      </c>
      <c r="O1586">
        <v>3.04</v>
      </c>
      <c r="P1586" t="s">
        <v>344</v>
      </c>
      <c r="Q1586">
        <v>3.08</v>
      </c>
      <c r="R1586" t="s">
        <v>344</v>
      </c>
      <c r="S1586">
        <v>1</v>
      </c>
    </row>
    <row r="1587" spans="1:19" x14ac:dyDescent="0.25">
      <c r="A1587" t="s">
        <v>39</v>
      </c>
      <c r="B1587" t="s">
        <v>80</v>
      </c>
      <c r="C1587">
        <v>480</v>
      </c>
      <c r="D1587" t="s">
        <v>342</v>
      </c>
      <c r="E1587">
        <v>24.15</v>
      </c>
      <c r="F1587">
        <v>14.77</v>
      </c>
      <c r="G1587">
        <v>12.97</v>
      </c>
      <c r="H1587">
        <v>27.73</v>
      </c>
      <c r="I1587" t="s">
        <v>344</v>
      </c>
      <c r="J1587">
        <v>21.41</v>
      </c>
      <c r="K1587">
        <v>-7</v>
      </c>
      <c r="L1587" t="s">
        <v>346</v>
      </c>
      <c r="M1587" s="1">
        <v>7.0000000000000007E-2</v>
      </c>
      <c r="N1587" t="s">
        <v>350</v>
      </c>
      <c r="O1587">
        <v>1.1100000000000001</v>
      </c>
      <c r="P1587" t="s">
        <v>343</v>
      </c>
      <c r="Q1587">
        <v>3.45</v>
      </c>
      <c r="R1587" t="s">
        <v>344</v>
      </c>
      <c r="S1587">
        <v>1</v>
      </c>
    </row>
    <row r="1588" spans="1:19" x14ac:dyDescent="0.25">
      <c r="A1588" t="s">
        <v>39</v>
      </c>
      <c r="B1588" t="s">
        <v>81</v>
      </c>
      <c r="C1588">
        <v>500</v>
      </c>
      <c r="D1588" t="s">
        <v>342</v>
      </c>
      <c r="E1588">
        <v>24.15</v>
      </c>
      <c r="F1588">
        <v>14.62</v>
      </c>
      <c r="G1588">
        <v>13.74</v>
      </c>
      <c r="H1588">
        <v>28.36</v>
      </c>
      <c r="I1588" t="s">
        <v>344</v>
      </c>
      <c r="J1588">
        <v>20.079999999999998</v>
      </c>
      <c r="K1588">
        <v>-6.64</v>
      </c>
      <c r="L1588" t="s">
        <v>346</v>
      </c>
      <c r="M1588" s="1">
        <v>6.6400000000000001E-2</v>
      </c>
      <c r="N1588" t="s">
        <v>350</v>
      </c>
      <c r="O1588">
        <v>0.92</v>
      </c>
      <c r="P1588" t="s">
        <v>343</v>
      </c>
      <c r="Q1588">
        <v>3.8</v>
      </c>
      <c r="R1588" t="s">
        <v>344</v>
      </c>
      <c r="S1588">
        <v>1</v>
      </c>
    </row>
    <row r="1589" spans="1:19" x14ac:dyDescent="0.25">
      <c r="A1589" t="s">
        <v>39</v>
      </c>
      <c r="B1589" t="s">
        <v>82</v>
      </c>
      <c r="C1589">
        <v>520</v>
      </c>
      <c r="D1589" t="s">
        <v>342</v>
      </c>
      <c r="E1589">
        <v>24.15</v>
      </c>
      <c r="F1589">
        <v>14.35</v>
      </c>
      <c r="G1589">
        <v>14.01</v>
      </c>
      <c r="H1589">
        <v>28.36</v>
      </c>
      <c r="I1589" t="s">
        <v>344</v>
      </c>
      <c r="J1589">
        <v>18.760000000000002</v>
      </c>
      <c r="K1589">
        <v>-6.61</v>
      </c>
      <c r="L1589" t="s">
        <v>346</v>
      </c>
      <c r="M1589" s="1">
        <v>6.6100000000000006E-2</v>
      </c>
      <c r="N1589" t="s">
        <v>350</v>
      </c>
      <c r="O1589">
        <v>1.29</v>
      </c>
      <c r="P1589" t="s">
        <v>343</v>
      </c>
      <c r="Q1589">
        <v>4.5599999999999996</v>
      </c>
      <c r="R1589" t="s">
        <v>343</v>
      </c>
      <c r="S1589">
        <v>1</v>
      </c>
    </row>
    <row r="1590" spans="1:19" x14ac:dyDescent="0.25">
      <c r="A1590" t="s">
        <v>39</v>
      </c>
      <c r="B1590" t="s">
        <v>83</v>
      </c>
      <c r="C1590">
        <v>540</v>
      </c>
      <c r="D1590" t="s">
        <v>342</v>
      </c>
      <c r="E1590">
        <v>24.15</v>
      </c>
      <c r="F1590">
        <v>14.54</v>
      </c>
      <c r="G1590">
        <v>13.99</v>
      </c>
      <c r="H1590">
        <v>28.53</v>
      </c>
      <c r="I1590" t="s">
        <v>344</v>
      </c>
      <c r="J1590">
        <v>17.52</v>
      </c>
      <c r="K1590">
        <v>-6.23</v>
      </c>
      <c r="L1590" t="s">
        <v>346</v>
      </c>
      <c r="M1590" s="1">
        <v>6.2300000000000001E-2</v>
      </c>
      <c r="N1590" t="s">
        <v>350</v>
      </c>
      <c r="O1590">
        <v>-0.24</v>
      </c>
      <c r="P1590" t="s">
        <v>343</v>
      </c>
      <c r="Q1590">
        <v>4.8600000000000003</v>
      </c>
      <c r="R1590" t="s">
        <v>343</v>
      </c>
      <c r="S1590">
        <v>1</v>
      </c>
    </row>
    <row r="1591" spans="1:19" x14ac:dyDescent="0.25">
      <c r="A1591" t="s">
        <v>39</v>
      </c>
      <c r="B1591" t="s">
        <v>84</v>
      </c>
      <c r="C1591">
        <v>560</v>
      </c>
      <c r="D1591" t="s">
        <v>342</v>
      </c>
      <c r="E1591">
        <v>24.15</v>
      </c>
      <c r="F1591">
        <v>14.46</v>
      </c>
      <c r="G1591">
        <v>13.49</v>
      </c>
      <c r="H1591">
        <v>27.95</v>
      </c>
      <c r="I1591" t="s">
        <v>344</v>
      </c>
      <c r="J1591">
        <v>16.260000000000002</v>
      </c>
      <c r="K1591">
        <v>-6.26</v>
      </c>
      <c r="L1591" t="s">
        <v>346</v>
      </c>
      <c r="M1591" s="1">
        <v>6.2600000000000003E-2</v>
      </c>
      <c r="N1591" t="s">
        <v>350</v>
      </c>
      <c r="O1591">
        <v>0.41</v>
      </c>
      <c r="P1591" t="s">
        <v>343</v>
      </c>
      <c r="Q1591">
        <v>5.12</v>
      </c>
      <c r="R1591" t="s">
        <v>343</v>
      </c>
      <c r="S1591">
        <v>1</v>
      </c>
    </row>
    <row r="1592" spans="1:19" x14ac:dyDescent="0.25">
      <c r="A1592" t="s">
        <v>39</v>
      </c>
      <c r="B1592" t="s">
        <v>85</v>
      </c>
      <c r="C1592">
        <v>580</v>
      </c>
      <c r="D1592" t="s">
        <v>342</v>
      </c>
      <c r="E1592">
        <v>24.15</v>
      </c>
      <c r="F1592">
        <v>14.44</v>
      </c>
      <c r="G1592">
        <v>14.37</v>
      </c>
      <c r="H1592">
        <v>28.81</v>
      </c>
      <c r="I1592" t="s">
        <v>344</v>
      </c>
      <c r="J1592">
        <v>14.98</v>
      </c>
      <c r="K1592">
        <v>-6.41</v>
      </c>
      <c r="L1592" t="s">
        <v>346</v>
      </c>
      <c r="M1592" s="1">
        <v>6.4100000000000004E-2</v>
      </c>
      <c r="N1592" t="s">
        <v>350</v>
      </c>
      <c r="O1592">
        <v>0.04</v>
      </c>
      <c r="P1592" t="s">
        <v>343</v>
      </c>
      <c r="Q1592">
        <v>4.66</v>
      </c>
      <c r="R1592" t="s">
        <v>343</v>
      </c>
      <c r="S1592">
        <v>1</v>
      </c>
    </row>
    <row r="1593" spans="1:19" x14ac:dyDescent="0.25">
      <c r="A1593" t="s">
        <v>39</v>
      </c>
      <c r="B1593" t="s">
        <v>86</v>
      </c>
      <c r="C1593">
        <v>600</v>
      </c>
      <c r="D1593" t="s">
        <v>342</v>
      </c>
      <c r="E1593">
        <v>24.15</v>
      </c>
      <c r="F1593">
        <v>14.14</v>
      </c>
      <c r="G1593">
        <v>15.79</v>
      </c>
      <c r="H1593">
        <v>29.93</v>
      </c>
      <c r="I1593" t="s">
        <v>344</v>
      </c>
      <c r="J1593">
        <v>13.66</v>
      </c>
      <c r="K1593">
        <v>-6.63</v>
      </c>
      <c r="L1593" t="s">
        <v>346</v>
      </c>
      <c r="M1593" s="1">
        <v>6.6299999999999998E-2</v>
      </c>
      <c r="N1593" t="s">
        <v>350</v>
      </c>
      <c r="O1593">
        <v>-0.22</v>
      </c>
      <c r="P1593" t="s">
        <v>343</v>
      </c>
      <c r="Q1593">
        <v>4.4000000000000004</v>
      </c>
      <c r="R1593" t="s">
        <v>343</v>
      </c>
      <c r="S1593">
        <v>1</v>
      </c>
    </row>
    <row r="1594" spans="1:19" x14ac:dyDescent="0.25">
      <c r="A1594" t="s">
        <v>39</v>
      </c>
      <c r="B1594" t="s">
        <v>87</v>
      </c>
      <c r="C1594">
        <v>620</v>
      </c>
      <c r="D1594" t="s">
        <v>342</v>
      </c>
      <c r="E1594">
        <v>24.15</v>
      </c>
      <c r="F1594">
        <v>14.16</v>
      </c>
      <c r="G1594">
        <v>17</v>
      </c>
      <c r="H1594">
        <v>31.16</v>
      </c>
      <c r="I1594" t="s">
        <v>344</v>
      </c>
      <c r="J1594">
        <v>12.37</v>
      </c>
      <c r="K1594">
        <v>-6.43</v>
      </c>
      <c r="L1594" t="s">
        <v>346</v>
      </c>
      <c r="M1594" s="1">
        <v>6.4299999999999996E-2</v>
      </c>
      <c r="N1594" t="s">
        <v>350</v>
      </c>
      <c r="O1594">
        <v>0.03</v>
      </c>
      <c r="P1594" t="s">
        <v>343</v>
      </c>
      <c r="Q1594">
        <v>4.49</v>
      </c>
      <c r="R1594" t="s">
        <v>343</v>
      </c>
      <c r="S1594">
        <v>1</v>
      </c>
    </row>
    <row r="1595" spans="1:19" x14ac:dyDescent="0.25">
      <c r="A1595" t="s">
        <v>39</v>
      </c>
      <c r="B1595" t="s">
        <v>88</v>
      </c>
      <c r="C1595">
        <v>640</v>
      </c>
      <c r="D1595" t="s">
        <v>342</v>
      </c>
      <c r="E1595">
        <v>24.15</v>
      </c>
      <c r="F1595">
        <v>13.5</v>
      </c>
      <c r="G1595">
        <v>16.8</v>
      </c>
      <c r="H1595">
        <v>30.3</v>
      </c>
      <c r="I1595" t="s">
        <v>344</v>
      </c>
      <c r="J1595">
        <v>11.11</v>
      </c>
      <c r="K1595">
        <v>-6.29</v>
      </c>
      <c r="L1595" t="s">
        <v>346</v>
      </c>
      <c r="M1595" s="1">
        <v>6.2899999999999998E-2</v>
      </c>
      <c r="N1595" t="s">
        <v>350</v>
      </c>
      <c r="O1595">
        <v>0.72</v>
      </c>
      <c r="P1595" t="s">
        <v>343</v>
      </c>
      <c r="Q1595">
        <v>3.6</v>
      </c>
      <c r="R1595" t="s">
        <v>344</v>
      </c>
      <c r="S1595">
        <v>1</v>
      </c>
    </row>
    <row r="1596" spans="1:19" x14ac:dyDescent="0.25">
      <c r="A1596" t="s">
        <v>39</v>
      </c>
      <c r="B1596" t="s">
        <v>89</v>
      </c>
      <c r="C1596">
        <v>660</v>
      </c>
      <c r="D1596" t="s">
        <v>342</v>
      </c>
      <c r="E1596">
        <v>24.15</v>
      </c>
      <c r="F1596">
        <v>14.29</v>
      </c>
      <c r="G1596">
        <v>17.46</v>
      </c>
      <c r="H1596">
        <v>31.76</v>
      </c>
      <c r="I1596" t="s">
        <v>344</v>
      </c>
      <c r="J1596">
        <v>9.99</v>
      </c>
      <c r="K1596">
        <v>-5.63</v>
      </c>
      <c r="L1596" t="s">
        <v>346</v>
      </c>
      <c r="M1596" s="1">
        <v>5.6300000000000003E-2</v>
      </c>
      <c r="N1596" t="s">
        <v>350</v>
      </c>
      <c r="O1596">
        <v>0.82</v>
      </c>
      <c r="P1596" t="s">
        <v>343</v>
      </c>
      <c r="Q1596">
        <v>3.47</v>
      </c>
      <c r="R1596" t="s">
        <v>344</v>
      </c>
      <c r="S1596">
        <v>1</v>
      </c>
    </row>
    <row r="1597" spans="1:19" x14ac:dyDescent="0.25">
      <c r="A1597" t="s">
        <v>39</v>
      </c>
      <c r="B1597" t="s">
        <v>90</v>
      </c>
      <c r="C1597">
        <v>680</v>
      </c>
      <c r="D1597" t="s">
        <v>342</v>
      </c>
      <c r="E1597">
        <v>24.15</v>
      </c>
      <c r="F1597">
        <v>14.82</v>
      </c>
      <c r="G1597">
        <v>16.79</v>
      </c>
      <c r="H1597">
        <v>31.62</v>
      </c>
      <c r="I1597" t="s">
        <v>344</v>
      </c>
      <c r="J1597">
        <v>8.68</v>
      </c>
      <c r="K1597">
        <v>-6.54</v>
      </c>
      <c r="L1597" t="s">
        <v>346</v>
      </c>
      <c r="M1597" s="1">
        <v>6.54E-2</v>
      </c>
      <c r="N1597" t="s">
        <v>350</v>
      </c>
      <c r="O1597">
        <v>0.4</v>
      </c>
      <c r="P1597" t="s">
        <v>343</v>
      </c>
      <c r="Q1597">
        <v>2.9</v>
      </c>
      <c r="R1597" t="s">
        <v>344</v>
      </c>
      <c r="S1597">
        <v>1</v>
      </c>
    </row>
    <row r="1598" spans="1:19" x14ac:dyDescent="0.25">
      <c r="A1598" t="s">
        <v>39</v>
      </c>
      <c r="B1598" t="s">
        <v>91</v>
      </c>
      <c r="C1598">
        <v>700</v>
      </c>
      <c r="D1598" t="s">
        <v>342</v>
      </c>
      <c r="E1598">
        <v>24.15</v>
      </c>
      <c r="F1598">
        <v>14.9</v>
      </c>
      <c r="G1598">
        <v>17.809999999999999</v>
      </c>
      <c r="H1598">
        <v>32.71</v>
      </c>
      <c r="I1598" t="s">
        <v>344</v>
      </c>
      <c r="J1598">
        <v>7.43</v>
      </c>
      <c r="K1598">
        <v>-6.23</v>
      </c>
      <c r="L1598" t="s">
        <v>346</v>
      </c>
      <c r="M1598" s="1">
        <v>6.2300000000000001E-2</v>
      </c>
      <c r="N1598" t="s">
        <v>350</v>
      </c>
      <c r="O1598">
        <v>1</v>
      </c>
      <c r="P1598" t="s">
        <v>343</v>
      </c>
      <c r="Q1598">
        <v>1.72</v>
      </c>
      <c r="R1598" t="s">
        <v>343</v>
      </c>
      <c r="S1598">
        <v>1</v>
      </c>
    </row>
    <row r="1599" spans="1:19" x14ac:dyDescent="0.25">
      <c r="A1599" t="s">
        <v>39</v>
      </c>
      <c r="B1599" t="s">
        <v>92</v>
      </c>
      <c r="C1599">
        <v>720</v>
      </c>
      <c r="D1599" t="s">
        <v>342</v>
      </c>
      <c r="E1599">
        <v>24.15</v>
      </c>
      <c r="F1599">
        <v>16.38</v>
      </c>
      <c r="G1599">
        <v>16.920000000000002</v>
      </c>
      <c r="H1599">
        <v>33.299999999999997</v>
      </c>
      <c r="I1599" t="s">
        <v>344</v>
      </c>
      <c r="J1599">
        <v>6.21</v>
      </c>
      <c r="K1599">
        <v>-6.09</v>
      </c>
      <c r="L1599" t="s">
        <v>346</v>
      </c>
      <c r="M1599" s="1">
        <v>6.0900000000000003E-2</v>
      </c>
      <c r="N1599" t="s">
        <v>350</v>
      </c>
      <c r="O1599">
        <v>0.88</v>
      </c>
      <c r="P1599" t="s">
        <v>343</v>
      </c>
      <c r="Q1599">
        <v>0.88</v>
      </c>
      <c r="R1599" t="s">
        <v>343</v>
      </c>
      <c r="S1599">
        <v>1</v>
      </c>
    </row>
    <row r="1600" spans="1:19" x14ac:dyDescent="0.25">
      <c r="A1600" t="s">
        <v>39</v>
      </c>
      <c r="B1600" t="s">
        <v>93</v>
      </c>
      <c r="C1600">
        <v>740</v>
      </c>
      <c r="D1600" t="s">
        <v>342</v>
      </c>
      <c r="E1600">
        <v>24.15</v>
      </c>
      <c r="F1600">
        <v>17.43</v>
      </c>
      <c r="G1600">
        <v>16.52</v>
      </c>
      <c r="H1600">
        <v>33.950000000000003</v>
      </c>
      <c r="I1600" t="s">
        <v>344</v>
      </c>
      <c r="J1600">
        <v>5.98</v>
      </c>
      <c r="K1600">
        <v>-1.19</v>
      </c>
      <c r="L1600" t="s">
        <v>346</v>
      </c>
      <c r="M1600" s="1">
        <v>1.1900000000000001E-2</v>
      </c>
      <c r="N1600" t="s">
        <v>349</v>
      </c>
      <c r="O1600">
        <v>2.04</v>
      </c>
      <c r="P1600" t="s">
        <v>344</v>
      </c>
      <c r="Q1600">
        <v>0.97</v>
      </c>
      <c r="R1600" t="s">
        <v>343</v>
      </c>
      <c r="S1600">
        <v>1</v>
      </c>
    </row>
    <row r="1601" spans="1:19" x14ac:dyDescent="0.25">
      <c r="A1601" t="s">
        <v>39</v>
      </c>
      <c r="B1601" t="s">
        <v>239</v>
      </c>
      <c r="C1601">
        <v>745.58799999999997</v>
      </c>
      <c r="D1601" t="s">
        <v>342</v>
      </c>
      <c r="E1601">
        <v>24.15</v>
      </c>
      <c r="F1601">
        <v>16.38</v>
      </c>
      <c r="G1601">
        <v>16.920000000000002</v>
      </c>
      <c r="H1601">
        <v>33.299999999999997</v>
      </c>
      <c r="I1601" t="s">
        <v>344</v>
      </c>
      <c r="J1601">
        <v>5.75</v>
      </c>
      <c r="K1601">
        <v>-4.0199999999999996</v>
      </c>
      <c r="L1601" t="s">
        <v>346</v>
      </c>
      <c r="M1601" s="1">
        <v>4.0199999999999993E-2</v>
      </c>
      <c r="N1601" t="s">
        <v>350</v>
      </c>
      <c r="O1601">
        <v>1.74</v>
      </c>
      <c r="P1601" t="s">
        <v>343</v>
      </c>
      <c r="Q1601">
        <v>1.89</v>
      </c>
      <c r="R1601" t="s">
        <v>343</v>
      </c>
      <c r="S1601">
        <v>0</v>
      </c>
    </row>
    <row r="1602" spans="1:19" x14ac:dyDescent="0.25">
      <c r="A1602" t="s">
        <v>40</v>
      </c>
      <c r="B1602" t="s">
        <v>56</v>
      </c>
      <c r="C1602">
        <v>0</v>
      </c>
      <c r="D1602" t="s">
        <v>342</v>
      </c>
      <c r="E1602">
        <v>24.15</v>
      </c>
      <c r="F1602">
        <v>14.71</v>
      </c>
      <c r="G1602">
        <v>16.52</v>
      </c>
      <c r="H1602">
        <v>31.23</v>
      </c>
      <c r="I1602" t="s">
        <v>344</v>
      </c>
      <c r="J1602">
        <v>150.72999999999999</v>
      </c>
      <c r="L1602" t="s">
        <v>345</v>
      </c>
      <c r="N1602" t="s">
        <v>345</v>
      </c>
      <c r="O1602">
        <v>3.63</v>
      </c>
      <c r="P1602" t="s">
        <v>344</v>
      </c>
      <c r="Q1602">
        <v>0.94</v>
      </c>
      <c r="R1602" t="s">
        <v>343</v>
      </c>
      <c r="S1602">
        <v>1</v>
      </c>
    </row>
    <row r="1603" spans="1:19" x14ac:dyDescent="0.25">
      <c r="A1603" t="s">
        <v>40</v>
      </c>
      <c r="B1603" t="s">
        <v>57</v>
      </c>
      <c r="C1603">
        <v>20</v>
      </c>
      <c r="D1603" t="s">
        <v>342</v>
      </c>
      <c r="E1603">
        <v>24.15</v>
      </c>
      <c r="F1603">
        <v>13.89</v>
      </c>
      <c r="G1603">
        <v>16.13</v>
      </c>
      <c r="H1603">
        <v>30.03</v>
      </c>
      <c r="I1603" t="s">
        <v>344</v>
      </c>
      <c r="J1603">
        <v>148.91999999999999</v>
      </c>
      <c r="K1603">
        <v>-9.02</v>
      </c>
      <c r="L1603" t="s">
        <v>348</v>
      </c>
      <c r="M1603" s="1">
        <v>9.0200000000000002E-2</v>
      </c>
      <c r="N1603" t="s">
        <v>350</v>
      </c>
      <c r="O1603">
        <v>2.84</v>
      </c>
      <c r="P1603" t="s">
        <v>344</v>
      </c>
      <c r="Q1603">
        <v>1.1499999999999999</v>
      </c>
      <c r="R1603" t="s">
        <v>343</v>
      </c>
      <c r="S1603">
        <v>1</v>
      </c>
    </row>
    <row r="1604" spans="1:19" x14ac:dyDescent="0.25">
      <c r="A1604" t="s">
        <v>40</v>
      </c>
      <c r="B1604" t="s">
        <v>58</v>
      </c>
      <c r="C1604">
        <v>40</v>
      </c>
      <c r="D1604" t="s">
        <v>342</v>
      </c>
      <c r="E1604">
        <v>24.15</v>
      </c>
      <c r="F1604">
        <v>14.63</v>
      </c>
      <c r="G1604">
        <v>15.42</v>
      </c>
      <c r="H1604">
        <v>30.05</v>
      </c>
      <c r="I1604" t="s">
        <v>344</v>
      </c>
      <c r="J1604">
        <v>148.31</v>
      </c>
      <c r="K1604">
        <v>-3.05</v>
      </c>
      <c r="L1604" t="s">
        <v>346</v>
      </c>
      <c r="M1604" s="1">
        <v>3.0499999999999999E-2</v>
      </c>
      <c r="N1604" t="s">
        <v>350</v>
      </c>
      <c r="O1604">
        <v>2.2999999999999998</v>
      </c>
      <c r="P1604" t="s">
        <v>344</v>
      </c>
      <c r="Q1604">
        <v>0.26</v>
      </c>
      <c r="R1604" t="s">
        <v>343</v>
      </c>
      <c r="S1604">
        <v>1</v>
      </c>
    </row>
    <row r="1605" spans="1:19" x14ac:dyDescent="0.25">
      <c r="A1605" t="s">
        <v>40</v>
      </c>
      <c r="B1605" t="s">
        <v>59</v>
      </c>
      <c r="C1605">
        <v>60</v>
      </c>
      <c r="D1605" t="s">
        <v>342</v>
      </c>
      <c r="E1605">
        <v>24.15</v>
      </c>
      <c r="F1605">
        <v>13.89</v>
      </c>
      <c r="G1605">
        <v>15.17</v>
      </c>
      <c r="H1605">
        <v>29.06</v>
      </c>
      <c r="I1605" t="s">
        <v>344</v>
      </c>
      <c r="J1605">
        <v>147.87</v>
      </c>
      <c r="K1605">
        <v>-2.21</v>
      </c>
      <c r="L1605" t="s">
        <v>346</v>
      </c>
      <c r="M1605" s="1">
        <v>2.2100000000000002E-2</v>
      </c>
      <c r="N1605" t="s">
        <v>350</v>
      </c>
      <c r="O1605">
        <v>2.56</v>
      </c>
      <c r="P1605" t="s">
        <v>344</v>
      </c>
      <c r="Q1605">
        <v>0.94</v>
      </c>
      <c r="R1605" t="s">
        <v>343</v>
      </c>
      <c r="S1605">
        <v>1</v>
      </c>
    </row>
    <row r="1606" spans="1:19" x14ac:dyDescent="0.25">
      <c r="A1606" t="s">
        <v>40</v>
      </c>
      <c r="B1606" t="s">
        <v>60</v>
      </c>
      <c r="C1606">
        <v>80</v>
      </c>
      <c r="D1606" t="s">
        <v>342</v>
      </c>
      <c r="E1606">
        <v>24.15</v>
      </c>
      <c r="F1606">
        <v>14.63</v>
      </c>
      <c r="G1606">
        <v>15.37</v>
      </c>
      <c r="H1606">
        <v>30</v>
      </c>
      <c r="I1606" t="s">
        <v>344</v>
      </c>
      <c r="J1606">
        <v>147.08000000000001</v>
      </c>
      <c r="K1606">
        <v>-3.97</v>
      </c>
      <c r="L1606" t="s">
        <v>346</v>
      </c>
      <c r="M1606" s="1">
        <v>3.9699999999999999E-2</v>
      </c>
      <c r="N1606" t="s">
        <v>350</v>
      </c>
      <c r="O1606">
        <v>2.62</v>
      </c>
      <c r="P1606" t="s">
        <v>344</v>
      </c>
      <c r="Q1606">
        <v>-0.02</v>
      </c>
      <c r="R1606" t="s">
        <v>343</v>
      </c>
      <c r="S1606">
        <v>1</v>
      </c>
    </row>
    <row r="1607" spans="1:19" x14ac:dyDescent="0.25">
      <c r="A1607" t="s">
        <v>40</v>
      </c>
      <c r="B1607" t="s">
        <v>61</v>
      </c>
      <c r="C1607">
        <v>100</v>
      </c>
      <c r="D1607" t="s">
        <v>342</v>
      </c>
      <c r="E1607">
        <v>24.15</v>
      </c>
      <c r="F1607">
        <v>14.63</v>
      </c>
      <c r="G1607">
        <v>15.68</v>
      </c>
      <c r="H1607">
        <v>30.31</v>
      </c>
      <c r="I1607" t="s">
        <v>344</v>
      </c>
      <c r="J1607">
        <v>146.19999999999999</v>
      </c>
      <c r="K1607">
        <v>-4.4000000000000004</v>
      </c>
      <c r="L1607" t="s">
        <v>346</v>
      </c>
      <c r="M1607" s="1">
        <v>4.3999999999999997E-2</v>
      </c>
      <c r="N1607" t="s">
        <v>350</v>
      </c>
      <c r="O1607">
        <v>2.27</v>
      </c>
      <c r="P1607" t="s">
        <v>344</v>
      </c>
      <c r="Q1607">
        <v>0.05</v>
      </c>
      <c r="R1607" t="s">
        <v>343</v>
      </c>
      <c r="S1607">
        <v>1</v>
      </c>
    </row>
    <row r="1608" spans="1:19" x14ac:dyDescent="0.25">
      <c r="A1608" t="s">
        <v>40</v>
      </c>
      <c r="B1608" t="s">
        <v>62</v>
      </c>
      <c r="C1608">
        <v>120</v>
      </c>
      <c r="D1608" t="s">
        <v>342</v>
      </c>
      <c r="E1608">
        <v>24.15</v>
      </c>
      <c r="F1608">
        <v>14.61</v>
      </c>
      <c r="G1608">
        <v>16.55</v>
      </c>
      <c r="H1608">
        <v>31.16</v>
      </c>
      <c r="I1608" t="s">
        <v>344</v>
      </c>
      <c r="J1608">
        <v>145.32</v>
      </c>
      <c r="K1608">
        <v>-4.38</v>
      </c>
      <c r="L1608" t="s">
        <v>346</v>
      </c>
      <c r="M1608" s="1">
        <v>4.3799999999999999E-2</v>
      </c>
      <c r="N1608" t="s">
        <v>350</v>
      </c>
      <c r="O1608">
        <v>2.88</v>
      </c>
      <c r="P1608" t="s">
        <v>344</v>
      </c>
      <c r="Q1608">
        <v>1.64</v>
      </c>
      <c r="R1608" t="s">
        <v>343</v>
      </c>
      <c r="S1608">
        <v>1</v>
      </c>
    </row>
    <row r="1609" spans="1:19" x14ac:dyDescent="0.25">
      <c r="A1609" t="s">
        <v>40</v>
      </c>
      <c r="B1609" t="s">
        <v>63</v>
      </c>
      <c r="C1609">
        <v>140</v>
      </c>
      <c r="D1609" t="s">
        <v>342</v>
      </c>
      <c r="E1609">
        <v>24.15</v>
      </c>
      <c r="F1609">
        <v>14.61</v>
      </c>
      <c r="G1609">
        <v>15.92</v>
      </c>
      <c r="H1609">
        <v>30.53</v>
      </c>
      <c r="I1609" t="s">
        <v>344</v>
      </c>
      <c r="J1609">
        <v>144.22</v>
      </c>
      <c r="K1609">
        <v>-5.53</v>
      </c>
      <c r="L1609" t="s">
        <v>346</v>
      </c>
      <c r="M1609" s="1">
        <v>5.5300000000000002E-2</v>
      </c>
      <c r="N1609" t="s">
        <v>350</v>
      </c>
      <c r="O1609">
        <v>0.93</v>
      </c>
      <c r="P1609" t="s">
        <v>343</v>
      </c>
      <c r="Q1609">
        <v>0.02</v>
      </c>
      <c r="R1609" t="s">
        <v>343</v>
      </c>
      <c r="S1609">
        <v>1</v>
      </c>
    </row>
    <row r="1610" spans="1:19" x14ac:dyDescent="0.25">
      <c r="A1610" t="s">
        <v>40</v>
      </c>
      <c r="B1610" t="s">
        <v>64</v>
      </c>
      <c r="C1610">
        <v>160</v>
      </c>
      <c r="D1610" t="s">
        <v>342</v>
      </c>
      <c r="E1610">
        <v>24.15</v>
      </c>
      <c r="F1610">
        <v>14.41</v>
      </c>
      <c r="G1610">
        <v>15.52</v>
      </c>
      <c r="H1610">
        <v>29.93</v>
      </c>
      <c r="I1610" t="s">
        <v>344</v>
      </c>
      <c r="J1610">
        <v>143.16</v>
      </c>
      <c r="K1610">
        <v>-5.27</v>
      </c>
      <c r="L1610" t="s">
        <v>346</v>
      </c>
      <c r="M1610" s="1">
        <v>5.2699999999999997E-2</v>
      </c>
      <c r="N1610" t="s">
        <v>350</v>
      </c>
      <c r="O1610">
        <v>3.21</v>
      </c>
      <c r="P1610" t="s">
        <v>344</v>
      </c>
      <c r="Q1610">
        <v>-1</v>
      </c>
      <c r="R1610" t="s">
        <v>343</v>
      </c>
      <c r="S1610">
        <v>1</v>
      </c>
    </row>
    <row r="1611" spans="1:19" x14ac:dyDescent="0.25">
      <c r="A1611" t="s">
        <v>40</v>
      </c>
      <c r="B1611" t="s">
        <v>65</v>
      </c>
      <c r="C1611">
        <v>180</v>
      </c>
      <c r="D1611" t="s">
        <v>342</v>
      </c>
      <c r="E1611">
        <v>24.15</v>
      </c>
      <c r="F1611">
        <v>15.14</v>
      </c>
      <c r="G1611">
        <v>15.63</v>
      </c>
      <c r="H1611">
        <v>30.77</v>
      </c>
      <c r="I1611" t="s">
        <v>344</v>
      </c>
      <c r="J1611">
        <v>142.22</v>
      </c>
      <c r="K1611">
        <v>-4.7300000000000004</v>
      </c>
      <c r="L1611" t="s">
        <v>346</v>
      </c>
      <c r="M1611" s="1">
        <v>4.7300000000000002E-2</v>
      </c>
      <c r="N1611" t="s">
        <v>350</v>
      </c>
      <c r="O1611">
        <v>3.12</v>
      </c>
      <c r="P1611" t="s">
        <v>344</v>
      </c>
      <c r="Q1611">
        <v>-0.98</v>
      </c>
      <c r="R1611" t="s">
        <v>343</v>
      </c>
      <c r="S1611">
        <v>1</v>
      </c>
    </row>
    <row r="1612" spans="1:19" x14ac:dyDescent="0.25">
      <c r="A1612" t="s">
        <v>40</v>
      </c>
      <c r="B1612" t="s">
        <v>66</v>
      </c>
      <c r="C1612">
        <v>200</v>
      </c>
      <c r="D1612" t="s">
        <v>342</v>
      </c>
      <c r="E1612">
        <v>24.15</v>
      </c>
      <c r="F1612">
        <v>15.68</v>
      </c>
      <c r="G1612">
        <v>16.77</v>
      </c>
      <c r="H1612">
        <v>32.46</v>
      </c>
      <c r="I1612" t="s">
        <v>344</v>
      </c>
      <c r="J1612">
        <v>141.6</v>
      </c>
      <c r="K1612">
        <v>-3.07</v>
      </c>
      <c r="L1612" t="s">
        <v>346</v>
      </c>
      <c r="M1612" s="1">
        <v>3.0700000000000002E-2</v>
      </c>
      <c r="N1612" t="s">
        <v>350</v>
      </c>
      <c r="O1612">
        <v>3.5</v>
      </c>
      <c r="P1612" t="s">
        <v>344</v>
      </c>
      <c r="Q1612">
        <v>-0.59</v>
      </c>
      <c r="R1612" t="s">
        <v>343</v>
      </c>
      <c r="S1612">
        <v>1</v>
      </c>
    </row>
    <row r="1613" spans="1:19" x14ac:dyDescent="0.25">
      <c r="A1613" t="s">
        <v>40</v>
      </c>
      <c r="B1613" t="s">
        <v>67</v>
      </c>
      <c r="C1613">
        <v>220</v>
      </c>
      <c r="D1613" t="s">
        <v>342</v>
      </c>
      <c r="E1613">
        <v>24.15</v>
      </c>
      <c r="F1613">
        <v>15.68</v>
      </c>
      <c r="G1613">
        <v>16.77</v>
      </c>
      <c r="H1613">
        <v>32.46</v>
      </c>
      <c r="I1613" t="s">
        <v>344</v>
      </c>
      <c r="J1613">
        <v>141.25</v>
      </c>
      <c r="K1613">
        <v>-1.76</v>
      </c>
      <c r="L1613" t="s">
        <v>346</v>
      </c>
      <c r="M1613" s="1">
        <v>1.7600000000000001E-2</v>
      </c>
      <c r="N1613" t="s">
        <v>349</v>
      </c>
      <c r="O1613">
        <v>3.99</v>
      </c>
      <c r="P1613" t="s">
        <v>344</v>
      </c>
      <c r="Q1613">
        <v>-0.22</v>
      </c>
      <c r="R1613" t="s">
        <v>343</v>
      </c>
      <c r="S1613">
        <v>1</v>
      </c>
    </row>
    <row r="1614" spans="1:19" x14ac:dyDescent="0.25">
      <c r="A1614" t="s">
        <v>40</v>
      </c>
      <c r="B1614" t="s">
        <v>68</v>
      </c>
      <c r="C1614">
        <v>240</v>
      </c>
      <c r="D1614" t="s">
        <v>342</v>
      </c>
      <c r="E1614">
        <v>24.15</v>
      </c>
      <c r="F1614">
        <v>15.68</v>
      </c>
      <c r="G1614">
        <v>16.77</v>
      </c>
      <c r="H1614">
        <v>32.46</v>
      </c>
      <c r="I1614" t="s">
        <v>344</v>
      </c>
      <c r="J1614">
        <v>141.16</v>
      </c>
      <c r="K1614">
        <v>-0.48</v>
      </c>
      <c r="L1614" t="s">
        <v>346</v>
      </c>
      <c r="M1614" s="1">
        <v>4.7999999999999996E-3</v>
      </c>
      <c r="N1614" t="s">
        <v>349</v>
      </c>
      <c r="O1614">
        <v>-4.88</v>
      </c>
      <c r="P1614" t="s">
        <v>343</v>
      </c>
      <c r="Q1614">
        <v>0.73</v>
      </c>
      <c r="R1614" t="s">
        <v>343</v>
      </c>
      <c r="S1614">
        <v>1</v>
      </c>
    </row>
    <row r="1615" spans="1:19" x14ac:dyDescent="0.25">
      <c r="A1615" t="s">
        <v>40</v>
      </c>
      <c r="B1615" t="s">
        <v>69</v>
      </c>
      <c r="C1615">
        <v>260</v>
      </c>
      <c r="D1615" t="s">
        <v>342</v>
      </c>
      <c r="E1615">
        <v>24.15</v>
      </c>
      <c r="F1615">
        <v>15.17</v>
      </c>
      <c r="G1615">
        <v>16.41</v>
      </c>
      <c r="H1615">
        <v>31.59</v>
      </c>
      <c r="I1615" t="s">
        <v>344</v>
      </c>
      <c r="J1615">
        <v>140.72</v>
      </c>
      <c r="K1615">
        <v>-2.17</v>
      </c>
      <c r="L1615" t="s">
        <v>346</v>
      </c>
      <c r="M1615" s="1">
        <v>2.1700000000000001E-2</v>
      </c>
      <c r="N1615" t="s">
        <v>350</v>
      </c>
      <c r="O1615">
        <v>0.47</v>
      </c>
      <c r="P1615" t="s">
        <v>343</v>
      </c>
      <c r="Q1615">
        <v>0.93</v>
      </c>
      <c r="R1615" t="s">
        <v>343</v>
      </c>
      <c r="S1615">
        <v>1</v>
      </c>
    </row>
    <row r="1616" spans="1:19" x14ac:dyDescent="0.25">
      <c r="A1616" t="s">
        <v>40</v>
      </c>
      <c r="B1616" t="s">
        <v>70</v>
      </c>
      <c r="C1616">
        <v>280</v>
      </c>
      <c r="D1616" t="s">
        <v>342</v>
      </c>
      <c r="E1616">
        <v>24.15</v>
      </c>
      <c r="F1616">
        <v>14.29</v>
      </c>
      <c r="G1616">
        <v>17.72</v>
      </c>
      <c r="H1616">
        <v>32.01</v>
      </c>
      <c r="I1616" t="s">
        <v>344</v>
      </c>
      <c r="J1616">
        <v>140.63</v>
      </c>
      <c r="K1616">
        <v>-0.46</v>
      </c>
      <c r="L1616" t="s">
        <v>346</v>
      </c>
      <c r="M1616" s="1">
        <v>4.5999999999999999E-3</v>
      </c>
      <c r="N1616" t="s">
        <v>349</v>
      </c>
      <c r="O1616">
        <v>0.44</v>
      </c>
      <c r="P1616" t="s">
        <v>343</v>
      </c>
      <c r="Q1616">
        <v>1.33</v>
      </c>
      <c r="R1616" t="s">
        <v>343</v>
      </c>
      <c r="S1616">
        <v>1</v>
      </c>
    </row>
    <row r="1617" spans="1:19" x14ac:dyDescent="0.25">
      <c r="A1617" t="s">
        <v>40</v>
      </c>
      <c r="B1617" t="s">
        <v>71</v>
      </c>
      <c r="C1617">
        <v>300</v>
      </c>
      <c r="D1617" t="s">
        <v>342</v>
      </c>
      <c r="E1617">
        <v>24.15</v>
      </c>
      <c r="F1617">
        <v>15.17</v>
      </c>
      <c r="G1617">
        <v>17.88</v>
      </c>
      <c r="H1617">
        <v>33.06</v>
      </c>
      <c r="I1617" t="s">
        <v>344</v>
      </c>
      <c r="J1617">
        <v>141.16</v>
      </c>
      <c r="K1617">
        <v>2.65</v>
      </c>
      <c r="L1617" t="s">
        <v>346</v>
      </c>
      <c r="M1617" s="1">
        <v>2.6499999999999999E-2</v>
      </c>
      <c r="N1617" t="s">
        <v>350</v>
      </c>
      <c r="O1617">
        <v>2.2000000000000002</v>
      </c>
      <c r="P1617" t="s">
        <v>344</v>
      </c>
      <c r="Q1617">
        <v>-0.13</v>
      </c>
      <c r="R1617" t="s">
        <v>343</v>
      </c>
      <c r="S1617">
        <v>1</v>
      </c>
    </row>
    <row r="1618" spans="1:19" x14ac:dyDescent="0.25">
      <c r="A1618" t="s">
        <v>40</v>
      </c>
      <c r="B1618" t="s">
        <v>72</v>
      </c>
      <c r="C1618">
        <v>320</v>
      </c>
      <c r="D1618" t="s">
        <v>342</v>
      </c>
      <c r="E1618">
        <v>24.15</v>
      </c>
      <c r="F1618">
        <v>15.57</v>
      </c>
      <c r="G1618">
        <v>16.989999999999998</v>
      </c>
      <c r="H1618">
        <v>32.56</v>
      </c>
      <c r="I1618" t="s">
        <v>344</v>
      </c>
      <c r="J1618">
        <v>140.63999999999999</v>
      </c>
      <c r="K1618">
        <v>-2.59</v>
      </c>
      <c r="L1618" t="s">
        <v>346</v>
      </c>
      <c r="M1618" s="1">
        <v>2.5899999999999999E-2</v>
      </c>
      <c r="N1618" t="s">
        <v>350</v>
      </c>
      <c r="O1618">
        <v>2.58</v>
      </c>
      <c r="P1618" t="s">
        <v>344</v>
      </c>
      <c r="Q1618">
        <v>0.78</v>
      </c>
      <c r="R1618" t="s">
        <v>343</v>
      </c>
      <c r="S1618">
        <v>1</v>
      </c>
    </row>
    <row r="1619" spans="1:19" x14ac:dyDescent="0.25">
      <c r="A1619" t="s">
        <v>40</v>
      </c>
      <c r="B1619" t="s">
        <v>73</v>
      </c>
      <c r="C1619">
        <v>340</v>
      </c>
      <c r="D1619" t="s">
        <v>342</v>
      </c>
      <c r="E1619">
        <v>24.15</v>
      </c>
      <c r="F1619">
        <v>15.17</v>
      </c>
      <c r="G1619">
        <v>16.89</v>
      </c>
      <c r="H1619">
        <v>32.06</v>
      </c>
      <c r="I1619" t="s">
        <v>344</v>
      </c>
      <c r="J1619">
        <v>140.29</v>
      </c>
      <c r="K1619">
        <v>-1.75</v>
      </c>
      <c r="L1619" t="s">
        <v>346</v>
      </c>
      <c r="M1619" s="1">
        <v>1.7500000000000002E-2</v>
      </c>
      <c r="N1619" t="s">
        <v>349</v>
      </c>
      <c r="O1619">
        <v>1.67</v>
      </c>
      <c r="P1619" t="s">
        <v>343</v>
      </c>
      <c r="Q1619">
        <v>-2.2000000000000002</v>
      </c>
      <c r="R1619" t="s">
        <v>344</v>
      </c>
      <c r="S1619">
        <v>1</v>
      </c>
    </row>
    <row r="1620" spans="1:19" x14ac:dyDescent="0.25">
      <c r="A1620" t="s">
        <v>40</v>
      </c>
      <c r="B1620" t="s">
        <v>74</v>
      </c>
      <c r="C1620">
        <v>360</v>
      </c>
      <c r="D1620" t="s">
        <v>342</v>
      </c>
      <c r="E1620">
        <v>24.15</v>
      </c>
      <c r="F1620">
        <v>14.63</v>
      </c>
      <c r="G1620">
        <v>18</v>
      </c>
      <c r="H1620">
        <v>32.630000000000003</v>
      </c>
      <c r="I1620" t="s">
        <v>344</v>
      </c>
      <c r="J1620">
        <v>140.35</v>
      </c>
      <c r="K1620">
        <v>0.3</v>
      </c>
      <c r="L1620" t="s">
        <v>346</v>
      </c>
      <c r="M1620" s="1">
        <v>3.0000000000000001E-3</v>
      </c>
      <c r="N1620" t="s">
        <v>349</v>
      </c>
      <c r="O1620">
        <v>3.19</v>
      </c>
      <c r="P1620" t="s">
        <v>344</v>
      </c>
      <c r="Q1620">
        <v>-1.9</v>
      </c>
      <c r="R1620" t="s">
        <v>343</v>
      </c>
      <c r="S1620">
        <v>1</v>
      </c>
    </row>
    <row r="1621" spans="1:19" x14ac:dyDescent="0.25">
      <c r="A1621" t="s">
        <v>40</v>
      </c>
      <c r="B1621" t="s">
        <v>75</v>
      </c>
      <c r="C1621">
        <v>380</v>
      </c>
      <c r="D1621" t="s">
        <v>342</v>
      </c>
      <c r="E1621">
        <v>24.15</v>
      </c>
      <c r="F1621">
        <v>14.59</v>
      </c>
      <c r="G1621">
        <v>17.87</v>
      </c>
      <c r="H1621">
        <v>32.46</v>
      </c>
      <c r="I1621" t="s">
        <v>344</v>
      </c>
      <c r="J1621">
        <v>141.43</v>
      </c>
      <c r="K1621">
        <v>5.41</v>
      </c>
      <c r="L1621" t="s">
        <v>346</v>
      </c>
      <c r="M1621" s="1">
        <v>5.4100000000000002E-2</v>
      </c>
      <c r="N1621" t="s">
        <v>350</v>
      </c>
      <c r="O1621">
        <v>4.28</v>
      </c>
      <c r="P1621" t="s">
        <v>343</v>
      </c>
      <c r="Q1621">
        <v>0.19</v>
      </c>
      <c r="R1621" t="s">
        <v>343</v>
      </c>
      <c r="S1621">
        <v>1</v>
      </c>
    </row>
    <row r="1622" spans="1:19" x14ac:dyDescent="0.25">
      <c r="A1622" t="s">
        <v>40</v>
      </c>
      <c r="B1622" t="s">
        <v>76</v>
      </c>
      <c r="C1622">
        <v>400</v>
      </c>
      <c r="D1622" t="s">
        <v>342</v>
      </c>
      <c r="E1622">
        <v>24.15</v>
      </c>
      <c r="F1622">
        <v>14.95</v>
      </c>
      <c r="G1622">
        <v>16.829999999999998</v>
      </c>
      <c r="H1622">
        <v>31.79</v>
      </c>
      <c r="I1622" t="s">
        <v>344</v>
      </c>
      <c r="J1622">
        <v>140.12</v>
      </c>
      <c r="K1622">
        <v>-6.57</v>
      </c>
      <c r="L1622" t="s">
        <v>346</v>
      </c>
      <c r="M1622" s="1">
        <v>6.5700000000000008E-2</v>
      </c>
      <c r="N1622" t="s">
        <v>350</v>
      </c>
      <c r="O1622">
        <v>2.71</v>
      </c>
      <c r="P1622" t="s">
        <v>344</v>
      </c>
      <c r="Q1622">
        <v>-0.28000000000000003</v>
      </c>
      <c r="R1622" t="s">
        <v>343</v>
      </c>
      <c r="S1622">
        <v>1</v>
      </c>
    </row>
    <row r="1623" spans="1:19" x14ac:dyDescent="0.25">
      <c r="A1623" t="s">
        <v>40</v>
      </c>
      <c r="B1623" t="s">
        <v>77</v>
      </c>
      <c r="C1623">
        <v>420</v>
      </c>
      <c r="D1623" t="s">
        <v>342</v>
      </c>
      <c r="E1623">
        <v>24.15</v>
      </c>
      <c r="F1623">
        <v>14.91</v>
      </c>
      <c r="G1623">
        <v>16.78</v>
      </c>
      <c r="H1623">
        <v>31.69</v>
      </c>
      <c r="I1623" t="s">
        <v>344</v>
      </c>
      <c r="J1623">
        <v>140.06</v>
      </c>
      <c r="K1623">
        <v>-0.28999999999999998</v>
      </c>
      <c r="L1623" t="s">
        <v>346</v>
      </c>
      <c r="M1623" s="1">
        <v>2.8999999999999998E-3</v>
      </c>
      <c r="N1623" t="s">
        <v>349</v>
      </c>
      <c r="O1623">
        <v>2.76</v>
      </c>
      <c r="P1623" t="s">
        <v>344</v>
      </c>
      <c r="Q1623">
        <v>-0.25</v>
      </c>
      <c r="R1623" t="s">
        <v>343</v>
      </c>
      <c r="S1623">
        <v>1</v>
      </c>
    </row>
    <row r="1624" spans="1:19" x14ac:dyDescent="0.25">
      <c r="A1624" t="s">
        <v>40</v>
      </c>
      <c r="B1624" t="s">
        <v>78</v>
      </c>
      <c r="C1624">
        <v>440</v>
      </c>
      <c r="D1624" t="s">
        <v>342</v>
      </c>
      <c r="E1624">
        <v>24.15</v>
      </c>
      <c r="F1624">
        <v>15.33</v>
      </c>
      <c r="G1624">
        <v>16.04</v>
      </c>
      <c r="H1624">
        <v>31.37</v>
      </c>
      <c r="I1624" t="s">
        <v>344</v>
      </c>
      <c r="J1624">
        <v>139.80000000000001</v>
      </c>
      <c r="K1624">
        <v>-1.32</v>
      </c>
      <c r="L1624" t="s">
        <v>346</v>
      </c>
      <c r="M1624" s="1">
        <v>1.32E-2</v>
      </c>
      <c r="N1624" t="s">
        <v>349</v>
      </c>
      <c r="O1624">
        <v>2.81</v>
      </c>
      <c r="P1624" t="s">
        <v>344</v>
      </c>
      <c r="Q1624">
        <v>-0.2</v>
      </c>
      <c r="R1624" t="s">
        <v>343</v>
      </c>
      <c r="S1624">
        <v>1</v>
      </c>
    </row>
    <row r="1625" spans="1:19" x14ac:dyDescent="0.25">
      <c r="A1625" t="s">
        <v>40</v>
      </c>
      <c r="B1625" t="s">
        <v>79</v>
      </c>
      <c r="C1625">
        <v>460</v>
      </c>
      <c r="D1625" t="s">
        <v>342</v>
      </c>
      <c r="E1625">
        <v>24.15</v>
      </c>
      <c r="F1625">
        <v>15.65</v>
      </c>
      <c r="G1625">
        <v>15.31</v>
      </c>
      <c r="H1625">
        <v>30.95</v>
      </c>
      <c r="I1625" t="s">
        <v>344</v>
      </c>
      <c r="J1625">
        <v>139.54</v>
      </c>
      <c r="K1625">
        <v>-1.32</v>
      </c>
      <c r="L1625" t="s">
        <v>346</v>
      </c>
      <c r="M1625" s="1">
        <v>1.32E-2</v>
      </c>
      <c r="N1625" t="s">
        <v>349</v>
      </c>
      <c r="O1625">
        <v>4.16</v>
      </c>
      <c r="P1625" t="s">
        <v>343</v>
      </c>
      <c r="Q1625">
        <v>0.43</v>
      </c>
      <c r="R1625" t="s">
        <v>343</v>
      </c>
      <c r="S1625">
        <v>1</v>
      </c>
    </row>
    <row r="1626" spans="1:19" x14ac:dyDescent="0.25">
      <c r="A1626" t="s">
        <v>40</v>
      </c>
      <c r="B1626" t="s">
        <v>80</v>
      </c>
      <c r="C1626">
        <v>480</v>
      </c>
      <c r="D1626" t="s">
        <v>342</v>
      </c>
      <c r="E1626">
        <v>24.15</v>
      </c>
      <c r="F1626">
        <v>15.16</v>
      </c>
      <c r="G1626">
        <v>15.3</v>
      </c>
      <c r="H1626">
        <v>30.46</v>
      </c>
      <c r="I1626" t="s">
        <v>344</v>
      </c>
      <c r="J1626">
        <v>139.27000000000001</v>
      </c>
      <c r="K1626">
        <v>-1.35</v>
      </c>
      <c r="L1626" t="s">
        <v>346</v>
      </c>
      <c r="M1626" s="1">
        <v>1.35E-2</v>
      </c>
      <c r="N1626" t="s">
        <v>349</v>
      </c>
      <c r="O1626">
        <v>3.49</v>
      </c>
      <c r="P1626" t="s">
        <v>344</v>
      </c>
      <c r="Q1626">
        <v>1.25</v>
      </c>
      <c r="R1626" t="s">
        <v>343</v>
      </c>
      <c r="S1626">
        <v>1</v>
      </c>
    </row>
    <row r="1627" spans="1:19" x14ac:dyDescent="0.25">
      <c r="A1627" t="s">
        <v>40</v>
      </c>
      <c r="B1627" t="s">
        <v>81</v>
      </c>
      <c r="C1627">
        <v>500</v>
      </c>
      <c r="D1627" t="s">
        <v>342</v>
      </c>
      <c r="E1627">
        <v>24.15</v>
      </c>
      <c r="F1627">
        <v>13.83</v>
      </c>
      <c r="G1627">
        <v>14.67</v>
      </c>
      <c r="H1627">
        <v>28.5</v>
      </c>
      <c r="I1627" t="s">
        <v>344</v>
      </c>
      <c r="J1627">
        <v>139.11000000000001</v>
      </c>
      <c r="K1627">
        <v>-0.8</v>
      </c>
      <c r="L1627" t="s">
        <v>346</v>
      </c>
      <c r="M1627" s="1">
        <v>8.0000000000000002E-3</v>
      </c>
      <c r="N1627" t="s">
        <v>349</v>
      </c>
      <c r="O1627">
        <v>3.81</v>
      </c>
      <c r="P1627" t="s">
        <v>344</v>
      </c>
      <c r="Q1627">
        <v>2.41</v>
      </c>
      <c r="R1627" t="s">
        <v>344</v>
      </c>
      <c r="S1627">
        <v>1</v>
      </c>
    </row>
    <row r="1628" spans="1:19" x14ac:dyDescent="0.25">
      <c r="A1628" t="s">
        <v>40</v>
      </c>
      <c r="B1628" t="s">
        <v>82</v>
      </c>
      <c r="C1628">
        <v>520</v>
      </c>
      <c r="D1628" t="s">
        <v>342</v>
      </c>
      <c r="E1628">
        <v>24.15</v>
      </c>
      <c r="F1628">
        <v>13.67</v>
      </c>
      <c r="G1628">
        <v>14.41</v>
      </c>
      <c r="H1628">
        <v>28.08</v>
      </c>
      <c r="I1628" t="s">
        <v>344</v>
      </c>
      <c r="J1628">
        <v>138.80000000000001</v>
      </c>
      <c r="K1628">
        <v>-1.53</v>
      </c>
      <c r="L1628" t="s">
        <v>346</v>
      </c>
      <c r="M1628" s="1">
        <v>1.5299999999999999E-2</v>
      </c>
      <c r="N1628" t="s">
        <v>349</v>
      </c>
      <c r="O1628">
        <v>1.57</v>
      </c>
      <c r="P1628" t="s">
        <v>343</v>
      </c>
      <c r="Q1628">
        <v>1.34</v>
      </c>
      <c r="R1628" t="s">
        <v>343</v>
      </c>
      <c r="S1628">
        <v>1</v>
      </c>
    </row>
    <row r="1629" spans="1:19" x14ac:dyDescent="0.25">
      <c r="A1629" t="s">
        <v>40</v>
      </c>
      <c r="B1629" t="s">
        <v>83</v>
      </c>
      <c r="C1629">
        <v>540</v>
      </c>
      <c r="D1629" t="s">
        <v>342</v>
      </c>
      <c r="E1629">
        <v>24.15</v>
      </c>
      <c r="F1629">
        <v>13.38</v>
      </c>
      <c r="G1629">
        <v>14.16</v>
      </c>
      <c r="H1629">
        <v>27.55</v>
      </c>
      <c r="I1629" t="s">
        <v>344</v>
      </c>
      <c r="J1629">
        <v>138.63</v>
      </c>
      <c r="K1629">
        <v>-0.84</v>
      </c>
      <c r="L1629" t="s">
        <v>346</v>
      </c>
      <c r="M1629" s="1">
        <v>8.3999999999999995E-3</v>
      </c>
      <c r="N1629" t="s">
        <v>349</v>
      </c>
      <c r="O1629">
        <v>2.0299999999999998</v>
      </c>
      <c r="P1629" t="s">
        <v>344</v>
      </c>
      <c r="Q1629">
        <v>0.64</v>
      </c>
      <c r="R1629" t="s">
        <v>343</v>
      </c>
      <c r="S1629">
        <v>1</v>
      </c>
    </row>
    <row r="1630" spans="1:19" x14ac:dyDescent="0.25">
      <c r="A1630" t="s">
        <v>40</v>
      </c>
      <c r="B1630" t="s">
        <v>84</v>
      </c>
      <c r="C1630">
        <v>560</v>
      </c>
      <c r="D1630" t="s">
        <v>342</v>
      </c>
      <c r="E1630">
        <v>24.15</v>
      </c>
      <c r="F1630">
        <v>12.65</v>
      </c>
      <c r="G1630">
        <v>15.7</v>
      </c>
      <c r="H1630">
        <v>28.35</v>
      </c>
      <c r="I1630" t="s">
        <v>344</v>
      </c>
      <c r="J1630">
        <v>138.44</v>
      </c>
      <c r="K1630">
        <v>-0.98</v>
      </c>
      <c r="L1630" t="s">
        <v>346</v>
      </c>
      <c r="M1630" s="1">
        <v>9.7999999999999997E-3</v>
      </c>
      <c r="N1630" t="s">
        <v>349</v>
      </c>
      <c r="O1630">
        <v>2.4700000000000002</v>
      </c>
      <c r="P1630" t="s">
        <v>344</v>
      </c>
      <c r="Q1630">
        <v>-0.33</v>
      </c>
      <c r="R1630" t="s">
        <v>343</v>
      </c>
      <c r="S1630">
        <v>1</v>
      </c>
    </row>
    <row r="1631" spans="1:19" x14ac:dyDescent="0.25">
      <c r="A1631" t="s">
        <v>40</v>
      </c>
      <c r="B1631" t="s">
        <v>85</v>
      </c>
      <c r="C1631">
        <v>580</v>
      </c>
      <c r="D1631" t="s">
        <v>342</v>
      </c>
      <c r="E1631">
        <v>24.15</v>
      </c>
      <c r="F1631">
        <v>13.58</v>
      </c>
      <c r="G1631">
        <v>15.38</v>
      </c>
      <c r="H1631">
        <v>28.97</v>
      </c>
      <c r="I1631" t="s">
        <v>344</v>
      </c>
      <c r="J1631">
        <v>138.99</v>
      </c>
      <c r="K1631">
        <v>2.75</v>
      </c>
      <c r="L1631" t="s">
        <v>346</v>
      </c>
      <c r="M1631" s="1">
        <v>2.75E-2</v>
      </c>
      <c r="N1631" t="s">
        <v>350</v>
      </c>
      <c r="O1631">
        <v>2.56</v>
      </c>
      <c r="P1631" t="s">
        <v>344</v>
      </c>
      <c r="Q1631">
        <v>0.62</v>
      </c>
      <c r="R1631" t="s">
        <v>343</v>
      </c>
      <c r="S1631">
        <v>1</v>
      </c>
    </row>
    <row r="1632" spans="1:19" x14ac:dyDescent="0.25">
      <c r="A1632" t="s">
        <v>40</v>
      </c>
      <c r="B1632" t="s">
        <v>86</v>
      </c>
      <c r="C1632">
        <v>600</v>
      </c>
      <c r="D1632" t="s">
        <v>342</v>
      </c>
      <c r="E1632">
        <v>24.15</v>
      </c>
      <c r="F1632">
        <v>14.71</v>
      </c>
      <c r="G1632">
        <v>15.63</v>
      </c>
      <c r="H1632">
        <v>30.34</v>
      </c>
      <c r="I1632" t="s">
        <v>344</v>
      </c>
      <c r="J1632">
        <v>137.69</v>
      </c>
      <c r="K1632">
        <v>-6.5</v>
      </c>
      <c r="L1632" t="s">
        <v>346</v>
      </c>
      <c r="M1632" s="1">
        <v>6.5000000000000002E-2</v>
      </c>
      <c r="N1632" t="s">
        <v>350</v>
      </c>
      <c r="O1632">
        <v>2.65</v>
      </c>
      <c r="P1632" t="s">
        <v>344</v>
      </c>
      <c r="Q1632">
        <v>-1.44</v>
      </c>
      <c r="R1632" t="s">
        <v>343</v>
      </c>
      <c r="S1632">
        <v>1</v>
      </c>
    </row>
    <row r="1633" spans="1:19" x14ac:dyDescent="0.25">
      <c r="A1633" t="s">
        <v>40</v>
      </c>
      <c r="B1633" t="s">
        <v>87</v>
      </c>
      <c r="C1633">
        <v>620</v>
      </c>
      <c r="D1633" t="s">
        <v>342</v>
      </c>
      <c r="E1633">
        <v>24.15</v>
      </c>
      <c r="F1633">
        <v>17.11</v>
      </c>
      <c r="G1633">
        <v>15.38</v>
      </c>
      <c r="H1633">
        <v>32.5</v>
      </c>
      <c r="I1633" t="s">
        <v>344</v>
      </c>
      <c r="J1633">
        <v>137.38999999999999</v>
      </c>
      <c r="K1633">
        <v>-1.48</v>
      </c>
      <c r="L1633" t="s">
        <v>346</v>
      </c>
      <c r="M1633" s="1">
        <v>1.4800000000000001E-2</v>
      </c>
      <c r="N1633" t="s">
        <v>349</v>
      </c>
      <c r="O1633">
        <v>2.4500000000000002</v>
      </c>
      <c r="P1633" t="s">
        <v>344</v>
      </c>
      <c r="Q1633">
        <v>-0.97</v>
      </c>
      <c r="R1633" t="s">
        <v>343</v>
      </c>
      <c r="S1633">
        <v>1</v>
      </c>
    </row>
    <row r="1634" spans="1:19" x14ac:dyDescent="0.25">
      <c r="A1634" t="s">
        <v>40</v>
      </c>
      <c r="B1634" t="s">
        <v>88</v>
      </c>
      <c r="C1634">
        <v>640</v>
      </c>
      <c r="D1634" t="s">
        <v>342</v>
      </c>
      <c r="E1634">
        <v>24.15</v>
      </c>
      <c r="F1634">
        <v>17.43</v>
      </c>
      <c r="G1634">
        <v>15.63</v>
      </c>
      <c r="H1634">
        <v>33.06</v>
      </c>
      <c r="I1634" t="s">
        <v>344</v>
      </c>
      <c r="J1634">
        <v>138.22999999999999</v>
      </c>
      <c r="K1634">
        <v>4.1900000000000004</v>
      </c>
      <c r="L1634" t="s">
        <v>346</v>
      </c>
      <c r="M1634" s="1">
        <v>4.1900000000000007E-2</v>
      </c>
      <c r="N1634" t="s">
        <v>350</v>
      </c>
      <c r="O1634">
        <v>1.81</v>
      </c>
      <c r="P1634" t="s">
        <v>343</v>
      </c>
      <c r="Q1634">
        <v>0.66</v>
      </c>
      <c r="R1634" t="s">
        <v>343</v>
      </c>
      <c r="S1634">
        <v>1</v>
      </c>
    </row>
    <row r="1635" spans="1:19" x14ac:dyDescent="0.25">
      <c r="A1635" t="s">
        <v>40</v>
      </c>
      <c r="B1635" t="s">
        <v>89</v>
      </c>
      <c r="C1635">
        <v>660</v>
      </c>
      <c r="D1635" t="s">
        <v>342</v>
      </c>
      <c r="E1635">
        <v>24.15</v>
      </c>
      <c r="F1635">
        <v>20</v>
      </c>
      <c r="G1635">
        <v>14.73</v>
      </c>
      <c r="H1635">
        <v>34.729999999999997</v>
      </c>
      <c r="I1635" t="s">
        <v>344</v>
      </c>
      <c r="J1635">
        <v>135.94999999999999</v>
      </c>
      <c r="K1635">
        <v>-11.41</v>
      </c>
      <c r="L1635" t="s">
        <v>348</v>
      </c>
      <c r="M1635" s="1">
        <v>0.11409999999999999</v>
      </c>
      <c r="N1635" t="s">
        <v>350</v>
      </c>
      <c r="O1635">
        <v>0.63</v>
      </c>
      <c r="P1635" t="s">
        <v>343</v>
      </c>
      <c r="Q1635">
        <v>0.56000000000000005</v>
      </c>
      <c r="R1635" t="s">
        <v>343</v>
      </c>
      <c r="S1635">
        <v>1</v>
      </c>
    </row>
    <row r="1636" spans="1:19" x14ac:dyDescent="0.25">
      <c r="A1636" t="s">
        <v>40</v>
      </c>
      <c r="B1636" t="s">
        <v>90</v>
      </c>
      <c r="C1636">
        <v>680</v>
      </c>
      <c r="D1636" t="s">
        <v>342</v>
      </c>
      <c r="E1636">
        <v>24.15</v>
      </c>
      <c r="F1636">
        <v>20</v>
      </c>
      <c r="G1636">
        <v>13.47</v>
      </c>
      <c r="H1636">
        <v>33.47</v>
      </c>
      <c r="I1636" t="s">
        <v>344</v>
      </c>
      <c r="J1636">
        <v>135.1</v>
      </c>
      <c r="K1636">
        <v>-4.22</v>
      </c>
      <c r="L1636" t="s">
        <v>346</v>
      </c>
      <c r="M1636" s="1">
        <v>4.2199999999999988E-2</v>
      </c>
      <c r="N1636" t="s">
        <v>350</v>
      </c>
      <c r="O1636">
        <v>2.5299999999999998</v>
      </c>
      <c r="P1636" t="s">
        <v>344</v>
      </c>
      <c r="Q1636">
        <v>-0.32</v>
      </c>
      <c r="R1636" t="s">
        <v>343</v>
      </c>
      <c r="S1636">
        <v>1</v>
      </c>
    </row>
    <row r="1637" spans="1:19" x14ac:dyDescent="0.25">
      <c r="A1637" t="s">
        <v>40</v>
      </c>
      <c r="B1637" t="s">
        <v>240</v>
      </c>
      <c r="C1637">
        <v>686.178</v>
      </c>
      <c r="D1637" t="s">
        <v>342</v>
      </c>
      <c r="E1637">
        <v>24.15</v>
      </c>
      <c r="F1637">
        <v>20</v>
      </c>
      <c r="G1637">
        <v>14.73</v>
      </c>
      <c r="H1637">
        <v>34.729999999999997</v>
      </c>
      <c r="I1637" t="s">
        <v>344</v>
      </c>
      <c r="J1637">
        <v>134.93</v>
      </c>
      <c r="K1637">
        <v>-2.81</v>
      </c>
      <c r="L1637" t="s">
        <v>346</v>
      </c>
      <c r="M1637" s="1">
        <v>2.81E-2</v>
      </c>
      <c r="N1637" t="s">
        <v>350</v>
      </c>
      <c r="O1637">
        <v>2.37</v>
      </c>
      <c r="P1637" t="s">
        <v>344</v>
      </c>
      <c r="Q1637">
        <v>0.53</v>
      </c>
      <c r="R1637" t="s">
        <v>343</v>
      </c>
      <c r="S1637">
        <v>0</v>
      </c>
    </row>
    <row r="1638" spans="1:19" x14ac:dyDescent="0.25">
      <c r="A1638" t="s">
        <v>41</v>
      </c>
      <c r="B1638" t="s">
        <v>56</v>
      </c>
      <c r="C1638">
        <v>0</v>
      </c>
      <c r="D1638" t="s">
        <v>342</v>
      </c>
      <c r="E1638">
        <v>24.15</v>
      </c>
      <c r="F1638">
        <v>20</v>
      </c>
      <c r="G1638">
        <v>16.12</v>
      </c>
      <c r="H1638">
        <v>36.119999999999997</v>
      </c>
      <c r="I1638" t="s">
        <v>344</v>
      </c>
      <c r="J1638">
        <v>132.52000000000001</v>
      </c>
      <c r="L1638" t="s">
        <v>345</v>
      </c>
      <c r="N1638" t="s">
        <v>345</v>
      </c>
      <c r="O1638">
        <v>0.06</v>
      </c>
      <c r="P1638" t="s">
        <v>343</v>
      </c>
      <c r="Q1638">
        <v>0.97</v>
      </c>
      <c r="R1638" t="s">
        <v>343</v>
      </c>
      <c r="S1638">
        <v>1</v>
      </c>
    </row>
    <row r="1639" spans="1:19" x14ac:dyDescent="0.25">
      <c r="A1639" t="s">
        <v>41</v>
      </c>
      <c r="B1639" t="s">
        <v>57</v>
      </c>
      <c r="C1639">
        <v>20</v>
      </c>
      <c r="D1639" t="s">
        <v>342</v>
      </c>
      <c r="E1639">
        <v>24.15</v>
      </c>
      <c r="F1639">
        <v>15.97</v>
      </c>
      <c r="G1639">
        <v>16.12</v>
      </c>
      <c r="H1639">
        <v>32.08</v>
      </c>
      <c r="I1639" t="s">
        <v>344</v>
      </c>
      <c r="J1639">
        <v>131.68</v>
      </c>
      <c r="K1639">
        <v>-4.21</v>
      </c>
      <c r="L1639" t="s">
        <v>346</v>
      </c>
      <c r="M1639" s="1">
        <v>4.2099999999999999E-2</v>
      </c>
      <c r="N1639" t="s">
        <v>350</v>
      </c>
      <c r="O1639">
        <v>2.88</v>
      </c>
      <c r="P1639" t="s">
        <v>344</v>
      </c>
      <c r="Q1639">
        <v>2.0099999999999998</v>
      </c>
      <c r="R1639" t="s">
        <v>344</v>
      </c>
      <c r="S1639">
        <v>1</v>
      </c>
    </row>
    <row r="1640" spans="1:19" x14ac:dyDescent="0.25">
      <c r="A1640" t="s">
        <v>41</v>
      </c>
      <c r="B1640" t="s">
        <v>58</v>
      </c>
      <c r="C1640">
        <v>40</v>
      </c>
      <c r="D1640" t="s">
        <v>342</v>
      </c>
      <c r="E1640">
        <v>24.15</v>
      </c>
      <c r="F1640">
        <v>15.18</v>
      </c>
      <c r="G1640">
        <v>16.399999999999999</v>
      </c>
      <c r="H1640">
        <v>31.58</v>
      </c>
      <c r="I1640" t="s">
        <v>344</v>
      </c>
      <c r="J1640">
        <v>130.34</v>
      </c>
      <c r="K1640">
        <v>-6.7</v>
      </c>
      <c r="L1640" t="s">
        <v>346</v>
      </c>
      <c r="M1640" s="1">
        <v>6.7000000000000004E-2</v>
      </c>
      <c r="N1640" t="s">
        <v>350</v>
      </c>
      <c r="O1640">
        <v>3.06</v>
      </c>
      <c r="P1640" t="s">
        <v>344</v>
      </c>
      <c r="Q1640">
        <v>0.92</v>
      </c>
      <c r="R1640" t="s">
        <v>343</v>
      </c>
      <c r="S1640">
        <v>1</v>
      </c>
    </row>
    <row r="1641" spans="1:19" x14ac:dyDescent="0.25">
      <c r="A1641" t="s">
        <v>41</v>
      </c>
      <c r="B1641" t="s">
        <v>59</v>
      </c>
      <c r="C1641">
        <v>60</v>
      </c>
      <c r="D1641" t="s">
        <v>342</v>
      </c>
      <c r="E1641">
        <v>24.15</v>
      </c>
      <c r="F1641">
        <v>15.48</v>
      </c>
      <c r="G1641">
        <v>15.64</v>
      </c>
      <c r="H1641">
        <v>31.12</v>
      </c>
      <c r="I1641" t="s">
        <v>344</v>
      </c>
      <c r="J1641">
        <v>129.21</v>
      </c>
      <c r="K1641">
        <v>-5.65</v>
      </c>
      <c r="L1641" t="s">
        <v>346</v>
      </c>
      <c r="M1641" s="1">
        <v>5.6500000000000002E-2</v>
      </c>
      <c r="N1641" t="s">
        <v>350</v>
      </c>
      <c r="O1641">
        <v>1.1599999999999999</v>
      </c>
      <c r="P1641" t="s">
        <v>343</v>
      </c>
      <c r="Q1641">
        <v>0.17</v>
      </c>
      <c r="R1641" t="s">
        <v>343</v>
      </c>
      <c r="S1641">
        <v>1</v>
      </c>
    </row>
    <row r="1642" spans="1:19" x14ac:dyDescent="0.25">
      <c r="A1642" t="s">
        <v>41</v>
      </c>
      <c r="B1642" t="s">
        <v>60</v>
      </c>
      <c r="C1642">
        <v>80</v>
      </c>
      <c r="D1642" t="s">
        <v>342</v>
      </c>
      <c r="E1642">
        <v>24.15</v>
      </c>
      <c r="F1642">
        <v>16.559999999999999</v>
      </c>
      <c r="G1642">
        <v>16.09</v>
      </c>
      <c r="H1642">
        <v>32.65</v>
      </c>
      <c r="I1642" t="s">
        <v>344</v>
      </c>
      <c r="J1642">
        <v>128.29</v>
      </c>
      <c r="K1642">
        <v>-4.6100000000000003</v>
      </c>
      <c r="L1642" t="s">
        <v>346</v>
      </c>
      <c r="M1642" s="1">
        <v>4.6100000000000002E-2</v>
      </c>
      <c r="N1642" t="s">
        <v>350</v>
      </c>
      <c r="O1642">
        <v>0.46</v>
      </c>
      <c r="P1642" t="s">
        <v>343</v>
      </c>
      <c r="Q1642">
        <v>1.32</v>
      </c>
      <c r="R1642" t="s">
        <v>343</v>
      </c>
      <c r="S1642">
        <v>1</v>
      </c>
    </row>
    <row r="1643" spans="1:19" x14ac:dyDescent="0.25">
      <c r="A1643" t="s">
        <v>41</v>
      </c>
      <c r="B1643" t="s">
        <v>61</v>
      </c>
      <c r="C1643">
        <v>100</v>
      </c>
      <c r="D1643" t="s">
        <v>342</v>
      </c>
      <c r="E1643">
        <v>24.15</v>
      </c>
      <c r="F1643">
        <v>16.59</v>
      </c>
      <c r="G1643">
        <v>15.64</v>
      </c>
      <c r="H1643">
        <v>32.229999999999997</v>
      </c>
      <c r="I1643" t="s">
        <v>344</v>
      </c>
      <c r="J1643">
        <v>127.59</v>
      </c>
      <c r="K1643">
        <v>-3.51</v>
      </c>
      <c r="L1643" t="s">
        <v>346</v>
      </c>
      <c r="M1643" s="1">
        <v>3.5099999999999999E-2</v>
      </c>
      <c r="N1643" t="s">
        <v>350</v>
      </c>
      <c r="O1643">
        <v>0.53</v>
      </c>
      <c r="P1643" t="s">
        <v>343</v>
      </c>
      <c r="Q1643">
        <v>0.39</v>
      </c>
      <c r="R1643" t="s">
        <v>343</v>
      </c>
      <c r="S1643">
        <v>1</v>
      </c>
    </row>
    <row r="1644" spans="1:19" x14ac:dyDescent="0.25">
      <c r="A1644" t="s">
        <v>41</v>
      </c>
      <c r="B1644" t="s">
        <v>62</v>
      </c>
      <c r="C1644">
        <v>120</v>
      </c>
      <c r="D1644" t="s">
        <v>342</v>
      </c>
      <c r="E1644">
        <v>24.15</v>
      </c>
      <c r="F1644">
        <v>20</v>
      </c>
      <c r="G1644">
        <v>15.58</v>
      </c>
      <c r="H1644">
        <v>35.58</v>
      </c>
      <c r="I1644" t="s">
        <v>344</v>
      </c>
      <c r="J1644">
        <v>126.98</v>
      </c>
      <c r="K1644">
        <v>-3.05</v>
      </c>
      <c r="L1644" t="s">
        <v>346</v>
      </c>
      <c r="M1644" s="1">
        <v>3.0499999999999999E-2</v>
      </c>
      <c r="N1644" t="s">
        <v>350</v>
      </c>
      <c r="O1644">
        <v>0.28000000000000003</v>
      </c>
      <c r="P1644" t="s">
        <v>343</v>
      </c>
      <c r="Q1644">
        <v>0.57999999999999996</v>
      </c>
      <c r="R1644" t="s">
        <v>343</v>
      </c>
      <c r="S1644">
        <v>1</v>
      </c>
    </row>
    <row r="1645" spans="1:19" x14ac:dyDescent="0.25">
      <c r="A1645" t="s">
        <v>41</v>
      </c>
      <c r="B1645" t="s">
        <v>63</v>
      </c>
      <c r="C1645">
        <v>140</v>
      </c>
      <c r="D1645" t="s">
        <v>342</v>
      </c>
      <c r="E1645">
        <v>24.15</v>
      </c>
      <c r="F1645">
        <v>20</v>
      </c>
      <c r="G1645">
        <v>14.93</v>
      </c>
      <c r="H1645">
        <v>34.93</v>
      </c>
      <c r="I1645" t="s">
        <v>344</v>
      </c>
      <c r="J1645">
        <v>126.46</v>
      </c>
      <c r="K1645">
        <v>-2.58</v>
      </c>
      <c r="L1645" t="s">
        <v>346</v>
      </c>
      <c r="M1645" s="1">
        <v>2.58E-2</v>
      </c>
      <c r="N1645" t="s">
        <v>350</v>
      </c>
      <c r="O1645">
        <v>0.33</v>
      </c>
      <c r="P1645" t="s">
        <v>343</v>
      </c>
      <c r="Q1645">
        <v>1.1399999999999999</v>
      </c>
      <c r="R1645" t="s">
        <v>343</v>
      </c>
      <c r="S1645">
        <v>1</v>
      </c>
    </row>
    <row r="1646" spans="1:19" x14ac:dyDescent="0.25">
      <c r="A1646" t="s">
        <v>41</v>
      </c>
      <c r="B1646" t="s">
        <v>64</v>
      </c>
      <c r="C1646">
        <v>160</v>
      </c>
      <c r="D1646" t="s">
        <v>342</v>
      </c>
      <c r="E1646">
        <v>24.15</v>
      </c>
      <c r="F1646">
        <v>20</v>
      </c>
      <c r="G1646">
        <v>14.97</v>
      </c>
      <c r="H1646">
        <v>34.97</v>
      </c>
      <c r="I1646" t="s">
        <v>344</v>
      </c>
      <c r="J1646">
        <v>126.04</v>
      </c>
      <c r="K1646">
        <v>-2.1</v>
      </c>
      <c r="L1646" t="s">
        <v>346</v>
      </c>
      <c r="M1646" s="1">
        <v>2.1000000000000001E-2</v>
      </c>
      <c r="N1646" t="s">
        <v>350</v>
      </c>
      <c r="O1646">
        <v>0.93</v>
      </c>
      <c r="P1646" t="s">
        <v>343</v>
      </c>
      <c r="Q1646">
        <v>0.52</v>
      </c>
      <c r="R1646" t="s">
        <v>343</v>
      </c>
      <c r="S1646">
        <v>1</v>
      </c>
    </row>
    <row r="1647" spans="1:19" x14ac:dyDescent="0.25">
      <c r="A1647" t="s">
        <v>41</v>
      </c>
      <c r="B1647" t="s">
        <v>65</v>
      </c>
      <c r="C1647">
        <v>180</v>
      </c>
      <c r="D1647" t="s">
        <v>342</v>
      </c>
      <c r="E1647">
        <v>24.15</v>
      </c>
      <c r="F1647">
        <v>18.010000000000002</v>
      </c>
      <c r="G1647">
        <v>15.98</v>
      </c>
      <c r="H1647">
        <v>33.99</v>
      </c>
      <c r="I1647" t="s">
        <v>344</v>
      </c>
      <c r="J1647">
        <v>125.82</v>
      </c>
      <c r="K1647">
        <v>-1.0900000000000001</v>
      </c>
      <c r="L1647" t="s">
        <v>346</v>
      </c>
      <c r="M1647" s="1">
        <v>1.09E-2</v>
      </c>
      <c r="N1647" t="s">
        <v>349</v>
      </c>
      <c r="O1647">
        <v>2.7</v>
      </c>
      <c r="P1647" t="s">
        <v>344</v>
      </c>
      <c r="Q1647">
        <v>0.96</v>
      </c>
      <c r="R1647" t="s">
        <v>343</v>
      </c>
      <c r="S1647">
        <v>1</v>
      </c>
    </row>
    <row r="1648" spans="1:19" x14ac:dyDescent="0.25">
      <c r="A1648" t="s">
        <v>41</v>
      </c>
      <c r="B1648" t="s">
        <v>66</v>
      </c>
      <c r="C1648">
        <v>200</v>
      </c>
      <c r="D1648" t="s">
        <v>342</v>
      </c>
      <c r="E1648">
        <v>24.15</v>
      </c>
      <c r="F1648">
        <v>17.03</v>
      </c>
      <c r="G1648">
        <v>14.39</v>
      </c>
      <c r="H1648">
        <v>31.42</v>
      </c>
      <c r="I1648" t="s">
        <v>344</v>
      </c>
      <c r="J1648">
        <v>125.57</v>
      </c>
      <c r="K1648">
        <v>-1.27</v>
      </c>
      <c r="L1648" t="s">
        <v>346</v>
      </c>
      <c r="M1648" s="1">
        <v>1.2699999999999999E-2</v>
      </c>
      <c r="N1648" t="s">
        <v>349</v>
      </c>
      <c r="O1648">
        <v>2.59</v>
      </c>
      <c r="P1648" t="s">
        <v>344</v>
      </c>
      <c r="Q1648">
        <v>-0.01</v>
      </c>
      <c r="R1648" t="s">
        <v>343</v>
      </c>
      <c r="S1648">
        <v>1</v>
      </c>
    </row>
    <row r="1649" spans="1:19" x14ac:dyDescent="0.25">
      <c r="A1649" t="s">
        <v>41</v>
      </c>
      <c r="B1649" t="s">
        <v>67</v>
      </c>
      <c r="C1649">
        <v>220</v>
      </c>
      <c r="D1649" t="s">
        <v>342</v>
      </c>
      <c r="E1649">
        <v>24.15</v>
      </c>
      <c r="F1649">
        <v>17.559999999999999</v>
      </c>
      <c r="G1649">
        <v>15.6</v>
      </c>
      <c r="H1649">
        <v>33.17</v>
      </c>
      <c r="I1649" t="s">
        <v>344</v>
      </c>
      <c r="J1649">
        <v>125.32</v>
      </c>
      <c r="K1649">
        <v>-1.22</v>
      </c>
      <c r="L1649" t="s">
        <v>346</v>
      </c>
      <c r="M1649" s="1">
        <v>1.2200000000000001E-2</v>
      </c>
      <c r="N1649" t="s">
        <v>349</v>
      </c>
      <c r="O1649">
        <v>2.2200000000000002</v>
      </c>
      <c r="P1649" t="s">
        <v>344</v>
      </c>
      <c r="Q1649">
        <v>-0.53</v>
      </c>
      <c r="R1649" t="s">
        <v>343</v>
      </c>
      <c r="S1649">
        <v>1</v>
      </c>
    </row>
    <row r="1650" spans="1:19" x14ac:dyDescent="0.25">
      <c r="A1650" t="s">
        <v>41</v>
      </c>
      <c r="B1650" t="s">
        <v>68</v>
      </c>
      <c r="C1650">
        <v>240</v>
      </c>
      <c r="D1650" t="s">
        <v>342</v>
      </c>
      <c r="E1650">
        <v>24.15</v>
      </c>
      <c r="F1650">
        <v>17.68</v>
      </c>
      <c r="G1650">
        <v>15</v>
      </c>
      <c r="H1650">
        <v>32.68</v>
      </c>
      <c r="I1650" t="s">
        <v>344</v>
      </c>
      <c r="J1650">
        <v>126.29</v>
      </c>
      <c r="K1650">
        <v>4.8099999999999996</v>
      </c>
      <c r="L1650" t="s">
        <v>346</v>
      </c>
      <c r="M1650" s="1">
        <v>4.8099999999999997E-2</v>
      </c>
      <c r="N1650" t="s">
        <v>350</v>
      </c>
      <c r="O1650">
        <v>1.61</v>
      </c>
      <c r="P1650" t="s">
        <v>343</v>
      </c>
      <c r="Q1650">
        <v>0.24</v>
      </c>
      <c r="R1650" t="s">
        <v>343</v>
      </c>
      <c r="S1650">
        <v>1</v>
      </c>
    </row>
    <row r="1651" spans="1:19" x14ac:dyDescent="0.25">
      <c r="A1651" t="s">
        <v>41</v>
      </c>
      <c r="B1651" t="s">
        <v>69</v>
      </c>
      <c r="C1651">
        <v>260</v>
      </c>
      <c r="D1651" t="s">
        <v>342</v>
      </c>
      <c r="E1651">
        <v>24.15</v>
      </c>
      <c r="F1651">
        <v>20</v>
      </c>
      <c r="G1651">
        <v>15</v>
      </c>
      <c r="H1651">
        <v>35</v>
      </c>
      <c r="I1651" t="s">
        <v>344</v>
      </c>
      <c r="J1651">
        <v>125.5</v>
      </c>
      <c r="K1651">
        <v>-3.91</v>
      </c>
      <c r="L1651" t="s">
        <v>346</v>
      </c>
      <c r="M1651" s="1">
        <v>3.9100000000000003E-2</v>
      </c>
      <c r="N1651" t="s">
        <v>350</v>
      </c>
      <c r="O1651">
        <v>1.78</v>
      </c>
      <c r="P1651" t="s">
        <v>343</v>
      </c>
      <c r="Q1651">
        <v>-0.13</v>
      </c>
      <c r="R1651" t="s">
        <v>343</v>
      </c>
      <c r="S1651">
        <v>1</v>
      </c>
    </row>
    <row r="1652" spans="1:19" x14ac:dyDescent="0.25">
      <c r="A1652" t="s">
        <v>41</v>
      </c>
      <c r="B1652" t="s">
        <v>70</v>
      </c>
      <c r="C1652">
        <v>280</v>
      </c>
      <c r="D1652" t="s">
        <v>342</v>
      </c>
      <c r="E1652">
        <v>24.15</v>
      </c>
      <c r="F1652">
        <v>20</v>
      </c>
      <c r="G1652">
        <v>15.64</v>
      </c>
      <c r="H1652">
        <v>35.64</v>
      </c>
      <c r="I1652" t="s">
        <v>344</v>
      </c>
      <c r="J1652">
        <v>125.17</v>
      </c>
      <c r="K1652">
        <v>-1.65</v>
      </c>
      <c r="L1652" t="s">
        <v>346</v>
      </c>
      <c r="M1652" s="1">
        <v>1.6500000000000001E-2</v>
      </c>
      <c r="N1652" t="s">
        <v>349</v>
      </c>
      <c r="O1652">
        <v>2.2000000000000002</v>
      </c>
      <c r="P1652" t="s">
        <v>344</v>
      </c>
      <c r="Q1652">
        <v>-1.74</v>
      </c>
      <c r="R1652" t="s">
        <v>343</v>
      </c>
      <c r="S1652">
        <v>1</v>
      </c>
    </row>
    <row r="1653" spans="1:19" x14ac:dyDescent="0.25">
      <c r="A1653" t="s">
        <v>41</v>
      </c>
      <c r="B1653" t="s">
        <v>71</v>
      </c>
      <c r="C1653">
        <v>300</v>
      </c>
      <c r="D1653" t="s">
        <v>342</v>
      </c>
      <c r="E1653">
        <v>24.15</v>
      </c>
      <c r="F1653">
        <v>20</v>
      </c>
      <c r="G1653">
        <v>15.64</v>
      </c>
      <c r="H1653">
        <v>35.64</v>
      </c>
      <c r="I1653" t="s">
        <v>344</v>
      </c>
      <c r="J1653">
        <v>125.1</v>
      </c>
      <c r="K1653">
        <v>-0.35</v>
      </c>
      <c r="L1653" t="s">
        <v>346</v>
      </c>
      <c r="M1653" s="1">
        <v>3.5000000000000001E-3</v>
      </c>
      <c r="N1653" t="s">
        <v>349</v>
      </c>
      <c r="O1653">
        <v>2.38</v>
      </c>
      <c r="P1653" t="s">
        <v>344</v>
      </c>
      <c r="Q1653">
        <v>-0.45</v>
      </c>
      <c r="R1653" t="s">
        <v>343</v>
      </c>
      <c r="S1653">
        <v>1</v>
      </c>
    </row>
    <row r="1654" spans="1:19" x14ac:dyDescent="0.25">
      <c r="A1654" t="s">
        <v>41</v>
      </c>
      <c r="B1654" t="s">
        <v>72</v>
      </c>
      <c r="C1654">
        <v>320</v>
      </c>
      <c r="D1654" t="s">
        <v>342</v>
      </c>
      <c r="E1654">
        <v>24.15</v>
      </c>
      <c r="F1654">
        <v>20</v>
      </c>
      <c r="G1654">
        <v>20</v>
      </c>
      <c r="H1654">
        <v>40</v>
      </c>
      <c r="I1654" t="s">
        <v>344</v>
      </c>
      <c r="J1654">
        <v>124.77</v>
      </c>
      <c r="K1654">
        <v>-1.66</v>
      </c>
      <c r="L1654" t="s">
        <v>346</v>
      </c>
      <c r="M1654" s="1">
        <v>1.66E-2</v>
      </c>
      <c r="N1654" t="s">
        <v>349</v>
      </c>
      <c r="O1654">
        <v>1.38</v>
      </c>
      <c r="P1654" t="s">
        <v>343</v>
      </c>
      <c r="Q1654">
        <v>-1.72</v>
      </c>
      <c r="R1654" t="s">
        <v>343</v>
      </c>
      <c r="S1654">
        <v>1</v>
      </c>
    </row>
    <row r="1655" spans="1:19" x14ac:dyDescent="0.25">
      <c r="A1655" t="s">
        <v>41</v>
      </c>
      <c r="B1655" t="s">
        <v>73</v>
      </c>
      <c r="C1655">
        <v>340</v>
      </c>
      <c r="D1655" t="s">
        <v>342</v>
      </c>
      <c r="E1655">
        <v>24.15</v>
      </c>
      <c r="F1655">
        <v>20</v>
      </c>
      <c r="G1655">
        <v>20</v>
      </c>
      <c r="H1655">
        <v>40</v>
      </c>
      <c r="I1655" t="s">
        <v>344</v>
      </c>
      <c r="J1655">
        <v>124.75</v>
      </c>
      <c r="K1655">
        <v>-0.09</v>
      </c>
      <c r="L1655" t="s">
        <v>346</v>
      </c>
      <c r="M1655" s="1">
        <v>8.9999999999999998E-4</v>
      </c>
      <c r="N1655" t="s">
        <v>349</v>
      </c>
      <c r="O1655">
        <v>2.37</v>
      </c>
      <c r="P1655" t="s">
        <v>344</v>
      </c>
      <c r="Q1655">
        <v>-1.74</v>
      </c>
      <c r="R1655" t="s">
        <v>343</v>
      </c>
      <c r="S1655">
        <v>1</v>
      </c>
    </row>
    <row r="1656" spans="1:19" x14ac:dyDescent="0.25">
      <c r="A1656" t="s">
        <v>41</v>
      </c>
      <c r="B1656" t="s">
        <v>74</v>
      </c>
      <c r="C1656">
        <v>360</v>
      </c>
      <c r="D1656" t="s">
        <v>342</v>
      </c>
      <c r="E1656">
        <v>24.15</v>
      </c>
      <c r="F1656">
        <v>20</v>
      </c>
      <c r="G1656">
        <v>20</v>
      </c>
      <c r="H1656">
        <v>40</v>
      </c>
      <c r="I1656" t="s">
        <v>344</v>
      </c>
      <c r="J1656">
        <v>125.19</v>
      </c>
      <c r="K1656">
        <v>2.21</v>
      </c>
      <c r="L1656" t="s">
        <v>346</v>
      </c>
      <c r="M1656" s="1">
        <v>2.2100000000000002E-2</v>
      </c>
      <c r="N1656" t="s">
        <v>350</v>
      </c>
      <c r="O1656">
        <v>2.95</v>
      </c>
      <c r="P1656" t="s">
        <v>344</v>
      </c>
      <c r="Q1656">
        <v>-3.38</v>
      </c>
      <c r="R1656" t="s">
        <v>344</v>
      </c>
      <c r="S1656">
        <v>1</v>
      </c>
    </row>
    <row r="1657" spans="1:19" x14ac:dyDescent="0.25">
      <c r="A1657" t="s">
        <v>41</v>
      </c>
      <c r="B1657" t="s">
        <v>75</v>
      </c>
      <c r="C1657">
        <v>380</v>
      </c>
      <c r="D1657" t="s">
        <v>342</v>
      </c>
      <c r="E1657">
        <v>24.15</v>
      </c>
      <c r="F1657">
        <v>20</v>
      </c>
      <c r="G1657">
        <v>20</v>
      </c>
      <c r="H1657">
        <v>40</v>
      </c>
      <c r="I1657" t="s">
        <v>344</v>
      </c>
      <c r="J1657">
        <v>124.34</v>
      </c>
      <c r="K1657">
        <v>-4.2699999999999996</v>
      </c>
      <c r="L1657" t="s">
        <v>346</v>
      </c>
      <c r="M1657" s="1">
        <v>4.2699999999999988E-2</v>
      </c>
      <c r="N1657" t="s">
        <v>350</v>
      </c>
      <c r="O1657">
        <v>4.13</v>
      </c>
      <c r="P1657" t="s">
        <v>343</v>
      </c>
      <c r="Q1657">
        <v>-2.5099999999999998</v>
      </c>
      <c r="R1657" t="s">
        <v>344</v>
      </c>
      <c r="S1657">
        <v>1</v>
      </c>
    </row>
    <row r="1658" spans="1:19" x14ac:dyDescent="0.25">
      <c r="A1658" t="s">
        <v>41</v>
      </c>
      <c r="B1658" t="s">
        <v>76</v>
      </c>
      <c r="C1658">
        <v>400</v>
      </c>
      <c r="D1658" t="s">
        <v>342</v>
      </c>
      <c r="E1658">
        <v>24.15</v>
      </c>
      <c r="F1658">
        <v>20</v>
      </c>
      <c r="G1658">
        <v>20</v>
      </c>
      <c r="H1658">
        <v>40</v>
      </c>
      <c r="I1658" t="s">
        <v>344</v>
      </c>
      <c r="J1658">
        <v>124.1</v>
      </c>
      <c r="K1658">
        <v>-1.18</v>
      </c>
      <c r="L1658" t="s">
        <v>346</v>
      </c>
      <c r="M1658" s="1">
        <v>1.18E-2</v>
      </c>
      <c r="N1658" t="s">
        <v>349</v>
      </c>
      <c r="O1658">
        <v>3.79</v>
      </c>
      <c r="P1658" t="s">
        <v>344</v>
      </c>
      <c r="Q1658">
        <v>-2.94</v>
      </c>
      <c r="R1658" t="s">
        <v>344</v>
      </c>
      <c r="S1658">
        <v>1</v>
      </c>
    </row>
    <row r="1659" spans="1:19" x14ac:dyDescent="0.25">
      <c r="A1659" t="s">
        <v>41</v>
      </c>
      <c r="B1659" t="s">
        <v>77</v>
      </c>
      <c r="C1659">
        <v>420</v>
      </c>
      <c r="D1659" t="s">
        <v>342</v>
      </c>
      <c r="E1659">
        <v>24.15</v>
      </c>
      <c r="F1659">
        <v>20</v>
      </c>
      <c r="G1659">
        <v>20</v>
      </c>
      <c r="H1659">
        <v>40</v>
      </c>
      <c r="I1659" t="s">
        <v>344</v>
      </c>
      <c r="J1659">
        <v>124</v>
      </c>
      <c r="K1659">
        <v>-0.5</v>
      </c>
      <c r="L1659" t="s">
        <v>346</v>
      </c>
      <c r="M1659" s="1">
        <v>5.0000000000000001E-3</v>
      </c>
      <c r="N1659" t="s">
        <v>349</v>
      </c>
      <c r="O1659">
        <v>4.05</v>
      </c>
      <c r="P1659" t="s">
        <v>343</v>
      </c>
      <c r="Q1659">
        <v>-1.51</v>
      </c>
      <c r="R1659" t="s">
        <v>343</v>
      </c>
      <c r="S1659">
        <v>1</v>
      </c>
    </row>
    <row r="1660" spans="1:19" x14ac:dyDescent="0.25">
      <c r="A1660" t="s">
        <v>41</v>
      </c>
      <c r="B1660" t="s">
        <v>78</v>
      </c>
      <c r="C1660">
        <v>440</v>
      </c>
      <c r="D1660" t="s">
        <v>342</v>
      </c>
      <c r="E1660">
        <v>24.15</v>
      </c>
      <c r="F1660">
        <v>20</v>
      </c>
      <c r="G1660">
        <v>20</v>
      </c>
      <c r="H1660">
        <v>40</v>
      </c>
      <c r="I1660" t="s">
        <v>344</v>
      </c>
      <c r="J1660">
        <v>123.94</v>
      </c>
      <c r="K1660">
        <v>-0.31</v>
      </c>
      <c r="L1660" t="s">
        <v>346</v>
      </c>
      <c r="M1660" s="1">
        <v>3.0999999999999999E-3</v>
      </c>
      <c r="N1660" t="s">
        <v>349</v>
      </c>
      <c r="O1660">
        <v>3.8</v>
      </c>
      <c r="P1660" t="s">
        <v>344</v>
      </c>
      <c r="Q1660">
        <v>-0.34</v>
      </c>
      <c r="R1660" t="s">
        <v>343</v>
      </c>
      <c r="S1660">
        <v>1</v>
      </c>
    </row>
    <row r="1661" spans="1:19" x14ac:dyDescent="0.25">
      <c r="A1661" t="s">
        <v>41</v>
      </c>
      <c r="B1661" t="s">
        <v>79</v>
      </c>
      <c r="C1661">
        <v>460</v>
      </c>
      <c r="D1661" t="s">
        <v>342</v>
      </c>
      <c r="E1661">
        <v>24.15</v>
      </c>
      <c r="F1661">
        <v>20</v>
      </c>
      <c r="G1661">
        <v>20</v>
      </c>
      <c r="H1661">
        <v>40</v>
      </c>
      <c r="I1661" t="s">
        <v>344</v>
      </c>
      <c r="J1661">
        <v>123.82</v>
      </c>
      <c r="K1661">
        <v>-0.57999999999999996</v>
      </c>
      <c r="L1661" t="s">
        <v>346</v>
      </c>
      <c r="M1661" s="1">
        <v>5.7999999999999996E-3</v>
      </c>
      <c r="N1661" t="s">
        <v>349</v>
      </c>
      <c r="O1661">
        <v>2.76</v>
      </c>
      <c r="P1661" t="s">
        <v>344</v>
      </c>
      <c r="Q1661">
        <v>-0.32</v>
      </c>
      <c r="R1661" t="s">
        <v>343</v>
      </c>
      <c r="S1661">
        <v>1</v>
      </c>
    </row>
    <row r="1662" spans="1:19" x14ac:dyDescent="0.25">
      <c r="A1662" t="s">
        <v>41</v>
      </c>
      <c r="B1662" t="s">
        <v>80</v>
      </c>
      <c r="C1662">
        <v>480</v>
      </c>
      <c r="D1662" t="s">
        <v>342</v>
      </c>
      <c r="E1662">
        <v>24.15</v>
      </c>
      <c r="F1662">
        <v>20</v>
      </c>
      <c r="G1662">
        <v>20</v>
      </c>
      <c r="H1662">
        <v>40</v>
      </c>
      <c r="I1662" t="s">
        <v>344</v>
      </c>
      <c r="J1662">
        <v>123.81</v>
      </c>
      <c r="K1662">
        <v>-0.05</v>
      </c>
      <c r="L1662" t="s">
        <v>346</v>
      </c>
      <c r="M1662" s="1">
        <v>5.0000000000000001E-4</v>
      </c>
      <c r="N1662" t="s">
        <v>349</v>
      </c>
      <c r="O1662">
        <v>2.06</v>
      </c>
      <c r="P1662" t="s">
        <v>344</v>
      </c>
      <c r="Q1662">
        <v>-0.47</v>
      </c>
      <c r="R1662" t="s">
        <v>343</v>
      </c>
      <c r="S1662">
        <v>1</v>
      </c>
    </row>
    <row r="1663" spans="1:19" x14ac:dyDescent="0.25">
      <c r="A1663" t="s">
        <v>41</v>
      </c>
      <c r="B1663" t="s">
        <v>81</v>
      </c>
      <c r="C1663">
        <v>500</v>
      </c>
      <c r="D1663" t="s">
        <v>342</v>
      </c>
      <c r="E1663">
        <v>24.15</v>
      </c>
      <c r="F1663">
        <v>18.170000000000002</v>
      </c>
      <c r="G1663">
        <v>18.41</v>
      </c>
      <c r="H1663">
        <v>36.58</v>
      </c>
      <c r="I1663" t="s">
        <v>344</v>
      </c>
      <c r="J1663">
        <v>123.79</v>
      </c>
      <c r="K1663">
        <v>-0.1</v>
      </c>
      <c r="L1663" t="s">
        <v>346</v>
      </c>
      <c r="M1663" s="1">
        <v>1E-3</v>
      </c>
      <c r="N1663" t="s">
        <v>349</v>
      </c>
      <c r="O1663">
        <v>3.75</v>
      </c>
      <c r="P1663" t="s">
        <v>344</v>
      </c>
      <c r="Q1663">
        <v>-0.69</v>
      </c>
      <c r="R1663" t="s">
        <v>343</v>
      </c>
      <c r="S1663">
        <v>1</v>
      </c>
    </row>
    <row r="1664" spans="1:19" x14ac:dyDescent="0.25">
      <c r="A1664" t="s">
        <v>41</v>
      </c>
      <c r="B1664" t="s">
        <v>82</v>
      </c>
      <c r="C1664">
        <v>520</v>
      </c>
      <c r="D1664" t="s">
        <v>342</v>
      </c>
      <c r="E1664">
        <v>24.15</v>
      </c>
      <c r="F1664">
        <v>16.89</v>
      </c>
      <c r="G1664">
        <v>17.91</v>
      </c>
      <c r="H1664">
        <v>34.799999999999997</v>
      </c>
      <c r="I1664" t="s">
        <v>344</v>
      </c>
      <c r="J1664">
        <v>123.84</v>
      </c>
      <c r="K1664">
        <v>0.21</v>
      </c>
      <c r="L1664" t="s">
        <v>346</v>
      </c>
      <c r="M1664" s="1">
        <v>2.0999999999999999E-3</v>
      </c>
      <c r="N1664" t="s">
        <v>349</v>
      </c>
      <c r="O1664">
        <v>6.31</v>
      </c>
      <c r="P1664" t="s">
        <v>343</v>
      </c>
      <c r="Q1664">
        <v>0.16</v>
      </c>
      <c r="R1664" t="s">
        <v>343</v>
      </c>
      <c r="S1664">
        <v>1</v>
      </c>
    </row>
    <row r="1665" spans="1:19" x14ac:dyDescent="0.25">
      <c r="A1665" t="s">
        <v>41</v>
      </c>
      <c r="B1665" t="s">
        <v>83</v>
      </c>
      <c r="C1665">
        <v>540</v>
      </c>
      <c r="D1665" t="s">
        <v>342</v>
      </c>
      <c r="E1665">
        <v>24.15</v>
      </c>
      <c r="F1665">
        <v>16.89</v>
      </c>
      <c r="G1665">
        <v>17.07</v>
      </c>
      <c r="H1665">
        <v>33.96</v>
      </c>
      <c r="I1665" t="s">
        <v>344</v>
      </c>
      <c r="J1665">
        <v>123.71</v>
      </c>
      <c r="K1665">
        <v>-0.63</v>
      </c>
      <c r="L1665" t="s">
        <v>346</v>
      </c>
      <c r="M1665" s="1">
        <v>6.3E-3</v>
      </c>
      <c r="N1665" t="s">
        <v>349</v>
      </c>
      <c r="O1665">
        <v>5.09</v>
      </c>
      <c r="P1665" t="s">
        <v>343</v>
      </c>
      <c r="Q1665">
        <v>7.0000000000000007E-2</v>
      </c>
      <c r="R1665" t="s">
        <v>343</v>
      </c>
      <c r="S1665">
        <v>1</v>
      </c>
    </row>
    <row r="1666" spans="1:19" x14ac:dyDescent="0.25">
      <c r="A1666" t="s">
        <v>41</v>
      </c>
      <c r="B1666" t="s">
        <v>84</v>
      </c>
      <c r="C1666">
        <v>560</v>
      </c>
      <c r="D1666" t="s">
        <v>342</v>
      </c>
      <c r="E1666">
        <v>24.15</v>
      </c>
      <c r="F1666">
        <v>17.39</v>
      </c>
      <c r="G1666">
        <v>16.079999999999998</v>
      </c>
      <c r="H1666">
        <v>33.47</v>
      </c>
      <c r="I1666" t="s">
        <v>344</v>
      </c>
      <c r="J1666">
        <v>123.76</v>
      </c>
      <c r="K1666">
        <v>0.25</v>
      </c>
      <c r="L1666" t="s">
        <v>346</v>
      </c>
      <c r="M1666" s="1">
        <v>2.5000000000000001E-3</v>
      </c>
      <c r="N1666" t="s">
        <v>349</v>
      </c>
      <c r="O1666">
        <v>5.56</v>
      </c>
      <c r="P1666" t="s">
        <v>343</v>
      </c>
      <c r="Q1666">
        <v>-0.6</v>
      </c>
      <c r="R1666" t="s">
        <v>343</v>
      </c>
      <c r="S1666">
        <v>1</v>
      </c>
    </row>
    <row r="1667" spans="1:19" x14ac:dyDescent="0.25">
      <c r="A1667" t="s">
        <v>41</v>
      </c>
      <c r="B1667" t="s">
        <v>85</v>
      </c>
      <c r="C1667">
        <v>580</v>
      </c>
      <c r="D1667" t="s">
        <v>342</v>
      </c>
      <c r="E1667">
        <v>24.15</v>
      </c>
      <c r="F1667">
        <v>17.510000000000002</v>
      </c>
      <c r="G1667">
        <v>15.73</v>
      </c>
      <c r="H1667">
        <v>33.24</v>
      </c>
      <c r="I1667" t="s">
        <v>344</v>
      </c>
      <c r="J1667">
        <v>123.79</v>
      </c>
      <c r="K1667">
        <v>0.14000000000000001</v>
      </c>
      <c r="L1667" t="s">
        <v>346</v>
      </c>
      <c r="M1667" s="1">
        <v>1.4E-3</v>
      </c>
      <c r="N1667" t="s">
        <v>349</v>
      </c>
      <c r="O1667">
        <v>5.58</v>
      </c>
      <c r="P1667" t="s">
        <v>343</v>
      </c>
      <c r="Q1667">
        <v>-1.1599999999999999</v>
      </c>
      <c r="R1667" t="s">
        <v>343</v>
      </c>
      <c r="S1667">
        <v>1</v>
      </c>
    </row>
    <row r="1668" spans="1:19" x14ac:dyDescent="0.25">
      <c r="A1668" t="s">
        <v>41</v>
      </c>
      <c r="B1668" t="s">
        <v>86</v>
      </c>
      <c r="C1668">
        <v>600</v>
      </c>
      <c r="D1668" t="s">
        <v>342</v>
      </c>
      <c r="E1668">
        <v>24.15</v>
      </c>
      <c r="F1668">
        <v>17.510000000000002</v>
      </c>
      <c r="G1668">
        <v>16.739999999999998</v>
      </c>
      <c r="H1668">
        <v>34.25</v>
      </c>
      <c r="I1668" t="s">
        <v>344</v>
      </c>
      <c r="J1668">
        <v>123.77</v>
      </c>
      <c r="K1668">
        <v>-0.09</v>
      </c>
      <c r="L1668" t="s">
        <v>346</v>
      </c>
      <c r="M1668" s="1">
        <v>8.9999999999999998E-4</v>
      </c>
      <c r="N1668" t="s">
        <v>349</v>
      </c>
      <c r="O1668">
        <v>4.9000000000000004</v>
      </c>
      <c r="P1668" t="s">
        <v>343</v>
      </c>
      <c r="Q1668">
        <v>-0.66</v>
      </c>
      <c r="R1668" t="s">
        <v>343</v>
      </c>
      <c r="S1668">
        <v>1</v>
      </c>
    </row>
    <row r="1669" spans="1:19" x14ac:dyDescent="0.25">
      <c r="A1669" t="s">
        <v>41</v>
      </c>
      <c r="B1669" t="s">
        <v>87</v>
      </c>
      <c r="C1669">
        <v>620</v>
      </c>
      <c r="D1669" t="s">
        <v>342</v>
      </c>
      <c r="E1669">
        <v>24.15</v>
      </c>
      <c r="F1669">
        <v>17.510000000000002</v>
      </c>
      <c r="G1669">
        <v>16.63</v>
      </c>
      <c r="H1669">
        <v>34.14</v>
      </c>
      <c r="I1669" t="s">
        <v>344</v>
      </c>
      <c r="J1669">
        <v>123.73</v>
      </c>
      <c r="K1669">
        <v>-0.19</v>
      </c>
      <c r="L1669" t="s">
        <v>346</v>
      </c>
      <c r="M1669" s="1">
        <v>1.9E-3</v>
      </c>
      <c r="N1669" t="s">
        <v>349</v>
      </c>
      <c r="O1669">
        <v>4.46</v>
      </c>
      <c r="P1669" t="s">
        <v>343</v>
      </c>
      <c r="Q1669">
        <v>0.62</v>
      </c>
      <c r="R1669" t="s">
        <v>343</v>
      </c>
      <c r="S1669">
        <v>1</v>
      </c>
    </row>
    <row r="1670" spans="1:19" x14ac:dyDescent="0.25">
      <c r="A1670" t="s">
        <v>41</v>
      </c>
      <c r="B1670" t="s">
        <v>88</v>
      </c>
      <c r="C1670">
        <v>640</v>
      </c>
      <c r="D1670" t="s">
        <v>342</v>
      </c>
      <c r="E1670">
        <v>24.15</v>
      </c>
      <c r="F1670">
        <v>15.4</v>
      </c>
      <c r="G1670">
        <v>15.98</v>
      </c>
      <c r="H1670">
        <v>31.38</v>
      </c>
      <c r="I1670" t="s">
        <v>344</v>
      </c>
      <c r="J1670">
        <v>123.58</v>
      </c>
      <c r="K1670">
        <v>-0.77</v>
      </c>
      <c r="L1670" t="s">
        <v>346</v>
      </c>
      <c r="M1670" s="1">
        <v>7.7000000000000002E-3</v>
      </c>
      <c r="N1670" t="s">
        <v>349</v>
      </c>
      <c r="O1670">
        <v>4.45</v>
      </c>
      <c r="P1670" t="s">
        <v>343</v>
      </c>
      <c r="Q1670">
        <v>0.38</v>
      </c>
      <c r="R1670" t="s">
        <v>343</v>
      </c>
      <c r="S1670">
        <v>1</v>
      </c>
    </row>
    <row r="1671" spans="1:19" x14ac:dyDescent="0.25">
      <c r="A1671" t="s">
        <v>41</v>
      </c>
      <c r="B1671" t="s">
        <v>89</v>
      </c>
      <c r="C1671">
        <v>660</v>
      </c>
      <c r="D1671" t="s">
        <v>342</v>
      </c>
      <c r="E1671">
        <v>24.15</v>
      </c>
      <c r="F1671">
        <v>14.09</v>
      </c>
      <c r="G1671">
        <v>15.63</v>
      </c>
      <c r="H1671">
        <v>29.72</v>
      </c>
      <c r="I1671" t="s">
        <v>344</v>
      </c>
      <c r="J1671">
        <v>123.3</v>
      </c>
      <c r="K1671">
        <v>-1.41</v>
      </c>
      <c r="L1671" t="s">
        <v>346</v>
      </c>
      <c r="M1671" s="1">
        <v>1.41E-2</v>
      </c>
      <c r="N1671" t="s">
        <v>349</v>
      </c>
      <c r="O1671">
        <v>3.57</v>
      </c>
      <c r="P1671" t="s">
        <v>344</v>
      </c>
      <c r="Q1671">
        <v>-0.14000000000000001</v>
      </c>
      <c r="R1671" t="s">
        <v>343</v>
      </c>
      <c r="S1671">
        <v>1</v>
      </c>
    </row>
    <row r="1672" spans="1:19" x14ac:dyDescent="0.25">
      <c r="A1672" t="s">
        <v>41</v>
      </c>
      <c r="B1672" t="s">
        <v>90</v>
      </c>
      <c r="C1672">
        <v>680</v>
      </c>
      <c r="D1672" t="s">
        <v>342</v>
      </c>
      <c r="E1672">
        <v>24.15</v>
      </c>
      <c r="F1672">
        <v>13.49</v>
      </c>
      <c r="G1672">
        <v>14.75</v>
      </c>
      <c r="H1672">
        <v>28.24</v>
      </c>
      <c r="I1672" t="s">
        <v>344</v>
      </c>
      <c r="J1672">
        <v>123.22</v>
      </c>
      <c r="K1672">
        <v>-0.39</v>
      </c>
      <c r="L1672" t="s">
        <v>346</v>
      </c>
      <c r="M1672" s="1">
        <v>3.8999999999999998E-3</v>
      </c>
      <c r="N1672" t="s">
        <v>349</v>
      </c>
      <c r="O1672">
        <v>4.82</v>
      </c>
      <c r="P1672" t="s">
        <v>343</v>
      </c>
      <c r="Q1672">
        <v>2.0299999999999998</v>
      </c>
      <c r="R1672" t="s">
        <v>344</v>
      </c>
      <c r="S1672">
        <v>1</v>
      </c>
    </row>
    <row r="1673" spans="1:19" x14ac:dyDescent="0.25">
      <c r="A1673" t="s">
        <v>41</v>
      </c>
      <c r="B1673" t="s">
        <v>91</v>
      </c>
      <c r="C1673">
        <v>700</v>
      </c>
      <c r="D1673" t="s">
        <v>342</v>
      </c>
      <c r="E1673">
        <v>24.15</v>
      </c>
      <c r="F1673">
        <v>14.82</v>
      </c>
      <c r="G1673">
        <v>14.42</v>
      </c>
      <c r="H1673">
        <v>29.24</v>
      </c>
      <c r="I1673" t="s">
        <v>344</v>
      </c>
      <c r="J1673">
        <v>123.08</v>
      </c>
      <c r="K1673">
        <v>-0.68</v>
      </c>
      <c r="L1673" t="s">
        <v>346</v>
      </c>
      <c r="M1673" s="1">
        <v>6.7999999999999996E-3</v>
      </c>
      <c r="N1673" t="s">
        <v>349</v>
      </c>
      <c r="O1673">
        <v>4.5999999999999996</v>
      </c>
      <c r="P1673" t="s">
        <v>343</v>
      </c>
      <c r="Q1673">
        <v>1.42</v>
      </c>
      <c r="R1673" t="s">
        <v>343</v>
      </c>
      <c r="S1673">
        <v>1</v>
      </c>
    </row>
    <row r="1674" spans="1:19" x14ac:dyDescent="0.25">
      <c r="A1674" t="s">
        <v>41</v>
      </c>
      <c r="B1674" t="s">
        <v>92</v>
      </c>
      <c r="C1674">
        <v>720</v>
      </c>
      <c r="D1674" t="s">
        <v>342</v>
      </c>
      <c r="E1674">
        <v>24.15</v>
      </c>
      <c r="F1674">
        <v>15.06</v>
      </c>
      <c r="G1674">
        <v>14.9</v>
      </c>
      <c r="H1674">
        <v>29.95</v>
      </c>
      <c r="I1674" t="s">
        <v>344</v>
      </c>
      <c r="J1674">
        <v>122.96</v>
      </c>
      <c r="K1674">
        <v>-0.59</v>
      </c>
      <c r="L1674" t="s">
        <v>346</v>
      </c>
      <c r="M1674" s="1">
        <v>5.8999999999999999E-3</v>
      </c>
      <c r="N1674" t="s">
        <v>349</v>
      </c>
      <c r="O1674">
        <v>4.8899999999999997</v>
      </c>
      <c r="P1674" t="s">
        <v>343</v>
      </c>
      <c r="Q1674">
        <v>1.26</v>
      </c>
      <c r="R1674" t="s">
        <v>343</v>
      </c>
      <c r="S1674">
        <v>1</v>
      </c>
    </row>
    <row r="1675" spans="1:19" x14ac:dyDescent="0.25">
      <c r="A1675" t="s">
        <v>41</v>
      </c>
      <c r="B1675" t="s">
        <v>93</v>
      </c>
      <c r="C1675">
        <v>740</v>
      </c>
      <c r="D1675" t="s">
        <v>342</v>
      </c>
      <c r="E1675">
        <v>24.15</v>
      </c>
      <c r="F1675">
        <v>15.5</v>
      </c>
      <c r="G1675">
        <v>15.32</v>
      </c>
      <c r="H1675">
        <v>30.82</v>
      </c>
      <c r="I1675" t="s">
        <v>344</v>
      </c>
      <c r="J1675">
        <v>122.67</v>
      </c>
      <c r="K1675">
        <v>-1.49</v>
      </c>
      <c r="L1675" t="s">
        <v>346</v>
      </c>
      <c r="M1675" s="1">
        <v>1.49E-2</v>
      </c>
      <c r="N1675" t="s">
        <v>349</v>
      </c>
      <c r="O1675">
        <v>4.5199999999999996</v>
      </c>
      <c r="P1675" t="s">
        <v>343</v>
      </c>
      <c r="Q1675">
        <v>1.34</v>
      </c>
      <c r="R1675" t="s">
        <v>343</v>
      </c>
      <c r="S1675">
        <v>1</v>
      </c>
    </row>
    <row r="1676" spans="1:19" x14ac:dyDescent="0.25">
      <c r="A1676" t="s">
        <v>41</v>
      </c>
      <c r="B1676" t="s">
        <v>94</v>
      </c>
      <c r="C1676">
        <v>760</v>
      </c>
      <c r="D1676" t="s">
        <v>342</v>
      </c>
      <c r="E1676">
        <v>24.15</v>
      </c>
      <c r="F1676">
        <v>15.86</v>
      </c>
      <c r="G1676">
        <v>15.82</v>
      </c>
      <c r="H1676">
        <v>31.69</v>
      </c>
      <c r="I1676" t="s">
        <v>344</v>
      </c>
      <c r="J1676">
        <v>122.25</v>
      </c>
      <c r="K1676">
        <v>-2.08</v>
      </c>
      <c r="L1676" t="s">
        <v>346</v>
      </c>
      <c r="M1676" s="1">
        <v>2.0799999999999999E-2</v>
      </c>
      <c r="N1676" t="s">
        <v>350</v>
      </c>
      <c r="O1676">
        <v>4.54</v>
      </c>
      <c r="P1676" t="s">
        <v>343</v>
      </c>
      <c r="Q1676">
        <v>0.56999999999999995</v>
      </c>
      <c r="R1676" t="s">
        <v>343</v>
      </c>
      <c r="S1676">
        <v>1</v>
      </c>
    </row>
    <row r="1677" spans="1:19" x14ac:dyDescent="0.25">
      <c r="A1677" t="s">
        <v>41</v>
      </c>
      <c r="B1677" t="s">
        <v>95</v>
      </c>
      <c r="C1677">
        <v>780</v>
      </c>
      <c r="D1677" t="s">
        <v>342</v>
      </c>
      <c r="E1677">
        <v>24.15</v>
      </c>
      <c r="F1677">
        <v>15.86</v>
      </c>
      <c r="G1677">
        <v>16.22</v>
      </c>
      <c r="H1677">
        <v>32.08</v>
      </c>
      <c r="I1677" t="s">
        <v>344</v>
      </c>
      <c r="J1677">
        <v>121.86</v>
      </c>
      <c r="K1677">
        <v>-1.93</v>
      </c>
      <c r="L1677" t="s">
        <v>346</v>
      </c>
      <c r="M1677" s="1">
        <v>1.9300000000000001E-2</v>
      </c>
      <c r="N1677" t="s">
        <v>349</v>
      </c>
      <c r="O1677">
        <v>4.46</v>
      </c>
      <c r="P1677" t="s">
        <v>343</v>
      </c>
      <c r="Q1677">
        <v>0.86</v>
      </c>
      <c r="R1677" t="s">
        <v>343</v>
      </c>
      <c r="S1677">
        <v>1</v>
      </c>
    </row>
    <row r="1678" spans="1:19" x14ac:dyDescent="0.25">
      <c r="A1678" t="s">
        <v>41</v>
      </c>
      <c r="B1678" t="s">
        <v>96</v>
      </c>
      <c r="C1678">
        <v>800</v>
      </c>
      <c r="D1678" t="s">
        <v>342</v>
      </c>
      <c r="E1678">
        <v>24.15</v>
      </c>
      <c r="F1678">
        <v>16.72</v>
      </c>
      <c r="G1678">
        <v>15.5</v>
      </c>
      <c r="H1678">
        <v>32.21</v>
      </c>
      <c r="I1678" t="s">
        <v>344</v>
      </c>
      <c r="J1678">
        <v>121.37</v>
      </c>
      <c r="K1678">
        <v>-2.48</v>
      </c>
      <c r="L1678" t="s">
        <v>346</v>
      </c>
      <c r="M1678" s="1">
        <v>2.4799999999999999E-2</v>
      </c>
      <c r="N1678" t="s">
        <v>350</v>
      </c>
      <c r="O1678">
        <v>3.57</v>
      </c>
      <c r="P1678" t="s">
        <v>344</v>
      </c>
      <c r="Q1678">
        <v>1.02</v>
      </c>
      <c r="R1678" t="s">
        <v>343</v>
      </c>
      <c r="S1678">
        <v>1</v>
      </c>
    </row>
    <row r="1679" spans="1:19" x14ac:dyDescent="0.25">
      <c r="A1679" t="s">
        <v>41</v>
      </c>
      <c r="B1679" t="s">
        <v>97</v>
      </c>
      <c r="C1679">
        <v>820</v>
      </c>
      <c r="D1679" t="s">
        <v>342</v>
      </c>
      <c r="E1679">
        <v>24.15</v>
      </c>
      <c r="F1679">
        <v>18.02</v>
      </c>
      <c r="G1679">
        <v>14.18</v>
      </c>
      <c r="H1679">
        <v>32.200000000000003</v>
      </c>
      <c r="I1679" t="s">
        <v>344</v>
      </c>
      <c r="J1679">
        <v>120.77</v>
      </c>
      <c r="K1679">
        <v>-2.99</v>
      </c>
      <c r="L1679" t="s">
        <v>346</v>
      </c>
      <c r="M1679" s="1">
        <v>2.9899999999999999E-2</v>
      </c>
      <c r="N1679" t="s">
        <v>350</v>
      </c>
      <c r="O1679">
        <v>3.33</v>
      </c>
      <c r="P1679" t="s">
        <v>344</v>
      </c>
      <c r="Q1679">
        <v>2.76</v>
      </c>
      <c r="R1679" t="s">
        <v>344</v>
      </c>
      <c r="S1679">
        <v>1</v>
      </c>
    </row>
    <row r="1680" spans="1:19" x14ac:dyDescent="0.25">
      <c r="A1680" t="s">
        <v>41</v>
      </c>
      <c r="B1680" t="s">
        <v>98</v>
      </c>
      <c r="C1680">
        <v>840</v>
      </c>
      <c r="D1680" t="s">
        <v>342</v>
      </c>
      <c r="E1680">
        <v>24.15</v>
      </c>
      <c r="F1680">
        <v>17.27</v>
      </c>
      <c r="G1680">
        <v>14.97</v>
      </c>
      <c r="H1680">
        <v>32.24</v>
      </c>
      <c r="I1680" t="s">
        <v>344</v>
      </c>
      <c r="J1680">
        <v>120.04</v>
      </c>
      <c r="K1680">
        <v>-3.67</v>
      </c>
      <c r="L1680" t="s">
        <v>346</v>
      </c>
      <c r="M1680" s="1">
        <v>3.6700000000000003E-2</v>
      </c>
      <c r="N1680" t="s">
        <v>350</v>
      </c>
      <c r="O1680">
        <v>3.21</v>
      </c>
      <c r="P1680" t="s">
        <v>344</v>
      </c>
      <c r="Q1680">
        <v>2.62</v>
      </c>
      <c r="R1680" t="s">
        <v>344</v>
      </c>
      <c r="S1680">
        <v>1</v>
      </c>
    </row>
    <row r="1681" spans="1:19" x14ac:dyDescent="0.25">
      <c r="A1681" t="s">
        <v>41</v>
      </c>
      <c r="B1681" t="s">
        <v>99</v>
      </c>
      <c r="C1681">
        <v>860</v>
      </c>
      <c r="D1681" t="s">
        <v>342</v>
      </c>
      <c r="E1681">
        <v>24.15</v>
      </c>
      <c r="F1681">
        <v>16.04</v>
      </c>
      <c r="G1681">
        <v>14.45</v>
      </c>
      <c r="H1681">
        <v>30.49</v>
      </c>
      <c r="I1681" t="s">
        <v>344</v>
      </c>
      <c r="J1681">
        <v>119.2</v>
      </c>
      <c r="K1681">
        <v>-4.18</v>
      </c>
      <c r="L1681" t="s">
        <v>346</v>
      </c>
      <c r="M1681" s="1">
        <v>4.1799999999999997E-2</v>
      </c>
      <c r="N1681" t="s">
        <v>350</v>
      </c>
      <c r="O1681">
        <v>3.7</v>
      </c>
      <c r="P1681" t="s">
        <v>344</v>
      </c>
      <c r="Q1681">
        <v>1.91</v>
      </c>
      <c r="R1681" t="s">
        <v>343</v>
      </c>
      <c r="S1681">
        <v>1</v>
      </c>
    </row>
    <row r="1682" spans="1:19" x14ac:dyDescent="0.25">
      <c r="A1682" t="s">
        <v>41</v>
      </c>
      <c r="B1682" t="s">
        <v>100</v>
      </c>
      <c r="C1682">
        <v>880</v>
      </c>
      <c r="D1682" t="s">
        <v>342</v>
      </c>
      <c r="E1682">
        <v>24.15</v>
      </c>
      <c r="F1682">
        <v>15.84</v>
      </c>
      <c r="G1682">
        <v>13.57</v>
      </c>
      <c r="H1682">
        <v>29.4</v>
      </c>
      <c r="I1682" t="s">
        <v>344</v>
      </c>
      <c r="J1682">
        <v>118.33</v>
      </c>
      <c r="K1682">
        <v>-4.33</v>
      </c>
      <c r="L1682" t="s">
        <v>346</v>
      </c>
      <c r="M1682" s="1">
        <v>4.3299999999999998E-2</v>
      </c>
      <c r="N1682" t="s">
        <v>350</v>
      </c>
      <c r="O1682">
        <v>3.7</v>
      </c>
      <c r="P1682" t="s">
        <v>344</v>
      </c>
      <c r="Q1682">
        <v>2.36</v>
      </c>
      <c r="R1682" t="s">
        <v>344</v>
      </c>
      <c r="S1682">
        <v>1</v>
      </c>
    </row>
    <row r="1683" spans="1:19" x14ac:dyDescent="0.25">
      <c r="A1683" t="s">
        <v>41</v>
      </c>
      <c r="B1683" t="s">
        <v>101</v>
      </c>
      <c r="C1683">
        <v>900</v>
      </c>
      <c r="D1683" t="s">
        <v>342</v>
      </c>
      <c r="E1683">
        <v>24.15</v>
      </c>
      <c r="F1683">
        <v>15.02</v>
      </c>
      <c r="G1683">
        <v>14.78</v>
      </c>
      <c r="H1683">
        <v>29.79</v>
      </c>
      <c r="I1683" t="s">
        <v>344</v>
      </c>
      <c r="J1683">
        <v>117.3</v>
      </c>
      <c r="K1683">
        <v>-5.16</v>
      </c>
      <c r="L1683" t="s">
        <v>346</v>
      </c>
      <c r="M1683" s="1">
        <v>5.16E-2</v>
      </c>
      <c r="N1683" t="s">
        <v>350</v>
      </c>
      <c r="O1683">
        <v>4.03</v>
      </c>
      <c r="P1683" t="s">
        <v>343</v>
      </c>
      <c r="Q1683">
        <v>0.67</v>
      </c>
      <c r="R1683" t="s">
        <v>343</v>
      </c>
      <c r="S1683">
        <v>1</v>
      </c>
    </row>
    <row r="1684" spans="1:19" x14ac:dyDescent="0.25">
      <c r="A1684" t="s">
        <v>41</v>
      </c>
      <c r="B1684" t="s">
        <v>102</v>
      </c>
      <c r="C1684">
        <v>920</v>
      </c>
      <c r="D1684" t="s">
        <v>342</v>
      </c>
      <c r="E1684">
        <v>24.15</v>
      </c>
      <c r="F1684">
        <v>15.19</v>
      </c>
      <c r="G1684">
        <v>14.71</v>
      </c>
      <c r="H1684">
        <v>29.91</v>
      </c>
      <c r="I1684" t="s">
        <v>344</v>
      </c>
      <c r="J1684">
        <v>116.23</v>
      </c>
      <c r="K1684">
        <v>-5.37</v>
      </c>
      <c r="L1684" t="s">
        <v>346</v>
      </c>
      <c r="M1684" s="1">
        <v>5.3699999999999998E-2</v>
      </c>
      <c r="N1684" t="s">
        <v>350</v>
      </c>
      <c r="O1684">
        <v>3.25</v>
      </c>
      <c r="P1684" t="s">
        <v>344</v>
      </c>
      <c r="Q1684">
        <v>-0.25</v>
      </c>
      <c r="R1684" t="s">
        <v>343</v>
      </c>
      <c r="S1684">
        <v>1</v>
      </c>
    </row>
    <row r="1685" spans="1:19" x14ac:dyDescent="0.25">
      <c r="A1685" t="s">
        <v>41</v>
      </c>
      <c r="B1685" t="s">
        <v>103</v>
      </c>
      <c r="C1685">
        <v>940</v>
      </c>
      <c r="D1685" t="s">
        <v>342</v>
      </c>
      <c r="E1685">
        <v>24.15</v>
      </c>
      <c r="F1685">
        <v>15.92</v>
      </c>
      <c r="G1685">
        <v>14.12</v>
      </c>
      <c r="H1685">
        <v>30.04</v>
      </c>
      <c r="I1685" t="s">
        <v>344</v>
      </c>
      <c r="J1685">
        <v>115.3</v>
      </c>
      <c r="K1685">
        <v>-4.6500000000000004</v>
      </c>
      <c r="L1685" t="s">
        <v>346</v>
      </c>
      <c r="M1685" s="1">
        <v>4.6500000000000007E-2</v>
      </c>
      <c r="N1685" t="s">
        <v>350</v>
      </c>
      <c r="O1685">
        <v>3.16</v>
      </c>
      <c r="P1685" t="s">
        <v>344</v>
      </c>
      <c r="Q1685">
        <v>0.28999999999999998</v>
      </c>
      <c r="R1685" t="s">
        <v>343</v>
      </c>
      <c r="S1685">
        <v>1</v>
      </c>
    </row>
    <row r="1686" spans="1:19" x14ac:dyDescent="0.25">
      <c r="A1686" t="s">
        <v>41</v>
      </c>
      <c r="B1686" t="s">
        <v>104</v>
      </c>
      <c r="C1686">
        <v>960</v>
      </c>
      <c r="D1686" t="s">
        <v>342</v>
      </c>
      <c r="E1686">
        <v>24.15</v>
      </c>
      <c r="F1686">
        <v>17.07</v>
      </c>
      <c r="G1686">
        <v>14.43</v>
      </c>
      <c r="H1686">
        <v>31.5</v>
      </c>
      <c r="I1686" t="s">
        <v>344</v>
      </c>
      <c r="J1686">
        <v>114.43</v>
      </c>
      <c r="K1686">
        <v>-4.32</v>
      </c>
      <c r="L1686" t="s">
        <v>346</v>
      </c>
      <c r="M1686" s="1">
        <v>4.3200000000000002E-2</v>
      </c>
      <c r="N1686" t="s">
        <v>350</v>
      </c>
      <c r="O1686">
        <v>2.95</v>
      </c>
      <c r="P1686" t="s">
        <v>344</v>
      </c>
      <c r="Q1686">
        <v>0.26</v>
      </c>
      <c r="R1686" t="s">
        <v>343</v>
      </c>
      <c r="S1686">
        <v>1</v>
      </c>
    </row>
    <row r="1687" spans="1:19" x14ac:dyDescent="0.25">
      <c r="A1687" t="s">
        <v>41</v>
      </c>
      <c r="B1687" t="s">
        <v>105</v>
      </c>
      <c r="C1687">
        <v>980</v>
      </c>
      <c r="D1687" t="s">
        <v>342</v>
      </c>
      <c r="E1687">
        <v>24.15</v>
      </c>
      <c r="F1687">
        <v>17.21</v>
      </c>
      <c r="G1687">
        <v>18.170000000000002</v>
      </c>
      <c r="H1687">
        <v>35.380000000000003</v>
      </c>
      <c r="I1687" t="s">
        <v>344</v>
      </c>
      <c r="J1687">
        <v>113.57</v>
      </c>
      <c r="K1687">
        <v>-4.3099999999999996</v>
      </c>
      <c r="L1687" t="s">
        <v>346</v>
      </c>
      <c r="M1687" s="1">
        <v>4.3099999999999999E-2</v>
      </c>
      <c r="N1687" t="s">
        <v>350</v>
      </c>
      <c r="O1687">
        <v>2.14</v>
      </c>
      <c r="P1687" t="s">
        <v>344</v>
      </c>
      <c r="Q1687">
        <v>1.0900000000000001</v>
      </c>
      <c r="R1687" t="s">
        <v>343</v>
      </c>
      <c r="S1687">
        <v>1</v>
      </c>
    </row>
    <row r="1688" spans="1:19" x14ac:dyDescent="0.25">
      <c r="A1688" t="s">
        <v>41</v>
      </c>
      <c r="B1688" t="s">
        <v>106</v>
      </c>
      <c r="C1688">
        <v>1000</v>
      </c>
      <c r="D1688" t="s">
        <v>342</v>
      </c>
      <c r="E1688">
        <v>24.15</v>
      </c>
      <c r="F1688">
        <v>16.25</v>
      </c>
      <c r="G1688">
        <v>20</v>
      </c>
      <c r="H1688">
        <v>36.25</v>
      </c>
      <c r="I1688" t="s">
        <v>344</v>
      </c>
      <c r="J1688">
        <v>112.81</v>
      </c>
      <c r="K1688">
        <v>-3.79</v>
      </c>
      <c r="L1688" t="s">
        <v>346</v>
      </c>
      <c r="M1688" s="1">
        <v>3.7900000000000003E-2</v>
      </c>
      <c r="N1688" t="s">
        <v>350</v>
      </c>
      <c r="O1688">
        <v>2.63</v>
      </c>
      <c r="P1688" t="s">
        <v>344</v>
      </c>
      <c r="Q1688">
        <v>0.48</v>
      </c>
      <c r="R1688" t="s">
        <v>343</v>
      </c>
      <c r="S1688">
        <v>1</v>
      </c>
    </row>
    <row r="1689" spans="1:19" x14ac:dyDescent="0.25">
      <c r="A1689" t="s">
        <v>41</v>
      </c>
      <c r="B1689" t="s">
        <v>108</v>
      </c>
      <c r="C1689">
        <v>1020</v>
      </c>
      <c r="D1689" t="s">
        <v>342</v>
      </c>
      <c r="E1689">
        <v>24.15</v>
      </c>
      <c r="F1689">
        <v>15.6</v>
      </c>
      <c r="G1689">
        <v>20</v>
      </c>
      <c r="H1689">
        <v>35.6</v>
      </c>
      <c r="I1689" t="s">
        <v>344</v>
      </c>
      <c r="J1689">
        <v>112.08</v>
      </c>
      <c r="K1689">
        <v>-3.66</v>
      </c>
      <c r="L1689" t="s">
        <v>346</v>
      </c>
      <c r="M1689" s="1">
        <v>3.6600000000000001E-2</v>
      </c>
      <c r="N1689" t="s">
        <v>350</v>
      </c>
      <c r="O1689">
        <v>2.91</v>
      </c>
      <c r="P1689" t="s">
        <v>344</v>
      </c>
      <c r="Q1689">
        <v>-0.38</v>
      </c>
      <c r="R1689" t="s">
        <v>343</v>
      </c>
      <c r="S1689">
        <v>1</v>
      </c>
    </row>
    <row r="1690" spans="1:19" x14ac:dyDescent="0.25">
      <c r="A1690" t="s">
        <v>41</v>
      </c>
      <c r="B1690" t="s">
        <v>109</v>
      </c>
      <c r="C1690">
        <v>1040</v>
      </c>
      <c r="D1690" t="s">
        <v>342</v>
      </c>
      <c r="E1690">
        <v>24.15</v>
      </c>
      <c r="F1690">
        <v>15.96</v>
      </c>
      <c r="G1690">
        <v>20</v>
      </c>
      <c r="H1690">
        <v>35.96</v>
      </c>
      <c r="I1690" t="s">
        <v>344</v>
      </c>
      <c r="J1690">
        <v>111.46</v>
      </c>
      <c r="K1690">
        <v>-3.11</v>
      </c>
      <c r="L1690" t="s">
        <v>346</v>
      </c>
      <c r="M1690" s="1">
        <v>3.1099999999999999E-2</v>
      </c>
      <c r="N1690" t="s">
        <v>350</v>
      </c>
      <c r="O1690">
        <v>3.09</v>
      </c>
      <c r="P1690" t="s">
        <v>344</v>
      </c>
      <c r="Q1690">
        <v>-0.37</v>
      </c>
      <c r="R1690" t="s">
        <v>343</v>
      </c>
      <c r="S1690">
        <v>1</v>
      </c>
    </row>
    <row r="1691" spans="1:19" x14ac:dyDescent="0.25">
      <c r="A1691" t="s">
        <v>41</v>
      </c>
      <c r="B1691" t="s">
        <v>110</v>
      </c>
      <c r="C1691">
        <v>1060</v>
      </c>
      <c r="D1691" t="s">
        <v>342</v>
      </c>
      <c r="E1691">
        <v>24.15</v>
      </c>
      <c r="F1691">
        <v>16.149999999999999</v>
      </c>
      <c r="G1691">
        <v>20</v>
      </c>
      <c r="H1691">
        <v>36.15</v>
      </c>
      <c r="I1691" t="s">
        <v>344</v>
      </c>
      <c r="J1691">
        <v>110.92</v>
      </c>
      <c r="K1691">
        <v>-2.72</v>
      </c>
      <c r="L1691" t="s">
        <v>346</v>
      </c>
      <c r="M1691" s="1">
        <v>2.7199999999999998E-2</v>
      </c>
      <c r="N1691" t="s">
        <v>350</v>
      </c>
      <c r="O1691">
        <v>2.54</v>
      </c>
      <c r="P1691" t="s">
        <v>344</v>
      </c>
      <c r="Q1691">
        <v>-0.41</v>
      </c>
      <c r="R1691" t="s">
        <v>343</v>
      </c>
      <c r="S1691">
        <v>1</v>
      </c>
    </row>
    <row r="1692" spans="1:19" x14ac:dyDescent="0.25">
      <c r="A1692" t="s">
        <v>41</v>
      </c>
      <c r="B1692" t="s">
        <v>111</v>
      </c>
      <c r="C1692">
        <v>1080</v>
      </c>
      <c r="D1692" t="s">
        <v>342</v>
      </c>
      <c r="E1692">
        <v>24.15</v>
      </c>
      <c r="F1692">
        <v>16.149999999999999</v>
      </c>
      <c r="G1692">
        <v>20</v>
      </c>
      <c r="H1692">
        <v>36.15</v>
      </c>
      <c r="I1692" t="s">
        <v>344</v>
      </c>
      <c r="J1692">
        <v>110.34</v>
      </c>
      <c r="K1692">
        <v>-2.9</v>
      </c>
      <c r="L1692" t="s">
        <v>346</v>
      </c>
      <c r="M1692" s="1">
        <v>2.9000000000000001E-2</v>
      </c>
      <c r="N1692" t="s">
        <v>350</v>
      </c>
      <c r="O1692">
        <v>3.43</v>
      </c>
      <c r="P1692" t="s">
        <v>344</v>
      </c>
      <c r="Q1692">
        <v>-0.1</v>
      </c>
      <c r="R1692" t="s">
        <v>343</v>
      </c>
      <c r="S1692">
        <v>1</v>
      </c>
    </row>
    <row r="1693" spans="1:19" x14ac:dyDescent="0.25">
      <c r="A1693" t="s">
        <v>41</v>
      </c>
      <c r="B1693" t="s">
        <v>112</v>
      </c>
      <c r="C1693">
        <v>1100</v>
      </c>
      <c r="D1693" t="s">
        <v>342</v>
      </c>
      <c r="E1693">
        <v>24.15</v>
      </c>
      <c r="F1693">
        <v>17.97</v>
      </c>
      <c r="G1693">
        <v>20</v>
      </c>
      <c r="H1693">
        <v>37.97</v>
      </c>
      <c r="I1693" t="s">
        <v>344</v>
      </c>
      <c r="J1693">
        <v>109.62</v>
      </c>
      <c r="K1693">
        <v>-3.59</v>
      </c>
      <c r="L1693" t="s">
        <v>346</v>
      </c>
      <c r="M1693" s="1">
        <v>3.5900000000000001E-2</v>
      </c>
      <c r="N1693" t="s">
        <v>350</v>
      </c>
      <c r="O1693">
        <v>4.0599999999999996</v>
      </c>
      <c r="P1693" t="s">
        <v>343</v>
      </c>
      <c r="Q1693">
        <v>-1.04</v>
      </c>
      <c r="R1693" t="s">
        <v>343</v>
      </c>
      <c r="S1693">
        <v>1</v>
      </c>
    </row>
    <row r="1694" spans="1:19" x14ac:dyDescent="0.25">
      <c r="A1694" t="s">
        <v>41</v>
      </c>
      <c r="B1694" t="s">
        <v>113</v>
      </c>
      <c r="C1694">
        <v>1120</v>
      </c>
      <c r="D1694" t="s">
        <v>342</v>
      </c>
      <c r="E1694">
        <v>24.15</v>
      </c>
      <c r="F1694">
        <v>15.85</v>
      </c>
      <c r="G1694">
        <v>20</v>
      </c>
      <c r="H1694">
        <v>35.85</v>
      </c>
      <c r="I1694" t="s">
        <v>344</v>
      </c>
      <c r="J1694">
        <v>108.86</v>
      </c>
      <c r="K1694">
        <v>-3.81</v>
      </c>
      <c r="L1694" t="s">
        <v>346</v>
      </c>
      <c r="M1694" s="1">
        <v>3.8100000000000002E-2</v>
      </c>
      <c r="N1694" t="s">
        <v>350</v>
      </c>
      <c r="O1694">
        <v>3.39</v>
      </c>
      <c r="P1694" t="s">
        <v>344</v>
      </c>
      <c r="Q1694">
        <v>-1.55</v>
      </c>
      <c r="R1694" t="s">
        <v>343</v>
      </c>
      <c r="S1694">
        <v>1</v>
      </c>
    </row>
    <row r="1695" spans="1:19" x14ac:dyDescent="0.25">
      <c r="A1695" t="s">
        <v>41</v>
      </c>
      <c r="B1695" t="s">
        <v>114</v>
      </c>
      <c r="C1695">
        <v>1140</v>
      </c>
      <c r="D1695" t="s">
        <v>342</v>
      </c>
      <c r="E1695">
        <v>24.15</v>
      </c>
      <c r="F1695">
        <v>16.149999999999999</v>
      </c>
      <c r="G1695">
        <v>20</v>
      </c>
      <c r="H1695">
        <v>36.15</v>
      </c>
      <c r="I1695" t="s">
        <v>344</v>
      </c>
      <c r="J1695">
        <v>108.05</v>
      </c>
      <c r="K1695">
        <v>-4.05</v>
      </c>
      <c r="L1695" t="s">
        <v>346</v>
      </c>
      <c r="M1695" s="1">
        <v>4.0500000000000001E-2</v>
      </c>
      <c r="N1695" t="s">
        <v>350</v>
      </c>
      <c r="O1695">
        <v>4.13</v>
      </c>
      <c r="P1695" t="s">
        <v>343</v>
      </c>
      <c r="Q1695">
        <v>-1.2</v>
      </c>
      <c r="R1695" t="s">
        <v>343</v>
      </c>
      <c r="S1695">
        <v>1</v>
      </c>
    </row>
    <row r="1696" spans="1:19" x14ac:dyDescent="0.25">
      <c r="A1696" t="s">
        <v>41</v>
      </c>
      <c r="B1696" t="s">
        <v>115</v>
      </c>
      <c r="C1696">
        <v>1160</v>
      </c>
      <c r="D1696" t="s">
        <v>342</v>
      </c>
      <c r="E1696">
        <v>24.15</v>
      </c>
      <c r="F1696">
        <v>16.45</v>
      </c>
      <c r="G1696">
        <v>17.64</v>
      </c>
      <c r="H1696">
        <v>34.090000000000003</v>
      </c>
      <c r="I1696" t="s">
        <v>344</v>
      </c>
      <c r="J1696">
        <v>107.17</v>
      </c>
      <c r="K1696">
        <v>-4.3600000000000003</v>
      </c>
      <c r="L1696" t="s">
        <v>346</v>
      </c>
      <c r="M1696" s="1">
        <v>4.36E-2</v>
      </c>
      <c r="N1696" t="s">
        <v>350</v>
      </c>
      <c r="O1696">
        <v>3.67</v>
      </c>
      <c r="P1696" t="s">
        <v>344</v>
      </c>
      <c r="Q1696">
        <v>-1.04</v>
      </c>
      <c r="R1696" t="s">
        <v>343</v>
      </c>
      <c r="S1696">
        <v>1</v>
      </c>
    </row>
    <row r="1697" spans="1:19" x14ac:dyDescent="0.25">
      <c r="A1697" t="s">
        <v>41</v>
      </c>
      <c r="B1697" t="s">
        <v>116</v>
      </c>
      <c r="C1697">
        <v>1180</v>
      </c>
      <c r="D1697" t="s">
        <v>342</v>
      </c>
      <c r="E1697">
        <v>24.15</v>
      </c>
      <c r="F1697">
        <v>15.6</v>
      </c>
      <c r="G1697">
        <v>17.03</v>
      </c>
      <c r="H1697">
        <v>32.630000000000003</v>
      </c>
      <c r="I1697" t="s">
        <v>344</v>
      </c>
      <c r="J1697">
        <v>106.35</v>
      </c>
      <c r="K1697">
        <v>-4.13</v>
      </c>
      <c r="L1697" t="s">
        <v>346</v>
      </c>
      <c r="M1697" s="1">
        <v>4.1300000000000003E-2</v>
      </c>
      <c r="N1697" t="s">
        <v>350</v>
      </c>
      <c r="O1697">
        <v>3.85</v>
      </c>
      <c r="P1697" t="s">
        <v>344</v>
      </c>
      <c r="Q1697">
        <v>-0.26</v>
      </c>
      <c r="R1697" t="s">
        <v>343</v>
      </c>
      <c r="S1697">
        <v>1</v>
      </c>
    </row>
    <row r="1698" spans="1:19" x14ac:dyDescent="0.25">
      <c r="A1698" t="s">
        <v>41</v>
      </c>
      <c r="B1698" t="s">
        <v>117</v>
      </c>
      <c r="C1698">
        <v>1200</v>
      </c>
      <c r="D1698" t="s">
        <v>342</v>
      </c>
      <c r="E1698">
        <v>24.15</v>
      </c>
      <c r="F1698">
        <v>14.93</v>
      </c>
      <c r="G1698">
        <v>16.77</v>
      </c>
      <c r="H1698">
        <v>31.7</v>
      </c>
      <c r="I1698" t="s">
        <v>344</v>
      </c>
      <c r="J1698">
        <v>105.48</v>
      </c>
      <c r="K1698">
        <v>-4.33</v>
      </c>
      <c r="L1698" t="s">
        <v>346</v>
      </c>
      <c r="M1698" s="1">
        <v>4.3299999999999998E-2</v>
      </c>
      <c r="N1698" t="s">
        <v>350</v>
      </c>
      <c r="O1698">
        <v>4.96</v>
      </c>
      <c r="P1698" t="s">
        <v>343</v>
      </c>
      <c r="Q1698">
        <v>0.71</v>
      </c>
      <c r="R1698" t="s">
        <v>343</v>
      </c>
      <c r="S1698">
        <v>1</v>
      </c>
    </row>
    <row r="1699" spans="1:19" x14ac:dyDescent="0.25">
      <c r="A1699" t="s">
        <v>41</v>
      </c>
      <c r="B1699" t="s">
        <v>118</v>
      </c>
      <c r="C1699">
        <v>1220</v>
      </c>
      <c r="D1699" t="s">
        <v>342</v>
      </c>
      <c r="E1699">
        <v>24.15</v>
      </c>
      <c r="F1699">
        <v>14.25</v>
      </c>
      <c r="G1699">
        <v>16.53</v>
      </c>
      <c r="H1699">
        <v>30.78</v>
      </c>
      <c r="I1699" t="s">
        <v>344</v>
      </c>
      <c r="J1699">
        <v>104.53</v>
      </c>
      <c r="K1699">
        <v>-4.78</v>
      </c>
      <c r="L1699" t="s">
        <v>346</v>
      </c>
      <c r="M1699" s="1">
        <v>4.7800000000000002E-2</v>
      </c>
      <c r="N1699" t="s">
        <v>350</v>
      </c>
      <c r="O1699">
        <v>4.2</v>
      </c>
      <c r="P1699" t="s">
        <v>343</v>
      </c>
      <c r="Q1699">
        <v>0.98</v>
      </c>
      <c r="R1699" t="s">
        <v>343</v>
      </c>
      <c r="S1699">
        <v>1</v>
      </c>
    </row>
    <row r="1700" spans="1:19" x14ac:dyDescent="0.25">
      <c r="A1700" t="s">
        <v>41</v>
      </c>
      <c r="B1700" t="s">
        <v>119</v>
      </c>
      <c r="C1700">
        <v>1240</v>
      </c>
      <c r="D1700" t="s">
        <v>342</v>
      </c>
      <c r="E1700">
        <v>24.15</v>
      </c>
      <c r="F1700">
        <v>14.15</v>
      </c>
      <c r="G1700">
        <v>16.77</v>
      </c>
      <c r="H1700">
        <v>30.92</v>
      </c>
      <c r="I1700" t="s">
        <v>344</v>
      </c>
      <c r="J1700">
        <v>103.61</v>
      </c>
      <c r="K1700">
        <v>-4.57</v>
      </c>
      <c r="L1700" t="s">
        <v>346</v>
      </c>
      <c r="M1700" s="1">
        <v>4.5699999999999998E-2</v>
      </c>
      <c r="N1700" t="s">
        <v>350</v>
      </c>
      <c r="O1700">
        <v>2.52</v>
      </c>
      <c r="P1700" t="s">
        <v>344</v>
      </c>
      <c r="Q1700">
        <v>1.28</v>
      </c>
      <c r="R1700" t="s">
        <v>343</v>
      </c>
      <c r="S1700">
        <v>1</v>
      </c>
    </row>
    <row r="1701" spans="1:19" x14ac:dyDescent="0.25">
      <c r="A1701" t="s">
        <v>41</v>
      </c>
      <c r="B1701" t="s">
        <v>120</v>
      </c>
      <c r="C1701">
        <v>1260</v>
      </c>
      <c r="D1701" t="s">
        <v>342</v>
      </c>
      <c r="E1701">
        <v>24.15</v>
      </c>
      <c r="F1701">
        <v>13.25</v>
      </c>
      <c r="G1701">
        <v>16.53</v>
      </c>
      <c r="H1701">
        <v>29.78</v>
      </c>
      <c r="I1701" t="s">
        <v>344</v>
      </c>
      <c r="J1701">
        <v>102.79</v>
      </c>
      <c r="K1701">
        <v>-4.12</v>
      </c>
      <c r="L1701" t="s">
        <v>346</v>
      </c>
      <c r="M1701" s="1">
        <v>4.1200000000000001E-2</v>
      </c>
      <c r="N1701" t="s">
        <v>350</v>
      </c>
      <c r="O1701">
        <v>0.74</v>
      </c>
      <c r="P1701" t="s">
        <v>343</v>
      </c>
      <c r="Q1701">
        <v>1.66</v>
      </c>
      <c r="R1701" t="s">
        <v>343</v>
      </c>
      <c r="S1701">
        <v>1</v>
      </c>
    </row>
    <row r="1702" spans="1:19" x14ac:dyDescent="0.25">
      <c r="A1702" t="s">
        <v>41</v>
      </c>
      <c r="B1702" t="s">
        <v>121</v>
      </c>
      <c r="C1702">
        <v>1280</v>
      </c>
      <c r="D1702" t="s">
        <v>342</v>
      </c>
      <c r="E1702">
        <v>24.15</v>
      </c>
      <c r="F1702">
        <v>13.25</v>
      </c>
      <c r="G1702">
        <v>14.57</v>
      </c>
      <c r="H1702">
        <v>27.83</v>
      </c>
      <c r="I1702" t="s">
        <v>344</v>
      </c>
      <c r="J1702">
        <v>102.07</v>
      </c>
      <c r="K1702">
        <v>-3.61</v>
      </c>
      <c r="L1702" t="s">
        <v>346</v>
      </c>
      <c r="M1702" s="1">
        <v>3.61E-2</v>
      </c>
      <c r="N1702" t="s">
        <v>350</v>
      </c>
      <c r="O1702">
        <v>0.59</v>
      </c>
      <c r="P1702" t="s">
        <v>343</v>
      </c>
      <c r="Q1702">
        <v>-0.19</v>
      </c>
      <c r="R1702" t="s">
        <v>343</v>
      </c>
      <c r="S1702">
        <v>1</v>
      </c>
    </row>
    <row r="1703" spans="1:19" x14ac:dyDescent="0.25">
      <c r="A1703" t="s">
        <v>41</v>
      </c>
      <c r="B1703" t="s">
        <v>123</v>
      </c>
      <c r="C1703">
        <v>1300</v>
      </c>
      <c r="D1703" t="s">
        <v>342</v>
      </c>
      <c r="E1703">
        <v>24.15</v>
      </c>
      <c r="F1703">
        <v>11.75</v>
      </c>
      <c r="G1703">
        <v>15.25</v>
      </c>
      <c r="H1703">
        <v>27.01</v>
      </c>
      <c r="I1703" t="s">
        <v>344</v>
      </c>
      <c r="J1703">
        <v>101.58</v>
      </c>
      <c r="K1703">
        <v>-2.44</v>
      </c>
      <c r="L1703" t="s">
        <v>346</v>
      </c>
      <c r="M1703" s="1">
        <v>2.4400000000000002E-2</v>
      </c>
      <c r="N1703" t="s">
        <v>350</v>
      </c>
      <c r="O1703">
        <v>0.32</v>
      </c>
      <c r="P1703" t="s">
        <v>343</v>
      </c>
      <c r="Q1703">
        <v>0.03</v>
      </c>
      <c r="R1703" t="s">
        <v>343</v>
      </c>
      <c r="S1703">
        <v>1</v>
      </c>
    </row>
    <row r="1704" spans="1:19" x14ac:dyDescent="0.25">
      <c r="A1704" t="s">
        <v>41</v>
      </c>
      <c r="B1704" t="s">
        <v>124</v>
      </c>
      <c r="C1704">
        <v>1320</v>
      </c>
      <c r="D1704" t="s">
        <v>342</v>
      </c>
      <c r="E1704">
        <v>24.15</v>
      </c>
      <c r="F1704">
        <v>11.46</v>
      </c>
      <c r="G1704">
        <v>15.68</v>
      </c>
      <c r="H1704">
        <v>27.14</v>
      </c>
      <c r="I1704" t="s">
        <v>344</v>
      </c>
      <c r="J1704">
        <v>101.09</v>
      </c>
      <c r="K1704">
        <v>-2.46</v>
      </c>
      <c r="L1704" t="s">
        <v>346</v>
      </c>
      <c r="M1704" s="1">
        <v>2.46E-2</v>
      </c>
      <c r="N1704" t="s">
        <v>350</v>
      </c>
      <c r="O1704">
        <v>1.01</v>
      </c>
      <c r="P1704" t="s">
        <v>343</v>
      </c>
      <c r="Q1704">
        <v>1.88</v>
      </c>
      <c r="R1704" t="s">
        <v>343</v>
      </c>
      <c r="S1704">
        <v>1</v>
      </c>
    </row>
    <row r="1705" spans="1:19" x14ac:dyDescent="0.25">
      <c r="A1705" t="s">
        <v>41</v>
      </c>
      <c r="B1705" t="s">
        <v>125</v>
      </c>
      <c r="C1705">
        <v>1340</v>
      </c>
      <c r="D1705" t="s">
        <v>342</v>
      </c>
      <c r="E1705">
        <v>24.15</v>
      </c>
      <c r="F1705">
        <v>11.46</v>
      </c>
      <c r="G1705">
        <v>14.95</v>
      </c>
      <c r="H1705">
        <v>26.41</v>
      </c>
      <c r="I1705" t="s">
        <v>344</v>
      </c>
      <c r="J1705">
        <v>100.46</v>
      </c>
      <c r="K1705">
        <v>-3.16</v>
      </c>
      <c r="L1705" t="s">
        <v>346</v>
      </c>
      <c r="M1705" s="1">
        <v>3.1600000000000003E-2</v>
      </c>
      <c r="N1705" t="s">
        <v>350</v>
      </c>
      <c r="O1705">
        <v>-0.27</v>
      </c>
      <c r="P1705" t="s">
        <v>343</v>
      </c>
      <c r="Q1705">
        <v>0.22</v>
      </c>
      <c r="R1705" t="s">
        <v>343</v>
      </c>
      <c r="S1705">
        <v>1</v>
      </c>
    </row>
    <row r="1706" spans="1:19" x14ac:dyDescent="0.25">
      <c r="A1706" t="s">
        <v>41</v>
      </c>
      <c r="B1706" t="s">
        <v>126</v>
      </c>
      <c r="C1706">
        <v>1360</v>
      </c>
      <c r="D1706" t="s">
        <v>342</v>
      </c>
      <c r="E1706">
        <v>24.15</v>
      </c>
      <c r="F1706">
        <v>11.46</v>
      </c>
      <c r="G1706">
        <v>15.15</v>
      </c>
      <c r="H1706">
        <v>26.61</v>
      </c>
      <c r="I1706" t="s">
        <v>344</v>
      </c>
      <c r="J1706">
        <v>99.95</v>
      </c>
      <c r="K1706">
        <v>-2.52</v>
      </c>
      <c r="L1706" t="s">
        <v>346</v>
      </c>
      <c r="M1706" s="1">
        <v>2.52E-2</v>
      </c>
      <c r="N1706" t="s">
        <v>350</v>
      </c>
      <c r="O1706">
        <v>1.9</v>
      </c>
      <c r="P1706" t="s">
        <v>343</v>
      </c>
      <c r="Q1706">
        <v>-0.84</v>
      </c>
      <c r="R1706" t="s">
        <v>343</v>
      </c>
      <c r="S1706">
        <v>1</v>
      </c>
    </row>
    <row r="1707" spans="1:19" x14ac:dyDescent="0.25">
      <c r="A1707" t="s">
        <v>41</v>
      </c>
      <c r="B1707" t="s">
        <v>127</v>
      </c>
      <c r="C1707">
        <v>1380</v>
      </c>
      <c r="D1707" t="s">
        <v>342</v>
      </c>
      <c r="E1707">
        <v>24.15</v>
      </c>
      <c r="F1707">
        <v>12.46</v>
      </c>
      <c r="G1707">
        <v>14.52</v>
      </c>
      <c r="H1707">
        <v>26.98</v>
      </c>
      <c r="I1707" t="s">
        <v>344</v>
      </c>
      <c r="J1707">
        <v>99.48</v>
      </c>
      <c r="K1707">
        <v>-2.37</v>
      </c>
      <c r="L1707" t="s">
        <v>346</v>
      </c>
      <c r="M1707" s="1">
        <v>2.3699999999999999E-2</v>
      </c>
      <c r="N1707" t="s">
        <v>350</v>
      </c>
      <c r="O1707">
        <v>1.04</v>
      </c>
      <c r="P1707" t="s">
        <v>343</v>
      </c>
      <c r="Q1707">
        <v>-0.08</v>
      </c>
      <c r="R1707" t="s">
        <v>343</v>
      </c>
      <c r="S1707">
        <v>1</v>
      </c>
    </row>
    <row r="1708" spans="1:19" x14ac:dyDescent="0.25">
      <c r="A1708" t="s">
        <v>41</v>
      </c>
      <c r="B1708" t="s">
        <v>128</v>
      </c>
      <c r="C1708">
        <v>1400</v>
      </c>
      <c r="D1708" t="s">
        <v>342</v>
      </c>
      <c r="E1708">
        <v>24.15</v>
      </c>
      <c r="F1708">
        <v>11.02</v>
      </c>
      <c r="G1708">
        <v>14.84</v>
      </c>
      <c r="H1708">
        <v>25.86</v>
      </c>
      <c r="I1708" t="s">
        <v>344</v>
      </c>
      <c r="J1708">
        <v>99.23</v>
      </c>
      <c r="K1708">
        <v>-1.25</v>
      </c>
      <c r="L1708" t="s">
        <v>346</v>
      </c>
      <c r="M1708" s="1">
        <v>1.2500000000000001E-2</v>
      </c>
      <c r="N1708" t="s">
        <v>349</v>
      </c>
      <c r="O1708">
        <v>-0.35</v>
      </c>
      <c r="P1708" t="s">
        <v>343</v>
      </c>
      <c r="Q1708">
        <v>1.1299999999999999</v>
      </c>
      <c r="R1708" t="s">
        <v>343</v>
      </c>
      <c r="S1708">
        <v>1</v>
      </c>
    </row>
    <row r="1709" spans="1:19" x14ac:dyDescent="0.25">
      <c r="A1709" t="s">
        <v>41</v>
      </c>
      <c r="B1709" t="s">
        <v>129</v>
      </c>
      <c r="C1709">
        <v>1420</v>
      </c>
      <c r="D1709" t="s">
        <v>342</v>
      </c>
      <c r="E1709">
        <v>24.15</v>
      </c>
      <c r="F1709">
        <v>12.51</v>
      </c>
      <c r="G1709">
        <v>13.78</v>
      </c>
      <c r="H1709">
        <v>26.3</v>
      </c>
      <c r="I1709" t="s">
        <v>344</v>
      </c>
      <c r="J1709">
        <v>99.08</v>
      </c>
      <c r="K1709">
        <v>-0.73</v>
      </c>
      <c r="L1709" t="s">
        <v>346</v>
      </c>
      <c r="M1709" s="1">
        <v>7.3000000000000001E-3</v>
      </c>
      <c r="N1709" t="s">
        <v>349</v>
      </c>
      <c r="O1709">
        <v>-0.27</v>
      </c>
      <c r="P1709" t="s">
        <v>343</v>
      </c>
      <c r="Q1709">
        <v>0.64</v>
      </c>
      <c r="R1709" t="s">
        <v>343</v>
      </c>
      <c r="S1709">
        <v>1</v>
      </c>
    </row>
    <row r="1710" spans="1:19" x14ac:dyDescent="0.25">
      <c r="A1710" t="s">
        <v>41</v>
      </c>
      <c r="B1710" t="s">
        <v>130</v>
      </c>
      <c r="C1710">
        <v>1440</v>
      </c>
      <c r="D1710" t="s">
        <v>342</v>
      </c>
      <c r="E1710">
        <v>24.15</v>
      </c>
      <c r="F1710">
        <v>14.84</v>
      </c>
      <c r="G1710">
        <v>13.37</v>
      </c>
      <c r="H1710">
        <v>28.21</v>
      </c>
      <c r="I1710" t="s">
        <v>344</v>
      </c>
      <c r="J1710">
        <v>98.97</v>
      </c>
      <c r="K1710">
        <v>-0.54</v>
      </c>
      <c r="L1710" t="s">
        <v>346</v>
      </c>
      <c r="M1710" s="1">
        <v>5.4000000000000003E-3</v>
      </c>
      <c r="N1710" t="s">
        <v>349</v>
      </c>
      <c r="O1710">
        <v>-0.21</v>
      </c>
      <c r="P1710" t="s">
        <v>343</v>
      </c>
      <c r="Q1710">
        <v>1.35</v>
      </c>
      <c r="R1710" t="s">
        <v>343</v>
      </c>
      <c r="S1710">
        <v>1</v>
      </c>
    </row>
    <row r="1711" spans="1:19" x14ac:dyDescent="0.25">
      <c r="A1711" t="s">
        <v>41</v>
      </c>
      <c r="B1711" t="s">
        <v>131</v>
      </c>
      <c r="C1711">
        <v>1460</v>
      </c>
      <c r="D1711" t="s">
        <v>342</v>
      </c>
      <c r="E1711">
        <v>24.15</v>
      </c>
      <c r="F1711">
        <v>14.84</v>
      </c>
      <c r="G1711">
        <v>14.23</v>
      </c>
      <c r="H1711">
        <v>29.07</v>
      </c>
      <c r="I1711" t="s">
        <v>344</v>
      </c>
      <c r="J1711">
        <v>98.8</v>
      </c>
      <c r="K1711">
        <v>-0.85</v>
      </c>
      <c r="L1711" t="s">
        <v>346</v>
      </c>
      <c r="M1711" s="1">
        <v>8.5000000000000006E-3</v>
      </c>
      <c r="N1711" t="s">
        <v>349</v>
      </c>
      <c r="O1711">
        <v>-1.2</v>
      </c>
      <c r="P1711" t="s">
        <v>343</v>
      </c>
      <c r="Q1711">
        <v>1.43</v>
      </c>
      <c r="R1711" t="s">
        <v>343</v>
      </c>
      <c r="S1711">
        <v>1</v>
      </c>
    </row>
    <row r="1712" spans="1:19" x14ac:dyDescent="0.25">
      <c r="A1712" t="s">
        <v>41</v>
      </c>
      <c r="B1712" t="s">
        <v>132</v>
      </c>
      <c r="C1712">
        <v>1480</v>
      </c>
      <c r="D1712" t="s">
        <v>342</v>
      </c>
      <c r="E1712">
        <v>24.15</v>
      </c>
      <c r="F1712">
        <v>14.96</v>
      </c>
      <c r="G1712">
        <v>15.39</v>
      </c>
      <c r="H1712">
        <v>30.35</v>
      </c>
      <c r="I1712" t="s">
        <v>344</v>
      </c>
      <c r="J1712">
        <v>98.58</v>
      </c>
      <c r="K1712">
        <v>-1.1000000000000001</v>
      </c>
      <c r="L1712" t="s">
        <v>346</v>
      </c>
      <c r="M1712" s="1">
        <v>1.0999999999999999E-2</v>
      </c>
      <c r="N1712" t="s">
        <v>349</v>
      </c>
      <c r="O1712">
        <v>-1.2</v>
      </c>
      <c r="P1712" t="s">
        <v>343</v>
      </c>
      <c r="Q1712">
        <v>1.23</v>
      </c>
      <c r="R1712" t="s">
        <v>343</v>
      </c>
      <c r="S1712">
        <v>1</v>
      </c>
    </row>
    <row r="1713" spans="1:19" x14ac:dyDescent="0.25">
      <c r="A1713" t="s">
        <v>41</v>
      </c>
      <c r="B1713" t="s">
        <v>133</v>
      </c>
      <c r="C1713">
        <v>1500</v>
      </c>
      <c r="D1713" t="s">
        <v>342</v>
      </c>
      <c r="E1713">
        <v>24.15</v>
      </c>
      <c r="F1713">
        <v>16.57</v>
      </c>
      <c r="G1713">
        <v>16.079999999999998</v>
      </c>
      <c r="H1713">
        <v>32.65</v>
      </c>
      <c r="I1713" t="s">
        <v>344</v>
      </c>
      <c r="J1713">
        <v>98.49</v>
      </c>
      <c r="K1713">
        <v>-0.49</v>
      </c>
      <c r="L1713" t="s">
        <v>346</v>
      </c>
      <c r="M1713" s="1">
        <v>4.8999999999999998E-3</v>
      </c>
      <c r="N1713" t="s">
        <v>349</v>
      </c>
      <c r="O1713">
        <v>-2.41</v>
      </c>
      <c r="P1713" t="s">
        <v>344</v>
      </c>
      <c r="Q1713">
        <v>0.71</v>
      </c>
      <c r="R1713" t="s">
        <v>343</v>
      </c>
      <c r="S1713">
        <v>1</v>
      </c>
    </row>
    <row r="1714" spans="1:19" x14ac:dyDescent="0.25">
      <c r="A1714" t="s">
        <v>41</v>
      </c>
      <c r="B1714" t="s">
        <v>134</v>
      </c>
      <c r="C1714">
        <v>1520</v>
      </c>
      <c r="D1714" t="s">
        <v>342</v>
      </c>
      <c r="E1714">
        <v>24.15</v>
      </c>
      <c r="F1714">
        <v>14.96</v>
      </c>
      <c r="G1714">
        <v>15.39</v>
      </c>
      <c r="H1714">
        <v>30.35</v>
      </c>
      <c r="I1714" t="s">
        <v>344</v>
      </c>
      <c r="J1714">
        <v>98.46</v>
      </c>
      <c r="K1714">
        <v>-0.13</v>
      </c>
      <c r="L1714" t="s">
        <v>346</v>
      </c>
      <c r="M1714" s="1">
        <v>1.2999999999999999E-3</v>
      </c>
      <c r="N1714" t="s">
        <v>349</v>
      </c>
      <c r="O1714">
        <v>1.28</v>
      </c>
      <c r="P1714" t="s">
        <v>343</v>
      </c>
      <c r="Q1714">
        <v>0.42</v>
      </c>
      <c r="R1714" t="s">
        <v>343</v>
      </c>
      <c r="S1714">
        <v>1</v>
      </c>
    </row>
    <row r="1715" spans="1:19" x14ac:dyDescent="0.25">
      <c r="A1715" t="s">
        <v>41</v>
      </c>
      <c r="B1715" t="s">
        <v>135</v>
      </c>
      <c r="C1715">
        <v>1540</v>
      </c>
      <c r="D1715" t="s">
        <v>342</v>
      </c>
      <c r="E1715">
        <v>24.15</v>
      </c>
      <c r="F1715">
        <v>14.64</v>
      </c>
      <c r="G1715">
        <v>14.64</v>
      </c>
      <c r="H1715">
        <v>29.29</v>
      </c>
      <c r="I1715" t="s">
        <v>344</v>
      </c>
      <c r="J1715">
        <v>98.47</v>
      </c>
      <c r="K1715">
        <v>0.03</v>
      </c>
      <c r="L1715" t="s">
        <v>346</v>
      </c>
      <c r="M1715" s="1">
        <v>2.9999999999999997E-4</v>
      </c>
      <c r="N1715" t="s">
        <v>349</v>
      </c>
      <c r="O1715">
        <v>1.6</v>
      </c>
      <c r="P1715" t="s">
        <v>343</v>
      </c>
      <c r="Q1715">
        <v>1.01</v>
      </c>
      <c r="R1715" t="s">
        <v>343</v>
      </c>
      <c r="S1715">
        <v>1</v>
      </c>
    </row>
    <row r="1716" spans="1:19" x14ac:dyDescent="0.25">
      <c r="A1716" t="s">
        <v>41</v>
      </c>
      <c r="B1716" t="s">
        <v>136</v>
      </c>
      <c r="C1716">
        <v>1560</v>
      </c>
      <c r="D1716" t="s">
        <v>342</v>
      </c>
      <c r="E1716">
        <v>24.15</v>
      </c>
      <c r="F1716">
        <v>14.64</v>
      </c>
      <c r="G1716">
        <v>14.74</v>
      </c>
      <c r="H1716">
        <v>29.39</v>
      </c>
      <c r="I1716" t="s">
        <v>344</v>
      </c>
      <c r="J1716">
        <v>98.32</v>
      </c>
      <c r="K1716">
        <v>-0.75</v>
      </c>
      <c r="L1716" t="s">
        <v>346</v>
      </c>
      <c r="M1716" s="1">
        <v>7.4999999999999997E-3</v>
      </c>
      <c r="N1716" t="s">
        <v>349</v>
      </c>
      <c r="O1716">
        <v>2.62</v>
      </c>
      <c r="P1716" t="s">
        <v>344</v>
      </c>
      <c r="Q1716">
        <v>1.3</v>
      </c>
      <c r="R1716" t="s">
        <v>343</v>
      </c>
      <c r="S1716">
        <v>1</v>
      </c>
    </row>
    <row r="1717" spans="1:19" x14ac:dyDescent="0.25">
      <c r="A1717" t="s">
        <v>41</v>
      </c>
      <c r="B1717" t="s">
        <v>137</v>
      </c>
      <c r="C1717">
        <v>1580</v>
      </c>
      <c r="D1717" t="s">
        <v>342</v>
      </c>
      <c r="E1717">
        <v>24.15</v>
      </c>
      <c r="F1717">
        <v>14.06</v>
      </c>
      <c r="G1717">
        <v>14.81</v>
      </c>
      <c r="H1717">
        <v>28.87</v>
      </c>
      <c r="I1717" t="s">
        <v>344</v>
      </c>
      <c r="J1717">
        <v>98.3</v>
      </c>
      <c r="K1717">
        <v>-0.09</v>
      </c>
      <c r="L1717" t="s">
        <v>346</v>
      </c>
      <c r="M1717" s="1">
        <v>8.9999999999999998E-4</v>
      </c>
      <c r="N1717" t="s">
        <v>349</v>
      </c>
      <c r="O1717">
        <v>2.54</v>
      </c>
      <c r="P1717" t="s">
        <v>344</v>
      </c>
      <c r="Q1717">
        <v>-0.02</v>
      </c>
      <c r="R1717" t="s">
        <v>343</v>
      </c>
      <c r="S1717">
        <v>1</v>
      </c>
    </row>
    <row r="1718" spans="1:19" x14ac:dyDescent="0.25">
      <c r="A1718" t="s">
        <v>41</v>
      </c>
      <c r="B1718" t="s">
        <v>138</v>
      </c>
      <c r="C1718">
        <v>1600</v>
      </c>
      <c r="D1718" t="s">
        <v>342</v>
      </c>
      <c r="E1718">
        <v>24.15</v>
      </c>
      <c r="F1718">
        <v>13.87</v>
      </c>
      <c r="G1718">
        <v>14.98</v>
      </c>
      <c r="H1718">
        <v>28.85</v>
      </c>
      <c r="I1718" t="s">
        <v>344</v>
      </c>
      <c r="J1718">
        <v>98.42</v>
      </c>
      <c r="K1718">
        <v>0.59</v>
      </c>
      <c r="L1718" t="s">
        <v>346</v>
      </c>
      <c r="M1718" s="1">
        <v>5.8999999999999999E-3</v>
      </c>
      <c r="N1718" t="s">
        <v>349</v>
      </c>
      <c r="O1718">
        <v>3.49</v>
      </c>
      <c r="P1718" t="s">
        <v>344</v>
      </c>
      <c r="Q1718">
        <v>0.22</v>
      </c>
      <c r="R1718" t="s">
        <v>343</v>
      </c>
      <c r="S1718">
        <v>1</v>
      </c>
    </row>
    <row r="1719" spans="1:19" x14ac:dyDescent="0.25">
      <c r="A1719" t="s">
        <v>41</v>
      </c>
      <c r="B1719" t="s">
        <v>139</v>
      </c>
      <c r="C1719">
        <v>1620</v>
      </c>
      <c r="D1719" t="s">
        <v>342</v>
      </c>
      <c r="E1719">
        <v>24.15</v>
      </c>
      <c r="F1719">
        <v>13.86</v>
      </c>
      <c r="G1719">
        <v>14.55</v>
      </c>
      <c r="H1719">
        <v>28.41</v>
      </c>
      <c r="I1719" t="s">
        <v>344</v>
      </c>
      <c r="J1719">
        <v>98.44</v>
      </c>
      <c r="K1719">
        <v>0.14000000000000001</v>
      </c>
      <c r="L1719" t="s">
        <v>346</v>
      </c>
      <c r="M1719" s="1">
        <v>1.4E-3</v>
      </c>
      <c r="N1719" t="s">
        <v>349</v>
      </c>
      <c r="O1719">
        <v>4.38</v>
      </c>
      <c r="P1719" t="s">
        <v>343</v>
      </c>
      <c r="Q1719">
        <v>0.53</v>
      </c>
      <c r="R1719" t="s">
        <v>343</v>
      </c>
      <c r="S1719">
        <v>1</v>
      </c>
    </row>
    <row r="1720" spans="1:19" x14ac:dyDescent="0.25">
      <c r="A1720" t="s">
        <v>41</v>
      </c>
      <c r="B1720" t="s">
        <v>140</v>
      </c>
      <c r="C1720">
        <v>1640</v>
      </c>
      <c r="D1720" t="s">
        <v>342</v>
      </c>
      <c r="E1720">
        <v>24.15</v>
      </c>
      <c r="F1720">
        <v>13.69</v>
      </c>
      <c r="G1720">
        <v>14.55</v>
      </c>
      <c r="H1720">
        <v>28.24</v>
      </c>
      <c r="I1720" t="s">
        <v>344</v>
      </c>
      <c r="J1720">
        <v>98.43</v>
      </c>
      <c r="K1720">
        <v>-0.09</v>
      </c>
      <c r="L1720" t="s">
        <v>346</v>
      </c>
      <c r="M1720" s="1">
        <v>8.9999999999999998E-4</v>
      </c>
      <c r="N1720" t="s">
        <v>349</v>
      </c>
      <c r="O1720">
        <v>3.73</v>
      </c>
      <c r="P1720" t="s">
        <v>344</v>
      </c>
      <c r="Q1720">
        <v>-0.1</v>
      </c>
      <c r="R1720" t="s">
        <v>343</v>
      </c>
      <c r="S1720">
        <v>1</v>
      </c>
    </row>
    <row r="1721" spans="1:19" x14ac:dyDescent="0.25">
      <c r="A1721" t="s">
        <v>41</v>
      </c>
      <c r="B1721" t="s">
        <v>141</v>
      </c>
      <c r="C1721">
        <v>1660</v>
      </c>
      <c r="D1721" t="s">
        <v>342</v>
      </c>
      <c r="E1721">
        <v>24.15</v>
      </c>
      <c r="F1721">
        <v>14.51</v>
      </c>
      <c r="G1721">
        <v>14.27</v>
      </c>
      <c r="H1721">
        <v>28.78</v>
      </c>
      <c r="I1721" t="s">
        <v>344</v>
      </c>
      <c r="J1721">
        <v>98.58</v>
      </c>
      <c r="K1721">
        <v>0.78</v>
      </c>
      <c r="L1721" t="s">
        <v>346</v>
      </c>
      <c r="M1721" s="1">
        <v>7.8000000000000014E-3</v>
      </c>
      <c r="N1721" t="s">
        <v>349</v>
      </c>
      <c r="O1721">
        <v>4.29</v>
      </c>
      <c r="P1721" t="s">
        <v>343</v>
      </c>
      <c r="Q1721">
        <v>0.32</v>
      </c>
      <c r="R1721" t="s">
        <v>343</v>
      </c>
      <c r="S1721">
        <v>1</v>
      </c>
    </row>
    <row r="1722" spans="1:19" x14ac:dyDescent="0.25">
      <c r="A1722" t="s">
        <v>41</v>
      </c>
      <c r="B1722" t="s">
        <v>142</v>
      </c>
      <c r="C1722">
        <v>1680</v>
      </c>
      <c r="D1722" t="s">
        <v>342</v>
      </c>
      <c r="E1722">
        <v>24.15</v>
      </c>
      <c r="F1722">
        <v>15.99</v>
      </c>
      <c r="G1722">
        <v>13.23</v>
      </c>
      <c r="H1722">
        <v>29.22</v>
      </c>
      <c r="I1722" t="s">
        <v>344</v>
      </c>
      <c r="J1722">
        <v>98.76</v>
      </c>
      <c r="K1722">
        <v>0.89</v>
      </c>
      <c r="L1722" t="s">
        <v>346</v>
      </c>
      <c r="M1722" s="1">
        <v>8.8999999999999999E-3</v>
      </c>
      <c r="N1722" t="s">
        <v>349</v>
      </c>
      <c r="O1722">
        <v>4.3099999999999996</v>
      </c>
      <c r="P1722" t="s">
        <v>343</v>
      </c>
      <c r="Q1722">
        <v>1.56</v>
      </c>
      <c r="R1722" t="s">
        <v>343</v>
      </c>
      <c r="S1722">
        <v>1</v>
      </c>
    </row>
    <row r="1723" spans="1:19" x14ac:dyDescent="0.25">
      <c r="A1723" t="s">
        <v>41</v>
      </c>
      <c r="B1723" t="s">
        <v>143</v>
      </c>
      <c r="C1723">
        <v>1700</v>
      </c>
      <c r="D1723" t="s">
        <v>342</v>
      </c>
      <c r="E1723">
        <v>24.15</v>
      </c>
      <c r="F1723">
        <v>16.7</v>
      </c>
      <c r="G1723">
        <v>13.08</v>
      </c>
      <c r="H1723">
        <v>29.79</v>
      </c>
      <c r="I1723" t="s">
        <v>344</v>
      </c>
      <c r="J1723">
        <v>98.74</v>
      </c>
      <c r="K1723">
        <v>-0.1</v>
      </c>
      <c r="L1723" t="s">
        <v>346</v>
      </c>
      <c r="M1723" s="1">
        <v>1E-3</v>
      </c>
      <c r="N1723" t="s">
        <v>349</v>
      </c>
      <c r="O1723">
        <v>3.75</v>
      </c>
      <c r="P1723" t="s">
        <v>344</v>
      </c>
      <c r="Q1723">
        <v>-0.8</v>
      </c>
      <c r="R1723" t="s">
        <v>343</v>
      </c>
      <c r="S1723">
        <v>1</v>
      </c>
    </row>
    <row r="1724" spans="1:19" x14ac:dyDescent="0.25">
      <c r="A1724" t="s">
        <v>41</v>
      </c>
      <c r="B1724" t="s">
        <v>144</v>
      </c>
      <c r="C1724">
        <v>1720</v>
      </c>
      <c r="D1724" t="s">
        <v>342</v>
      </c>
      <c r="E1724">
        <v>24.15</v>
      </c>
      <c r="F1724">
        <v>16.7</v>
      </c>
      <c r="G1724">
        <v>13.01</v>
      </c>
      <c r="H1724">
        <v>29.72</v>
      </c>
      <c r="I1724" t="s">
        <v>344</v>
      </c>
      <c r="J1724">
        <v>98.66</v>
      </c>
      <c r="K1724">
        <v>-0.39</v>
      </c>
      <c r="L1724" t="s">
        <v>346</v>
      </c>
      <c r="M1724" s="1">
        <v>3.8999999999999998E-3</v>
      </c>
      <c r="N1724" t="s">
        <v>349</v>
      </c>
      <c r="O1724">
        <v>2.62</v>
      </c>
      <c r="P1724" t="s">
        <v>344</v>
      </c>
      <c r="Q1724">
        <v>-1.1000000000000001</v>
      </c>
      <c r="R1724" t="s">
        <v>343</v>
      </c>
      <c r="S1724">
        <v>1</v>
      </c>
    </row>
    <row r="1725" spans="1:19" x14ac:dyDescent="0.25">
      <c r="A1725" t="s">
        <v>41</v>
      </c>
      <c r="B1725" t="s">
        <v>145</v>
      </c>
      <c r="C1725">
        <v>1740</v>
      </c>
      <c r="D1725" t="s">
        <v>342</v>
      </c>
      <c r="E1725">
        <v>24.15</v>
      </c>
      <c r="F1725">
        <v>20</v>
      </c>
      <c r="G1725">
        <v>13.33</v>
      </c>
      <c r="H1725">
        <v>33.33</v>
      </c>
      <c r="I1725" t="s">
        <v>344</v>
      </c>
      <c r="J1725">
        <v>98.71</v>
      </c>
      <c r="K1725">
        <v>0.24</v>
      </c>
      <c r="L1725" t="s">
        <v>346</v>
      </c>
      <c r="M1725" s="1">
        <v>2.3999999999999998E-3</v>
      </c>
      <c r="N1725" t="s">
        <v>349</v>
      </c>
      <c r="O1725">
        <v>0.41</v>
      </c>
      <c r="P1725" t="s">
        <v>343</v>
      </c>
      <c r="Q1725">
        <v>-1.84</v>
      </c>
      <c r="R1725" t="s">
        <v>343</v>
      </c>
      <c r="S1725">
        <v>1</v>
      </c>
    </row>
    <row r="1726" spans="1:19" x14ac:dyDescent="0.25">
      <c r="A1726" t="s">
        <v>41</v>
      </c>
      <c r="B1726" t="s">
        <v>146</v>
      </c>
      <c r="C1726">
        <v>1760</v>
      </c>
      <c r="D1726" t="s">
        <v>342</v>
      </c>
      <c r="E1726">
        <v>24.15</v>
      </c>
      <c r="F1726">
        <v>20</v>
      </c>
      <c r="G1726">
        <v>13.25</v>
      </c>
      <c r="H1726">
        <v>33.25</v>
      </c>
      <c r="I1726" t="s">
        <v>344</v>
      </c>
      <c r="J1726">
        <v>98.83</v>
      </c>
      <c r="K1726">
        <v>0.62</v>
      </c>
      <c r="L1726" t="s">
        <v>346</v>
      </c>
      <c r="M1726" s="1">
        <v>6.1999999999999998E-3</v>
      </c>
      <c r="N1726" t="s">
        <v>349</v>
      </c>
      <c r="O1726">
        <v>2.93</v>
      </c>
      <c r="P1726" t="s">
        <v>344</v>
      </c>
      <c r="Q1726">
        <v>-0.79</v>
      </c>
      <c r="R1726" t="s">
        <v>343</v>
      </c>
      <c r="S1726">
        <v>1</v>
      </c>
    </row>
    <row r="1727" spans="1:19" x14ac:dyDescent="0.25">
      <c r="A1727" t="s">
        <v>41</v>
      </c>
      <c r="B1727" t="s">
        <v>147</v>
      </c>
      <c r="C1727">
        <v>1780</v>
      </c>
      <c r="D1727" t="s">
        <v>342</v>
      </c>
      <c r="E1727">
        <v>24.15</v>
      </c>
      <c r="F1727">
        <v>20</v>
      </c>
      <c r="G1727">
        <v>14.38</v>
      </c>
      <c r="H1727">
        <v>34.380000000000003</v>
      </c>
      <c r="I1727" t="s">
        <v>344</v>
      </c>
      <c r="J1727">
        <v>98.79</v>
      </c>
      <c r="K1727">
        <v>-0.22</v>
      </c>
      <c r="L1727" t="s">
        <v>346</v>
      </c>
      <c r="M1727" s="1">
        <v>2.2000000000000001E-3</v>
      </c>
      <c r="N1727" t="s">
        <v>349</v>
      </c>
      <c r="O1727">
        <v>2.91</v>
      </c>
      <c r="P1727" t="s">
        <v>344</v>
      </c>
      <c r="Q1727">
        <v>-2</v>
      </c>
      <c r="R1727" t="s">
        <v>344</v>
      </c>
      <c r="S1727">
        <v>1</v>
      </c>
    </row>
    <row r="1728" spans="1:19" x14ac:dyDescent="0.25">
      <c r="A1728" t="s">
        <v>41</v>
      </c>
      <c r="B1728" t="s">
        <v>148</v>
      </c>
      <c r="C1728">
        <v>1800</v>
      </c>
      <c r="D1728" t="s">
        <v>342</v>
      </c>
      <c r="E1728">
        <v>24.15</v>
      </c>
      <c r="F1728">
        <v>20</v>
      </c>
      <c r="G1728">
        <v>14.09</v>
      </c>
      <c r="H1728">
        <v>34.090000000000003</v>
      </c>
      <c r="I1728" t="s">
        <v>344</v>
      </c>
      <c r="J1728">
        <v>98.81</v>
      </c>
      <c r="K1728">
        <v>0.09</v>
      </c>
      <c r="L1728" t="s">
        <v>346</v>
      </c>
      <c r="M1728" s="1">
        <v>8.9999999999999998E-4</v>
      </c>
      <c r="N1728" t="s">
        <v>349</v>
      </c>
      <c r="O1728">
        <v>1.4</v>
      </c>
      <c r="P1728" t="s">
        <v>343</v>
      </c>
      <c r="Q1728">
        <v>-1.38</v>
      </c>
      <c r="R1728" t="s">
        <v>343</v>
      </c>
      <c r="S1728">
        <v>1</v>
      </c>
    </row>
    <row r="1729" spans="1:19" x14ac:dyDescent="0.25">
      <c r="A1729" t="s">
        <v>41</v>
      </c>
      <c r="B1729" t="s">
        <v>149</v>
      </c>
      <c r="C1729">
        <v>1820</v>
      </c>
      <c r="D1729" t="s">
        <v>342</v>
      </c>
      <c r="E1729">
        <v>24.15</v>
      </c>
      <c r="F1729">
        <v>20</v>
      </c>
      <c r="G1729">
        <v>14.5</v>
      </c>
      <c r="H1729">
        <v>34.5</v>
      </c>
      <c r="I1729" t="s">
        <v>344</v>
      </c>
      <c r="J1729">
        <v>98.89</v>
      </c>
      <c r="K1729">
        <v>0.44</v>
      </c>
      <c r="L1729" t="s">
        <v>346</v>
      </c>
      <c r="M1729" s="1">
        <v>4.4000000000000003E-3</v>
      </c>
      <c r="N1729" t="s">
        <v>349</v>
      </c>
      <c r="O1729">
        <v>-7.54</v>
      </c>
      <c r="P1729" t="s">
        <v>343</v>
      </c>
      <c r="Q1729">
        <v>-0.96</v>
      </c>
      <c r="R1729" t="s">
        <v>343</v>
      </c>
      <c r="S1729">
        <v>1</v>
      </c>
    </row>
    <row r="1730" spans="1:19" x14ac:dyDescent="0.25">
      <c r="A1730" t="s">
        <v>41</v>
      </c>
      <c r="B1730" t="s">
        <v>150</v>
      </c>
      <c r="C1730">
        <v>1840</v>
      </c>
      <c r="D1730" t="s">
        <v>342</v>
      </c>
      <c r="E1730">
        <v>24.15</v>
      </c>
      <c r="F1730">
        <v>17.010000000000002</v>
      </c>
      <c r="G1730">
        <v>15.78</v>
      </c>
      <c r="H1730">
        <v>32.79</v>
      </c>
      <c r="I1730" t="s">
        <v>344</v>
      </c>
      <c r="J1730">
        <v>99.07</v>
      </c>
      <c r="K1730">
        <v>0.85</v>
      </c>
      <c r="L1730" t="s">
        <v>346</v>
      </c>
      <c r="M1730" s="1">
        <v>8.5000000000000006E-3</v>
      </c>
      <c r="N1730" t="s">
        <v>349</v>
      </c>
      <c r="O1730">
        <v>1.44</v>
      </c>
      <c r="P1730" t="s">
        <v>343</v>
      </c>
      <c r="Q1730">
        <v>-0.66</v>
      </c>
      <c r="R1730" t="s">
        <v>343</v>
      </c>
      <c r="S1730">
        <v>1</v>
      </c>
    </row>
    <row r="1731" spans="1:19" x14ac:dyDescent="0.25">
      <c r="A1731" t="s">
        <v>41</v>
      </c>
      <c r="B1731" t="s">
        <v>151</v>
      </c>
      <c r="C1731">
        <v>1860</v>
      </c>
      <c r="D1731" t="s">
        <v>342</v>
      </c>
      <c r="E1731">
        <v>24.15</v>
      </c>
      <c r="F1731">
        <v>16.37</v>
      </c>
      <c r="G1731">
        <v>16.07</v>
      </c>
      <c r="H1731">
        <v>32.44</v>
      </c>
      <c r="I1731" t="s">
        <v>344</v>
      </c>
      <c r="J1731">
        <v>99.53</v>
      </c>
      <c r="K1731">
        <v>2.3199999999999998</v>
      </c>
      <c r="L1731" t="s">
        <v>346</v>
      </c>
      <c r="M1731" s="1">
        <v>2.3199999999999998E-2</v>
      </c>
      <c r="N1731" t="s">
        <v>350</v>
      </c>
      <c r="O1731">
        <v>3.32</v>
      </c>
      <c r="P1731" t="s">
        <v>344</v>
      </c>
      <c r="Q1731">
        <v>0.88</v>
      </c>
      <c r="R1731" t="s">
        <v>343</v>
      </c>
      <c r="S1731">
        <v>1</v>
      </c>
    </row>
    <row r="1732" spans="1:19" x14ac:dyDescent="0.25">
      <c r="A1732" t="s">
        <v>41</v>
      </c>
      <c r="B1732" t="s">
        <v>152</v>
      </c>
      <c r="C1732">
        <v>1880</v>
      </c>
      <c r="D1732" t="s">
        <v>342</v>
      </c>
      <c r="E1732">
        <v>24.15</v>
      </c>
      <c r="F1732">
        <v>17.010000000000002</v>
      </c>
      <c r="G1732">
        <v>16.73</v>
      </c>
      <c r="H1732">
        <v>33.75</v>
      </c>
      <c r="I1732" t="s">
        <v>344</v>
      </c>
      <c r="J1732">
        <v>99.82</v>
      </c>
      <c r="K1732">
        <v>1.47</v>
      </c>
      <c r="L1732" t="s">
        <v>346</v>
      </c>
      <c r="M1732" s="1">
        <v>1.47E-2</v>
      </c>
      <c r="N1732" t="s">
        <v>349</v>
      </c>
      <c r="O1732">
        <v>2.71</v>
      </c>
      <c r="P1732" t="s">
        <v>344</v>
      </c>
      <c r="Q1732">
        <v>-0.76</v>
      </c>
      <c r="R1732" t="s">
        <v>343</v>
      </c>
      <c r="S1732">
        <v>1</v>
      </c>
    </row>
    <row r="1733" spans="1:19" x14ac:dyDescent="0.25">
      <c r="A1733" t="s">
        <v>41</v>
      </c>
      <c r="B1733" t="s">
        <v>153</v>
      </c>
      <c r="C1733">
        <v>1900</v>
      </c>
      <c r="D1733" t="s">
        <v>342</v>
      </c>
      <c r="E1733">
        <v>24.15</v>
      </c>
      <c r="F1733">
        <v>16.37</v>
      </c>
      <c r="G1733">
        <v>16.07</v>
      </c>
      <c r="H1733">
        <v>32.44</v>
      </c>
      <c r="I1733" t="s">
        <v>344</v>
      </c>
      <c r="J1733">
        <v>100.5</v>
      </c>
      <c r="K1733">
        <v>3.37</v>
      </c>
      <c r="L1733" t="s">
        <v>346</v>
      </c>
      <c r="M1733" s="1">
        <v>3.3700000000000001E-2</v>
      </c>
      <c r="N1733" t="s">
        <v>350</v>
      </c>
      <c r="O1733">
        <v>4.3</v>
      </c>
      <c r="P1733" t="s">
        <v>343</v>
      </c>
      <c r="Q1733">
        <v>0.13</v>
      </c>
      <c r="R1733" t="s">
        <v>343</v>
      </c>
      <c r="S1733">
        <v>1</v>
      </c>
    </row>
    <row r="1734" spans="1:19" x14ac:dyDescent="0.25">
      <c r="A1734" t="s">
        <v>41</v>
      </c>
      <c r="B1734" t="s">
        <v>154</v>
      </c>
      <c r="C1734">
        <v>1920</v>
      </c>
      <c r="D1734" t="s">
        <v>342</v>
      </c>
      <c r="E1734">
        <v>24.15</v>
      </c>
      <c r="F1734">
        <v>12.46</v>
      </c>
      <c r="G1734">
        <v>15.8</v>
      </c>
      <c r="H1734">
        <v>28.27</v>
      </c>
      <c r="I1734" t="s">
        <v>344</v>
      </c>
      <c r="J1734">
        <v>100.9</v>
      </c>
      <c r="K1734">
        <v>2.0299999999999998</v>
      </c>
      <c r="L1734" t="s">
        <v>346</v>
      </c>
      <c r="M1734" s="1">
        <v>2.0299999999999999E-2</v>
      </c>
      <c r="N1734" t="s">
        <v>350</v>
      </c>
      <c r="O1734">
        <v>3.35</v>
      </c>
      <c r="P1734" t="s">
        <v>344</v>
      </c>
      <c r="Q1734">
        <v>1.2</v>
      </c>
      <c r="R1734" t="s">
        <v>343</v>
      </c>
      <c r="S1734">
        <v>1</v>
      </c>
    </row>
    <row r="1735" spans="1:19" x14ac:dyDescent="0.25">
      <c r="A1735" t="s">
        <v>41</v>
      </c>
      <c r="B1735" t="s">
        <v>155</v>
      </c>
      <c r="C1735">
        <v>1940</v>
      </c>
      <c r="D1735" t="s">
        <v>342</v>
      </c>
      <c r="E1735">
        <v>24.15</v>
      </c>
      <c r="F1735">
        <v>11.34</v>
      </c>
      <c r="G1735">
        <v>16.68</v>
      </c>
      <c r="H1735">
        <v>28.03</v>
      </c>
      <c r="I1735" t="s">
        <v>344</v>
      </c>
      <c r="J1735">
        <v>101.16</v>
      </c>
      <c r="K1735">
        <v>1.27</v>
      </c>
      <c r="L1735" t="s">
        <v>346</v>
      </c>
      <c r="M1735" s="1">
        <v>1.2699999999999999E-2</v>
      </c>
      <c r="N1735" t="s">
        <v>349</v>
      </c>
      <c r="O1735">
        <v>3.48</v>
      </c>
      <c r="P1735" t="s">
        <v>344</v>
      </c>
      <c r="Q1735">
        <v>1.01</v>
      </c>
      <c r="R1735" t="s">
        <v>343</v>
      </c>
      <c r="S1735">
        <v>1</v>
      </c>
    </row>
    <row r="1736" spans="1:19" x14ac:dyDescent="0.25">
      <c r="A1736" t="s">
        <v>41</v>
      </c>
      <c r="B1736" t="s">
        <v>156</v>
      </c>
      <c r="C1736">
        <v>1960</v>
      </c>
      <c r="D1736" t="s">
        <v>342</v>
      </c>
      <c r="E1736">
        <v>24.15</v>
      </c>
      <c r="F1736">
        <v>12.04</v>
      </c>
      <c r="G1736">
        <v>16.11</v>
      </c>
      <c r="H1736">
        <v>28.16</v>
      </c>
      <c r="I1736" t="s">
        <v>344</v>
      </c>
      <c r="J1736">
        <v>101.36</v>
      </c>
      <c r="K1736">
        <v>1.02</v>
      </c>
      <c r="L1736" t="s">
        <v>346</v>
      </c>
      <c r="M1736" s="1">
        <v>1.0200000000000001E-2</v>
      </c>
      <c r="N1736" t="s">
        <v>349</v>
      </c>
      <c r="O1736">
        <v>3.71</v>
      </c>
      <c r="P1736" t="s">
        <v>344</v>
      </c>
      <c r="Q1736">
        <v>0.09</v>
      </c>
      <c r="R1736" t="s">
        <v>343</v>
      </c>
      <c r="S1736">
        <v>1</v>
      </c>
    </row>
    <row r="1737" spans="1:19" x14ac:dyDescent="0.25">
      <c r="A1737" t="s">
        <v>41</v>
      </c>
      <c r="B1737" t="s">
        <v>157</v>
      </c>
      <c r="C1737">
        <v>1980</v>
      </c>
      <c r="D1737" t="s">
        <v>342</v>
      </c>
      <c r="E1737">
        <v>24.15</v>
      </c>
      <c r="F1737">
        <v>13.67</v>
      </c>
      <c r="G1737">
        <v>15.31</v>
      </c>
      <c r="H1737">
        <v>28.98</v>
      </c>
      <c r="I1737" t="s">
        <v>344</v>
      </c>
      <c r="J1737">
        <v>101.44</v>
      </c>
      <c r="K1737">
        <v>0.41</v>
      </c>
      <c r="L1737" t="s">
        <v>346</v>
      </c>
      <c r="M1737" s="1">
        <v>4.0999999999999986E-3</v>
      </c>
      <c r="N1737" t="s">
        <v>349</v>
      </c>
      <c r="O1737">
        <v>3.98</v>
      </c>
      <c r="P1737" t="s">
        <v>344</v>
      </c>
      <c r="Q1737">
        <v>-0.06</v>
      </c>
      <c r="R1737" t="s">
        <v>343</v>
      </c>
      <c r="S1737">
        <v>1</v>
      </c>
    </row>
    <row r="1738" spans="1:19" x14ac:dyDescent="0.25">
      <c r="A1738" t="s">
        <v>41</v>
      </c>
      <c r="B1738" t="s">
        <v>158</v>
      </c>
      <c r="C1738">
        <v>2000</v>
      </c>
      <c r="D1738" t="s">
        <v>342</v>
      </c>
      <c r="E1738">
        <v>24.15</v>
      </c>
      <c r="F1738">
        <v>13.67</v>
      </c>
      <c r="G1738">
        <v>14.65</v>
      </c>
      <c r="H1738">
        <v>28.32</v>
      </c>
      <c r="I1738" t="s">
        <v>344</v>
      </c>
      <c r="J1738">
        <v>101.35</v>
      </c>
      <c r="K1738">
        <v>-0.44</v>
      </c>
      <c r="L1738" t="s">
        <v>346</v>
      </c>
      <c r="M1738" s="1">
        <v>4.4000000000000003E-3</v>
      </c>
      <c r="N1738" t="s">
        <v>349</v>
      </c>
      <c r="O1738">
        <v>3.32</v>
      </c>
      <c r="P1738" t="s">
        <v>344</v>
      </c>
      <c r="Q1738">
        <v>-0.69</v>
      </c>
      <c r="R1738" t="s">
        <v>343</v>
      </c>
      <c r="S1738">
        <v>1</v>
      </c>
    </row>
    <row r="1739" spans="1:19" x14ac:dyDescent="0.25">
      <c r="A1739" t="s">
        <v>41</v>
      </c>
      <c r="B1739" t="s">
        <v>159</v>
      </c>
      <c r="C1739">
        <v>2020</v>
      </c>
      <c r="D1739" t="s">
        <v>342</v>
      </c>
      <c r="E1739">
        <v>24.15</v>
      </c>
      <c r="F1739">
        <v>16.170000000000002</v>
      </c>
      <c r="G1739">
        <v>14.63</v>
      </c>
      <c r="H1739">
        <v>30.8</v>
      </c>
      <c r="I1739" t="s">
        <v>344</v>
      </c>
      <c r="J1739">
        <v>101.27</v>
      </c>
      <c r="K1739">
        <v>-0.44</v>
      </c>
      <c r="L1739" t="s">
        <v>346</v>
      </c>
      <c r="M1739" s="1">
        <v>4.4000000000000003E-3</v>
      </c>
      <c r="N1739" t="s">
        <v>349</v>
      </c>
      <c r="O1739">
        <v>3.2</v>
      </c>
      <c r="P1739" t="s">
        <v>344</v>
      </c>
      <c r="Q1739">
        <v>0.03</v>
      </c>
      <c r="R1739" t="s">
        <v>343</v>
      </c>
      <c r="S1739">
        <v>1</v>
      </c>
    </row>
    <row r="1740" spans="1:19" x14ac:dyDescent="0.25">
      <c r="A1740" t="s">
        <v>41</v>
      </c>
      <c r="B1740" t="s">
        <v>160</v>
      </c>
      <c r="C1740">
        <v>2040</v>
      </c>
      <c r="D1740" t="s">
        <v>342</v>
      </c>
      <c r="E1740">
        <v>24.15</v>
      </c>
      <c r="F1740">
        <v>15.04</v>
      </c>
      <c r="G1740">
        <v>15.54</v>
      </c>
      <c r="H1740">
        <v>30.58</v>
      </c>
      <c r="I1740" t="s">
        <v>344</v>
      </c>
      <c r="J1740">
        <v>102.12</v>
      </c>
      <c r="K1740">
        <v>4.26</v>
      </c>
      <c r="L1740" t="s">
        <v>346</v>
      </c>
      <c r="M1740" s="1">
        <v>4.2599999999999999E-2</v>
      </c>
      <c r="N1740" t="s">
        <v>350</v>
      </c>
      <c r="O1740">
        <v>1.72</v>
      </c>
      <c r="P1740" t="s">
        <v>343</v>
      </c>
      <c r="Q1740">
        <v>0.39</v>
      </c>
      <c r="R1740" t="s">
        <v>343</v>
      </c>
      <c r="S1740">
        <v>1</v>
      </c>
    </row>
    <row r="1741" spans="1:19" x14ac:dyDescent="0.25">
      <c r="A1741" t="s">
        <v>41</v>
      </c>
      <c r="B1741" t="s">
        <v>161</v>
      </c>
      <c r="C1741">
        <v>2060</v>
      </c>
      <c r="D1741" t="s">
        <v>342</v>
      </c>
      <c r="E1741">
        <v>24.15</v>
      </c>
      <c r="F1741">
        <v>20</v>
      </c>
      <c r="G1741">
        <v>16.670000000000002</v>
      </c>
      <c r="H1741">
        <v>36.67</v>
      </c>
      <c r="I1741" t="s">
        <v>344</v>
      </c>
      <c r="J1741">
        <v>101.43</v>
      </c>
      <c r="K1741">
        <v>-3.44</v>
      </c>
      <c r="L1741" t="s">
        <v>346</v>
      </c>
      <c r="M1741" s="1">
        <v>3.44E-2</v>
      </c>
      <c r="N1741" t="s">
        <v>350</v>
      </c>
      <c r="O1741">
        <v>-7.03</v>
      </c>
      <c r="P1741" t="s">
        <v>343</v>
      </c>
      <c r="Q1741">
        <v>-0.73</v>
      </c>
      <c r="R1741" t="s">
        <v>343</v>
      </c>
      <c r="S1741">
        <v>1</v>
      </c>
    </row>
    <row r="1742" spans="1:19" x14ac:dyDescent="0.25">
      <c r="A1742" t="s">
        <v>41</v>
      </c>
      <c r="B1742" t="s">
        <v>162</v>
      </c>
      <c r="C1742">
        <v>2080</v>
      </c>
      <c r="D1742" t="s">
        <v>342</v>
      </c>
      <c r="E1742">
        <v>24.15</v>
      </c>
      <c r="F1742">
        <v>16.170000000000002</v>
      </c>
      <c r="G1742">
        <v>20</v>
      </c>
      <c r="H1742">
        <v>36.17</v>
      </c>
      <c r="I1742" t="s">
        <v>344</v>
      </c>
      <c r="J1742">
        <v>100.72</v>
      </c>
      <c r="K1742">
        <v>-3.55</v>
      </c>
      <c r="L1742" t="s">
        <v>346</v>
      </c>
      <c r="M1742" s="1">
        <v>3.5499999999999997E-2</v>
      </c>
      <c r="N1742" t="s">
        <v>350</v>
      </c>
      <c r="O1742">
        <v>2.2400000000000002</v>
      </c>
      <c r="P1742" t="s">
        <v>344</v>
      </c>
      <c r="Q1742">
        <v>0.98</v>
      </c>
      <c r="R1742" t="s">
        <v>343</v>
      </c>
      <c r="S1742">
        <v>1</v>
      </c>
    </row>
    <row r="1743" spans="1:19" x14ac:dyDescent="0.25">
      <c r="A1743" t="s">
        <v>41</v>
      </c>
      <c r="B1743" t="s">
        <v>163</v>
      </c>
      <c r="C1743">
        <v>2100</v>
      </c>
      <c r="D1743" t="s">
        <v>342</v>
      </c>
      <c r="E1743">
        <v>24.15</v>
      </c>
      <c r="F1743">
        <v>16.170000000000002</v>
      </c>
      <c r="G1743">
        <v>20</v>
      </c>
      <c r="H1743">
        <v>36.17</v>
      </c>
      <c r="I1743" t="s">
        <v>344</v>
      </c>
      <c r="J1743">
        <v>100.4</v>
      </c>
      <c r="K1743">
        <v>-1.62</v>
      </c>
      <c r="L1743" t="s">
        <v>346</v>
      </c>
      <c r="M1743" s="1">
        <v>1.6199999999999999E-2</v>
      </c>
      <c r="N1743" t="s">
        <v>349</v>
      </c>
      <c r="O1743">
        <v>2.5299999999999998</v>
      </c>
      <c r="P1743" t="s">
        <v>344</v>
      </c>
      <c r="Q1743">
        <v>1.02</v>
      </c>
      <c r="R1743" t="s">
        <v>343</v>
      </c>
      <c r="S1743">
        <v>1</v>
      </c>
    </row>
    <row r="1744" spans="1:19" x14ac:dyDescent="0.25">
      <c r="A1744" t="s">
        <v>41</v>
      </c>
      <c r="B1744" t="s">
        <v>164</v>
      </c>
      <c r="C1744">
        <v>2120</v>
      </c>
      <c r="D1744" t="s">
        <v>342</v>
      </c>
      <c r="E1744">
        <v>24.15</v>
      </c>
      <c r="F1744">
        <v>11.99</v>
      </c>
      <c r="G1744">
        <v>20</v>
      </c>
      <c r="H1744">
        <v>31.99</v>
      </c>
      <c r="I1744" t="s">
        <v>344</v>
      </c>
      <c r="J1744">
        <v>100.17</v>
      </c>
      <c r="K1744">
        <v>-1.1599999999999999</v>
      </c>
      <c r="L1744" t="s">
        <v>346</v>
      </c>
      <c r="M1744" s="1">
        <v>1.1599999999999999E-2</v>
      </c>
      <c r="N1744" t="s">
        <v>349</v>
      </c>
      <c r="O1744">
        <v>2.75</v>
      </c>
      <c r="P1744" t="s">
        <v>344</v>
      </c>
      <c r="Q1744">
        <v>5.76</v>
      </c>
      <c r="R1744" t="s">
        <v>343</v>
      </c>
      <c r="S1744">
        <v>1</v>
      </c>
    </row>
    <row r="1745" spans="1:19" x14ac:dyDescent="0.25">
      <c r="A1745" t="s">
        <v>41</v>
      </c>
      <c r="B1745" t="s">
        <v>170</v>
      </c>
      <c r="C1745">
        <v>2140</v>
      </c>
      <c r="D1745" t="s">
        <v>342</v>
      </c>
      <c r="E1745">
        <v>24.15</v>
      </c>
      <c r="F1745">
        <v>12.71</v>
      </c>
      <c r="G1745">
        <v>17.66</v>
      </c>
      <c r="H1745">
        <v>30.37</v>
      </c>
      <c r="I1745" t="s">
        <v>344</v>
      </c>
      <c r="J1745">
        <v>99.89</v>
      </c>
      <c r="K1745">
        <v>-1.38</v>
      </c>
      <c r="L1745" t="s">
        <v>346</v>
      </c>
      <c r="M1745" s="1">
        <v>1.38E-2</v>
      </c>
      <c r="N1745" t="s">
        <v>349</v>
      </c>
      <c r="O1745">
        <v>3.2</v>
      </c>
      <c r="P1745" t="s">
        <v>344</v>
      </c>
      <c r="Q1745">
        <v>-6.2</v>
      </c>
      <c r="R1745" t="s">
        <v>343</v>
      </c>
      <c r="S1745">
        <v>1</v>
      </c>
    </row>
    <row r="1746" spans="1:19" x14ac:dyDescent="0.25">
      <c r="A1746" t="s">
        <v>41</v>
      </c>
      <c r="B1746" t="s">
        <v>171</v>
      </c>
      <c r="C1746">
        <v>2160</v>
      </c>
      <c r="D1746" t="s">
        <v>342</v>
      </c>
      <c r="E1746">
        <v>24.15</v>
      </c>
      <c r="F1746">
        <v>12.86</v>
      </c>
      <c r="G1746">
        <v>16.37</v>
      </c>
      <c r="H1746">
        <v>29.23</v>
      </c>
      <c r="I1746" t="s">
        <v>344</v>
      </c>
      <c r="J1746">
        <v>100.09</v>
      </c>
      <c r="K1746">
        <v>1.01</v>
      </c>
      <c r="L1746" t="s">
        <v>346</v>
      </c>
      <c r="M1746" s="1">
        <v>1.01E-2</v>
      </c>
      <c r="N1746" t="s">
        <v>349</v>
      </c>
      <c r="O1746">
        <v>2.4500000000000002</v>
      </c>
      <c r="P1746" t="s">
        <v>344</v>
      </c>
      <c r="Q1746">
        <v>-1.74</v>
      </c>
      <c r="R1746" t="s">
        <v>343</v>
      </c>
      <c r="S1746">
        <v>1</v>
      </c>
    </row>
    <row r="1747" spans="1:19" x14ac:dyDescent="0.25">
      <c r="A1747" t="s">
        <v>41</v>
      </c>
      <c r="B1747" t="s">
        <v>172</v>
      </c>
      <c r="C1747">
        <v>2180</v>
      </c>
      <c r="D1747" t="s">
        <v>342</v>
      </c>
      <c r="E1747">
        <v>24.15</v>
      </c>
      <c r="F1747">
        <v>12.87</v>
      </c>
      <c r="G1747">
        <v>17.66</v>
      </c>
      <c r="H1747">
        <v>30.53</v>
      </c>
      <c r="I1747" t="s">
        <v>344</v>
      </c>
      <c r="J1747">
        <v>99.58</v>
      </c>
      <c r="K1747">
        <v>-2.5499999999999998</v>
      </c>
      <c r="L1747" t="s">
        <v>346</v>
      </c>
      <c r="M1747" s="1">
        <v>2.5499999999999998E-2</v>
      </c>
      <c r="N1747" t="s">
        <v>350</v>
      </c>
      <c r="O1747">
        <v>1.37</v>
      </c>
      <c r="P1747" t="s">
        <v>343</v>
      </c>
      <c r="Q1747">
        <v>-2.23</v>
      </c>
      <c r="R1747" t="s">
        <v>344</v>
      </c>
      <c r="S1747">
        <v>1</v>
      </c>
    </row>
    <row r="1748" spans="1:19" x14ac:dyDescent="0.25">
      <c r="A1748" t="s">
        <v>41</v>
      </c>
      <c r="B1748" t="s">
        <v>173</v>
      </c>
      <c r="C1748">
        <v>2200</v>
      </c>
      <c r="D1748" t="s">
        <v>342</v>
      </c>
      <c r="E1748">
        <v>24.15</v>
      </c>
      <c r="F1748">
        <v>12.63</v>
      </c>
      <c r="G1748">
        <v>17.66</v>
      </c>
      <c r="H1748">
        <v>30.28</v>
      </c>
      <c r="I1748" t="s">
        <v>344</v>
      </c>
      <c r="J1748">
        <v>99.74</v>
      </c>
      <c r="K1748">
        <v>0.79</v>
      </c>
      <c r="L1748" t="s">
        <v>346</v>
      </c>
      <c r="M1748" s="1">
        <v>7.9000000000000008E-3</v>
      </c>
      <c r="N1748" t="s">
        <v>349</v>
      </c>
      <c r="O1748">
        <v>3.45</v>
      </c>
      <c r="P1748" t="s">
        <v>344</v>
      </c>
      <c r="Q1748">
        <v>-2.2799999999999998</v>
      </c>
      <c r="R1748" t="s">
        <v>344</v>
      </c>
      <c r="S1748">
        <v>1</v>
      </c>
    </row>
    <row r="1749" spans="1:19" x14ac:dyDescent="0.25">
      <c r="A1749" t="s">
        <v>41</v>
      </c>
      <c r="B1749" t="s">
        <v>174</v>
      </c>
      <c r="C1749">
        <v>2220</v>
      </c>
      <c r="D1749" t="s">
        <v>342</v>
      </c>
      <c r="E1749">
        <v>24.15</v>
      </c>
      <c r="F1749">
        <v>12.93</v>
      </c>
      <c r="G1749">
        <v>18.170000000000002</v>
      </c>
      <c r="H1749">
        <v>31.1</v>
      </c>
      <c r="I1749" t="s">
        <v>344</v>
      </c>
      <c r="J1749">
        <v>99.89</v>
      </c>
      <c r="K1749">
        <v>0.73</v>
      </c>
      <c r="L1749" t="s">
        <v>346</v>
      </c>
      <c r="M1749" s="1">
        <v>7.3000000000000001E-3</v>
      </c>
      <c r="N1749" t="s">
        <v>349</v>
      </c>
      <c r="O1749">
        <v>4.8099999999999996</v>
      </c>
      <c r="P1749" t="s">
        <v>343</v>
      </c>
      <c r="Q1749">
        <v>-1.1299999999999999</v>
      </c>
      <c r="R1749" t="s">
        <v>343</v>
      </c>
      <c r="S1749">
        <v>1</v>
      </c>
    </row>
    <row r="1750" spans="1:19" x14ac:dyDescent="0.25">
      <c r="A1750" t="s">
        <v>41</v>
      </c>
      <c r="B1750" t="s">
        <v>175</v>
      </c>
      <c r="C1750">
        <v>2240</v>
      </c>
      <c r="D1750" t="s">
        <v>342</v>
      </c>
      <c r="E1750">
        <v>24.15</v>
      </c>
      <c r="F1750">
        <v>13.57</v>
      </c>
      <c r="G1750">
        <v>17.63</v>
      </c>
      <c r="H1750">
        <v>31.19</v>
      </c>
      <c r="I1750" t="s">
        <v>344</v>
      </c>
      <c r="J1750">
        <v>99.93</v>
      </c>
      <c r="K1750">
        <v>0.23</v>
      </c>
      <c r="L1750" t="s">
        <v>346</v>
      </c>
      <c r="M1750" s="1">
        <v>2.3E-3</v>
      </c>
      <c r="N1750" t="s">
        <v>349</v>
      </c>
      <c r="O1750">
        <v>3.11</v>
      </c>
      <c r="P1750" t="s">
        <v>344</v>
      </c>
      <c r="Q1750">
        <v>-1.34</v>
      </c>
      <c r="R1750" t="s">
        <v>343</v>
      </c>
      <c r="S1750">
        <v>1</v>
      </c>
    </row>
    <row r="1751" spans="1:19" x14ac:dyDescent="0.25">
      <c r="A1751" t="s">
        <v>41</v>
      </c>
      <c r="B1751" t="s">
        <v>176</v>
      </c>
      <c r="C1751">
        <v>2260</v>
      </c>
      <c r="D1751" t="s">
        <v>342</v>
      </c>
      <c r="E1751">
        <v>24.15</v>
      </c>
      <c r="F1751">
        <v>13.9</v>
      </c>
      <c r="G1751">
        <v>18.170000000000002</v>
      </c>
      <c r="H1751">
        <v>32.07</v>
      </c>
      <c r="I1751" t="s">
        <v>344</v>
      </c>
      <c r="J1751">
        <v>100.08</v>
      </c>
      <c r="K1751">
        <v>0.73</v>
      </c>
      <c r="L1751" t="s">
        <v>346</v>
      </c>
      <c r="M1751" s="1">
        <v>7.3000000000000001E-3</v>
      </c>
      <c r="N1751" t="s">
        <v>349</v>
      </c>
      <c r="O1751">
        <v>3.26</v>
      </c>
      <c r="P1751" t="s">
        <v>344</v>
      </c>
      <c r="Q1751">
        <v>-1.38</v>
      </c>
      <c r="R1751" t="s">
        <v>343</v>
      </c>
      <c r="S1751">
        <v>1</v>
      </c>
    </row>
    <row r="1752" spans="1:19" x14ac:dyDescent="0.25">
      <c r="A1752" t="s">
        <v>41</v>
      </c>
      <c r="B1752" t="s">
        <v>177</v>
      </c>
      <c r="C1752">
        <v>2280</v>
      </c>
      <c r="D1752" t="s">
        <v>342</v>
      </c>
      <c r="E1752">
        <v>24.15</v>
      </c>
      <c r="F1752">
        <v>13.76</v>
      </c>
      <c r="G1752">
        <v>18.03</v>
      </c>
      <c r="H1752">
        <v>31.79</v>
      </c>
      <c r="I1752" t="s">
        <v>344</v>
      </c>
      <c r="J1752">
        <v>100.2</v>
      </c>
      <c r="K1752">
        <v>0.61</v>
      </c>
      <c r="L1752" t="s">
        <v>346</v>
      </c>
      <c r="M1752" s="1">
        <v>6.1000000000000004E-3</v>
      </c>
      <c r="N1752" t="s">
        <v>349</v>
      </c>
      <c r="O1752">
        <v>3.7</v>
      </c>
      <c r="P1752" t="s">
        <v>344</v>
      </c>
      <c r="Q1752">
        <v>-1.29</v>
      </c>
      <c r="R1752" t="s">
        <v>343</v>
      </c>
      <c r="S1752">
        <v>1</v>
      </c>
    </row>
    <row r="1753" spans="1:19" x14ac:dyDescent="0.25">
      <c r="A1753" t="s">
        <v>41</v>
      </c>
      <c r="B1753" t="s">
        <v>178</v>
      </c>
      <c r="C1753">
        <v>2300</v>
      </c>
      <c r="D1753" t="s">
        <v>342</v>
      </c>
      <c r="E1753">
        <v>24.15</v>
      </c>
      <c r="F1753">
        <v>14.81</v>
      </c>
      <c r="G1753">
        <v>16.760000000000002</v>
      </c>
      <c r="H1753">
        <v>31.57</v>
      </c>
      <c r="I1753" t="s">
        <v>344</v>
      </c>
      <c r="J1753">
        <v>100.2</v>
      </c>
      <c r="K1753">
        <v>0.01</v>
      </c>
      <c r="L1753" t="s">
        <v>346</v>
      </c>
      <c r="M1753" s="1">
        <v>1E-4</v>
      </c>
      <c r="N1753" t="s">
        <v>349</v>
      </c>
      <c r="O1753">
        <v>3.8</v>
      </c>
      <c r="P1753" t="s">
        <v>344</v>
      </c>
      <c r="Q1753">
        <v>-1.43</v>
      </c>
      <c r="R1753" t="s">
        <v>343</v>
      </c>
      <c r="S1753">
        <v>1</v>
      </c>
    </row>
    <row r="1754" spans="1:19" x14ac:dyDescent="0.25">
      <c r="A1754" t="s">
        <v>41</v>
      </c>
      <c r="B1754" t="s">
        <v>179</v>
      </c>
      <c r="C1754">
        <v>2320</v>
      </c>
      <c r="D1754" t="s">
        <v>342</v>
      </c>
      <c r="E1754">
        <v>24.15</v>
      </c>
      <c r="F1754">
        <v>14.76</v>
      </c>
      <c r="G1754">
        <v>16.59</v>
      </c>
      <c r="H1754">
        <v>31.35</v>
      </c>
      <c r="I1754" t="s">
        <v>344</v>
      </c>
      <c r="J1754">
        <v>100.28</v>
      </c>
      <c r="K1754">
        <v>0.37</v>
      </c>
      <c r="L1754" t="s">
        <v>346</v>
      </c>
      <c r="M1754" s="1">
        <v>3.7000000000000002E-3</v>
      </c>
      <c r="N1754" t="s">
        <v>349</v>
      </c>
      <c r="O1754">
        <v>3.44</v>
      </c>
      <c r="P1754" t="s">
        <v>344</v>
      </c>
      <c r="Q1754">
        <v>-1.56</v>
      </c>
      <c r="R1754" t="s">
        <v>343</v>
      </c>
      <c r="S1754">
        <v>1</v>
      </c>
    </row>
    <row r="1755" spans="1:19" x14ac:dyDescent="0.25">
      <c r="A1755" t="s">
        <v>41</v>
      </c>
      <c r="B1755" t="s">
        <v>180</v>
      </c>
      <c r="C1755">
        <v>2340</v>
      </c>
      <c r="D1755" t="s">
        <v>342</v>
      </c>
      <c r="E1755">
        <v>24.15</v>
      </c>
      <c r="F1755">
        <v>15.59</v>
      </c>
      <c r="G1755">
        <v>16.28</v>
      </c>
      <c r="H1755">
        <v>31.87</v>
      </c>
      <c r="I1755" t="s">
        <v>344</v>
      </c>
      <c r="J1755">
        <v>100.33</v>
      </c>
      <c r="K1755">
        <v>0.28000000000000003</v>
      </c>
      <c r="L1755" t="s">
        <v>346</v>
      </c>
      <c r="M1755" s="1">
        <v>2.8E-3</v>
      </c>
      <c r="N1755" t="s">
        <v>349</v>
      </c>
      <c r="O1755">
        <v>3.35</v>
      </c>
      <c r="P1755" t="s">
        <v>344</v>
      </c>
      <c r="Q1755">
        <v>-1.1599999999999999</v>
      </c>
      <c r="R1755" t="s">
        <v>343</v>
      </c>
      <c r="S1755">
        <v>1</v>
      </c>
    </row>
    <row r="1756" spans="1:19" x14ac:dyDescent="0.25">
      <c r="A1756" t="s">
        <v>41</v>
      </c>
      <c r="B1756" t="s">
        <v>181</v>
      </c>
      <c r="C1756">
        <v>2360</v>
      </c>
      <c r="D1756" t="s">
        <v>342</v>
      </c>
      <c r="E1756">
        <v>24.15</v>
      </c>
      <c r="F1756">
        <v>14.77</v>
      </c>
      <c r="G1756">
        <v>14.75</v>
      </c>
      <c r="H1756">
        <v>29.51</v>
      </c>
      <c r="I1756" t="s">
        <v>344</v>
      </c>
      <c r="J1756">
        <v>100.35</v>
      </c>
      <c r="K1756">
        <v>0.09</v>
      </c>
      <c r="L1756" t="s">
        <v>346</v>
      </c>
      <c r="M1756" s="1">
        <v>8.9999999999999998E-4</v>
      </c>
      <c r="N1756" t="s">
        <v>349</v>
      </c>
      <c r="O1756">
        <v>4.13</v>
      </c>
      <c r="P1756" t="s">
        <v>343</v>
      </c>
      <c r="Q1756">
        <v>-2.0499999999999998</v>
      </c>
      <c r="R1756" t="s">
        <v>344</v>
      </c>
      <c r="S1756">
        <v>1</v>
      </c>
    </row>
    <row r="1757" spans="1:19" x14ac:dyDescent="0.25">
      <c r="A1757" t="s">
        <v>41</v>
      </c>
      <c r="B1757" t="s">
        <v>182</v>
      </c>
      <c r="C1757">
        <v>2380</v>
      </c>
      <c r="D1757" t="s">
        <v>342</v>
      </c>
      <c r="E1757">
        <v>24.15</v>
      </c>
      <c r="F1757">
        <v>15.04</v>
      </c>
      <c r="G1757">
        <v>15.23</v>
      </c>
      <c r="H1757">
        <v>30.27</v>
      </c>
      <c r="I1757" t="s">
        <v>344</v>
      </c>
      <c r="J1757">
        <v>100.41</v>
      </c>
      <c r="K1757">
        <v>0.28000000000000003</v>
      </c>
      <c r="L1757" t="s">
        <v>346</v>
      </c>
      <c r="M1757" s="1">
        <v>2.8E-3</v>
      </c>
      <c r="N1757" t="s">
        <v>349</v>
      </c>
      <c r="O1757">
        <v>4.21</v>
      </c>
      <c r="P1757" t="s">
        <v>343</v>
      </c>
      <c r="Q1757">
        <v>-2.21</v>
      </c>
      <c r="R1757" t="s">
        <v>344</v>
      </c>
      <c r="S1757">
        <v>1</v>
      </c>
    </row>
    <row r="1758" spans="1:19" x14ac:dyDescent="0.25">
      <c r="A1758" t="s">
        <v>41</v>
      </c>
      <c r="B1758" t="s">
        <v>183</v>
      </c>
      <c r="C1758">
        <v>2400</v>
      </c>
      <c r="D1758" t="s">
        <v>342</v>
      </c>
      <c r="E1758">
        <v>24.15</v>
      </c>
      <c r="F1758">
        <v>15.62</v>
      </c>
      <c r="G1758">
        <v>14.44</v>
      </c>
      <c r="H1758">
        <v>30.06</v>
      </c>
      <c r="I1758" t="s">
        <v>344</v>
      </c>
      <c r="J1758">
        <v>100.49</v>
      </c>
      <c r="K1758">
        <v>0.44</v>
      </c>
      <c r="L1758" t="s">
        <v>346</v>
      </c>
      <c r="M1758" s="1">
        <v>4.4000000000000003E-3</v>
      </c>
      <c r="N1758" t="s">
        <v>349</v>
      </c>
      <c r="O1758">
        <v>3.47</v>
      </c>
      <c r="P1758" t="s">
        <v>344</v>
      </c>
      <c r="Q1758">
        <v>-1.27</v>
      </c>
      <c r="R1758" t="s">
        <v>343</v>
      </c>
      <c r="S1758">
        <v>1</v>
      </c>
    </row>
    <row r="1759" spans="1:19" x14ac:dyDescent="0.25">
      <c r="A1759" t="s">
        <v>41</v>
      </c>
      <c r="B1759" t="s">
        <v>184</v>
      </c>
      <c r="C1759">
        <v>2420</v>
      </c>
      <c r="D1759" t="s">
        <v>342</v>
      </c>
      <c r="E1759">
        <v>24.15</v>
      </c>
      <c r="F1759">
        <v>15.06</v>
      </c>
      <c r="G1759">
        <v>13.23</v>
      </c>
      <c r="H1759">
        <v>28.29</v>
      </c>
      <c r="I1759" t="s">
        <v>344</v>
      </c>
      <c r="J1759">
        <v>100.57</v>
      </c>
      <c r="K1759">
        <v>0.4</v>
      </c>
      <c r="L1759" t="s">
        <v>346</v>
      </c>
      <c r="M1759" s="1">
        <v>4.0000000000000001E-3</v>
      </c>
      <c r="N1759" t="s">
        <v>349</v>
      </c>
      <c r="O1759">
        <v>2.84</v>
      </c>
      <c r="P1759" t="s">
        <v>344</v>
      </c>
      <c r="Q1759">
        <v>-2.7</v>
      </c>
      <c r="R1759" t="s">
        <v>344</v>
      </c>
      <c r="S1759">
        <v>1</v>
      </c>
    </row>
    <row r="1760" spans="1:19" x14ac:dyDescent="0.25">
      <c r="A1760" t="s">
        <v>41</v>
      </c>
      <c r="B1760" t="s">
        <v>185</v>
      </c>
      <c r="C1760">
        <v>2440</v>
      </c>
      <c r="D1760" t="s">
        <v>342</v>
      </c>
      <c r="E1760">
        <v>24.15</v>
      </c>
      <c r="F1760">
        <v>14.43</v>
      </c>
      <c r="G1760">
        <v>13.17</v>
      </c>
      <c r="H1760">
        <v>27.61</v>
      </c>
      <c r="I1760" t="s">
        <v>344</v>
      </c>
      <c r="J1760">
        <v>100.69</v>
      </c>
      <c r="K1760">
        <v>0.6</v>
      </c>
      <c r="L1760" t="s">
        <v>346</v>
      </c>
      <c r="M1760" s="1">
        <v>6.0000000000000001E-3</v>
      </c>
      <c r="N1760" t="s">
        <v>349</v>
      </c>
      <c r="O1760">
        <v>2.66</v>
      </c>
      <c r="P1760" t="s">
        <v>344</v>
      </c>
      <c r="Q1760">
        <v>-1.17</v>
      </c>
      <c r="R1760" t="s">
        <v>343</v>
      </c>
      <c r="S1760">
        <v>1</v>
      </c>
    </row>
    <row r="1761" spans="1:19" x14ac:dyDescent="0.25">
      <c r="A1761" t="s">
        <v>41</v>
      </c>
      <c r="B1761" t="s">
        <v>186</v>
      </c>
      <c r="C1761">
        <v>2460</v>
      </c>
      <c r="D1761" t="s">
        <v>342</v>
      </c>
      <c r="E1761">
        <v>24.15</v>
      </c>
      <c r="F1761">
        <v>13.7</v>
      </c>
      <c r="G1761">
        <v>13.57</v>
      </c>
      <c r="H1761">
        <v>27.27</v>
      </c>
      <c r="I1761" t="s">
        <v>344</v>
      </c>
      <c r="J1761">
        <v>100.81</v>
      </c>
      <c r="K1761">
        <v>0.56999999999999995</v>
      </c>
      <c r="L1761" t="s">
        <v>346</v>
      </c>
      <c r="M1761" s="1">
        <v>5.6999999999999993E-3</v>
      </c>
      <c r="N1761" t="s">
        <v>349</v>
      </c>
      <c r="O1761">
        <v>3.62</v>
      </c>
      <c r="P1761" t="s">
        <v>344</v>
      </c>
      <c r="Q1761">
        <v>-1.28</v>
      </c>
      <c r="R1761" t="s">
        <v>343</v>
      </c>
      <c r="S1761">
        <v>1</v>
      </c>
    </row>
    <row r="1762" spans="1:19" x14ac:dyDescent="0.25">
      <c r="A1762" t="s">
        <v>41</v>
      </c>
      <c r="B1762" t="s">
        <v>187</v>
      </c>
      <c r="C1762">
        <v>2480</v>
      </c>
      <c r="D1762" t="s">
        <v>342</v>
      </c>
      <c r="E1762">
        <v>24.15</v>
      </c>
      <c r="F1762">
        <v>13.6</v>
      </c>
      <c r="G1762">
        <v>14.22</v>
      </c>
      <c r="H1762">
        <v>27.82</v>
      </c>
      <c r="I1762" t="s">
        <v>344</v>
      </c>
      <c r="J1762">
        <v>100.87</v>
      </c>
      <c r="K1762">
        <v>0.31</v>
      </c>
      <c r="L1762" t="s">
        <v>346</v>
      </c>
      <c r="M1762" s="1">
        <v>3.0999999999999999E-3</v>
      </c>
      <c r="N1762" t="s">
        <v>349</v>
      </c>
      <c r="O1762">
        <v>2.23</v>
      </c>
      <c r="P1762" t="s">
        <v>344</v>
      </c>
      <c r="Q1762">
        <v>-1.92</v>
      </c>
      <c r="R1762" t="s">
        <v>343</v>
      </c>
      <c r="S1762">
        <v>1</v>
      </c>
    </row>
    <row r="1763" spans="1:19" x14ac:dyDescent="0.25">
      <c r="A1763" t="s">
        <v>41</v>
      </c>
      <c r="B1763" t="s">
        <v>188</v>
      </c>
      <c r="C1763">
        <v>2500</v>
      </c>
      <c r="D1763" t="s">
        <v>342</v>
      </c>
      <c r="E1763">
        <v>24.15</v>
      </c>
      <c r="F1763">
        <v>14.21</v>
      </c>
      <c r="G1763">
        <v>13.43</v>
      </c>
      <c r="H1763">
        <v>27.64</v>
      </c>
      <c r="I1763" t="s">
        <v>344</v>
      </c>
      <c r="J1763">
        <v>101.05</v>
      </c>
      <c r="K1763">
        <v>0.91</v>
      </c>
      <c r="L1763" t="s">
        <v>346</v>
      </c>
      <c r="M1763" s="1">
        <v>9.1000000000000004E-3</v>
      </c>
      <c r="N1763" t="s">
        <v>349</v>
      </c>
      <c r="O1763">
        <v>1.29</v>
      </c>
      <c r="P1763" t="s">
        <v>343</v>
      </c>
      <c r="Q1763">
        <v>-1.86</v>
      </c>
      <c r="R1763" t="s">
        <v>343</v>
      </c>
      <c r="S1763">
        <v>1</v>
      </c>
    </row>
    <row r="1764" spans="1:19" x14ac:dyDescent="0.25">
      <c r="A1764" t="s">
        <v>41</v>
      </c>
      <c r="B1764" t="s">
        <v>189</v>
      </c>
      <c r="C1764">
        <v>2520</v>
      </c>
      <c r="D1764" t="s">
        <v>342</v>
      </c>
      <c r="E1764">
        <v>24.15</v>
      </c>
      <c r="F1764">
        <v>13.88</v>
      </c>
      <c r="G1764">
        <v>12.8</v>
      </c>
      <c r="H1764">
        <v>26.68</v>
      </c>
      <c r="I1764" t="s">
        <v>344</v>
      </c>
      <c r="J1764">
        <v>101.26</v>
      </c>
      <c r="K1764">
        <v>1.03</v>
      </c>
      <c r="L1764" t="s">
        <v>346</v>
      </c>
      <c r="M1764" s="1">
        <v>1.03E-2</v>
      </c>
      <c r="N1764" t="s">
        <v>349</v>
      </c>
      <c r="O1764">
        <v>2.76</v>
      </c>
      <c r="P1764" t="s">
        <v>344</v>
      </c>
      <c r="Q1764">
        <v>-0.04</v>
      </c>
      <c r="R1764" t="s">
        <v>343</v>
      </c>
      <c r="S1764">
        <v>1</v>
      </c>
    </row>
    <row r="1765" spans="1:19" x14ac:dyDescent="0.25">
      <c r="A1765" t="s">
        <v>41</v>
      </c>
      <c r="B1765" t="s">
        <v>190</v>
      </c>
      <c r="C1765">
        <v>2540</v>
      </c>
      <c r="D1765" t="s">
        <v>342</v>
      </c>
      <c r="E1765">
        <v>24.15</v>
      </c>
      <c r="F1765">
        <v>13.11</v>
      </c>
      <c r="G1765">
        <v>13.39</v>
      </c>
      <c r="H1765">
        <v>26.5</v>
      </c>
      <c r="I1765" t="s">
        <v>344</v>
      </c>
      <c r="J1765">
        <v>101.19</v>
      </c>
      <c r="K1765">
        <v>-0.34</v>
      </c>
      <c r="L1765" t="s">
        <v>346</v>
      </c>
      <c r="M1765" s="1">
        <v>3.3999999999999998E-3</v>
      </c>
      <c r="N1765" t="s">
        <v>349</v>
      </c>
      <c r="O1765">
        <v>1.75</v>
      </c>
      <c r="P1765" t="s">
        <v>343</v>
      </c>
      <c r="Q1765">
        <v>-0.86</v>
      </c>
      <c r="R1765" t="s">
        <v>343</v>
      </c>
      <c r="S1765">
        <v>1</v>
      </c>
    </row>
    <row r="1766" spans="1:19" x14ac:dyDescent="0.25">
      <c r="A1766" t="s">
        <v>41</v>
      </c>
      <c r="B1766" t="s">
        <v>191</v>
      </c>
      <c r="C1766">
        <v>2560</v>
      </c>
      <c r="D1766" t="s">
        <v>342</v>
      </c>
      <c r="E1766">
        <v>24.15</v>
      </c>
      <c r="F1766">
        <v>13.17</v>
      </c>
      <c r="G1766">
        <v>13.62</v>
      </c>
      <c r="H1766">
        <v>26.8</v>
      </c>
      <c r="I1766" t="s">
        <v>344</v>
      </c>
      <c r="J1766">
        <v>101.2</v>
      </c>
      <c r="K1766">
        <v>0.06</v>
      </c>
      <c r="L1766" t="s">
        <v>346</v>
      </c>
      <c r="M1766" s="1">
        <v>5.9999999999999995E-4</v>
      </c>
      <c r="N1766" t="s">
        <v>349</v>
      </c>
      <c r="O1766">
        <v>2.2799999999999998</v>
      </c>
      <c r="P1766" t="s">
        <v>344</v>
      </c>
      <c r="Q1766">
        <v>-1.08</v>
      </c>
      <c r="R1766" t="s">
        <v>343</v>
      </c>
      <c r="S1766">
        <v>1</v>
      </c>
    </row>
    <row r="1767" spans="1:19" x14ac:dyDescent="0.25">
      <c r="A1767" t="s">
        <v>41</v>
      </c>
      <c r="B1767" t="s">
        <v>192</v>
      </c>
      <c r="C1767">
        <v>2580</v>
      </c>
      <c r="D1767" t="s">
        <v>342</v>
      </c>
      <c r="E1767">
        <v>24.15</v>
      </c>
      <c r="F1767">
        <v>13.31</v>
      </c>
      <c r="G1767">
        <v>14.49</v>
      </c>
      <c r="H1767">
        <v>27.81</v>
      </c>
      <c r="I1767" t="s">
        <v>344</v>
      </c>
      <c r="J1767">
        <v>101.12</v>
      </c>
      <c r="K1767">
        <v>-0.39</v>
      </c>
      <c r="L1767" t="s">
        <v>346</v>
      </c>
      <c r="M1767" s="1">
        <v>3.8999999999999998E-3</v>
      </c>
      <c r="N1767" t="s">
        <v>349</v>
      </c>
      <c r="O1767">
        <v>3.22</v>
      </c>
      <c r="P1767" t="s">
        <v>344</v>
      </c>
      <c r="Q1767">
        <v>-2.29</v>
      </c>
      <c r="R1767" t="s">
        <v>344</v>
      </c>
      <c r="S1767">
        <v>1</v>
      </c>
    </row>
    <row r="1768" spans="1:19" x14ac:dyDescent="0.25">
      <c r="A1768" t="s">
        <v>41</v>
      </c>
      <c r="B1768" t="s">
        <v>193</v>
      </c>
      <c r="C1768">
        <v>2600</v>
      </c>
      <c r="D1768" t="s">
        <v>342</v>
      </c>
      <c r="E1768">
        <v>24.15</v>
      </c>
      <c r="F1768">
        <v>13.95</v>
      </c>
      <c r="G1768">
        <v>14.26</v>
      </c>
      <c r="H1768">
        <v>28.2</v>
      </c>
      <c r="I1768" t="s">
        <v>344</v>
      </c>
      <c r="J1768">
        <v>101.01</v>
      </c>
      <c r="K1768">
        <v>-0.56999999999999995</v>
      </c>
      <c r="L1768" t="s">
        <v>346</v>
      </c>
      <c r="M1768" s="1">
        <v>5.6999999999999993E-3</v>
      </c>
      <c r="N1768" t="s">
        <v>349</v>
      </c>
      <c r="O1768">
        <v>2.96</v>
      </c>
      <c r="P1768" t="s">
        <v>344</v>
      </c>
      <c r="Q1768">
        <v>-1.1000000000000001</v>
      </c>
      <c r="R1768" t="s">
        <v>343</v>
      </c>
      <c r="S1768">
        <v>1</v>
      </c>
    </row>
    <row r="1769" spans="1:19" x14ac:dyDescent="0.25">
      <c r="A1769" t="s">
        <v>41</v>
      </c>
      <c r="B1769" t="s">
        <v>194</v>
      </c>
      <c r="C1769">
        <v>2620</v>
      </c>
      <c r="D1769" t="s">
        <v>342</v>
      </c>
      <c r="E1769">
        <v>24.15</v>
      </c>
      <c r="F1769">
        <v>16.02</v>
      </c>
      <c r="G1769">
        <v>13.41</v>
      </c>
      <c r="H1769">
        <v>29.43</v>
      </c>
      <c r="I1769" t="s">
        <v>344</v>
      </c>
      <c r="J1769">
        <v>100.79</v>
      </c>
      <c r="K1769">
        <v>-1.1100000000000001</v>
      </c>
      <c r="L1769" t="s">
        <v>346</v>
      </c>
      <c r="M1769" s="1">
        <v>1.11E-2</v>
      </c>
      <c r="N1769" t="s">
        <v>349</v>
      </c>
      <c r="O1769">
        <v>1.59</v>
      </c>
      <c r="P1769" t="s">
        <v>343</v>
      </c>
      <c r="Q1769">
        <v>-0.34</v>
      </c>
      <c r="R1769" t="s">
        <v>343</v>
      </c>
      <c r="S1769">
        <v>1</v>
      </c>
    </row>
    <row r="1770" spans="1:19" x14ac:dyDescent="0.25">
      <c r="A1770" t="s">
        <v>41</v>
      </c>
      <c r="B1770" t="s">
        <v>195</v>
      </c>
      <c r="C1770">
        <v>2640</v>
      </c>
      <c r="D1770" t="s">
        <v>342</v>
      </c>
      <c r="E1770">
        <v>24.15</v>
      </c>
      <c r="F1770">
        <v>16.02</v>
      </c>
      <c r="G1770">
        <v>13.57</v>
      </c>
      <c r="H1770">
        <v>29.59</v>
      </c>
      <c r="I1770" t="s">
        <v>344</v>
      </c>
      <c r="J1770">
        <v>100.5</v>
      </c>
      <c r="K1770">
        <v>-1.45</v>
      </c>
      <c r="L1770" t="s">
        <v>346</v>
      </c>
      <c r="M1770" s="1">
        <v>1.4500000000000001E-2</v>
      </c>
      <c r="N1770" t="s">
        <v>349</v>
      </c>
      <c r="O1770">
        <v>1.1000000000000001</v>
      </c>
      <c r="P1770" t="s">
        <v>343</v>
      </c>
      <c r="Q1770">
        <v>-0.06</v>
      </c>
      <c r="R1770" t="s">
        <v>343</v>
      </c>
      <c r="S1770">
        <v>1</v>
      </c>
    </row>
    <row r="1771" spans="1:19" x14ac:dyDescent="0.25">
      <c r="A1771" t="s">
        <v>41</v>
      </c>
      <c r="B1771" t="s">
        <v>196</v>
      </c>
      <c r="C1771">
        <v>2660</v>
      </c>
      <c r="D1771" t="s">
        <v>342</v>
      </c>
      <c r="E1771">
        <v>24.15</v>
      </c>
      <c r="F1771">
        <v>16.510000000000002</v>
      </c>
      <c r="G1771">
        <v>14.75</v>
      </c>
      <c r="H1771">
        <v>31.27</v>
      </c>
      <c r="I1771" t="s">
        <v>344</v>
      </c>
      <c r="J1771">
        <v>100.19</v>
      </c>
      <c r="K1771">
        <v>-1.53</v>
      </c>
      <c r="L1771" t="s">
        <v>346</v>
      </c>
      <c r="M1771" s="1">
        <v>1.5299999999999999E-2</v>
      </c>
      <c r="N1771" t="s">
        <v>349</v>
      </c>
      <c r="O1771">
        <v>2.31</v>
      </c>
      <c r="P1771" t="s">
        <v>344</v>
      </c>
      <c r="Q1771">
        <v>0.05</v>
      </c>
      <c r="R1771" t="s">
        <v>343</v>
      </c>
      <c r="S1771">
        <v>1</v>
      </c>
    </row>
    <row r="1772" spans="1:19" x14ac:dyDescent="0.25">
      <c r="A1772" t="s">
        <v>41</v>
      </c>
      <c r="B1772" t="s">
        <v>197</v>
      </c>
      <c r="C1772">
        <v>2680</v>
      </c>
      <c r="D1772" t="s">
        <v>342</v>
      </c>
      <c r="E1772">
        <v>24.15</v>
      </c>
      <c r="F1772">
        <v>17.34</v>
      </c>
      <c r="G1772">
        <v>12.5</v>
      </c>
      <c r="H1772">
        <v>29.83</v>
      </c>
      <c r="I1772" t="s">
        <v>344</v>
      </c>
      <c r="J1772">
        <v>99.92</v>
      </c>
      <c r="K1772">
        <v>-1.34</v>
      </c>
      <c r="L1772" t="s">
        <v>346</v>
      </c>
      <c r="M1772" s="1">
        <v>1.34E-2</v>
      </c>
      <c r="N1772" t="s">
        <v>349</v>
      </c>
      <c r="O1772">
        <v>1.85</v>
      </c>
      <c r="P1772" t="s">
        <v>343</v>
      </c>
      <c r="Q1772">
        <v>1.68</v>
      </c>
      <c r="R1772" t="s">
        <v>343</v>
      </c>
      <c r="S1772">
        <v>1</v>
      </c>
    </row>
    <row r="1773" spans="1:19" x14ac:dyDescent="0.25">
      <c r="A1773" t="s">
        <v>41</v>
      </c>
      <c r="B1773" t="s">
        <v>198</v>
      </c>
      <c r="C1773">
        <v>2700</v>
      </c>
      <c r="D1773" t="s">
        <v>342</v>
      </c>
      <c r="E1773">
        <v>24.15</v>
      </c>
      <c r="F1773">
        <v>15.64</v>
      </c>
      <c r="G1773">
        <v>12.98</v>
      </c>
      <c r="H1773">
        <v>28.62</v>
      </c>
      <c r="I1773" t="s">
        <v>344</v>
      </c>
      <c r="J1773">
        <v>99.8</v>
      </c>
      <c r="K1773">
        <v>-0.63</v>
      </c>
      <c r="L1773" t="s">
        <v>346</v>
      </c>
      <c r="M1773" s="1">
        <v>6.3E-3</v>
      </c>
      <c r="N1773" t="s">
        <v>349</v>
      </c>
      <c r="O1773">
        <v>1.1000000000000001</v>
      </c>
      <c r="P1773" t="s">
        <v>343</v>
      </c>
      <c r="Q1773">
        <v>3.07</v>
      </c>
      <c r="R1773" t="s">
        <v>344</v>
      </c>
      <c r="S1773">
        <v>1</v>
      </c>
    </row>
    <row r="1774" spans="1:19" x14ac:dyDescent="0.25">
      <c r="A1774" t="s">
        <v>41</v>
      </c>
      <c r="B1774" t="s">
        <v>199</v>
      </c>
      <c r="C1774">
        <v>2720</v>
      </c>
      <c r="D1774" t="s">
        <v>342</v>
      </c>
      <c r="E1774">
        <v>24.15</v>
      </c>
      <c r="F1774">
        <v>14.31</v>
      </c>
      <c r="G1774">
        <v>13.71</v>
      </c>
      <c r="H1774">
        <v>28.02</v>
      </c>
      <c r="I1774" t="s">
        <v>344</v>
      </c>
      <c r="J1774">
        <v>99.64</v>
      </c>
      <c r="K1774">
        <v>-0.78</v>
      </c>
      <c r="L1774" t="s">
        <v>346</v>
      </c>
      <c r="M1774" s="1">
        <v>7.8000000000000014E-3</v>
      </c>
      <c r="N1774" t="s">
        <v>349</v>
      </c>
      <c r="O1774">
        <v>1.05</v>
      </c>
      <c r="P1774" t="s">
        <v>343</v>
      </c>
      <c r="Q1774">
        <v>2.14</v>
      </c>
      <c r="R1774" t="s">
        <v>344</v>
      </c>
      <c r="S1774">
        <v>1</v>
      </c>
    </row>
    <row r="1775" spans="1:19" x14ac:dyDescent="0.25">
      <c r="A1775" t="s">
        <v>41</v>
      </c>
      <c r="B1775" t="s">
        <v>200</v>
      </c>
      <c r="C1775">
        <v>2740</v>
      </c>
      <c r="D1775" t="s">
        <v>342</v>
      </c>
      <c r="E1775">
        <v>24.15</v>
      </c>
      <c r="F1775">
        <v>11.2</v>
      </c>
      <c r="G1775">
        <v>15.5</v>
      </c>
      <c r="H1775">
        <v>26.7</v>
      </c>
      <c r="I1775" t="s">
        <v>344</v>
      </c>
      <c r="J1775">
        <v>99.5</v>
      </c>
      <c r="K1775">
        <v>-0.68</v>
      </c>
      <c r="L1775" t="s">
        <v>346</v>
      </c>
      <c r="M1775" s="1">
        <v>6.7999999999999996E-3</v>
      </c>
      <c r="N1775" t="s">
        <v>349</v>
      </c>
      <c r="O1775">
        <v>1.34</v>
      </c>
      <c r="P1775" t="s">
        <v>343</v>
      </c>
      <c r="Q1775">
        <v>1.45</v>
      </c>
      <c r="R1775" t="s">
        <v>343</v>
      </c>
      <c r="S1775">
        <v>1</v>
      </c>
    </row>
    <row r="1776" spans="1:19" x14ac:dyDescent="0.25">
      <c r="A1776" t="s">
        <v>41</v>
      </c>
      <c r="B1776" t="s">
        <v>201</v>
      </c>
      <c r="C1776">
        <v>2760</v>
      </c>
      <c r="D1776" t="s">
        <v>342</v>
      </c>
      <c r="E1776">
        <v>24.15</v>
      </c>
      <c r="F1776">
        <v>10.029999999999999</v>
      </c>
      <c r="G1776">
        <v>15.62</v>
      </c>
      <c r="H1776">
        <v>25.64</v>
      </c>
      <c r="I1776" t="s">
        <v>344</v>
      </c>
      <c r="J1776">
        <v>99.38</v>
      </c>
      <c r="K1776">
        <v>-0.62</v>
      </c>
      <c r="L1776" t="s">
        <v>346</v>
      </c>
      <c r="M1776" s="1">
        <v>6.1999999999999998E-3</v>
      </c>
      <c r="N1776" t="s">
        <v>349</v>
      </c>
      <c r="O1776">
        <v>1.21</v>
      </c>
      <c r="P1776" t="s">
        <v>343</v>
      </c>
      <c r="Q1776">
        <v>1.61</v>
      </c>
      <c r="R1776" t="s">
        <v>343</v>
      </c>
      <c r="S1776">
        <v>1</v>
      </c>
    </row>
    <row r="1777" spans="1:19" x14ac:dyDescent="0.25">
      <c r="A1777" t="s">
        <v>41</v>
      </c>
      <c r="B1777" t="s">
        <v>202</v>
      </c>
      <c r="C1777">
        <v>2780</v>
      </c>
      <c r="D1777" t="s">
        <v>342</v>
      </c>
      <c r="E1777">
        <v>24.15</v>
      </c>
      <c r="F1777">
        <v>10.32</v>
      </c>
      <c r="G1777">
        <v>14.69</v>
      </c>
      <c r="H1777">
        <v>25.01</v>
      </c>
      <c r="I1777" t="s">
        <v>344</v>
      </c>
      <c r="J1777">
        <v>99.31</v>
      </c>
      <c r="K1777">
        <v>-0.34</v>
      </c>
      <c r="L1777" t="s">
        <v>346</v>
      </c>
      <c r="M1777" s="1">
        <v>3.3999999999999998E-3</v>
      </c>
      <c r="N1777" t="s">
        <v>349</v>
      </c>
      <c r="O1777">
        <v>1.02</v>
      </c>
      <c r="P1777" t="s">
        <v>343</v>
      </c>
      <c r="Q1777">
        <v>1.78</v>
      </c>
      <c r="R1777" t="s">
        <v>343</v>
      </c>
      <c r="S1777">
        <v>1</v>
      </c>
    </row>
    <row r="1778" spans="1:19" x14ac:dyDescent="0.25">
      <c r="A1778" t="s">
        <v>41</v>
      </c>
      <c r="B1778" t="s">
        <v>203</v>
      </c>
      <c r="C1778">
        <v>2800</v>
      </c>
      <c r="D1778" t="s">
        <v>342</v>
      </c>
      <c r="E1778">
        <v>24.15</v>
      </c>
      <c r="F1778">
        <v>11.19</v>
      </c>
      <c r="G1778">
        <v>14</v>
      </c>
      <c r="H1778">
        <v>25.19</v>
      </c>
      <c r="I1778" t="s">
        <v>344</v>
      </c>
      <c r="J1778">
        <v>99.31</v>
      </c>
      <c r="K1778">
        <v>0.01</v>
      </c>
      <c r="L1778" t="s">
        <v>346</v>
      </c>
      <c r="M1778" s="1">
        <v>1E-4</v>
      </c>
      <c r="N1778" t="s">
        <v>349</v>
      </c>
      <c r="O1778">
        <v>1.28</v>
      </c>
      <c r="P1778" t="s">
        <v>343</v>
      </c>
      <c r="Q1778">
        <v>2.0699999999999998</v>
      </c>
      <c r="R1778" t="s">
        <v>344</v>
      </c>
      <c r="S1778">
        <v>1</v>
      </c>
    </row>
    <row r="1779" spans="1:19" x14ac:dyDescent="0.25">
      <c r="A1779" t="s">
        <v>41</v>
      </c>
      <c r="B1779" t="s">
        <v>204</v>
      </c>
      <c r="C1779">
        <v>2820</v>
      </c>
      <c r="D1779" t="s">
        <v>342</v>
      </c>
      <c r="E1779">
        <v>24.15</v>
      </c>
      <c r="F1779">
        <v>12.51</v>
      </c>
      <c r="G1779">
        <v>13.67</v>
      </c>
      <c r="H1779">
        <v>26.17</v>
      </c>
      <c r="I1779" t="s">
        <v>344</v>
      </c>
      <c r="J1779">
        <v>99.28</v>
      </c>
      <c r="K1779">
        <v>-0.18</v>
      </c>
      <c r="L1779" t="s">
        <v>346</v>
      </c>
      <c r="M1779" s="1">
        <v>1.8E-3</v>
      </c>
      <c r="N1779" t="s">
        <v>349</v>
      </c>
      <c r="O1779">
        <v>0.95</v>
      </c>
      <c r="P1779" t="s">
        <v>343</v>
      </c>
      <c r="Q1779">
        <v>2.29</v>
      </c>
      <c r="R1779" t="s">
        <v>344</v>
      </c>
      <c r="S1779">
        <v>1</v>
      </c>
    </row>
    <row r="1780" spans="1:19" x14ac:dyDescent="0.25">
      <c r="A1780" t="s">
        <v>41</v>
      </c>
      <c r="B1780" t="s">
        <v>205</v>
      </c>
      <c r="C1780">
        <v>2840</v>
      </c>
      <c r="D1780" t="s">
        <v>342</v>
      </c>
      <c r="E1780">
        <v>24.15</v>
      </c>
      <c r="F1780">
        <v>13.31</v>
      </c>
      <c r="G1780">
        <v>14.01</v>
      </c>
      <c r="H1780">
        <v>27.32</v>
      </c>
      <c r="I1780" t="s">
        <v>344</v>
      </c>
      <c r="J1780">
        <v>99.23</v>
      </c>
      <c r="K1780">
        <v>-0.26</v>
      </c>
      <c r="L1780" t="s">
        <v>346</v>
      </c>
      <c r="M1780" s="1">
        <v>2.5999999999999999E-3</v>
      </c>
      <c r="N1780" t="s">
        <v>349</v>
      </c>
      <c r="O1780">
        <v>1.6</v>
      </c>
      <c r="P1780" t="s">
        <v>343</v>
      </c>
      <c r="Q1780">
        <v>1.8</v>
      </c>
      <c r="R1780" t="s">
        <v>343</v>
      </c>
      <c r="S1780">
        <v>1</v>
      </c>
    </row>
    <row r="1781" spans="1:19" x14ac:dyDescent="0.25">
      <c r="A1781" t="s">
        <v>41</v>
      </c>
      <c r="B1781" t="s">
        <v>206</v>
      </c>
      <c r="C1781">
        <v>2860</v>
      </c>
      <c r="D1781" t="s">
        <v>342</v>
      </c>
      <c r="E1781">
        <v>24.15</v>
      </c>
      <c r="F1781">
        <v>13.18</v>
      </c>
      <c r="G1781">
        <v>13.7</v>
      </c>
      <c r="H1781">
        <v>26.88</v>
      </c>
      <c r="I1781" t="s">
        <v>344</v>
      </c>
      <c r="J1781">
        <v>99.08</v>
      </c>
      <c r="K1781">
        <v>-0.72</v>
      </c>
      <c r="L1781" t="s">
        <v>346</v>
      </c>
      <c r="M1781" s="1">
        <v>7.1999999999999998E-3</v>
      </c>
      <c r="N1781" t="s">
        <v>349</v>
      </c>
      <c r="O1781">
        <v>1.48</v>
      </c>
      <c r="P1781" t="s">
        <v>343</v>
      </c>
      <c r="Q1781">
        <v>0.8</v>
      </c>
      <c r="R1781" t="s">
        <v>343</v>
      </c>
      <c r="S1781">
        <v>1</v>
      </c>
    </row>
    <row r="1782" spans="1:19" x14ac:dyDescent="0.25">
      <c r="A1782" t="s">
        <v>41</v>
      </c>
      <c r="B1782" t="s">
        <v>207</v>
      </c>
      <c r="C1782">
        <v>2880</v>
      </c>
      <c r="D1782" t="s">
        <v>342</v>
      </c>
      <c r="E1782">
        <v>24.15</v>
      </c>
      <c r="F1782">
        <v>17.22</v>
      </c>
      <c r="G1782">
        <v>13.7</v>
      </c>
      <c r="H1782">
        <v>30.92</v>
      </c>
      <c r="I1782" t="s">
        <v>344</v>
      </c>
      <c r="J1782">
        <v>99</v>
      </c>
      <c r="K1782">
        <v>-0.41</v>
      </c>
      <c r="L1782" t="s">
        <v>346</v>
      </c>
      <c r="M1782" s="1">
        <v>4.0999999999999986E-3</v>
      </c>
      <c r="N1782" t="s">
        <v>349</v>
      </c>
      <c r="O1782">
        <v>1.95</v>
      </c>
      <c r="P1782" t="s">
        <v>343</v>
      </c>
      <c r="Q1782">
        <v>0.27</v>
      </c>
      <c r="R1782" t="s">
        <v>343</v>
      </c>
      <c r="S1782">
        <v>1</v>
      </c>
    </row>
    <row r="1783" spans="1:19" x14ac:dyDescent="0.25">
      <c r="A1783" t="s">
        <v>41</v>
      </c>
      <c r="B1783" t="s">
        <v>208</v>
      </c>
      <c r="C1783">
        <v>2900</v>
      </c>
      <c r="D1783" t="s">
        <v>342</v>
      </c>
      <c r="E1783">
        <v>24.15</v>
      </c>
      <c r="F1783">
        <v>17.22</v>
      </c>
      <c r="G1783">
        <v>13.7</v>
      </c>
      <c r="H1783">
        <v>30.92</v>
      </c>
      <c r="I1783" t="s">
        <v>344</v>
      </c>
      <c r="J1783">
        <v>99.09</v>
      </c>
      <c r="K1783">
        <v>0.43</v>
      </c>
      <c r="L1783" t="s">
        <v>346</v>
      </c>
      <c r="M1783" s="1">
        <v>4.3E-3</v>
      </c>
      <c r="N1783" t="s">
        <v>349</v>
      </c>
      <c r="O1783">
        <v>2.04</v>
      </c>
      <c r="P1783" t="s">
        <v>344</v>
      </c>
      <c r="Q1783">
        <v>1.71</v>
      </c>
      <c r="R1783" t="s">
        <v>343</v>
      </c>
      <c r="S1783">
        <v>1</v>
      </c>
    </row>
    <row r="1784" spans="1:19" x14ac:dyDescent="0.25">
      <c r="A1784" t="s">
        <v>41</v>
      </c>
      <c r="B1784" t="s">
        <v>209</v>
      </c>
      <c r="C1784">
        <v>2920</v>
      </c>
      <c r="D1784" t="s">
        <v>342</v>
      </c>
      <c r="E1784">
        <v>24.15</v>
      </c>
      <c r="F1784">
        <v>17.22</v>
      </c>
      <c r="G1784">
        <v>12.69</v>
      </c>
      <c r="H1784">
        <v>29.91</v>
      </c>
      <c r="I1784" t="s">
        <v>344</v>
      </c>
      <c r="J1784">
        <v>99.12</v>
      </c>
      <c r="K1784">
        <v>0.17</v>
      </c>
      <c r="L1784" t="s">
        <v>346</v>
      </c>
      <c r="M1784" s="1">
        <v>1.6999999999999999E-3</v>
      </c>
      <c r="N1784" t="s">
        <v>349</v>
      </c>
      <c r="O1784">
        <v>1.58</v>
      </c>
      <c r="P1784" t="s">
        <v>343</v>
      </c>
      <c r="Q1784">
        <v>2.2400000000000002</v>
      </c>
      <c r="R1784" t="s">
        <v>344</v>
      </c>
      <c r="S1784">
        <v>1</v>
      </c>
    </row>
    <row r="1785" spans="1:19" x14ac:dyDescent="0.25">
      <c r="A1785" t="s">
        <v>41</v>
      </c>
      <c r="B1785" t="s">
        <v>210</v>
      </c>
      <c r="C1785">
        <v>2940</v>
      </c>
      <c r="D1785" t="s">
        <v>342</v>
      </c>
      <c r="E1785">
        <v>24.15</v>
      </c>
      <c r="F1785">
        <v>14.96</v>
      </c>
      <c r="G1785">
        <v>14.18</v>
      </c>
      <c r="H1785">
        <v>29.13</v>
      </c>
      <c r="I1785" t="s">
        <v>344</v>
      </c>
      <c r="J1785">
        <v>99.11</v>
      </c>
      <c r="K1785">
        <v>-7.0000000000000007E-2</v>
      </c>
      <c r="L1785" t="s">
        <v>346</v>
      </c>
      <c r="M1785" s="1">
        <v>7.000000000000001E-4</v>
      </c>
      <c r="N1785" t="s">
        <v>349</v>
      </c>
      <c r="O1785">
        <v>0.74</v>
      </c>
      <c r="P1785" t="s">
        <v>343</v>
      </c>
      <c r="Q1785">
        <v>0.97</v>
      </c>
      <c r="R1785" t="s">
        <v>343</v>
      </c>
      <c r="S1785">
        <v>1</v>
      </c>
    </row>
    <row r="1786" spans="1:19" x14ac:dyDescent="0.25">
      <c r="A1786" t="s">
        <v>41</v>
      </c>
      <c r="B1786" t="s">
        <v>211</v>
      </c>
      <c r="C1786">
        <v>2960</v>
      </c>
      <c r="D1786" t="s">
        <v>342</v>
      </c>
      <c r="E1786">
        <v>24.15</v>
      </c>
      <c r="F1786">
        <v>15.99</v>
      </c>
      <c r="G1786">
        <v>15.25</v>
      </c>
      <c r="H1786">
        <v>31.24</v>
      </c>
      <c r="I1786" t="s">
        <v>344</v>
      </c>
      <c r="J1786">
        <v>99.11</v>
      </c>
      <c r="K1786">
        <v>0.03</v>
      </c>
      <c r="L1786" t="s">
        <v>346</v>
      </c>
      <c r="M1786" s="1">
        <v>2.9999999999999997E-4</v>
      </c>
      <c r="N1786" t="s">
        <v>349</v>
      </c>
      <c r="O1786">
        <v>1.77</v>
      </c>
      <c r="P1786" t="s">
        <v>343</v>
      </c>
      <c r="Q1786">
        <v>-0.43</v>
      </c>
      <c r="R1786" t="s">
        <v>343</v>
      </c>
      <c r="S1786">
        <v>1</v>
      </c>
    </row>
    <row r="1787" spans="1:19" x14ac:dyDescent="0.25">
      <c r="A1787" t="s">
        <v>41</v>
      </c>
      <c r="B1787" t="s">
        <v>212</v>
      </c>
      <c r="C1787">
        <v>2980</v>
      </c>
      <c r="D1787" t="s">
        <v>342</v>
      </c>
      <c r="E1787">
        <v>24.15</v>
      </c>
      <c r="F1787">
        <v>16.350000000000001</v>
      </c>
      <c r="G1787">
        <v>15.53</v>
      </c>
      <c r="H1787">
        <v>31.88</v>
      </c>
      <c r="I1787" t="s">
        <v>344</v>
      </c>
      <c r="J1787">
        <v>99.13</v>
      </c>
      <c r="K1787">
        <v>0.06</v>
      </c>
      <c r="L1787" t="s">
        <v>346</v>
      </c>
      <c r="M1787" s="1">
        <v>5.9999999999999995E-4</v>
      </c>
      <c r="N1787" t="s">
        <v>349</v>
      </c>
      <c r="O1787">
        <v>1.61</v>
      </c>
      <c r="P1787" t="s">
        <v>343</v>
      </c>
      <c r="Q1787">
        <v>0.36</v>
      </c>
      <c r="R1787" t="s">
        <v>343</v>
      </c>
      <c r="S1787">
        <v>1</v>
      </c>
    </row>
    <row r="1788" spans="1:19" x14ac:dyDescent="0.25">
      <c r="A1788" t="s">
        <v>41</v>
      </c>
      <c r="B1788" t="s">
        <v>213</v>
      </c>
      <c r="C1788">
        <v>3000</v>
      </c>
      <c r="D1788" t="s">
        <v>342</v>
      </c>
      <c r="E1788">
        <v>24.15</v>
      </c>
      <c r="F1788">
        <v>16.78</v>
      </c>
      <c r="G1788">
        <v>15.47</v>
      </c>
      <c r="H1788">
        <v>32.25</v>
      </c>
      <c r="I1788" t="s">
        <v>344</v>
      </c>
      <c r="J1788">
        <v>99.08</v>
      </c>
      <c r="K1788">
        <v>-0.25</v>
      </c>
      <c r="L1788" t="s">
        <v>346</v>
      </c>
      <c r="M1788" s="1">
        <v>2.5000000000000001E-3</v>
      </c>
      <c r="N1788" t="s">
        <v>349</v>
      </c>
      <c r="O1788">
        <v>1.31</v>
      </c>
      <c r="P1788" t="s">
        <v>343</v>
      </c>
      <c r="Q1788">
        <v>-0.37</v>
      </c>
      <c r="R1788" t="s">
        <v>343</v>
      </c>
      <c r="S1788">
        <v>1</v>
      </c>
    </row>
    <row r="1789" spans="1:19" x14ac:dyDescent="0.25">
      <c r="A1789" t="s">
        <v>41</v>
      </c>
      <c r="B1789" t="s">
        <v>214</v>
      </c>
      <c r="C1789">
        <v>3020</v>
      </c>
      <c r="D1789" t="s">
        <v>342</v>
      </c>
      <c r="E1789">
        <v>24.15</v>
      </c>
      <c r="F1789">
        <v>16.809999999999999</v>
      </c>
      <c r="G1789">
        <v>14.17</v>
      </c>
      <c r="H1789">
        <v>30.98</v>
      </c>
      <c r="I1789" t="s">
        <v>344</v>
      </c>
      <c r="J1789">
        <v>99.01</v>
      </c>
      <c r="K1789">
        <v>-0.32</v>
      </c>
      <c r="L1789" t="s">
        <v>346</v>
      </c>
      <c r="M1789" s="1">
        <v>3.2000000000000002E-3</v>
      </c>
      <c r="N1789" t="s">
        <v>349</v>
      </c>
      <c r="O1789">
        <v>1.72</v>
      </c>
      <c r="P1789" t="s">
        <v>343</v>
      </c>
      <c r="Q1789">
        <v>-0.44</v>
      </c>
      <c r="R1789" t="s">
        <v>343</v>
      </c>
      <c r="S1789">
        <v>1</v>
      </c>
    </row>
    <row r="1790" spans="1:19" x14ac:dyDescent="0.25">
      <c r="A1790" t="s">
        <v>41</v>
      </c>
      <c r="B1790" t="s">
        <v>215</v>
      </c>
      <c r="C1790">
        <v>3040</v>
      </c>
      <c r="D1790" t="s">
        <v>342</v>
      </c>
      <c r="E1790">
        <v>24.15</v>
      </c>
      <c r="F1790">
        <v>16.809999999999999</v>
      </c>
      <c r="G1790">
        <v>14.26</v>
      </c>
      <c r="H1790">
        <v>31.07</v>
      </c>
      <c r="I1790" t="s">
        <v>344</v>
      </c>
      <c r="J1790">
        <v>99.05</v>
      </c>
      <c r="K1790">
        <v>0.17</v>
      </c>
      <c r="L1790" t="s">
        <v>346</v>
      </c>
      <c r="M1790" s="1">
        <v>1.6999999999999999E-3</v>
      </c>
      <c r="N1790" t="s">
        <v>349</v>
      </c>
      <c r="O1790">
        <v>1.66</v>
      </c>
      <c r="P1790" t="s">
        <v>343</v>
      </c>
      <c r="Q1790">
        <v>0</v>
      </c>
      <c r="R1790" t="s">
        <v>343</v>
      </c>
      <c r="S1790">
        <v>1</v>
      </c>
    </row>
    <row r="1791" spans="1:19" x14ac:dyDescent="0.25">
      <c r="A1791" t="s">
        <v>41</v>
      </c>
      <c r="B1791" t="s">
        <v>216</v>
      </c>
      <c r="C1791">
        <v>3060</v>
      </c>
      <c r="D1791" t="s">
        <v>342</v>
      </c>
      <c r="E1791">
        <v>24.15</v>
      </c>
      <c r="F1791">
        <v>17.350000000000001</v>
      </c>
      <c r="G1791">
        <v>13.75</v>
      </c>
      <c r="H1791">
        <v>31.1</v>
      </c>
      <c r="I1791" t="s">
        <v>344</v>
      </c>
      <c r="J1791">
        <v>99.06</v>
      </c>
      <c r="K1791">
        <v>7.0000000000000007E-2</v>
      </c>
      <c r="L1791" t="s">
        <v>346</v>
      </c>
      <c r="M1791" s="1">
        <v>7.000000000000001E-4</v>
      </c>
      <c r="N1791" t="s">
        <v>349</v>
      </c>
      <c r="O1791">
        <v>2.5299999999999998</v>
      </c>
      <c r="P1791" t="s">
        <v>344</v>
      </c>
      <c r="Q1791">
        <v>-0.25</v>
      </c>
      <c r="R1791" t="s">
        <v>343</v>
      </c>
      <c r="S1791">
        <v>1</v>
      </c>
    </row>
    <row r="1792" spans="1:19" x14ac:dyDescent="0.25">
      <c r="A1792" t="s">
        <v>41</v>
      </c>
      <c r="B1792" t="s">
        <v>217</v>
      </c>
      <c r="C1792">
        <v>3080</v>
      </c>
      <c r="D1792" t="s">
        <v>342</v>
      </c>
      <c r="E1792">
        <v>24.15</v>
      </c>
      <c r="F1792">
        <v>16.21</v>
      </c>
      <c r="G1792">
        <v>11.23</v>
      </c>
      <c r="H1792">
        <v>27.44</v>
      </c>
      <c r="I1792" t="s">
        <v>344</v>
      </c>
      <c r="J1792">
        <v>99.15</v>
      </c>
      <c r="K1792">
        <v>0.44</v>
      </c>
      <c r="L1792" t="s">
        <v>346</v>
      </c>
      <c r="M1792" s="1">
        <v>4.4000000000000003E-3</v>
      </c>
      <c r="N1792" t="s">
        <v>349</v>
      </c>
      <c r="O1792">
        <v>2.0299999999999998</v>
      </c>
      <c r="P1792" t="s">
        <v>344</v>
      </c>
      <c r="Q1792">
        <v>-0.53</v>
      </c>
      <c r="R1792" t="s">
        <v>343</v>
      </c>
      <c r="S1792">
        <v>1</v>
      </c>
    </row>
    <row r="1793" spans="1:19" x14ac:dyDescent="0.25">
      <c r="A1793" t="s">
        <v>41</v>
      </c>
      <c r="B1793" t="s">
        <v>218</v>
      </c>
      <c r="C1793">
        <v>3100</v>
      </c>
      <c r="D1793" t="s">
        <v>342</v>
      </c>
      <c r="E1793">
        <v>24.15</v>
      </c>
      <c r="F1793">
        <v>15.95</v>
      </c>
      <c r="G1793">
        <v>11.28</v>
      </c>
      <c r="H1793">
        <v>27.23</v>
      </c>
      <c r="I1793" t="s">
        <v>344</v>
      </c>
      <c r="J1793">
        <v>99.3</v>
      </c>
      <c r="K1793">
        <v>0.77</v>
      </c>
      <c r="L1793" t="s">
        <v>346</v>
      </c>
      <c r="M1793" s="1">
        <v>7.7000000000000002E-3</v>
      </c>
      <c r="N1793" t="s">
        <v>349</v>
      </c>
      <c r="O1793">
        <v>2.98</v>
      </c>
      <c r="P1793" t="s">
        <v>344</v>
      </c>
      <c r="Q1793">
        <v>1.08</v>
      </c>
      <c r="R1793" t="s">
        <v>343</v>
      </c>
      <c r="S1793">
        <v>1</v>
      </c>
    </row>
    <row r="1794" spans="1:19" x14ac:dyDescent="0.25">
      <c r="A1794" t="s">
        <v>41</v>
      </c>
      <c r="B1794" t="s">
        <v>219</v>
      </c>
      <c r="C1794">
        <v>3120</v>
      </c>
      <c r="D1794" t="s">
        <v>342</v>
      </c>
      <c r="E1794">
        <v>24.15</v>
      </c>
      <c r="F1794">
        <v>15.79</v>
      </c>
      <c r="G1794">
        <v>11.44</v>
      </c>
      <c r="H1794">
        <v>27.22</v>
      </c>
      <c r="I1794" t="s">
        <v>344</v>
      </c>
      <c r="J1794">
        <v>99.28</v>
      </c>
      <c r="K1794">
        <v>-0.09</v>
      </c>
      <c r="L1794" t="s">
        <v>346</v>
      </c>
      <c r="M1794" s="1">
        <v>8.9999999999999998E-4</v>
      </c>
      <c r="N1794" t="s">
        <v>349</v>
      </c>
      <c r="O1794">
        <v>3.78</v>
      </c>
      <c r="P1794" t="s">
        <v>344</v>
      </c>
      <c r="Q1794">
        <v>1.22</v>
      </c>
      <c r="R1794" t="s">
        <v>343</v>
      </c>
      <c r="S1794">
        <v>1</v>
      </c>
    </row>
    <row r="1795" spans="1:19" x14ac:dyDescent="0.25">
      <c r="A1795" t="s">
        <v>41</v>
      </c>
      <c r="B1795" t="s">
        <v>220</v>
      </c>
      <c r="C1795">
        <v>3140</v>
      </c>
      <c r="D1795" t="s">
        <v>342</v>
      </c>
      <c r="E1795">
        <v>24.15</v>
      </c>
      <c r="F1795">
        <v>15.48</v>
      </c>
      <c r="G1795">
        <v>11.23</v>
      </c>
      <c r="H1795">
        <v>26.72</v>
      </c>
      <c r="I1795" t="s">
        <v>344</v>
      </c>
      <c r="J1795">
        <v>99.13</v>
      </c>
      <c r="K1795">
        <v>-0.73</v>
      </c>
      <c r="L1795" t="s">
        <v>346</v>
      </c>
      <c r="M1795" s="1">
        <v>7.3000000000000001E-3</v>
      </c>
      <c r="N1795" t="s">
        <v>349</v>
      </c>
      <c r="O1795">
        <v>3.98</v>
      </c>
      <c r="P1795" t="s">
        <v>344</v>
      </c>
      <c r="Q1795">
        <v>-0.32</v>
      </c>
      <c r="R1795" t="s">
        <v>343</v>
      </c>
      <c r="S1795">
        <v>1</v>
      </c>
    </row>
    <row r="1796" spans="1:19" x14ac:dyDescent="0.25">
      <c r="A1796" t="s">
        <v>41</v>
      </c>
      <c r="B1796" t="s">
        <v>221</v>
      </c>
      <c r="C1796">
        <v>3160</v>
      </c>
      <c r="D1796" t="s">
        <v>342</v>
      </c>
      <c r="E1796">
        <v>24.15</v>
      </c>
      <c r="F1796">
        <v>15.64</v>
      </c>
      <c r="G1796">
        <v>11.97</v>
      </c>
      <c r="H1796">
        <v>27.61</v>
      </c>
      <c r="I1796" t="s">
        <v>344</v>
      </c>
      <c r="J1796">
        <v>99.07</v>
      </c>
      <c r="K1796">
        <v>-0.34</v>
      </c>
      <c r="L1796" t="s">
        <v>346</v>
      </c>
      <c r="M1796" s="1">
        <v>3.3999999999999998E-3</v>
      </c>
      <c r="N1796" t="s">
        <v>349</v>
      </c>
      <c r="O1796">
        <v>4.6100000000000003</v>
      </c>
      <c r="P1796" t="s">
        <v>343</v>
      </c>
      <c r="Q1796">
        <v>-2.77</v>
      </c>
      <c r="R1796" t="s">
        <v>344</v>
      </c>
      <c r="S1796">
        <v>1</v>
      </c>
    </row>
    <row r="1797" spans="1:19" x14ac:dyDescent="0.25">
      <c r="A1797" t="s">
        <v>41</v>
      </c>
      <c r="B1797" t="s">
        <v>222</v>
      </c>
      <c r="C1797">
        <v>3180</v>
      </c>
      <c r="D1797" t="s">
        <v>342</v>
      </c>
      <c r="E1797">
        <v>24.15</v>
      </c>
      <c r="F1797">
        <v>15.23</v>
      </c>
      <c r="G1797">
        <v>12.54</v>
      </c>
      <c r="H1797">
        <v>27.76</v>
      </c>
      <c r="I1797" t="s">
        <v>344</v>
      </c>
      <c r="J1797">
        <v>98.93</v>
      </c>
      <c r="K1797">
        <v>-0.67</v>
      </c>
      <c r="L1797" t="s">
        <v>346</v>
      </c>
      <c r="M1797" s="1">
        <v>6.7000000000000002E-3</v>
      </c>
      <c r="N1797" t="s">
        <v>349</v>
      </c>
      <c r="O1797">
        <v>4.08</v>
      </c>
      <c r="P1797" t="s">
        <v>343</v>
      </c>
      <c r="Q1797">
        <v>-4.0599999999999996</v>
      </c>
      <c r="R1797" t="s">
        <v>343</v>
      </c>
      <c r="S1797">
        <v>1</v>
      </c>
    </row>
    <row r="1798" spans="1:19" x14ac:dyDescent="0.25">
      <c r="A1798" t="s">
        <v>41</v>
      </c>
      <c r="B1798" t="s">
        <v>223</v>
      </c>
      <c r="C1798">
        <v>3200</v>
      </c>
      <c r="D1798" t="s">
        <v>342</v>
      </c>
      <c r="E1798">
        <v>24.15</v>
      </c>
      <c r="F1798">
        <v>15.05</v>
      </c>
      <c r="G1798">
        <v>12.28</v>
      </c>
      <c r="H1798">
        <v>27.33</v>
      </c>
      <c r="I1798" t="s">
        <v>344</v>
      </c>
      <c r="J1798">
        <v>98.87</v>
      </c>
      <c r="K1798">
        <v>-0.33</v>
      </c>
      <c r="L1798" t="s">
        <v>346</v>
      </c>
      <c r="M1798" s="1">
        <v>3.3E-3</v>
      </c>
      <c r="N1798" t="s">
        <v>349</v>
      </c>
      <c r="O1798">
        <v>2.98</v>
      </c>
      <c r="P1798" t="s">
        <v>344</v>
      </c>
      <c r="Q1798">
        <v>-3.64</v>
      </c>
      <c r="R1798" t="s">
        <v>344</v>
      </c>
      <c r="S1798">
        <v>1</v>
      </c>
    </row>
    <row r="1799" spans="1:19" x14ac:dyDescent="0.25">
      <c r="A1799" t="s">
        <v>41</v>
      </c>
      <c r="B1799" t="s">
        <v>224</v>
      </c>
      <c r="C1799">
        <v>3220</v>
      </c>
      <c r="D1799" t="s">
        <v>342</v>
      </c>
      <c r="E1799">
        <v>24.15</v>
      </c>
      <c r="F1799">
        <v>15.4</v>
      </c>
      <c r="G1799">
        <v>12</v>
      </c>
      <c r="H1799">
        <v>27.41</v>
      </c>
      <c r="I1799" t="s">
        <v>344</v>
      </c>
      <c r="J1799">
        <v>98.86</v>
      </c>
      <c r="K1799">
        <v>-0.03</v>
      </c>
      <c r="L1799" t="s">
        <v>346</v>
      </c>
      <c r="M1799" s="1">
        <v>2.9999999999999997E-4</v>
      </c>
      <c r="N1799" t="s">
        <v>349</v>
      </c>
      <c r="O1799">
        <v>2.4900000000000002</v>
      </c>
      <c r="P1799" t="s">
        <v>344</v>
      </c>
      <c r="Q1799">
        <v>-1.97</v>
      </c>
      <c r="R1799" t="s">
        <v>343</v>
      </c>
      <c r="S1799">
        <v>1</v>
      </c>
    </row>
    <row r="1800" spans="1:19" x14ac:dyDescent="0.25">
      <c r="A1800" t="s">
        <v>41</v>
      </c>
      <c r="B1800" t="s">
        <v>225</v>
      </c>
      <c r="C1800">
        <v>3240</v>
      </c>
      <c r="D1800" t="s">
        <v>342</v>
      </c>
      <c r="E1800">
        <v>24.15</v>
      </c>
      <c r="F1800">
        <v>14.49</v>
      </c>
      <c r="G1800">
        <v>12.77</v>
      </c>
      <c r="H1800">
        <v>27.27</v>
      </c>
      <c r="I1800" t="s">
        <v>344</v>
      </c>
      <c r="J1800">
        <v>98.85</v>
      </c>
      <c r="K1800">
        <v>-0.06</v>
      </c>
      <c r="L1800" t="s">
        <v>346</v>
      </c>
      <c r="M1800" s="1">
        <v>5.9999999999999995E-4</v>
      </c>
      <c r="N1800" t="s">
        <v>349</v>
      </c>
      <c r="O1800">
        <v>3.19</v>
      </c>
      <c r="P1800" t="s">
        <v>344</v>
      </c>
      <c r="Q1800">
        <v>-2.2400000000000002</v>
      </c>
      <c r="R1800" t="s">
        <v>344</v>
      </c>
      <c r="S1800">
        <v>1</v>
      </c>
    </row>
    <row r="1801" spans="1:19" x14ac:dyDescent="0.25">
      <c r="A1801" t="s">
        <v>41</v>
      </c>
      <c r="B1801" t="s">
        <v>241</v>
      </c>
      <c r="C1801">
        <v>3260</v>
      </c>
      <c r="D1801" t="s">
        <v>342</v>
      </c>
      <c r="E1801">
        <v>24.15</v>
      </c>
      <c r="F1801">
        <v>14.21</v>
      </c>
      <c r="G1801">
        <v>13.46</v>
      </c>
      <c r="H1801">
        <v>27.67</v>
      </c>
      <c r="I1801" t="s">
        <v>344</v>
      </c>
      <c r="J1801">
        <v>98.73</v>
      </c>
      <c r="K1801">
        <v>-0.6</v>
      </c>
      <c r="L1801" t="s">
        <v>346</v>
      </c>
      <c r="M1801" s="1">
        <v>6.0000000000000001E-3</v>
      </c>
      <c r="N1801" t="s">
        <v>349</v>
      </c>
      <c r="O1801">
        <v>2.23</v>
      </c>
      <c r="P1801" t="s">
        <v>344</v>
      </c>
      <c r="Q1801">
        <v>-3.41</v>
      </c>
      <c r="R1801" t="s">
        <v>344</v>
      </c>
      <c r="S1801">
        <v>1</v>
      </c>
    </row>
    <row r="1802" spans="1:19" x14ac:dyDescent="0.25">
      <c r="A1802" t="s">
        <v>41</v>
      </c>
      <c r="B1802" t="s">
        <v>242</v>
      </c>
      <c r="C1802">
        <v>3280</v>
      </c>
      <c r="D1802" t="s">
        <v>342</v>
      </c>
      <c r="E1802">
        <v>24.15</v>
      </c>
      <c r="F1802">
        <v>13.69</v>
      </c>
      <c r="G1802">
        <v>17.3</v>
      </c>
      <c r="H1802">
        <v>30.99</v>
      </c>
      <c r="I1802" t="s">
        <v>344</v>
      </c>
      <c r="J1802">
        <v>98.58</v>
      </c>
      <c r="K1802">
        <v>-0.73</v>
      </c>
      <c r="L1802" t="s">
        <v>346</v>
      </c>
      <c r="M1802" s="1">
        <v>7.3000000000000001E-3</v>
      </c>
      <c r="N1802" t="s">
        <v>349</v>
      </c>
      <c r="O1802">
        <v>0.08</v>
      </c>
      <c r="P1802" t="s">
        <v>343</v>
      </c>
      <c r="Q1802">
        <v>-3.03</v>
      </c>
      <c r="R1802" t="s">
        <v>344</v>
      </c>
      <c r="S1802">
        <v>1</v>
      </c>
    </row>
    <row r="1803" spans="1:19" x14ac:dyDescent="0.25">
      <c r="A1803" t="s">
        <v>41</v>
      </c>
      <c r="B1803" t="s">
        <v>243</v>
      </c>
      <c r="C1803">
        <v>3300</v>
      </c>
      <c r="D1803" t="s">
        <v>342</v>
      </c>
      <c r="E1803">
        <v>24.15</v>
      </c>
      <c r="F1803">
        <v>13.78</v>
      </c>
      <c r="G1803">
        <v>20</v>
      </c>
      <c r="H1803">
        <v>33.78</v>
      </c>
      <c r="I1803" t="s">
        <v>344</v>
      </c>
      <c r="J1803">
        <v>98.66</v>
      </c>
      <c r="K1803">
        <v>0.42</v>
      </c>
      <c r="L1803" t="s">
        <v>346</v>
      </c>
      <c r="M1803" s="1">
        <v>4.1999999999999997E-3</v>
      </c>
      <c r="N1803" t="s">
        <v>349</v>
      </c>
      <c r="O1803">
        <v>0.18</v>
      </c>
      <c r="P1803" t="s">
        <v>343</v>
      </c>
      <c r="Q1803">
        <v>-2.29</v>
      </c>
      <c r="R1803" t="s">
        <v>344</v>
      </c>
      <c r="S1803">
        <v>1</v>
      </c>
    </row>
    <row r="1804" spans="1:19" x14ac:dyDescent="0.25">
      <c r="A1804" t="s">
        <v>41</v>
      </c>
      <c r="B1804" t="s">
        <v>244</v>
      </c>
      <c r="C1804">
        <v>3320</v>
      </c>
      <c r="D1804" t="s">
        <v>342</v>
      </c>
      <c r="E1804">
        <v>24.15</v>
      </c>
      <c r="F1804">
        <v>14.29</v>
      </c>
      <c r="G1804">
        <v>20</v>
      </c>
      <c r="H1804">
        <v>34.29</v>
      </c>
      <c r="I1804" t="s">
        <v>344</v>
      </c>
      <c r="J1804">
        <v>98.78</v>
      </c>
      <c r="K1804">
        <v>0.6</v>
      </c>
      <c r="L1804" t="s">
        <v>346</v>
      </c>
      <c r="M1804" s="1">
        <v>6.0000000000000001E-3</v>
      </c>
      <c r="N1804" t="s">
        <v>349</v>
      </c>
      <c r="O1804">
        <v>0.16</v>
      </c>
      <c r="P1804" t="s">
        <v>343</v>
      </c>
      <c r="Q1804">
        <v>-1.85</v>
      </c>
      <c r="R1804" t="s">
        <v>343</v>
      </c>
      <c r="S1804">
        <v>1</v>
      </c>
    </row>
    <row r="1805" spans="1:19" x14ac:dyDescent="0.25">
      <c r="A1805" t="s">
        <v>41</v>
      </c>
      <c r="B1805" t="s">
        <v>245</v>
      </c>
      <c r="C1805">
        <v>3340</v>
      </c>
      <c r="D1805" t="s">
        <v>342</v>
      </c>
      <c r="E1805">
        <v>24.15</v>
      </c>
      <c r="F1805">
        <v>15.29</v>
      </c>
      <c r="G1805">
        <v>20</v>
      </c>
      <c r="H1805">
        <v>35.29</v>
      </c>
      <c r="I1805" t="s">
        <v>344</v>
      </c>
      <c r="J1805">
        <v>98.98</v>
      </c>
      <c r="K1805">
        <v>0.98</v>
      </c>
      <c r="L1805" t="s">
        <v>346</v>
      </c>
      <c r="M1805" s="1">
        <v>9.7999999999999997E-3</v>
      </c>
      <c r="N1805" t="s">
        <v>349</v>
      </c>
      <c r="O1805">
        <v>0.28000000000000003</v>
      </c>
      <c r="P1805" t="s">
        <v>343</v>
      </c>
      <c r="Q1805">
        <v>-1.73</v>
      </c>
      <c r="R1805" t="s">
        <v>343</v>
      </c>
      <c r="S1805">
        <v>1</v>
      </c>
    </row>
    <row r="1806" spans="1:19" x14ac:dyDescent="0.25">
      <c r="A1806" t="s">
        <v>41</v>
      </c>
      <c r="B1806" t="s">
        <v>246</v>
      </c>
      <c r="C1806">
        <v>3360</v>
      </c>
      <c r="D1806" t="s">
        <v>342</v>
      </c>
      <c r="E1806">
        <v>24.15</v>
      </c>
      <c r="F1806">
        <v>16.2</v>
      </c>
      <c r="G1806">
        <v>20</v>
      </c>
      <c r="H1806">
        <v>36.200000000000003</v>
      </c>
      <c r="I1806" t="s">
        <v>344</v>
      </c>
      <c r="J1806">
        <v>99.28</v>
      </c>
      <c r="K1806">
        <v>1.52</v>
      </c>
      <c r="L1806" t="s">
        <v>346</v>
      </c>
      <c r="M1806" s="1">
        <v>1.52E-2</v>
      </c>
      <c r="N1806" t="s">
        <v>349</v>
      </c>
      <c r="O1806">
        <v>0.28000000000000003</v>
      </c>
      <c r="P1806" t="s">
        <v>343</v>
      </c>
      <c r="Q1806">
        <v>-0.91</v>
      </c>
      <c r="R1806" t="s">
        <v>343</v>
      </c>
      <c r="S1806">
        <v>1</v>
      </c>
    </row>
    <row r="1807" spans="1:19" x14ac:dyDescent="0.25">
      <c r="A1807" t="s">
        <v>41</v>
      </c>
      <c r="B1807" t="s">
        <v>247</v>
      </c>
      <c r="C1807">
        <v>3380</v>
      </c>
      <c r="D1807" t="s">
        <v>342</v>
      </c>
      <c r="E1807">
        <v>24.15</v>
      </c>
      <c r="F1807">
        <v>16.91</v>
      </c>
      <c r="G1807">
        <v>20</v>
      </c>
      <c r="H1807">
        <v>36.909999999999997</v>
      </c>
      <c r="I1807" t="s">
        <v>344</v>
      </c>
      <c r="J1807">
        <v>99.58</v>
      </c>
      <c r="K1807">
        <v>1.45</v>
      </c>
      <c r="L1807" t="s">
        <v>346</v>
      </c>
      <c r="M1807" s="1">
        <v>1.4500000000000001E-2</v>
      </c>
      <c r="N1807" t="s">
        <v>349</v>
      </c>
      <c r="O1807">
        <v>0.73</v>
      </c>
      <c r="P1807" t="s">
        <v>343</v>
      </c>
      <c r="Q1807">
        <v>0.84</v>
      </c>
      <c r="R1807" t="s">
        <v>343</v>
      </c>
      <c r="S1807">
        <v>1</v>
      </c>
    </row>
    <row r="1808" spans="1:19" x14ac:dyDescent="0.25">
      <c r="A1808" t="s">
        <v>41</v>
      </c>
      <c r="B1808" t="s">
        <v>248</v>
      </c>
      <c r="C1808">
        <v>3400</v>
      </c>
      <c r="D1808" t="s">
        <v>342</v>
      </c>
      <c r="E1808">
        <v>24.15</v>
      </c>
      <c r="F1808">
        <v>17.23</v>
      </c>
      <c r="G1808">
        <v>12.84</v>
      </c>
      <c r="H1808">
        <v>30.08</v>
      </c>
      <c r="I1808" t="s">
        <v>344</v>
      </c>
      <c r="J1808">
        <v>99.46</v>
      </c>
      <c r="K1808">
        <v>-0.6</v>
      </c>
      <c r="L1808" t="s">
        <v>346</v>
      </c>
      <c r="M1808" s="1">
        <v>6.0000000000000001E-3</v>
      </c>
      <c r="N1808" t="s">
        <v>349</v>
      </c>
      <c r="O1808">
        <v>0.03</v>
      </c>
      <c r="P1808" t="s">
        <v>343</v>
      </c>
      <c r="Q1808">
        <v>2.25</v>
      </c>
      <c r="R1808" t="s">
        <v>344</v>
      </c>
      <c r="S1808">
        <v>1</v>
      </c>
    </row>
    <row r="1809" spans="1:19" x14ac:dyDescent="0.25">
      <c r="A1809" t="s">
        <v>41</v>
      </c>
      <c r="B1809" t="s">
        <v>249</v>
      </c>
      <c r="C1809">
        <v>3420</v>
      </c>
      <c r="D1809" t="s">
        <v>342</v>
      </c>
      <c r="E1809">
        <v>24.15</v>
      </c>
      <c r="F1809">
        <v>16.670000000000002</v>
      </c>
      <c r="G1809">
        <v>11.23</v>
      </c>
      <c r="H1809">
        <v>27.9</v>
      </c>
      <c r="I1809" t="s">
        <v>344</v>
      </c>
      <c r="J1809">
        <v>99.06</v>
      </c>
      <c r="K1809">
        <v>-1.96</v>
      </c>
      <c r="L1809" t="s">
        <v>346</v>
      </c>
      <c r="M1809" s="1">
        <v>1.9599999999999999E-2</v>
      </c>
      <c r="N1809" t="s">
        <v>349</v>
      </c>
      <c r="O1809">
        <v>-0.36</v>
      </c>
      <c r="P1809" t="s">
        <v>343</v>
      </c>
      <c r="Q1809">
        <v>2.96</v>
      </c>
      <c r="R1809" t="s">
        <v>344</v>
      </c>
      <c r="S1809">
        <v>1</v>
      </c>
    </row>
    <row r="1810" spans="1:19" x14ac:dyDescent="0.25">
      <c r="A1810" t="s">
        <v>41</v>
      </c>
      <c r="B1810" t="s">
        <v>250</v>
      </c>
      <c r="C1810">
        <v>3440</v>
      </c>
      <c r="D1810" t="s">
        <v>342</v>
      </c>
      <c r="E1810">
        <v>24.15</v>
      </c>
      <c r="F1810">
        <v>16.22</v>
      </c>
      <c r="G1810">
        <v>9.86</v>
      </c>
      <c r="H1810">
        <v>26.09</v>
      </c>
      <c r="I1810" t="s">
        <v>344</v>
      </c>
      <c r="J1810">
        <v>98.79</v>
      </c>
      <c r="K1810">
        <v>-1.38</v>
      </c>
      <c r="L1810" t="s">
        <v>346</v>
      </c>
      <c r="M1810" s="1">
        <v>1.38E-2</v>
      </c>
      <c r="N1810" t="s">
        <v>349</v>
      </c>
      <c r="O1810">
        <v>0.1</v>
      </c>
      <c r="P1810" t="s">
        <v>343</v>
      </c>
      <c r="Q1810">
        <v>2.83</v>
      </c>
      <c r="R1810" t="s">
        <v>344</v>
      </c>
      <c r="S1810">
        <v>1</v>
      </c>
    </row>
    <row r="1811" spans="1:19" x14ac:dyDescent="0.25">
      <c r="A1811" t="s">
        <v>41</v>
      </c>
      <c r="B1811" t="s">
        <v>251</v>
      </c>
      <c r="C1811">
        <v>3460</v>
      </c>
      <c r="D1811" t="s">
        <v>342</v>
      </c>
      <c r="E1811">
        <v>24.15</v>
      </c>
      <c r="F1811">
        <v>15.09</v>
      </c>
      <c r="G1811">
        <v>9.24</v>
      </c>
      <c r="H1811">
        <v>24.33</v>
      </c>
      <c r="I1811" t="s">
        <v>344</v>
      </c>
      <c r="J1811">
        <v>98.53</v>
      </c>
      <c r="K1811">
        <v>-1.28</v>
      </c>
      <c r="L1811" t="s">
        <v>346</v>
      </c>
      <c r="M1811" s="1">
        <v>1.2800000000000001E-2</v>
      </c>
      <c r="N1811" t="s">
        <v>349</v>
      </c>
      <c r="O1811">
        <v>0.08</v>
      </c>
      <c r="P1811" t="s">
        <v>343</v>
      </c>
      <c r="Q1811">
        <v>3.25</v>
      </c>
      <c r="R1811" t="s">
        <v>344</v>
      </c>
      <c r="S1811">
        <v>1</v>
      </c>
    </row>
    <row r="1812" spans="1:19" x14ac:dyDescent="0.25">
      <c r="A1812" t="s">
        <v>41</v>
      </c>
      <c r="B1812" t="s">
        <v>252</v>
      </c>
      <c r="C1812">
        <v>3480</v>
      </c>
      <c r="D1812" t="s">
        <v>342</v>
      </c>
      <c r="E1812">
        <v>24.15</v>
      </c>
      <c r="F1812">
        <v>14.79</v>
      </c>
      <c r="G1812">
        <v>9.31</v>
      </c>
      <c r="H1812">
        <v>24.1</v>
      </c>
      <c r="I1812" t="s">
        <v>343</v>
      </c>
      <c r="J1812">
        <v>98.18</v>
      </c>
      <c r="K1812">
        <v>-1.75</v>
      </c>
      <c r="L1812" t="s">
        <v>346</v>
      </c>
      <c r="M1812" s="1">
        <v>1.7500000000000002E-2</v>
      </c>
      <c r="N1812" t="s">
        <v>349</v>
      </c>
      <c r="O1812">
        <v>0.43</v>
      </c>
      <c r="P1812" t="s">
        <v>343</v>
      </c>
      <c r="Q1812">
        <v>2.2799999999999998</v>
      </c>
      <c r="R1812" t="s">
        <v>344</v>
      </c>
      <c r="S1812">
        <v>1</v>
      </c>
    </row>
    <row r="1813" spans="1:19" x14ac:dyDescent="0.25">
      <c r="A1813" t="s">
        <v>41</v>
      </c>
      <c r="B1813" t="s">
        <v>253</v>
      </c>
      <c r="C1813">
        <v>3500</v>
      </c>
      <c r="D1813" t="s">
        <v>342</v>
      </c>
      <c r="E1813">
        <v>24.15</v>
      </c>
      <c r="F1813">
        <v>15.42</v>
      </c>
      <c r="G1813">
        <v>9.82</v>
      </c>
      <c r="H1813">
        <v>25.24</v>
      </c>
      <c r="I1813" t="s">
        <v>344</v>
      </c>
      <c r="J1813">
        <v>97.87</v>
      </c>
      <c r="K1813">
        <v>-1.58</v>
      </c>
      <c r="L1813" t="s">
        <v>346</v>
      </c>
      <c r="M1813" s="1">
        <v>1.5800000000000002E-2</v>
      </c>
      <c r="N1813" t="s">
        <v>349</v>
      </c>
      <c r="O1813">
        <v>1.03</v>
      </c>
      <c r="P1813" t="s">
        <v>343</v>
      </c>
      <c r="Q1813">
        <v>3.2</v>
      </c>
      <c r="R1813" t="s">
        <v>344</v>
      </c>
      <c r="S1813">
        <v>1</v>
      </c>
    </row>
    <row r="1814" spans="1:19" x14ac:dyDescent="0.25">
      <c r="A1814" t="s">
        <v>41</v>
      </c>
      <c r="B1814" t="s">
        <v>254</v>
      </c>
      <c r="C1814">
        <v>3520</v>
      </c>
      <c r="D1814" t="s">
        <v>342</v>
      </c>
      <c r="E1814">
        <v>24.15</v>
      </c>
      <c r="F1814">
        <v>13.89</v>
      </c>
      <c r="G1814">
        <v>11.87</v>
      </c>
      <c r="H1814">
        <v>25.76</v>
      </c>
      <c r="I1814" t="s">
        <v>344</v>
      </c>
      <c r="J1814">
        <v>97.53</v>
      </c>
      <c r="K1814">
        <v>-1.7</v>
      </c>
      <c r="L1814" t="s">
        <v>346</v>
      </c>
      <c r="M1814" s="1">
        <v>1.7000000000000001E-2</v>
      </c>
      <c r="N1814" t="s">
        <v>349</v>
      </c>
      <c r="O1814">
        <v>-1.19</v>
      </c>
      <c r="P1814" t="s">
        <v>343</v>
      </c>
      <c r="Q1814">
        <v>3.05</v>
      </c>
      <c r="R1814" t="s">
        <v>344</v>
      </c>
      <c r="S1814">
        <v>1</v>
      </c>
    </row>
    <row r="1815" spans="1:19" x14ac:dyDescent="0.25">
      <c r="A1815" t="s">
        <v>41</v>
      </c>
      <c r="B1815" t="s">
        <v>255</v>
      </c>
      <c r="C1815">
        <v>3540</v>
      </c>
      <c r="D1815" t="s">
        <v>342</v>
      </c>
      <c r="E1815">
        <v>24.15</v>
      </c>
      <c r="F1815">
        <v>14.14</v>
      </c>
      <c r="G1815">
        <v>13.57</v>
      </c>
      <c r="H1815">
        <v>27.7</v>
      </c>
      <c r="I1815" t="s">
        <v>344</v>
      </c>
      <c r="J1815">
        <v>97.28</v>
      </c>
      <c r="K1815">
        <v>-1.22</v>
      </c>
      <c r="L1815" t="s">
        <v>346</v>
      </c>
      <c r="M1815" s="1">
        <v>1.2200000000000001E-2</v>
      </c>
      <c r="N1815" t="s">
        <v>349</v>
      </c>
      <c r="O1815">
        <v>-2.48</v>
      </c>
      <c r="P1815" t="s">
        <v>344</v>
      </c>
      <c r="Q1815">
        <v>2.61</v>
      </c>
      <c r="R1815" t="s">
        <v>344</v>
      </c>
      <c r="S1815">
        <v>1</v>
      </c>
    </row>
    <row r="1816" spans="1:19" x14ac:dyDescent="0.25">
      <c r="A1816" t="s">
        <v>41</v>
      </c>
      <c r="B1816" t="s">
        <v>256</v>
      </c>
      <c r="C1816">
        <v>3560</v>
      </c>
      <c r="D1816" t="s">
        <v>342</v>
      </c>
      <c r="E1816">
        <v>24.15</v>
      </c>
      <c r="F1816">
        <v>14.49</v>
      </c>
      <c r="G1816">
        <v>13.99</v>
      </c>
      <c r="H1816">
        <v>28.49</v>
      </c>
      <c r="I1816" t="s">
        <v>344</v>
      </c>
      <c r="J1816">
        <v>97.08</v>
      </c>
      <c r="K1816">
        <v>-1</v>
      </c>
      <c r="L1816" t="s">
        <v>346</v>
      </c>
      <c r="M1816" s="1">
        <v>0.01</v>
      </c>
      <c r="N1816" t="s">
        <v>349</v>
      </c>
      <c r="O1816">
        <v>-2.63</v>
      </c>
      <c r="P1816" t="s">
        <v>344</v>
      </c>
      <c r="Q1816">
        <v>3.33</v>
      </c>
      <c r="R1816" t="s">
        <v>344</v>
      </c>
      <c r="S1816">
        <v>1</v>
      </c>
    </row>
    <row r="1817" spans="1:19" x14ac:dyDescent="0.25">
      <c r="A1817" t="s">
        <v>41</v>
      </c>
      <c r="B1817" t="s">
        <v>257</v>
      </c>
      <c r="C1817">
        <v>3580</v>
      </c>
      <c r="D1817" t="s">
        <v>342</v>
      </c>
      <c r="E1817">
        <v>24.15</v>
      </c>
      <c r="F1817">
        <v>14.86</v>
      </c>
      <c r="G1817">
        <v>13.99</v>
      </c>
      <c r="H1817">
        <v>28.86</v>
      </c>
      <c r="I1817" t="s">
        <v>344</v>
      </c>
      <c r="J1817">
        <v>97.06</v>
      </c>
      <c r="K1817">
        <v>-0.09</v>
      </c>
      <c r="L1817" t="s">
        <v>346</v>
      </c>
      <c r="M1817" s="1">
        <v>8.9999999999999998E-4</v>
      </c>
      <c r="N1817" t="s">
        <v>349</v>
      </c>
      <c r="O1817">
        <v>-2.87</v>
      </c>
      <c r="P1817" t="s">
        <v>344</v>
      </c>
      <c r="Q1817">
        <v>1.94</v>
      </c>
      <c r="R1817" t="s">
        <v>343</v>
      </c>
      <c r="S1817">
        <v>1</v>
      </c>
    </row>
    <row r="1818" spans="1:19" x14ac:dyDescent="0.25">
      <c r="A1818" t="s">
        <v>41</v>
      </c>
      <c r="B1818" t="s">
        <v>258</v>
      </c>
      <c r="C1818">
        <v>3600</v>
      </c>
      <c r="D1818" t="s">
        <v>342</v>
      </c>
      <c r="E1818">
        <v>24.15</v>
      </c>
      <c r="F1818">
        <v>11.35</v>
      </c>
      <c r="G1818">
        <v>13.99</v>
      </c>
      <c r="H1818">
        <v>25.34</v>
      </c>
      <c r="I1818" t="s">
        <v>344</v>
      </c>
      <c r="J1818">
        <v>97.7</v>
      </c>
      <c r="K1818">
        <v>3.16</v>
      </c>
      <c r="L1818" t="s">
        <v>346</v>
      </c>
      <c r="M1818" s="1">
        <v>3.1600000000000003E-2</v>
      </c>
      <c r="N1818" t="s">
        <v>350</v>
      </c>
      <c r="O1818">
        <v>-1.26</v>
      </c>
      <c r="P1818" t="s">
        <v>343</v>
      </c>
      <c r="Q1818">
        <v>0.66</v>
      </c>
      <c r="R1818" t="s">
        <v>343</v>
      </c>
      <c r="S1818">
        <v>1</v>
      </c>
    </row>
    <row r="1819" spans="1:19" x14ac:dyDescent="0.25">
      <c r="A1819" t="s">
        <v>41</v>
      </c>
      <c r="B1819" t="s">
        <v>259</v>
      </c>
      <c r="C1819">
        <v>3620</v>
      </c>
      <c r="D1819" t="s">
        <v>342</v>
      </c>
      <c r="E1819">
        <v>24.15</v>
      </c>
      <c r="F1819">
        <v>11.68</v>
      </c>
      <c r="G1819">
        <v>13.45</v>
      </c>
      <c r="H1819">
        <v>25.13</v>
      </c>
      <c r="I1819" t="s">
        <v>344</v>
      </c>
      <c r="J1819">
        <v>97.8</v>
      </c>
      <c r="K1819">
        <v>0.52</v>
      </c>
      <c r="L1819" t="s">
        <v>346</v>
      </c>
      <c r="M1819" s="1">
        <v>5.1999999999999998E-3</v>
      </c>
      <c r="N1819" t="s">
        <v>349</v>
      </c>
      <c r="O1819">
        <v>-2.0499999999999998</v>
      </c>
      <c r="P1819" t="s">
        <v>344</v>
      </c>
      <c r="Q1819">
        <v>0.15</v>
      </c>
      <c r="R1819" t="s">
        <v>343</v>
      </c>
      <c r="S1819">
        <v>1</v>
      </c>
    </row>
    <row r="1820" spans="1:19" x14ac:dyDescent="0.25">
      <c r="A1820" t="s">
        <v>41</v>
      </c>
      <c r="B1820" t="s">
        <v>260</v>
      </c>
      <c r="C1820">
        <v>3640</v>
      </c>
      <c r="D1820" t="s">
        <v>342</v>
      </c>
      <c r="E1820">
        <v>24.15</v>
      </c>
      <c r="F1820">
        <v>12</v>
      </c>
      <c r="G1820">
        <v>13.4</v>
      </c>
      <c r="H1820">
        <v>25.41</v>
      </c>
      <c r="I1820" t="s">
        <v>344</v>
      </c>
      <c r="J1820">
        <v>96.73</v>
      </c>
      <c r="K1820">
        <v>-5.36</v>
      </c>
      <c r="L1820" t="s">
        <v>346</v>
      </c>
      <c r="M1820" s="1">
        <v>5.3600000000000002E-2</v>
      </c>
      <c r="N1820" t="s">
        <v>350</v>
      </c>
      <c r="O1820">
        <v>-2.76</v>
      </c>
      <c r="P1820" t="s">
        <v>344</v>
      </c>
      <c r="Q1820">
        <v>1.06</v>
      </c>
      <c r="R1820" t="s">
        <v>343</v>
      </c>
      <c r="S1820">
        <v>1</v>
      </c>
    </row>
    <row r="1821" spans="1:19" x14ac:dyDescent="0.25">
      <c r="A1821" t="s">
        <v>41</v>
      </c>
      <c r="B1821" t="s">
        <v>261</v>
      </c>
      <c r="C1821">
        <v>3660</v>
      </c>
      <c r="D1821" t="s">
        <v>342</v>
      </c>
      <c r="E1821">
        <v>24.15</v>
      </c>
      <c r="F1821">
        <v>11.67</v>
      </c>
      <c r="G1821">
        <v>13.54</v>
      </c>
      <c r="H1821">
        <v>25.21</v>
      </c>
      <c r="I1821" t="s">
        <v>344</v>
      </c>
      <c r="J1821">
        <v>96.91</v>
      </c>
      <c r="K1821">
        <v>0.93</v>
      </c>
      <c r="L1821" t="s">
        <v>346</v>
      </c>
      <c r="M1821" s="1">
        <v>9.300000000000001E-3</v>
      </c>
      <c r="N1821" t="s">
        <v>349</v>
      </c>
      <c r="O1821">
        <v>0.28999999999999998</v>
      </c>
      <c r="P1821" t="s">
        <v>343</v>
      </c>
      <c r="Q1821">
        <v>0.91</v>
      </c>
      <c r="R1821" t="s">
        <v>343</v>
      </c>
      <c r="S1821">
        <v>1</v>
      </c>
    </row>
    <row r="1822" spans="1:19" x14ac:dyDescent="0.25">
      <c r="A1822" t="s">
        <v>41</v>
      </c>
      <c r="B1822" t="s">
        <v>262</v>
      </c>
      <c r="C1822">
        <v>3680</v>
      </c>
      <c r="D1822" t="s">
        <v>342</v>
      </c>
      <c r="E1822">
        <v>24.15</v>
      </c>
      <c r="F1822">
        <v>11.44</v>
      </c>
      <c r="G1822">
        <v>13.86</v>
      </c>
      <c r="H1822">
        <v>25.31</v>
      </c>
      <c r="I1822" t="s">
        <v>344</v>
      </c>
      <c r="J1822">
        <v>97.09</v>
      </c>
      <c r="K1822">
        <v>0.85</v>
      </c>
      <c r="L1822" t="s">
        <v>346</v>
      </c>
      <c r="M1822" s="1">
        <v>8.5000000000000006E-3</v>
      </c>
      <c r="N1822" t="s">
        <v>349</v>
      </c>
      <c r="O1822">
        <v>2.83</v>
      </c>
      <c r="P1822" t="s">
        <v>344</v>
      </c>
      <c r="Q1822">
        <v>1.64</v>
      </c>
      <c r="R1822" t="s">
        <v>343</v>
      </c>
      <c r="S1822">
        <v>1</v>
      </c>
    </row>
    <row r="1823" spans="1:19" x14ac:dyDescent="0.25">
      <c r="A1823" t="s">
        <v>41</v>
      </c>
      <c r="B1823" t="s">
        <v>263</v>
      </c>
      <c r="C1823">
        <v>3700</v>
      </c>
      <c r="D1823" t="s">
        <v>342</v>
      </c>
      <c r="E1823">
        <v>24.15</v>
      </c>
      <c r="F1823">
        <v>11.52</v>
      </c>
      <c r="G1823">
        <v>13.61</v>
      </c>
      <c r="H1823">
        <v>25.14</v>
      </c>
      <c r="I1823" t="s">
        <v>344</v>
      </c>
      <c r="J1823">
        <v>97.32</v>
      </c>
      <c r="K1823">
        <v>1.1599999999999999</v>
      </c>
      <c r="L1823" t="s">
        <v>346</v>
      </c>
      <c r="M1823" s="1">
        <v>1.1599999999999999E-2</v>
      </c>
      <c r="N1823" t="s">
        <v>349</v>
      </c>
      <c r="O1823">
        <v>3.57</v>
      </c>
      <c r="P1823" t="s">
        <v>344</v>
      </c>
      <c r="Q1823">
        <v>3.08</v>
      </c>
      <c r="R1823" t="s">
        <v>344</v>
      </c>
      <c r="S1823">
        <v>1</v>
      </c>
    </row>
    <row r="1824" spans="1:19" x14ac:dyDescent="0.25">
      <c r="A1824" t="s">
        <v>41</v>
      </c>
      <c r="B1824" t="s">
        <v>264</v>
      </c>
      <c r="C1824">
        <v>3720</v>
      </c>
      <c r="D1824" t="s">
        <v>342</v>
      </c>
      <c r="E1824">
        <v>24.15</v>
      </c>
      <c r="F1824">
        <v>11.23</v>
      </c>
      <c r="G1824">
        <v>13.22</v>
      </c>
      <c r="H1824">
        <v>24.45</v>
      </c>
      <c r="I1824" t="s">
        <v>344</v>
      </c>
      <c r="J1824">
        <v>97.49</v>
      </c>
      <c r="K1824">
        <v>0.85</v>
      </c>
      <c r="L1824" t="s">
        <v>346</v>
      </c>
      <c r="M1824" s="1">
        <v>8.5000000000000006E-3</v>
      </c>
      <c r="N1824" t="s">
        <v>349</v>
      </c>
      <c r="O1824">
        <v>3.3</v>
      </c>
      <c r="P1824" t="s">
        <v>344</v>
      </c>
      <c r="Q1824">
        <v>4.47</v>
      </c>
      <c r="R1824" t="s">
        <v>343</v>
      </c>
      <c r="S1824">
        <v>1</v>
      </c>
    </row>
    <row r="1825" spans="1:19" x14ac:dyDescent="0.25">
      <c r="A1825" t="s">
        <v>41</v>
      </c>
      <c r="B1825" t="s">
        <v>265</v>
      </c>
      <c r="C1825">
        <v>3740</v>
      </c>
      <c r="D1825" t="s">
        <v>342</v>
      </c>
      <c r="E1825">
        <v>24.15</v>
      </c>
      <c r="F1825">
        <v>11.52</v>
      </c>
      <c r="G1825">
        <v>13.32</v>
      </c>
      <c r="H1825">
        <v>24.84</v>
      </c>
      <c r="I1825" t="s">
        <v>344</v>
      </c>
      <c r="J1825">
        <v>97.64</v>
      </c>
      <c r="K1825">
        <v>0.76</v>
      </c>
      <c r="L1825" t="s">
        <v>346</v>
      </c>
      <c r="M1825" s="1">
        <v>7.6E-3</v>
      </c>
      <c r="N1825" t="s">
        <v>349</v>
      </c>
      <c r="O1825">
        <v>3.69</v>
      </c>
      <c r="P1825" t="s">
        <v>344</v>
      </c>
      <c r="Q1825">
        <v>2.86</v>
      </c>
      <c r="R1825" t="s">
        <v>344</v>
      </c>
      <c r="S1825">
        <v>1</v>
      </c>
    </row>
    <row r="1826" spans="1:19" x14ac:dyDescent="0.25">
      <c r="A1826" t="s">
        <v>41</v>
      </c>
      <c r="B1826" t="s">
        <v>266</v>
      </c>
      <c r="C1826">
        <v>3760</v>
      </c>
      <c r="D1826" t="s">
        <v>342</v>
      </c>
      <c r="E1826">
        <v>24.15</v>
      </c>
      <c r="F1826">
        <v>12.36</v>
      </c>
      <c r="G1826">
        <v>12.88</v>
      </c>
      <c r="H1826">
        <v>25.24</v>
      </c>
      <c r="I1826" t="s">
        <v>344</v>
      </c>
      <c r="J1826">
        <v>97.75</v>
      </c>
      <c r="K1826">
        <v>0.55000000000000004</v>
      </c>
      <c r="L1826" t="s">
        <v>346</v>
      </c>
      <c r="M1826" s="1">
        <v>5.5000000000000014E-3</v>
      </c>
      <c r="N1826" t="s">
        <v>349</v>
      </c>
      <c r="O1826">
        <v>1.17</v>
      </c>
      <c r="P1826" t="s">
        <v>343</v>
      </c>
      <c r="Q1826">
        <v>1.9</v>
      </c>
      <c r="R1826" t="s">
        <v>343</v>
      </c>
      <c r="S1826">
        <v>1</v>
      </c>
    </row>
    <row r="1827" spans="1:19" x14ac:dyDescent="0.25">
      <c r="A1827" t="s">
        <v>41</v>
      </c>
      <c r="B1827" t="s">
        <v>267</v>
      </c>
      <c r="C1827">
        <v>3780</v>
      </c>
      <c r="D1827" t="s">
        <v>342</v>
      </c>
      <c r="E1827">
        <v>24.15</v>
      </c>
      <c r="F1827">
        <v>12.36</v>
      </c>
      <c r="G1827">
        <v>12.33</v>
      </c>
      <c r="H1827">
        <v>24.69</v>
      </c>
      <c r="I1827" t="s">
        <v>344</v>
      </c>
      <c r="J1827">
        <v>97.89</v>
      </c>
      <c r="K1827">
        <v>0.71</v>
      </c>
      <c r="L1827" t="s">
        <v>346</v>
      </c>
      <c r="M1827" s="1">
        <v>7.1000000000000004E-3</v>
      </c>
      <c r="N1827" t="s">
        <v>349</v>
      </c>
      <c r="O1827">
        <v>3.16</v>
      </c>
      <c r="P1827" t="s">
        <v>344</v>
      </c>
      <c r="Q1827">
        <v>0.72</v>
      </c>
      <c r="R1827" t="s">
        <v>343</v>
      </c>
      <c r="S1827">
        <v>1</v>
      </c>
    </row>
    <row r="1828" spans="1:19" x14ac:dyDescent="0.25">
      <c r="A1828" t="s">
        <v>41</v>
      </c>
      <c r="B1828" t="s">
        <v>268</v>
      </c>
      <c r="C1828">
        <v>3800</v>
      </c>
      <c r="D1828" t="s">
        <v>342</v>
      </c>
      <c r="E1828">
        <v>24.15</v>
      </c>
      <c r="F1828">
        <v>13.63</v>
      </c>
      <c r="G1828">
        <v>14.26</v>
      </c>
      <c r="H1828">
        <v>27.89</v>
      </c>
      <c r="I1828" t="s">
        <v>344</v>
      </c>
      <c r="J1828">
        <v>98.16</v>
      </c>
      <c r="K1828">
        <v>1.36</v>
      </c>
      <c r="L1828" t="s">
        <v>346</v>
      </c>
      <c r="M1828" s="1">
        <v>1.3599999999999999E-2</v>
      </c>
      <c r="N1828" t="s">
        <v>349</v>
      </c>
      <c r="O1828">
        <v>4.46</v>
      </c>
      <c r="P1828" t="s">
        <v>343</v>
      </c>
      <c r="Q1828">
        <v>0.91</v>
      </c>
      <c r="R1828" t="s">
        <v>343</v>
      </c>
      <c r="S1828">
        <v>1</v>
      </c>
    </row>
    <row r="1829" spans="1:19" x14ac:dyDescent="0.25">
      <c r="A1829" t="s">
        <v>41</v>
      </c>
      <c r="B1829" t="s">
        <v>269</v>
      </c>
      <c r="C1829">
        <v>3820</v>
      </c>
      <c r="D1829" t="s">
        <v>342</v>
      </c>
      <c r="E1829">
        <v>24.15</v>
      </c>
      <c r="F1829">
        <v>12.71</v>
      </c>
      <c r="G1829">
        <v>14.18</v>
      </c>
      <c r="H1829">
        <v>26.88</v>
      </c>
      <c r="I1829" t="s">
        <v>344</v>
      </c>
      <c r="J1829">
        <v>98.42</v>
      </c>
      <c r="K1829">
        <v>1.29</v>
      </c>
      <c r="L1829" t="s">
        <v>346</v>
      </c>
      <c r="M1829" s="1">
        <v>1.29E-2</v>
      </c>
      <c r="N1829" t="s">
        <v>349</v>
      </c>
      <c r="O1829">
        <v>4.08</v>
      </c>
      <c r="P1829" t="s">
        <v>343</v>
      </c>
      <c r="Q1829">
        <v>1.1200000000000001</v>
      </c>
      <c r="R1829" t="s">
        <v>343</v>
      </c>
      <c r="S1829">
        <v>1</v>
      </c>
    </row>
    <row r="1830" spans="1:19" x14ac:dyDescent="0.25">
      <c r="A1830" t="s">
        <v>41</v>
      </c>
      <c r="B1830" t="s">
        <v>270</v>
      </c>
      <c r="C1830">
        <v>3840</v>
      </c>
      <c r="D1830" t="s">
        <v>342</v>
      </c>
      <c r="E1830">
        <v>24.15</v>
      </c>
      <c r="F1830">
        <v>12.97</v>
      </c>
      <c r="G1830">
        <v>13.46</v>
      </c>
      <c r="H1830">
        <v>26.43</v>
      </c>
      <c r="I1830" t="s">
        <v>344</v>
      </c>
      <c r="J1830">
        <v>98.72</v>
      </c>
      <c r="K1830">
        <v>1.5</v>
      </c>
      <c r="L1830" t="s">
        <v>346</v>
      </c>
      <c r="M1830" s="1">
        <v>1.4999999999999999E-2</v>
      </c>
      <c r="N1830" t="s">
        <v>349</v>
      </c>
      <c r="O1830">
        <v>3.35</v>
      </c>
      <c r="P1830" t="s">
        <v>344</v>
      </c>
      <c r="Q1830">
        <v>2.78</v>
      </c>
      <c r="R1830" t="s">
        <v>344</v>
      </c>
      <c r="S1830">
        <v>1</v>
      </c>
    </row>
    <row r="1831" spans="1:19" x14ac:dyDescent="0.25">
      <c r="A1831" t="s">
        <v>41</v>
      </c>
      <c r="B1831" t="s">
        <v>271</v>
      </c>
      <c r="C1831">
        <v>3860</v>
      </c>
      <c r="D1831" t="s">
        <v>342</v>
      </c>
      <c r="E1831">
        <v>24.15</v>
      </c>
      <c r="F1831">
        <v>13.12</v>
      </c>
      <c r="G1831">
        <v>12.56</v>
      </c>
      <c r="H1831">
        <v>25.67</v>
      </c>
      <c r="I1831" t="s">
        <v>344</v>
      </c>
      <c r="J1831">
        <v>98.88</v>
      </c>
      <c r="K1831">
        <v>0.78</v>
      </c>
      <c r="L1831" t="s">
        <v>346</v>
      </c>
      <c r="M1831" s="1">
        <v>7.8000000000000014E-3</v>
      </c>
      <c r="N1831" t="s">
        <v>349</v>
      </c>
      <c r="O1831">
        <v>2.5099999999999998</v>
      </c>
      <c r="P1831" t="s">
        <v>344</v>
      </c>
      <c r="Q1831">
        <v>3.55</v>
      </c>
      <c r="R1831" t="s">
        <v>344</v>
      </c>
      <c r="S1831">
        <v>1</v>
      </c>
    </row>
    <row r="1832" spans="1:19" x14ac:dyDescent="0.25">
      <c r="A1832" t="s">
        <v>41</v>
      </c>
      <c r="B1832" t="s">
        <v>272</v>
      </c>
      <c r="C1832">
        <v>3880</v>
      </c>
      <c r="D1832" t="s">
        <v>342</v>
      </c>
      <c r="E1832">
        <v>24.15</v>
      </c>
      <c r="F1832">
        <v>13.65</v>
      </c>
      <c r="G1832">
        <v>12.11</v>
      </c>
      <c r="H1832">
        <v>25.75</v>
      </c>
      <c r="I1832" t="s">
        <v>344</v>
      </c>
      <c r="J1832">
        <v>99.03</v>
      </c>
      <c r="K1832">
        <v>0.76</v>
      </c>
      <c r="L1832" t="s">
        <v>346</v>
      </c>
      <c r="M1832" s="1">
        <v>7.6E-3</v>
      </c>
      <c r="N1832" t="s">
        <v>349</v>
      </c>
      <c r="O1832">
        <v>1.1599999999999999</v>
      </c>
      <c r="P1832" t="s">
        <v>343</v>
      </c>
      <c r="Q1832">
        <v>3.51</v>
      </c>
      <c r="R1832" t="s">
        <v>344</v>
      </c>
      <c r="S1832">
        <v>1</v>
      </c>
    </row>
    <row r="1833" spans="1:19" x14ac:dyDescent="0.25">
      <c r="A1833" t="s">
        <v>41</v>
      </c>
      <c r="B1833" t="s">
        <v>273</v>
      </c>
      <c r="C1833">
        <v>3900</v>
      </c>
      <c r="D1833" t="s">
        <v>342</v>
      </c>
      <c r="E1833">
        <v>24.15</v>
      </c>
      <c r="F1833">
        <v>13.49</v>
      </c>
      <c r="G1833">
        <v>11.47</v>
      </c>
      <c r="H1833">
        <v>24.96</v>
      </c>
      <c r="I1833" t="s">
        <v>344</v>
      </c>
      <c r="J1833">
        <v>99.01</v>
      </c>
      <c r="K1833">
        <v>-0.1</v>
      </c>
      <c r="L1833" t="s">
        <v>346</v>
      </c>
      <c r="M1833" s="1">
        <v>1E-3</v>
      </c>
      <c r="N1833" t="s">
        <v>349</v>
      </c>
      <c r="O1833">
        <v>0.71</v>
      </c>
      <c r="P1833" t="s">
        <v>343</v>
      </c>
      <c r="Q1833">
        <v>3.37</v>
      </c>
      <c r="R1833" t="s">
        <v>344</v>
      </c>
      <c r="S1833">
        <v>1</v>
      </c>
    </row>
    <row r="1834" spans="1:19" x14ac:dyDescent="0.25">
      <c r="A1834" t="s">
        <v>41</v>
      </c>
      <c r="B1834" t="s">
        <v>274</v>
      </c>
      <c r="C1834">
        <v>3920</v>
      </c>
      <c r="D1834" t="s">
        <v>342</v>
      </c>
      <c r="E1834">
        <v>24.15</v>
      </c>
      <c r="F1834">
        <v>13.14</v>
      </c>
      <c r="G1834">
        <v>11.86</v>
      </c>
      <c r="H1834">
        <v>25</v>
      </c>
      <c r="I1834" t="s">
        <v>344</v>
      </c>
      <c r="J1834">
        <v>99.01</v>
      </c>
      <c r="K1834">
        <v>0.01</v>
      </c>
      <c r="L1834" t="s">
        <v>346</v>
      </c>
      <c r="M1834" s="1">
        <v>1E-4</v>
      </c>
      <c r="N1834" t="s">
        <v>349</v>
      </c>
      <c r="O1834">
        <v>1.6</v>
      </c>
      <c r="P1834" t="s">
        <v>343</v>
      </c>
      <c r="Q1834">
        <v>1.74</v>
      </c>
      <c r="R1834" t="s">
        <v>343</v>
      </c>
      <c r="S1834">
        <v>1</v>
      </c>
    </row>
    <row r="1835" spans="1:19" x14ac:dyDescent="0.25">
      <c r="A1835" t="s">
        <v>41</v>
      </c>
      <c r="B1835" t="s">
        <v>275</v>
      </c>
      <c r="C1835">
        <v>3940</v>
      </c>
      <c r="D1835" t="s">
        <v>342</v>
      </c>
      <c r="E1835">
        <v>24.15</v>
      </c>
      <c r="F1835">
        <v>12.97</v>
      </c>
      <c r="G1835">
        <v>11.06</v>
      </c>
      <c r="H1835">
        <v>24.04</v>
      </c>
      <c r="I1835" t="s">
        <v>343</v>
      </c>
      <c r="J1835">
        <v>99.04</v>
      </c>
      <c r="K1835">
        <v>0.14000000000000001</v>
      </c>
      <c r="L1835" t="s">
        <v>346</v>
      </c>
      <c r="M1835" s="1">
        <v>1.4E-3</v>
      </c>
      <c r="N1835" t="s">
        <v>349</v>
      </c>
      <c r="O1835">
        <v>2.68</v>
      </c>
      <c r="P1835" t="s">
        <v>344</v>
      </c>
      <c r="Q1835">
        <v>2.5</v>
      </c>
      <c r="R1835" t="s">
        <v>344</v>
      </c>
      <c r="S1835">
        <v>1</v>
      </c>
    </row>
    <row r="1836" spans="1:19" x14ac:dyDescent="0.25">
      <c r="A1836" t="s">
        <v>41</v>
      </c>
      <c r="B1836" t="s">
        <v>276</v>
      </c>
      <c r="C1836">
        <v>3960</v>
      </c>
      <c r="D1836" t="s">
        <v>342</v>
      </c>
      <c r="E1836">
        <v>24.15</v>
      </c>
      <c r="F1836">
        <v>12.9</v>
      </c>
      <c r="G1836">
        <v>11.71</v>
      </c>
      <c r="H1836">
        <v>24.61</v>
      </c>
      <c r="I1836" t="s">
        <v>344</v>
      </c>
      <c r="J1836">
        <v>99.03</v>
      </c>
      <c r="K1836">
        <v>-0.08</v>
      </c>
      <c r="L1836" t="s">
        <v>346</v>
      </c>
      <c r="M1836" s="1">
        <v>8.0000000000000004E-4</v>
      </c>
      <c r="N1836" t="s">
        <v>349</v>
      </c>
      <c r="O1836">
        <v>4.0599999999999996</v>
      </c>
      <c r="P1836" t="s">
        <v>343</v>
      </c>
      <c r="Q1836">
        <v>1.77</v>
      </c>
      <c r="R1836" t="s">
        <v>343</v>
      </c>
      <c r="S1836">
        <v>1</v>
      </c>
    </row>
    <row r="1837" spans="1:19" x14ac:dyDescent="0.25">
      <c r="A1837" t="s">
        <v>41</v>
      </c>
      <c r="B1837" t="s">
        <v>277</v>
      </c>
      <c r="C1837">
        <v>3980</v>
      </c>
      <c r="D1837" t="s">
        <v>342</v>
      </c>
      <c r="E1837">
        <v>24.15</v>
      </c>
      <c r="F1837">
        <v>13.5</v>
      </c>
      <c r="G1837">
        <v>11.47</v>
      </c>
      <c r="H1837">
        <v>24.97</v>
      </c>
      <c r="I1837" t="s">
        <v>344</v>
      </c>
      <c r="J1837">
        <v>99.37</v>
      </c>
      <c r="K1837">
        <v>1.73</v>
      </c>
      <c r="L1837" t="s">
        <v>346</v>
      </c>
      <c r="M1837" s="1">
        <v>1.7299999999999999E-2</v>
      </c>
      <c r="N1837" t="s">
        <v>349</v>
      </c>
      <c r="O1837">
        <v>4.0599999999999996</v>
      </c>
      <c r="P1837" t="s">
        <v>343</v>
      </c>
      <c r="Q1837">
        <v>2.74</v>
      </c>
      <c r="R1837" t="s">
        <v>344</v>
      </c>
      <c r="S1837">
        <v>1</v>
      </c>
    </row>
    <row r="1838" spans="1:19" x14ac:dyDescent="0.25">
      <c r="A1838" t="s">
        <v>41</v>
      </c>
      <c r="B1838" t="s">
        <v>278</v>
      </c>
      <c r="C1838">
        <v>4000</v>
      </c>
      <c r="D1838" t="s">
        <v>342</v>
      </c>
      <c r="E1838">
        <v>24.15</v>
      </c>
      <c r="F1838">
        <v>15.02</v>
      </c>
      <c r="G1838">
        <v>11.47</v>
      </c>
      <c r="H1838">
        <v>26.49</v>
      </c>
      <c r="I1838" t="s">
        <v>344</v>
      </c>
      <c r="J1838">
        <v>100.73</v>
      </c>
      <c r="K1838">
        <v>6.79</v>
      </c>
      <c r="L1838" t="s">
        <v>346</v>
      </c>
      <c r="M1838" s="1">
        <v>6.7900000000000002E-2</v>
      </c>
      <c r="N1838" t="s">
        <v>350</v>
      </c>
      <c r="O1838">
        <v>1.66</v>
      </c>
      <c r="P1838" t="s">
        <v>343</v>
      </c>
      <c r="Q1838">
        <v>2.4300000000000002</v>
      </c>
      <c r="R1838" t="s">
        <v>344</v>
      </c>
      <c r="S1838">
        <v>1</v>
      </c>
    </row>
    <row r="1839" spans="1:19" x14ac:dyDescent="0.25">
      <c r="A1839" t="s">
        <v>41</v>
      </c>
      <c r="B1839" t="s">
        <v>279</v>
      </c>
      <c r="C1839">
        <v>4020</v>
      </c>
      <c r="D1839" t="s">
        <v>342</v>
      </c>
      <c r="E1839">
        <v>24.15</v>
      </c>
      <c r="F1839">
        <v>15.02</v>
      </c>
      <c r="G1839">
        <v>10.46</v>
      </c>
      <c r="H1839">
        <v>25.47</v>
      </c>
      <c r="I1839" t="s">
        <v>344</v>
      </c>
      <c r="J1839">
        <v>99.16</v>
      </c>
      <c r="K1839">
        <v>-7.86</v>
      </c>
      <c r="L1839" t="s">
        <v>346</v>
      </c>
      <c r="M1839" s="1">
        <v>7.8600000000000003E-2</v>
      </c>
      <c r="N1839" t="s">
        <v>350</v>
      </c>
      <c r="O1839">
        <v>-3.31</v>
      </c>
      <c r="P1839" t="s">
        <v>344</v>
      </c>
      <c r="Q1839">
        <v>2.87</v>
      </c>
      <c r="R1839" t="s">
        <v>344</v>
      </c>
      <c r="S1839">
        <v>1</v>
      </c>
    </row>
    <row r="1840" spans="1:19" x14ac:dyDescent="0.25">
      <c r="A1840" t="s">
        <v>41</v>
      </c>
      <c r="B1840" t="s">
        <v>280</v>
      </c>
      <c r="C1840">
        <v>4040</v>
      </c>
      <c r="D1840" t="s">
        <v>342</v>
      </c>
      <c r="E1840">
        <v>24.15</v>
      </c>
      <c r="F1840">
        <v>15.02</v>
      </c>
      <c r="G1840">
        <v>11.16</v>
      </c>
      <c r="H1840">
        <v>26.18</v>
      </c>
      <c r="I1840" t="s">
        <v>344</v>
      </c>
      <c r="J1840">
        <v>98.6</v>
      </c>
      <c r="K1840">
        <v>-2.79</v>
      </c>
      <c r="L1840" t="s">
        <v>346</v>
      </c>
      <c r="M1840" s="1">
        <v>2.7900000000000001E-2</v>
      </c>
      <c r="N1840" t="s">
        <v>350</v>
      </c>
      <c r="O1840">
        <v>-3.49</v>
      </c>
      <c r="P1840" t="s">
        <v>344</v>
      </c>
      <c r="Q1840">
        <v>3.72</v>
      </c>
      <c r="R1840" t="s">
        <v>344</v>
      </c>
      <c r="S1840">
        <v>1</v>
      </c>
    </row>
    <row r="1841" spans="1:19" x14ac:dyDescent="0.25">
      <c r="A1841" t="s">
        <v>41</v>
      </c>
      <c r="B1841" t="s">
        <v>281</v>
      </c>
      <c r="C1841">
        <v>4060</v>
      </c>
      <c r="D1841" t="s">
        <v>342</v>
      </c>
      <c r="E1841">
        <v>24.15</v>
      </c>
      <c r="F1841">
        <v>14.21</v>
      </c>
      <c r="G1841">
        <v>11.62</v>
      </c>
      <c r="H1841">
        <v>25.83</v>
      </c>
      <c r="I1841" t="s">
        <v>344</v>
      </c>
      <c r="J1841">
        <v>98.79</v>
      </c>
      <c r="K1841">
        <v>0.97</v>
      </c>
      <c r="L1841" t="s">
        <v>346</v>
      </c>
      <c r="M1841" s="1">
        <v>9.7000000000000003E-3</v>
      </c>
      <c r="N1841" t="s">
        <v>349</v>
      </c>
      <c r="O1841">
        <v>0.27</v>
      </c>
      <c r="P1841" t="s">
        <v>343</v>
      </c>
      <c r="Q1841">
        <v>1.9</v>
      </c>
      <c r="R1841" t="s">
        <v>343</v>
      </c>
      <c r="S1841">
        <v>1</v>
      </c>
    </row>
    <row r="1842" spans="1:19" x14ac:dyDescent="0.25">
      <c r="A1842" t="s">
        <v>41</v>
      </c>
      <c r="B1842" t="s">
        <v>282</v>
      </c>
      <c r="C1842">
        <v>4080</v>
      </c>
      <c r="D1842" t="s">
        <v>342</v>
      </c>
      <c r="E1842">
        <v>24.15</v>
      </c>
      <c r="F1842">
        <v>14.93</v>
      </c>
      <c r="G1842">
        <v>11.91</v>
      </c>
      <c r="H1842">
        <v>26.84</v>
      </c>
      <c r="I1842" t="s">
        <v>344</v>
      </c>
      <c r="J1842">
        <v>97.79</v>
      </c>
      <c r="K1842">
        <v>-5.0199999999999996</v>
      </c>
      <c r="L1842" t="s">
        <v>346</v>
      </c>
      <c r="M1842" s="1">
        <v>5.0199999999999988E-2</v>
      </c>
      <c r="N1842" t="s">
        <v>350</v>
      </c>
      <c r="O1842">
        <v>1.22</v>
      </c>
      <c r="P1842" t="s">
        <v>343</v>
      </c>
      <c r="Q1842">
        <v>3.1</v>
      </c>
      <c r="R1842" t="s">
        <v>344</v>
      </c>
      <c r="S1842">
        <v>1</v>
      </c>
    </row>
    <row r="1843" spans="1:19" x14ac:dyDescent="0.25">
      <c r="A1843" t="s">
        <v>41</v>
      </c>
      <c r="B1843" t="s">
        <v>283</v>
      </c>
      <c r="C1843">
        <v>4100</v>
      </c>
      <c r="D1843" t="s">
        <v>342</v>
      </c>
      <c r="E1843">
        <v>24.15</v>
      </c>
      <c r="F1843">
        <v>14.82</v>
      </c>
      <c r="G1843">
        <v>12.71</v>
      </c>
      <c r="H1843">
        <v>27.53</v>
      </c>
      <c r="I1843" t="s">
        <v>344</v>
      </c>
      <c r="J1843">
        <v>97.24</v>
      </c>
      <c r="K1843">
        <v>-2.76</v>
      </c>
      <c r="L1843" t="s">
        <v>346</v>
      </c>
      <c r="M1843" s="1">
        <v>2.76E-2</v>
      </c>
      <c r="N1843" t="s">
        <v>350</v>
      </c>
      <c r="O1843">
        <v>1.38</v>
      </c>
      <c r="P1843" t="s">
        <v>343</v>
      </c>
      <c r="Q1843">
        <v>1.04</v>
      </c>
      <c r="R1843" t="s">
        <v>343</v>
      </c>
      <c r="S1843">
        <v>1</v>
      </c>
    </row>
    <row r="1844" spans="1:19" x14ac:dyDescent="0.25">
      <c r="A1844" t="s">
        <v>41</v>
      </c>
      <c r="B1844" t="s">
        <v>284</v>
      </c>
      <c r="C1844">
        <v>4120</v>
      </c>
      <c r="D1844" t="s">
        <v>342</v>
      </c>
      <c r="E1844">
        <v>24.15</v>
      </c>
      <c r="F1844">
        <v>15.88</v>
      </c>
      <c r="G1844">
        <v>13.43</v>
      </c>
      <c r="H1844">
        <v>29.31</v>
      </c>
      <c r="I1844" t="s">
        <v>344</v>
      </c>
      <c r="J1844">
        <v>96.97</v>
      </c>
      <c r="K1844">
        <v>-1.31</v>
      </c>
      <c r="L1844" t="s">
        <v>346</v>
      </c>
      <c r="M1844" s="1">
        <v>1.3100000000000001E-2</v>
      </c>
      <c r="N1844" t="s">
        <v>349</v>
      </c>
      <c r="O1844">
        <v>1.97</v>
      </c>
      <c r="P1844" t="s">
        <v>343</v>
      </c>
      <c r="Q1844">
        <v>1.24</v>
      </c>
      <c r="R1844" t="s">
        <v>343</v>
      </c>
      <c r="S1844">
        <v>1</v>
      </c>
    </row>
    <row r="1845" spans="1:19" x14ac:dyDescent="0.25">
      <c r="A1845" t="s">
        <v>41</v>
      </c>
      <c r="B1845" t="s">
        <v>285</v>
      </c>
      <c r="C1845">
        <v>4140</v>
      </c>
      <c r="D1845" t="s">
        <v>342</v>
      </c>
      <c r="E1845">
        <v>24.15</v>
      </c>
      <c r="F1845">
        <v>16.170000000000002</v>
      </c>
      <c r="G1845">
        <v>12.54</v>
      </c>
      <c r="H1845">
        <v>28.71</v>
      </c>
      <c r="I1845" t="s">
        <v>344</v>
      </c>
      <c r="J1845">
        <v>96.8</v>
      </c>
      <c r="K1845">
        <v>-0.87</v>
      </c>
      <c r="L1845" t="s">
        <v>346</v>
      </c>
      <c r="M1845" s="1">
        <v>8.6999999999999994E-3</v>
      </c>
      <c r="N1845" t="s">
        <v>349</v>
      </c>
      <c r="O1845">
        <v>1.81</v>
      </c>
      <c r="P1845" t="s">
        <v>343</v>
      </c>
      <c r="Q1845">
        <v>1.05</v>
      </c>
      <c r="R1845" t="s">
        <v>343</v>
      </c>
      <c r="S1845">
        <v>1</v>
      </c>
    </row>
    <row r="1846" spans="1:19" x14ac:dyDescent="0.25">
      <c r="A1846" t="s">
        <v>41</v>
      </c>
      <c r="B1846" t="s">
        <v>286</v>
      </c>
      <c r="C1846">
        <v>4160</v>
      </c>
      <c r="D1846" t="s">
        <v>342</v>
      </c>
      <c r="E1846">
        <v>24.15</v>
      </c>
      <c r="F1846">
        <v>15.05</v>
      </c>
      <c r="G1846">
        <v>11.98</v>
      </c>
      <c r="H1846">
        <v>27.04</v>
      </c>
      <c r="I1846" t="s">
        <v>344</v>
      </c>
      <c r="J1846">
        <v>96.7</v>
      </c>
      <c r="K1846">
        <v>-0.51</v>
      </c>
      <c r="L1846" t="s">
        <v>346</v>
      </c>
      <c r="M1846" s="1">
        <v>5.1000000000000004E-3</v>
      </c>
      <c r="N1846" t="s">
        <v>349</v>
      </c>
      <c r="O1846">
        <v>2.41</v>
      </c>
      <c r="P1846" t="s">
        <v>344</v>
      </c>
      <c r="Q1846">
        <v>1.02</v>
      </c>
      <c r="R1846" t="s">
        <v>343</v>
      </c>
      <c r="S1846">
        <v>1</v>
      </c>
    </row>
    <row r="1847" spans="1:19" x14ac:dyDescent="0.25">
      <c r="A1847" t="s">
        <v>41</v>
      </c>
      <c r="B1847" t="s">
        <v>287</v>
      </c>
      <c r="C1847">
        <v>4180</v>
      </c>
      <c r="D1847" t="s">
        <v>342</v>
      </c>
      <c r="E1847">
        <v>24.15</v>
      </c>
      <c r="F1847">
        <v>15.05</v>
      </c>
      <c r="G1847">
        <v>12.45</v>
      </c>
      <c r="H1847">
        <v>27.5</v>
      </c>
      <c r="I1847" t="s">
        <v>344</v>
      </c>
      <c r="J1847">
        <v>96.6</v>
      </c>
      <c r="K1847">
        <v>-0.47</v>
      </c>
      <c r="L1847" t="s">
        <v>346</v>
      </c>
      <c r="M1847" s="1">
        <v>4.6999999999999993E-3</v>
      </c>
      <c r="N1847" t="s">
        <v>349</v>
      </c>
      <c r="O1847">
        <v>2.59</v>
      </c>
      <c r="P1847" t="s">
        <v>344</v>
      </c>
      <c r="Q1847">
        <v>1.97</v>
      </c>
      <c r="R1847" t="s">
        <v>343</v>
      </c>
      <c r="S1847">
        <v>1</v>
      </c>
    </row>
    <row r="1848" spans="1:19" x14ac:dyDescent="0.25">
      <c r="A1848" t="s">
        <v>41</v>
      </c>
      <c r="B1848" t="s">
        <v>288</v>
      </c>
      <c r="C1848">
        <v>4200</v>
      </c>
      <c r="D1848" t="s">
        <v>342</v>
      </c>
      <c r="E1848">
        <v>24.15</v>
      </c>
      <c r="F1848">
        <v>13.19</v>
      </c>
      <c r="G1848">
        <v>13.74</v>
      </c>
      <c r="H1848">
        <v>26.93</v>
      </c>
      <c r="I1848" t="s">
        <v>344</v>
      </c>
      <c r="J1848">
        <v>96.57</v>
      </c>
      <c r="K1848">
        <v>-0.16</v>
      </c>
      <c r="L1848" t="s">
        <v>346</v>
      </c>
      <c r="M1848" s="1">
        <v>1.6000000000000001E-3</v>
      </c>
      <c r="N1848" t="s">
        <v>349</v>
      </c>
      <c r="O1848">
        <v>3.68</v>
      </c>
      <c r="P1848" t="s">
        <v>344</v>
      </c>
      <c r="Q1848">
        <v>0.66</v>
      </c>
      <c r="R1848" t="s">
        <v>343</v>
      </c>
      <c r="S1848">
        <v>1</v>
      </c>
    </row>
    <row r="1849" spans="1:19" x14ac:dyDescent="0.25">
      <c r="A1849" t="s">
        <v>41</v>
      </c>
      <c r="B1849" t="s">
        <v>289</v>
      </c>
      <c r="C1849">
        <v>4220</v>
      </c>
      <c r="D1849" t="s">
        <v>342</v>
      </c>
      <c r="E1849">
        <v>24.15</v>
      </c>
      <c r="F1849">
        <v>11.95</v>
      </c>
      <c r="G1849">
        <v>14.04</v>
      </c>
      <c r="H1849">
        <v>25.99</v>
      </c>
      <c r="I1849" t="s">
        <v>344</v>
      </c>
      <c r="J1849">
        <v>96.58</v>
      </c>
      <c r="K1849">
        <v>0.05</v>
      </c>
      <c r="L1849" t="s">
        <v>346</v>
      </c>
      <c r="M1849" s="1">
        <v>5.0000000000000001E-4</v>
      </c>
      <c r="N1849" t="s">
        <v>349</v>
      </c>
      <c r="O1849">
        <v>4.71</v>
      </c>
      <c r="P1849" t="s">
        <v>343</v>
      </c>
      <c r="Q1849">
        <v>-0.54</v>
      </c>
      <c r="R1849" t="s">
        <v>343</v>
      </c>
      <c r="S1849">
        <v>1</v>
      </c>
    </row>
    <row r="1850" spans="1:19" x14ac:dyDescent="0.25">
      <c r="A1850" t="s">
        <v>41</v>
      </c>
      <c r="B1850" t="s">
        <v>290</v>
      </c>
      <c r="C1850">
        <v>4240</v>
      </c>
      <c r="D1850" t="s">
        <v>342</v>
      </c>
      <c r="E1850">
        <v>24.15</v>
      </c>
      <c r="F1850">
        <v>11.95</v>
      </c>
      <c r="G1850">
        <v>14.32</v>
      </c>
      <c r="H1850">
        <v>26.27</v>
      </c>
      <c r="I1850" t="s">
        <v>344</v>
      </c>
      <c r="J1850">
        <v>96.71</v>
      </c>
      <c r="K1850">
        <v>0.64</v>
      </c>
      <c r="L1850" t="s">
        <v>346</v>
      </c>
      <c r="M1850" s="1">
        <v>6.4000000000000003E-3</v>
      </c>
      <c r="N1850" t="s">
        <v>349</v>
      </c>
      <c r="O1850">
        <v>4.8499999999999996</v>
      </c>
      <c r="P1850" t="s">
        <v>343</v>
      </c>
      <c r="Q1850">
        <v>-2.67</v>
      </c>
      <c r="R1850" t="s">
        <v>344</v>
      </c>
      <c r="S1850">
        <v>1</v>
      </c>
    </row>
    <row r="1851" spans="1:19" x14ac:dyDescent="0.25">
      <c r="A1851" t="s">
        <v>41</v>
      </c>
      <c r="B1851" t="s">
        <v>291</v>
      </c>
      <c r="C1851">
        <v>4260</v>
      </c>
      <c r="D1851" t="s">
        <v>342</v>
      </c>
      <c r="E1851">
        <v>24.15</v>
      </c>
      <c r="F1851">
        <v>11.71</v>
      </c>
      <c r="G1851">
        <v>14.2</v>
      </c>
      <c r="H1851">
        <v>25.91</v>
      </c>
      <c r="I1851" t="s">
        <v>344</v>
      </c>
      <c r="J1851">
        <v>96.76</v>
      </c>
      <c r="K1851">
        <v>0.25</v>
      </c>
      <c r="L1851" t="s">
        <v>346</v>
      </c>
      <c r="M1851" s="1">
        <v>2.5000000000000001E-3</v>
      </c>
      <c r="N1851" t="s">
        <v>349</v>
      </c>
      <c r="O1851">
        <v>4.87</v>
      </c>
      <c r="P1851" t="s">
        <v>343</v>
      </c>
      <c r="Q1851">
        <v>-2.9</v>
      </c>
      <c r="R1851" t="s">
        <v>344</v>
      </c>
      <c r="S1851">
        <v>1</v>
      </c>
    </row>
    <row r="1852" spans="1:19" x14ac:dyDescent="0.25">
      <c r="A1852" t="s">
        <v>41</v>
      </c>
      <c r="B1852" t="s">
        <v>292</v>
      </c>
      <c r="C1852">
        <v>4280</v>
      </c>
      <c r="D1852" t="s">
        <v>342</v>
      </c>
      <c r="E1852">
        <v>24.15</v>
      </c>
      <c r="F1852">
        <v>11.47</v>
      </c>
      <c r="G1852">
        <v>14.2</v>
      </c>
      <c r="H1852">
        <v>25.67</v>
      </c>
      <c r="I1852" t="s">
        <v>344</v>
      </c>
      <c r="J1852">
        <v>97.04</v>
      </c>
      <c r="K1852">
        <v>1.41</v>
      </c>
      <c r="L1852" t="s">
        <v>346</v>
      </c>
      <c r="M1852" s="1">
        <v>1.41E-2</v>
      </c>
      <c r="N1852" t="s">
        <v>349</v>
      </c>
      <c r="O1852">
        <v>5.18</v>
      </c>
      <c r="P1852" t="s">
        <v>343</v>
      </c>
      <c r="Q1852">
        <v>-1.81</v>
      </c>
      <c r="R1852" t="s">
        <v>343</v>
      </c>
      <c r="S1852">
        <v>1</v>
      </c>
    </row>
    <row r="1853" spans="1:19" x14ac:dyDescent="0.25">
      <c r="A1853" t="s">
        <v>41</v>
      </c>
      <c r="B1853" t="s">
        <v>293</v>
      </c>
      <c r="C1853">
        <v>4300</v>
      </c>
      <c r="D1853" t="s">
        <v>342</v>
      </c>
      <c r="E1853">
        <v>24.15</v>
      </c>
      <c r="F1853">
        <v>11.62</v>
      </c>
      <c r="G1853">
        <v>14</v>
      </c>
      <c r="H1853">
        <v>25.63</v>
      </c>
      <c r="I1853" t="s">
        <v>344</v>
      </c>
      <c r="J1853">
        <v>97.38</v>
      </c>
      <c r="K1853">
        <v>1.68</v>
      </c>
      <c r="L1853" t="s">
        <v>346</v>
      </c>
      <c r="M1853" s="1">
        <v>1.6799999999999999E-2</v>
      </c>
      <c r="N1853" t="s">
        <v>349</v>
      </c>
      <c r="O1853">
        <v>4.68</v>
      </c>
      <c r="P1853" t="s">
        <v>343</v>
      </c>
      <c r="Q1853">
        <v>-2.2200000000000002</v>
      </c>
      <c r="R1853" t="s">
        <v>344</v>
      </c>
      <c r="S1853">
        <v>1</v>
      </c>
    </row>
    <row r="1854" spans="1:19" x14ac:dyDescent="0.25">
      <c r="A1854" t="s">
        <v>41</v>
      </c>
      <c r="B1854" t="s">
        <v>294</v>
      </c>
      <c r="C1854">
        <v>4320</v>
      </c>
      <c r="D1854" t="s">
        <v>342</v>
      </c>
      <c r="E1854">
        <v>24.15</v>
      </c>
      <c r="F1854">
        <v>11.74</v>
      </c>
      <c r="G1854">
        <v>13.55</v>
      </c>
      <c r="H1854">
        <v>25.28</v>
      </c>
      <c r="I1854" t="s">
        <v>344</v>
      </c>
      <c r="J1854">
        <v>97.75</v>
      </c>
      <c r="K1854">
        <v>1.88</v>
      </c>
      <c r="L1854" t="s">
        <v>346</v>
      </c>
      <c r="M1854" s="1">
        <v>1.8800000000000001E-2</v>
      </c>
      <c r="N1854" t="s">
        <v>349</v>
      </c>
      <c r="O1854">
        <v>5.82</v>
      </c>
      <c r="P1854" t="s">
        <v>343</v>
      </c>
      <c r="Q1854">
        <v>-2.0699999999999998</v>
      </c>
      <c r="R1854" t="s">
        <v>344</v>
      </c>
      <c r="S1854">
        <v>1</v>
      </c>
    </row>
    <row r="1855" spans="1:19" x14ac:dyDescent="0.25">
      <c r="A1855" t="s">
        <v>41</v>
      </c>
      <c r="B1855" t="s">
        <v>295</v>
      </c>
      <c r="C1855">
        <v>4340</v>
      </c>
      <c r="D1855" t="s">
        <v>342</v>
      </c>
      <c r="E1855">
        <v>24.15</v>
      </c>
      <c r="F1855">
        <v>11.81</v>
      </c>
      <c r="G1855">
        <v>12.51</v>
      </c>
      <c r="H1855">
        <v>24.32</v>
      </c>
      <c r="I1855" t="s">
        <v>344</v>
      </c>
      <c r="J1855">
        <v>98.15</v>
      </c>
      <c r="K1855">
        <v>1.97</v>
      </c>
      <c r="L1855" t="s">
        <v>346</v>
      </c>
      <c r="M1855" s="1">
        <v>1.9699999999999999E-2</v>
      </c>
      <c r="N1855" t="s">
        <v>349</v>
      </c>
      <c r="O1855">
        <v>6.36</v>
      </c>
      <c r="P1855" t="s">
        <v>343</v>
      </c>
      <c r="Q1855">
        <v>-1.1200000000000001</v>
      </c>
      <c r="R1855" t="s">
        <v>343</v>
      </c>
      <c r="S1855">
        <v>1</v>
      </c>
    </row>
    <row r="1856" spans="1:19" x14ac:dyDescent="0.25">
      <c r="A1856" t="s">
        <v>41</v>
      </c>
      <c r="B1856" t="s">
        <v>296</v>
      </c>
      <c r="C1856">
        <v>4360</v>
      </c>
      <c r="D1856" t="s">
        <v>342</v>
      </c>
      <c r="E1856">
        <v>24.15</v>
      </c>
      <c r="F1856">
        <v>12.63</v>
      </c>
      <c r="G1856">
        <v>10.95</v>
      </c>
      <c r="H1856">
        <v>23.58</v>
      </c>
      <c r="I1856" t="s">
        <v>343</v>
      </c>
      <c r="J1856">
        <v>98.24</v>
      </c>
      <c r="K1856">
        <v>0.46</v>
      </c>
      <c r="L1856" t="s">
        <v>346</v>
      </c>
      <c r="M1856" s="1">
        <v>4.5999999999999999E-3</v>
      </c>
      <c r="N1856" t="s">
        <v>349</v>
      </c>
      <c r="O1856">
        <v>5.25</v>
      </c>
      <c r="P1856" t="s">
        <v>343</v>
      </c>
      <c r="Q1856">
        <v>-0.54</v>
      </c>
      <c r="R1856" t="s">
        <v>343</v>
      </c>
      <c r="S1856">
        <v>1</v>
      </c>
    </row>
    <row r="1857" spans="1:19" x14ac:dyDescent="0.25">
      <c r="A1857" t="s">
        <v>41</v>
      </c>
      <c r="B1857" t="s">
        <v>297</v>
      </c>
      <c r="C1857">
        <v>4380</v>
      </c>
      <c r="D1857" t="s">
        <v>342</v>
      </c>
      <c r="E1857">
        <v>24.15</v>
      </c>
      <c r="F1857">
        <v>13.17</v>
      </c>
      <c r="G1857">
        <v>10.52</v>
      </c>
      <c r="H1857">
        <v>23.69</v>
      </c>
      <c r="I1857" t="s">
        <v>343</v>
      </c>
      <c r="J1857">
        <v>98.17</v>
      </c>
      <c r="K1857">
        <v>-0.33</v>
      </c>
      <c r="L1857" t="s">
        <v>346</v>
      </c>
      <c r="M1857" s="1">
        <v>3.3E-3</v>
      </c>
      <c r="N1857" t="s">
        <v>349</v>
      </c>
      <c r="O1857">
        <v>4.38</v>
      </c>
      <c r="P1857" t="s">
        <v>343</v>
      </c>
      <c r="Q1857">
        <v>1.71</v>
      </c>
      <c r="R1857" t="s">
        <v>343</v>
      </c>
      <c r="S1857">
        <v>1</v>
      </c>
    </row>
    <row r="1858" spans="1:19" x14ac:dyDescent="0.25">
      <c r="A1858" t="s">
        <v>41</v>
      </c>
      <c r="B1858" t="s">
        <v>298</v>
      </c>
      <c r="C1858">
        <v>4400</v>
      </c>
      <c r="D1858" t="s">
        <v>342</v>
      </c>
      <c r="E1858">
        <v>24.15</v>
      </c>
      <c r="F1858">
        <v>13.17</v>
      </c>
      <c r="G1858">
        <v>10.210000000000001</v>
      </c>
      <c r="H1858">
        <v>23.38</v>
      </c>
      <c r="I1858" t="s">
        <v>343</v>
      </c>
      <c r="J1858">
        <v>97.99</v>
      </c>
      <c r="K1858">
        <v>-0.93</v>
      </c>
      <c r="L1858" t="s">
        <v>346</v>
      </c>
      <c r="M1858" s="1">
        <v>9.300000000000001E-3</v>
      </c>
      <c r="N1858" t="s">
        <v>349</v>
      </c>
      <c r="O1858">
        <v>3.86</v>
      </c>
      <c r="P1858" t="s">
        <v>344</v>
      </c>
      <c r="Q1858">
        <v>2.19</v>
      </c>
      <c r="R1858" t="s">
        <v>344</v>
      </c>
      <c r="S1858">
        <v>1</v>
      </c>
    </row>
    <row r="1859" spans="1:19" x14ac:dyDescent="0.25">
      <c r="A1859" t="s">
        <v>41</v>
      </c>
      <c r="B1859" t="s">
        <v>299</v>
      </c>
      <c r="C1859">
        <v>4420</v>
      </c>
      <c r="D1859" t="s">
        <v>342</v>
      </c>
      <c r="E1859">
        <v>24.15</v>
      </c>
      <c r="F1859">
        <v>13.17</v>
      </c>
      <c r="G1859">
        <v>11.78</v>
      </c>
      <c r="H1859">
        <v>24.95</v>
      </c>
      <c r="I1859" t="s">
        <v>344</v>
      </c>
      <c r="J1859">
        <v>97.88</v>
      </c>
      <c r="K1859">
        <v>-0.55000000000000004</v>
      </c>
      <c r="L1859" t="s">
        <v>346</v>
      </c>
      <c r="M1859" s="1">
        <v>5.5000000000000014E-3</v>
      </c>
      <c r="N1859" t="s">
        <v>349</v>
      </c>
      <c r="O1859">
        <v>3.91</v>
      </c>
      <c r="P1859" t="s">
        <v>344</v>
      </c>
      <c r="Q1859">
        <v>1.84</v>
      </c>
      <c r="R1859" t="s">
        <v>343</v>
      </c>
      <c r="S1859">
        <v>1</v>
      </c>
    </row>
    <row r="1860" spans="1:19" x14ac:dyDescent="0.25">
      <c r="A1860" t="s">
        <v>41</v>
      </c>
      <c r="B1860" t="s">
        <v>300</v>
      </c>
      <c r="C1860">
        <v>4440</v>
      </c>
      <c r="D1860" t="s">
        <v>342</v>
      </c>
      <c r="E1860">
        <v>24.15</v>
      </c>
      <c r="F1860">
        <v>12.18</v>
      </c>
      <c r="G1860">
        <v>11.78</v>
      </c>
      <c r="H1860">
        <v>23.97</v>
      </c>
      <c r="I1860" t="s">
        <v>343</v>
      </c>
      <c r="J1860">
        <v>97.79</v>
      </c>
      <c r="K1860">
        <v>-0.44</v>
      </c>
      <c r="L1860" t="s">
        <v>346</v>
      </c>
      <c r="M1860" s="1">
        <v>4.4000000000000003E-3</v>
      </c>
      <c r="N1860" t="s">
        <v>349</v>
      </c>
      <c r="O1860">
        <v>2.62</v>
      </c>
      <c r="P1860" t="s">
        <v>344</v>
      </c>
      <c r="Q1860">
        <v>0.88</v>
      </c>
      <c r="R1860" t="s">
        <v>343</v>
      </c>
      <c r="S1860">
        <v>1</v>
      </c>
    </row>
    <row r="1861" spans="1:19" x14ac:dyDescent="0.25">
      <c r="A1861" t="s">
        <v>41</v>
      </c>
      <c r="B1861" t="s">
        <v>301</v>
      </c>
      <c r="C1861">
        <v>4460</v>
      </c>
      <c r="D1861" t="s">
        <v>342</v>
      </c>
      <c r="E1861">
        <v>24.15</v>
      </c>
      <c r="F1861">
        <v>11.93</v>
      </c>
      <c r="G1861">
        <v>11.83</v>
      </c>
      <c r="H1861">
        <v>23.76</v>
      </c>
      <c r="I1861" t="s">
        <v>343</v>
      </c>
      <c r="J1861">
        <v>97.74</v>
      </c>
      <c r="K1861">
        <v>-0.25</v>
      </c>
      <c r="L1861" t="s">
        <v>346</v>
      </c>
      <c r="M1861" s="1">
        <v>2.5000000000000001E-3</v>
      </c>
      <c r="N1861" t="s">
        <v>349</v>
      </c>
      <c r="O1861">
        <v>3.15</v>
      </c>
      <c r="P1861" t="s">
        <v>344</v>
      </c>
      <c r="Q1861">
        <v>1.07</v>
      </c>
      <c r="R1861" t="s">
        <v>343</v>
      </c>
      <c r="S1861">
        <v>1</v>
      </c>
    </row>
    <row r="1862" spans="1:19" x14ac:dyDescent="0.25">
      <c r="A1862" t="s">
        <v>41</v>
      </c>
      <c r="B1862" t="s">
        <v>302</v>
      </c>
      <c r="C1862">
        <v>4480</v>
      </c>
      <c r="D1862" t="s">
        <v>342</v>
      </c>
      <c r="E1862">
        <v>24.15</v>
      </c>
      <c r="F1862">
        <v>11.13</v>
      </c>
      <c r="G1862">
        <v>12.42</v>
      </c>
      <c r="H1862">
        <v>23.55</v>
      </c>
      <c r="I1862" t="s">
        <v>343</v>
      </c>
      <c r="J1862">
        <v>97.56</v>
      </c>
      <c r="K1862">
        <v>-0.88</v>
      </c>
      <c r="L1862" t="s">
        <v>346</v>
      </c>
      <c r="M1862" s="1">
        <v>8.8000000000000005E-3</v>
      </c>
      <c r="N1862" t="s">
        <v>349</v>
      </c>
      <c r="O1862">
        <v>4.33</v>
      </c>
      <c r="P1862" t="s">
        <v>343</v>
      </c>
      <c r="Q1862">
        <v>-1.69</v>
      </c>
      <c r="R1862" t="s">
        <v>343</v>
      </c>
      <c r="S1862">
        <v>1</v>
      </c>
    </row>
    <row r="1863" spans="1:19" x14ac:dyDescent="0.25">
      <c r="A1863" t="s">
        <v>41</v>
      </c>
      <c r="B1863" t="s">
        <v>303</v>
      </c>
      <c r="C1863">
        <v>4500</v>
      </c>
      <c r="D1863" t="s">
        <v>342</v>
      </c>
      <c r="E1863">
        <v>24.15</v>
      </c>
      <c r="F1863">
        <v>10.47</v>
      </c>
      <c r="G1863">
        <v>12.43</v>
      </c>
      <c r="H1863">
        <v>22.9</v>
      </c>
      <c r="I1863" t="s">
        <v>343</v>
      </c>
      <c r="J1863">
        <v>97.37</v>
      </c>
      <c r="K1863">
        <v>-0.97</v>
      </c>
      <c r="L1863" t="s">
        <v>346</v>
      </c>
      <c r="M1863" s="1">
        <v>9.7000000000000003E-3</v>
      </c>
      <c r="N1863" t="s">
        <v>349</v>
      </c>
      <c r="O1863">
        <v>3.81</v>
      </c>
      <c r="P1863" t="s">
        <v>344</v>
      </c>
      <c r="Q1863">
        <v>-1.52</v>
      </c>
      <c r="R1863" t="s">
        <v>343</v>
      </c>
      <c r="S1863">
        <v>1</v>
      </c>
    </row>
    <row r="1864" spans="1:19" x14ac:dyDescent="0.25">
      <c r="A1864" t="s">
        <v>41</v>
      </c>
      <c r="B1864" t="s">
        <v>304</v>
      </c>
      <c r="C1864">
        <v>4520</v>
      </c>
      <c r="D1864" t="s">
        <v>342</v>
      </c>
      <c r="E1864">
        <v>24.15</v>
      </c>
      <c r="F1864">
        <v>12.15</v>
      </c>
      <c r="G1864">
        <v>10.02</v>
      </c>
      <c r="H1864">
        <v>22.18</v>
      </c>
      <c r="I1864" t="s">
        <v>343</v>
      </c>
      <c r="J1864">
        <v>97.39</v>
      </c>
      <c r="K1864">
        <v>0.09</v>
      </c>
      <c r="L1864" t="s">
        <v>346</v>
      </c>
      <c r="M1864" s="1">
        <v>8.9999999999999998E-4</v>
      </c>
      <c r="N1864" t="s">
        <v>349</v>
      </c>
      <c r="O1864">
        <v>5.77</v>
      </c>
      <c r="P1864" t="s">
        <v>343</v>
      </c>
      <c r="Q1864">
        <v>0.43</v>
      </c>
      <c r="R1864" t="s">
        <v>343</v>
      </c>
      <c r="S1864">
        <v>1</v>
      </c>
    </row>
    <row r="1865" spans="1:19" x14ac:dyDescent="0.25">
      <c r="A1865" t="s">
        <v>41</v>
      </c>
      <c r="B1865" t="s">
        <v>305</v>
      </c>
      <c r="C1865">
        <v>4540</v>
      </c>
      <c r="D1865" t="s">
        <v>342</v>
      </c>
      <c r="E1865">
        <v>24.15</v>
      </c>
      <c r="F1865">
        <v>11.91</v>
      </c>
      <c r="G1865">
        <v>10.25</v>
      </c>
      <c r="H1865">
        <v>22.16</v>
      </c>
      <c r="I1865" t="s">
        <v>343</v>
      </c>
      <c r="J1865">
        <v>97.25</v>
      </c>
      <c r="K1865">
        <v>-0.68</v>
      </c>
      <c r="L1865" t="s">
        <v>346</v>
      </c>
      <c r="M1865" s="1">
        <v>6.7999999999999996E-3</v>
      </c>
      <c r="N1865" t="s">
        <v>349</v>
      </c>
      <c r="O1865">
        <v>5.1100000000000003</v>
      </c>
      <c r="P1865" t="s">
        <v>343</v>
      </c>
      <c r="Q1865">
        <v>-0.79</v>
      </c>
      <c r="R1865" t="s">
        <v>343</v>
      </c>
      <c r="S1865">
        <v>1</v>
      </c>
    </row>
    <row r="1866" spans="1:19" x14ac:dyDescent="0.25">
      <c r="A1866" t="s">
        <v>41</v>
      </c>
      <c r="B1866" t="s">
        <v>306</v>
      </c>
      <c r="C1866">
        <v>4560</v>
      </c>
      <c r="D1866" t="s">
        <v>342</v>
      </c>
      <c r="E1866">
        <v>24.15</v>
      </c>
      <c r="F1866">
        <v>10.55</v>
      </c>
      <c r="G1866">
        <v>11.51</v>
      </c>
      <c r="H1866">
        <v>22.06</v>
      </c>
      <c r="I1866" t="s">
        <v>343</v>
      </c>
      <c r="J1866">
        <v>97.07</v>
      </c>
      <c r="K1866">
        <v>-0.91</v>
      </c>
      <c r="L1866" t="s">
        <v>346</v>
      </c>
      <c r="M1866" s="1">
        <v>9.1000000000000004E-3</v>
      </c>
      <c r="N1866" t="s">
        <v>349</v>
      </c>
      <c r="O1866">
        <v>4.13</v>
      </c>
      <c r="P1866" t="s">
        <v>343</v>
      </c>
      <c r="Q1866">
        <v>0.18</v>
      </c>
      <c r="R1866" t="s">
        <v>343</v>
      </c>
      <c r="S1866">
        <v>1</v>
      </c>
    </row>
    <row r="1867" spans="1:19" x14ac:dyDescent="0.25">
      <c r="A1867" t="s">
        <v>41</v>
      </c>
      <c r="B1867" t="s">
        <v>307</v>
      </c>
      <c r="C1867">
        <v>4580</v>
      </c>
      <c r="D1867" t="s">
        <v>342</v>
      </c>
      <c r="E1867">
        <v>24.15</v>
      </c>
      <c r="F1867">
        <v>9.9600000000000009</v>
      </c>
      <c r="G1867">
        <v>12.5</v>
      </c>
      <c r="H1867">
        <v>22.46</v>
      </c>
      <c r="I1867" t="s">
        <v>343</v>
      </c>
      <c r="J1867">
        <v>96.91</v>
      </c>
      <c r="K1867">
        <v>-0.8</v>
      </c>
      <c r="L1867" t="s">
        <v>346</v>
      </c>
      <c r="M1867" s="1">
        <v>8.0000000000000002E-3</v>
      </c>
      <c r="N1867" t="s">
        <v>349</v>
      </c>
      <c r="O1867">
        <v>3.65</v>
      </c>
      <c r="P1867" t="s">
        <v>344</v>
      </c>
      <c r="Q1867">
        <v>-0.67</v>
      </c>
      <c r="R1867" t="s">
        <v>343</v>
      </c>
      <c r="S1867">
        <v>1</v>
      </c>
    </row>
    <row r="1868" spans="1:19" x14ac:dyDescent="0.25">
      <c r="A1868" t="s">
        <v>41</v>
      </c>
      <c r="B1868" t="s">
        <v>308</v>
      </c>
      <c r="C1868">
        <v>4600</v>
      </c>
      <c r="D1868" t="s">
        <v>342</v>
      </c>
      <c r="E1868">
        <v>24.15</v>
      </c>
      <c r="F1868">
        <v>9.8000000000000007</v>
      </c>
      <c r="G1868">
        <v>12.8</v>
      </c>
      <c r="H1868">
        <v>22.59</v>
      </c>
      <c r="I1868" t="s">
        <v>343</v>
      </c>
      <c r="J1868">
        <v>96.78</v>
      </c>
      <c r="K1868">
        <v>-0.65</v>
      </c>
      <c r="L1868" t="s">
        <v>346</v>
      </c>
      <c r="M1868" s="1">
        <v>6.5000000000000006E-3</v>
      </c>
      <c r="N1868" t="s">
        <v>349</v>
      </c>
      <c r="O1868">
        <v>4.13</v>
      </c>
      <c r="P1868" t="s">
        <v>343</v>
      </c>
      <c r="Q1868">
        <v>-1.95</v>
      </c>
      <c r="R1868" t="s">
        <v>343</v>
      </c>
      <c r="S1868">
        <v>1</v>
      </c>
    </row>
    <row r="1869" spans="1:19" x14ac:dyDescent="0.25">
      <c r="A1869" t="s">
        <v>41</v>
      </c>
      <c r="B1869" t="s">
        <v>309</v>
      </c>
      <c r="C1869">
        <v>4620</v>
      </c>
      <c r="D1869" t="s">
        <v>342</v>
      </c>
      <c r="E1869">
        <v>24.15</v>
      </c>
      <c r="F1869">
        <v>9.7100000000000009</v>
      </c>
      <c r="G1869">
        <v>13.28</v>
      </c>
      <c r="H1869">
        <v>22.99</v>
      </c>
      <c r="I1869" t="s">
        <v>343</v>
      </c>
      <c r="J1869">
        <v>96.65</v>
      </c>
      <c r="K1869">
        <v>-0.66</v>
      </c>
      <c r="L1869" t="s">
        <v>346</v>
      </c>
      <c r="M1869" s="1">
        <v>6.6E-3</v>
      </c>
      <c r="N1869" t="s">
        <v>349</v>
      </c>
      <c r="O1869">
        <v>5.28</v>
      </c>
      <c r="P1869" t="s">
        <v>343</v>
      </c>
      <c r="Q1869">
        <v>-2.5099999999999998</v>
      </c>
      <c r="R1869" t="s">
        <v>344</v>
      </c>
      <c r="S1869">
        <v>1</v>
      </c>
    </row>
    <row r="1870" spans="1:19" x14ac:dyDescent="0.25">
      <c r="A1870" t="s">
        <v>41</v>
      </c>
      <c r="B1870" t="s">
        <v>310</v>
      </c>
      <c r="C1870">
        <v>4640</v>
      </c>
      <c r="D1870" t="s">
        <v>342</v>
      </c>
      <c r="E1870">
        <v>24.15</v>
      </c>
      <c r="F1870">
        <v>9.0500000000000007</v>
      </c>
      <c r="G1870">
        <v>14.74</v>
      </c>
      <c r="H1870">
        <v>23.79</v>
      </c>
      <c r="I1870" t="s">
        <v>343</v>
      </c>
      <c r="J1870">
        <v>96.56</v>
      </c>
      <c r="K1870">
        <v>-0.46</v>
      </c>
      <c r="L1870" t="s">
        <v>346</v>
      </c>
      <c r="M1870" s="1">
        <v>4.5999999999999999E-3</v>
      </c>
      <c r="N1870" t="s">
        <v>349</v>
      </c>
      <c r="O1870">
        <v>3.89</v>
      </c>
      <c r="P1870" t="s">
        <v>344</v>
      </c>
      <c r="Q1870">
        <v>-1.82</v>
      </c>
      <c r="R1870" t="s">
        <v>343</v>
      </c>
      <c r="S1870">
        <v>1</v>
      </c>
    </row>
    <row r="1871" spans="1:19" x14ac:dyDescent="0.25">
      <c r="A1871" t="s">
        <v>41</v>
      </c>
      <c r="B1871" t="s">
        <v>311</v>
      </c>
      <c r="C1871">
        <v>4660</v>
      </c>
      <c r="D1871" t="s">
        <v>342</v>
      </c>
      <c r="E1871">
        <v>24.15</v>
      </c>
      <c r="F1871">
        <v>9.07</v>
      </c>
      <c r="G1871">
        <v>14.64</v>
      </c>
      <c r="H1871">
        <v>23.71</v>
      </c>
      <c r="I1871" t="s">
        <v>343</v>
      </c>
      <c r="J1871">
        <v>96.58</v>
      </c>
      <c r="K1871">
        <v>0.14000000000000001</v>
      </c>
      <c r="L1871" t="s">
        <v>346</v>
      </c>
      <c r="M1871" s="1">
        <v>1.4E-3</v>
      </c>
      <c r="N1871" t="s">
        <v>349</v>
      </c>
      <c r="O1871">
        <v>4.55</v>
      </c>
      <c r="P1871" t="s">
        <v>343</v>
      </c>
      <c r="Q1871">
        <v>-1.0900000000000001</v>
      </c>
      <c r="R1871" t="s">
        <v>343</v>
      </c>
      <c r="S1871">
        <v>1</v>
      </c>
    </row>
    <row r="1872" spans="1:19" x14ac:dyDescent="0.25">
      <c r="A1872" t="s">
        <v>41</v>
      </c>
      <c r="B1872" t="s">
        <v>312</v>
      </c>
      <c r="C1872">
        <v>4680</v>
      </c>
      <c r="D1872" t="s">
        <v>342</v>
      </c>
      <c r="E1872">
        <v>24.15</v>
      </c>
      <c r="F1872">
        <v>10.57</v>
      </c>
      <c r="G1872">
        <v>14.56</v>
      </c>
      <c r="H1872">
        <v>25.13</v>
      </c>
      <c r="I1872" t="s">
        <v>344</v>
      </c>
      <c r="J1872">
        <v>96.59</v>
      </c>
      <c r="K1872">
        <v>0.03</v>
      </c>
      <c r="L1872" t="s">
        <v>346</v>
      </c>
      <c r="M1872" s="1">
        <v>2.9999999999999997E-4</v>
      </c>
      <c r="N1872" t="s">
        <v>349</v>
      </c>
      <c r="O1872">
        <v>4.46</v>
      </c>
      <c r="P1872" t="s">
        <v>343</v>
      </c>
      <c r="Q1872">
        <v>-1.43</v>
      </c>
      <c r="R1872" t="s">
        <v>343</v>
      </c>
      <c r="S1872">
        <v>1</v>
      </c>
    </row>
    <row r="1873" spans="1:19" x14ac:dyDescent="0.25">
      <c r="A1873" t="s">
        <v>41</v>
      </c>
      <c r="B1873" t="s">
        <v>313</v>
      </c>
      <c r="C1873">
        <v>4700</v>
      </c>
      <c r="D1873" t="s">
        <v>342</v>
      </c>
      <c r="E1873">
        <v>24.15</v>
      </c>
      <c r="F1873">
        <v>8.8000000000000007</v>
      </c>
      <c r="G1873">
        <v>14.31</v>
      </c>
      <c r="H1873">
        <v>23.11</v>
      </c>
      <c r="I1873" t="s">
        <v>343</v>
      </c>
      <c r="J1873">
        <v>96.73</v>
      </c>
      <c r="K1873">
        <v>0.7</v>
      </c>
      <c r="L1873" t="s">
        <v>346</v>
      </c>
      <c r="M1873" s="1">
        <v>6.9999999999999993E-3</v>
      </c>
      <c r="N1873" t="s">
        <v>349</v>
      </c>
      <c r="O1873">
        <v>5.36</v>
      </c>
      <c r="P1873" t="s">
        <v>343</v>
      </c>
      <c r="Q1873">
        <v>-0.86</v>
      </c>
      <c r="R1873" t="s">
        <v>343</v>
      </c>
      <c r="S1873">
        <v>1</v>
      </c>
    </row>
    <row r="1874" spans="1:19" x14ac:dyDescent="0.25">
      <c r="A1874" t="s">
        <v>41</v>
      </c>
      <c r="B1874" t="s">
        <v>314</v>
      </c>
      <c r="C1874">
        <v>4720</v>
      </c>
      <c r="D1874" t="s">
        <v>342</v>
      </c>
      <c r="E1874">
        <v>24.15</v>
      </c>
      <c r="F1874">
        <v>9.69</v>
      </c>
      <c r="G1874">
        <v>15.66</v>
      </c>
      <c r="H1874">
        <v>25.35</v>
      </c>
      <c r="I1874" t="s">
        <v>344</v>
      </c>
      <c r="J1874">
        <v>96.85</v>
      </c>
      <c r="K1874">
        <v>0.61</v>
      </c>
      <c r="L1874" t="s">
        <v>346</v>
      </c>
      <c r="M1874" s="1">
        <v>6.1000000000000004E-3</v>
      </c>
      <c r="N1874" t="s">
        <v>349</v>
      </c>
      <c r="O1874">
        <v>4.6399999999999997</v>
      </c>
      <c r="P1874" t="s">
        <v>343</v>
      </c>
      <c r="Q1874">
        <v>-0.45</v>
      </c>
      <c r="R1874" t="s">
        <v>343</v>
      </c>
      <c r="S1874">
        <v>1</v>
      </c>
    </row>
    <row r="1875" spans="1:19" x14ac:dyDescent="0.25">
      <c r="A1875" t="s">
        <v>41</v>
      </c>
      <c r="B1875" t="s">
        <v>315</v>
      </c>
      <c r="C1875">
        <v>4740</v>
      </c>
      <c r="D1875" t="s">
        <v>342</v>
      </c>
      <c r="E1875">
        <v>24.15</v>
      </c>
      <c r="F1875">
        <v>8.8000000000000007</v>
      </c>
      <c r="G1875">
        <v>15.88</v>
      </c>
      <c r="H1875">
        <v>24.67</v>
      </c>
      <c r="I1875" t="s">
        <v>344</v>
      </c>
      <c r="J1875">
        <v>97.05</v>
      </c>
      <c r="K1875">
        <v>0.99</v>
      </c>
      <c r="L1875" t="s">
        <v>346</v>
      </c>
      <c r="M1875" s="1">
        <v>9.8999999999999991E-3</v>
      </c>
      <c r="N1875" t="s">
        <v>349</v>
      </c>
      <c r="O1875">
        <v>4.7</v>
      </c>
      <c r="P1875" t="s">
        <v>343</v>
      </c>
      <c r="Q1875">
        <v>-1.78</v>
      </c>
      <c r="R1875" t="s">
        <v>343</v>
      </c>
      <c r="S1875">
        <v>1</v>
      </c>
    </row>
    <row r="1876" spans="1:19" x14ac:dyDescent="0.25">
      <c r="A1876" t="s">
        <v>41</v>
      </c>
      <c r="B1876" t="s">
        <v>316</v>
      </c>
      <c r="C1876">
        <v>4760</v>
      </c>
      <c r="D1876" t="s">
        <v>342</v>
      </c>
      <c r="E1876">
        <v>24.15</v>
      </c>
      <c r="F1876">
        <v>8.7100000000000009</v>
      </c>
      <c r="G1876">
        <v>15.66</v>
      </c>
      <c r="H1876">
        <v>24.37</v>
      </c>
      <c r="I1876" t="s">
        <v>344</v>
      </c>
      <c r="J1876">
        <v>97.41</v>
      </c>
      <c r="K1876">
        <v>1.79</v>
      </c>
      <c r="L1876" t="s">
        <v>346</v>
      </c>
      <c r="M1876" s="1">
        <v>1.7899999999999999E-2</v>
      </c>
      <c r="N1876" t="s">
        <v>349</v>
      </c>
      <c r="O1876">
        <v>2.48</v>
      </c>
      <c r="P1876" t="s">
        <v>344</v>
      </c>
      <c r="Q1876">
        <v>-0.73</v>
      </c>
      <c r="R1876" t="s">
        <v>343</v>
      </c>
      <c r="S1876">
        <v>1</v>
      </c>
    </row>
    <row r="1877" spans="1:19" x14ac:dyDescent="0.25">
      <c r="A1877" t="s">
        <v>41</v>
      </c>
      <c r="B1877" t="s">
        <v>317</v>
      </c>
      <c r="C1877">
        <v>4780</v>
      </c>
      <c r="D1877" t="s">
        <v>342</v>
      </c>
      <c r="E1877">
        <v>24.15</v>
      </c>
      <c r="F1877">
        <v>8.09</v>
      </c>
      <c r="G1877">
        <v>15.25</v>
      </c>
      <c r="H1877">
        <v>23.35</v>
      </c>
      <c r="I1877" t="s">
        <v>343</v>
      </c>
      <c r="J1877">
        <v>97.75</v>
      </c>
      <c r="K1877">
        <v>1.71</v>
      </c>
      <c r="L1877" t="s">
        <v>346</v>
      </c>
      <c r="M1877" s="1">
        <v>1.7100000000000001E-2</v>
      </c>
      <c r="N1877" t="s">
        <v>349</v>
      </c>
      <c r="O1877">
        <v>2.86</v>
      </c>
      <c r="P1877" t="s">
        <v>344</v>
      </c>
      <c r="Q1877">
        <v>-0.33</v>
      </c>
      <c r="R1877" t="s">
        <v>343</v>
      </c>
      <c r="S1877">
        <v>1</v>
      </c>
    </row>
    <row r="1878" spans="1:19" x14ac:dyDescent="0.25">
      <c r="A1878" t="s">
        <v>41</v>
      </c>
      <c r="B1878" t="s">
        <v>318</v>
      </c>
      <c r="C1878">
        <v>4800</v>
      </c>
      <c r="D1878" t="s">
        <v>342</v>
      </c>
      <c r="E1878">
        <v>24.15</v>
      </c>
      <c r="F1878">
        <v>8.64</v>
      </c>
      <c r="G1878">
        <v>14.52</v>
      </c>
      <c r="H1878">
        <v>23.16</v>
      </c>
      <c r="I1878" t="s">
        <v>343</v>
      </c>
      <c r="J1878">
        <v>97.96</v>
      </c>
      <c r="K1878">
        <v>1.04</v>
      </c>
      <c r="L1878" t="s">
        <v>346</v>
      </c>
      <c r="M1878" s="1">
        <v>1.04E-2</v>
      </c>
      <c r="N1878" t="s">
        <v>349</v>
      </c>
      <c r="O1878">
        <v>2.5299999999999998</v>
      </c>
      <c r="P1878" t="s">
        <v>344</v>
      </c>
      <c r="Q1878">
        <v>-1.03</v>
      </c>
      <c r="R1878" t="s">
        <v>343</v>
      </c>
      <c r="S1878">
        <v>1</v>
      </c>
    </row>
    <row r="1879" spans="1:19" x14ac:dyDescent="0.25">
      <c r="A1879" t="s">
        <v>41</v>
      </c>
      <c r="B1879" t="s">
        <v>319</v>
      </c>
      <c r="C1879">
        <v>4820</v>
      </c>
      <c r="D1879" t="s">
        <v>342</v>
      </c>
      <c r="E1879">
        <v>24.15</v>
      </c>
      <c r="F1879">
        <v>9.42</v>
      </c>
      <c r="G1879">
        <v>15.17</v>
      </c>
      <c r="H1879">
        <v>24.59</v>
      </c>
      <c r="I1879" t="s">
        <v>344</v>
      </c>
      <c r="J1879">
        <v>98.18</v>
      </c>
      <c r="K1879">
        <v>1.1299999999999999</v>
      </c>
      <c r="L1879" t="s">
        <v>346</v>
      </c>
      <c r="M1879" s="1">
        <v>1.1299999999999999E-2</v>
      </c>
      <c r="N1879" t="s">
        <v>349</v>
      </c>
      <c r="O1879">
        <v>2.75</v>
      </c>
      <c r="P1879" t="s">
        <v>344</v>
      </c>
      <c r="Q1879">
        <v>-0.45</v>
      </c>
      <c r="R1879" t="s">
        <v>343</v>
      </c>
      <c r="S1879">
        <v>1</v>
      </c>
    </row>
    <row r="1880" spans="1:19" x14ac:dyDescent="0.25">
      <c r="A1880" t="s">
        <v>41</v>
      </c>
      <c r="B1880" t="s">
        <v>320</v>
      </c>
      <c r="C1880">
        <v>4840</v>
      </c>
      <c r="D1880" t="s">
        <v>342</v>
      </c>
      <c r="E1880">
        <v>24.15</v>
      </c>
      <c r="F1880">
        <v>10.43</v>
      </c>
      <c r="G1880">
        <v>15.8</v>
      </c>
      <c r="H1880">
        <v>26.22</v>
      </c>
      <c r="I1880" t="s">
        <v>344</v>
      </c>
      <c r="J1880">
        <v>98.27</v>
      </c>
      <c r="K1880">
        <v>0.41</v>
      </c>
      <c r="L1880" t="s">
        <v>346</v>
      </c>
      <c r="M1880" s="1">
        <v>4.0999999999999986E-3</v>
      </c>
      <c r="N1880" t="s">
        <v>349</v>
      </c>
      <c r="O1880">
        <v>1.89</v>
      </c>
      <c r="P1880" t="s">
        <v>343</v>
      </c>
      <c r="Q1880">
        <v>-1.28</v>
      </c>
      <c r="R1880" t="s">
        <v>343</v>
      </c>
      <c r="S1880">
        <v>1</v>
      </c>
    </row>
    <row r="1881" spans="1:19" x14ac:dyDescent="0.25">
      <c r="A1881" t="s">
        <v>41</v>
      </c>
      <c r="B1881" t="s">
        <v>321</v>
      </c>
      <c r="C1881">
        <v>4860</v>
      </c>
      <c r="D1881" t="s">
        <v>342</v>
      </c>
      <c r="E1881">
        <v>24.15</v>
      </c>
      <c r="F1881">
        <v>12.32</v>
      </c>
      <c r="G1881">
        <v>16.78</v>
      </c>
      <c r="H1881">
        <v>29.1</v>
      </c>
      <c r="I1881" t="s">
        <v>344</v>
      </c>
      <c r="J1881">
        <v>98.4</v>
      </c>
      <c r="K1881">
        <v>0.65</v>
      </c>
      <c r="L1881" t="s">
        <v>346</v>
      </c>
      <c r="M1881" s="1">
        <v>6.5000000000000006E-3</v>
      </c>
      <c r="N1881" t="s">
        <v>349</v>
      </c>
      <c r="O1881">
        <v>1.18</v>
      </c>
      <c r="P1881" t="s">
        <v>343</v>
      </c>
      <c r="Q1881">
        <v>-1.02</v>
      </c>
      <c r="R1881" t="s">
        <v>343</v>
      </c>
      <c r="S1881">
        <v>1</v>
      </c>
    </row>
    <row r="1882" spans="1:19" x14ac:dyDescent="0.25">
      <c r="A1882" t="s">
        <v>41</v>
      </c>
      <c r="B1882" t="s">
        <v>322</v>
      </c>
      <c r="C1882">
        <v>4880</v>
      </c>
      <c r="D1882" t="s">
        <v>342</v>
      </c>
      <c r="E1882">
        <v>24.15</v>
      </c>
      <c r="F1882">
        <v>13.24</v>
      </c>
      <c r="G1882">
        <v>17.18</v>
      </c>
      <c r="H1882">
        <v>30.42</v>
      </c>
      <c r="I1882" t="s">
        <v>344</v>
      </c>
      <c r="J1882">
        <v>98.53</v>
      </c>
      <c r="K1882">
        <v>0.67</v>
      </c>
      <c r="L1882" t="s">
        <v>346</v>
      </c>
      <c r="M1882" s="1">
        <v>6.7000000000000002E-3</v>
      </c>
      <c r="N1882" t="s">
        <v>349</v>
      </c>
      <c r="O1882">
        <v>0.53</v>
      </c>
      <c r="P1882" t="s">
        <v>343</v>
      </c>
      <c r="Q1882">
        <v>-0.9</v>
      </c>
      <c r="R1882" t="s">
        <v>343</v>
      </c>
      <c r="S1882">
        <v>1</v>
      </c>
    </row>
    <row r="1883" spans="1:19" x14ac:dyDescent="0.25">
      <c r="A1883" t="s">
        <v>41</v>
      </c>
      <c r="B1883" t="s">
        <v>323</v>
      </c>
      <c r="C1883">
        <v>4888.5339999999997</v>
      </c>
      <c r="D1883" t="s">
        <v>342</v>
      </c>
      <c r="E1883">
        <v>24.15</v>
      </c>
      <c r="F1883">
        <v>12.76</v>
      </c>
      <c r="G1883">
        <v>16.57</v>
      </c>
      <c r="H1883">
        <v>29.33</v>
      </c>
      <c r="I1883" t="s">
        <v>344</v>
      </c>
      <c r="J1883">
        <v>98.61</v>
      </c>
      <c r="K1883">
        <v>0.9</v>
      </c>
      <c r="L1883" t="s">
        <v>346</v>
      </c>
      <c r="M1883" s="1">
        <v>9.0000000000000011E-3</v>
      </c>
      <c r="N1883" t="s">
        <v>349</v>
      </c>
      <c r="O1883">
        <v>0.42</v>
      </c>
      <c r="P1883" t="s">
        <v>343</v>
      </c>
      <c r="Q1883">
        <v>-0.78</v>
      </c>
      <c r="R1883" t="s">
        <v>343</v>
      </c>
      <c r="S1883">
        <v>0</v>
      </c>
    </row>
    <row r="1884" spans="1:19" x14ac:dyDescent="0.25">
      <c r="A1884" t="s">
        <v>42</v>
      </c>
      <c r="B1884" t="s">
        <v>56</v>
      </c>
      <c r="C1884">
        <v>0</v>
      </c>
      <c r="D1884" t="s">
        <v>342</v>
      </c>
      <c r="E1884">
        <v>24.15</v>
      </c>
      <c r="F1884">
        <v>20</v>
      </c>
      <c r="G1884">
        <v>20</v>
      </c>
      <c r="H1884">
        <v>40</v>
      </c>
      <c r="I1884" t="s">
        <v>344</v>
      </c>
      <c r="J1884">
        <v>42.96</v>
      </c>
      <c r="L1884" t="s">
        <v>345</v>
      </c>
      <c r="N1884" t="s">
        <v>345</v>
      </c>
      <c r="O1884">
        <v>-3.72</v>
      </c>
      <c r="P1884" t="s">
        <v>344</v>
      </c>
      <c r="Q1884">
        <v>4.37</v>
      </c>
      <c r="R1884" t="s">
        <v>343</v>
      </c>
      <c r="S1884">
        <v>1</v>
      </c>
    </row>
    <row r="1885" spans="1:19" x14ac:dyDescent="0.25">
      <c r="A1885" t="s">
        <v>42</v>
      </c>
      <c r="B1885" t="s">
        <v>57</v>
      </c>
      <c r="C1885">
        <v>20</v>
      </c>
      <c r="D1885" t="s">
        <v>342</v>
      </c>
      <c r="E1885">
        <v>24.15</v>
      </c>
      <c r="F1885">
        <v>20</v>
      </c>
      <c r="G1885">
        <v>20</v>
      </c>
      <c r="H1885">
        <v>40</v>
      </c>
      <c r="I1885" t="s">
        <v>344</v>
      </c>
      <c r="J1885">
        <v>42.77</v>
      </c>
      <c r="K1885">
        <v>-0.98</v>
      </c>
      <c r="L1885" t="s">
        <v>346</v>
      </c>
      <c r="M1885" s="1">
        <v>9.7999999999999997E-3</v>
      </c>
      <c r="N1885" t="s">
        <v>349</v>
      </c>
      <c r="O1885">
        <v>-3.97</v>
      </c>
      <c r="P1885" t="s">
        <v>344</v>
      </c>
      <c r="Q1885">
        <v>3.56</v>
      </c>
      <c r="R1885" t="s">
        <v>344</v>
      </c>
      <c r="S1885">
        <v>1</v>
      </c>
    </row>
    <row r="1886" spans="1:19" x14ac:dyDescent="0.25">
      <c r="A1886" t="s">
        <v>42</v>
      </c>
      <c r="B1886" t="s">
        <v>58</v>
      </c>
      <c r="C1886">
        <v>40</v>
      </c>
      <c r="D1886" t="s">
        <v>342</v>
      </c>
      <c r="E1886">
        <v>24.15</v>
      </c>
      <c r="F1886">
        <v>20</v>
      </c>
      <c r="G1886">
        <v>20</v>
      </c>
      <c r="H1886">
        <v>40</v>
      </c>
      <c r="I1886" t="s">
        <v>344</v>
      </c>
      <c r="J1886">
        <v>43.79</v>
      </c>
      <c r="K1886">
        <v>5.0999999999999996</v>
      </c>
      <c r="L1886" t="s">
        <v>346</v>
      </c>
      <c r="M1886" s="1">
        <v>5.0999999999999997E-2</v>
      </c>
      <c r="N1886" t="s">
        <v>350</v>
      </c>
      <c r="O1886">
        <v>-2.5099999999999998</v>
      </c>
      <c r="P1886" t="s">
        <v>344</v>
      </c>
      <c r="Q1886">
        <v>2.76</v>
      </c>
      <c r="R1886" t="s">
        <v>344</v>
      </c>
      <c r="S1886">
        <v>1</v>
      </c>
    </row>
    <row r="1887" spans="1:19" x14ac:dyDescent="0.25">
      <c r="A1887" t="s">
        <v>42</v>
      </c>
      <c r="B1887" t="s">
        <v>59</v>
      </c>
      <c r="C1887">
        <v>60</v>
      </c>
      <c r="D1887" t="s">
        <v>342</v>
      </c>
      <c r="E1887">
        <v>24.15</v>
      </c>
      <c r="F1887">
        <v>20</v>
      </c>
      <c r="G1887">
        <v>18.52</v>
      </c>
      <c r="H1887">
        <v>38.520000000000003</v>
      </c>
      <c r="I1887" t="s">
        <v>344</v>
      </c>
      <c r="J1887">
        <v>42.93</v>
      </c>
      <c r="K1887">
        <v>-4.2699999999999996</v>
      </c>
      <c r="L1887" t="s">
        <v>346</v>
      </c>
      <c r="M1887" s="1">
        <v>4.2699999999999988E-2</v>
      </c>
      <c r="N1887" t="s">
        <v>350</v>
      </c>
      <c r="O1887">
        <v>-2.4300000000000002</v>
      </c>
      <c r="P1887" t="s">
        <v>344</v>
      </c>
      <c r="Q1887">
        <v>2.12</v>
      </c>
      <c r="R1887" t="s">
        <v>344</v>
      </c>
      <c r="S1887">
        <v>1</v>
      </c>
    </row>
    <row r="1888" spans="1:19" x14ac:dyDescent="0.25">
      <c r="A1888" t="s">
        <v>42</v>
      </c>
      <c r="B1888" t="s">
        <v>60</v>
      </c>
      <c r="C1888">
        <v>80</v>
      </c>
      <c r="D1888" t="s">
        <v>342</v>
      </c>
      <c r="E1888">
        <v>24.15</v>
      </c>
      <c r="F1888">
        <v>18.52</v>
      </c>
      <c r="G1888">
        <v>17.690000000000001</v>
      </c>
      <c r="H1888">
        <v>36.21</v>
      </c>
      <c r="I1888" t="s">
        <v>344</v>
      </c>
      <c r="J1888">
        <v>43.34</v>
      </c>
      <c r="K1888">
        <v>2.0499999999999998</v>
      </c>
      <c r="L1888" t="s">
        <v>346</v>
      </c>
      <c r="M1888" s="1">
        <v>2.0500000000000001E-2</v>
      </c>
      <c r="N1888" t="s">
        <v>350</v>
      </c>
      <c r="O1888">
        <v>-2.5</v>
      </c>
      <c r="P1888" t="s">
        <v>344</v>
      </c>
      <c r="Q1888">
        <v>3.99</v>
      </c>
      <c r="R1888" t="s">
        <v>344</v>
      </c>
      <c r="S1888">
        <v>1</v>
      </c>
    </row>
    <row r="1889" spans="1:19" x14ac:dyDescent="0.25">
      <c r="A1889" t="s">
        <v>42</v>
      </c>
      <c r="B1889" t="s">
        <v>61</v>
      </c>
      <c r="C1889">
        <v>100</v>
      </c>
      <c r="D1889" t="s">
        <v>342</v>
      </c>
      <c r="E1889">
        <v>24.15</v>
      </c>
      <c r="F1889">
        <v>18.43</v>
      </c>
      <c r="G1889">
        <v>16.84</v>
      </c>
      <c r="H1889">
        <v>35.270000000000003</v>
      </c>
      <c r="I1889" t="s">
        <v>344</v>
      </c>
      <c r="J1889">
        <v>43.71</v>
      </c>
      <c r="K1889">
        <v>1.86</v>
      </c>
      <c r="L1889" t="s">
        <v>346</v>
      </c>
      <c r="M1889" s="1">
        <v>1.8599999999999998E-2</v>
      </c>
      <c r="N1889" t="s">
        <v>349</v>
      </c>
      <c r="O1889">
        <v>-2.65</v>
      </c>
      <c r="P1889" t="s">
        <v>344</v>
      </c>
      <c r="Q1889">
        <v>1.73</v>
      </c>
      <c r="R1889" t="s">
        <v>343</v>
      </c>
      <c r="S1889">
        <v>1</v>
      </c>
    </row>
    <row r="1890" spans="1:19" x14ac:dyDescent="0.25">
      <c r="A1890" t="s">
        <v>42</v>
      </c>
      <c r="B1890" t="s">
        <v>62</v>
      </c>
      <c r="C1890">
        <v>120</v>
      </c>
      <c r="D1890" t="s">
        <v>342</v>
      </c>
      <c r="E1890">
        <v>24.15</v>
      </c>
      <c r="F1890">
        <v>16.940000000000001</v>
      </c>
      <c r="G1890">
        <v>17.45</v>
      </c>
      <c r="H1890">
        <v>34.39</v>
      </c>
      <c r="I1890" t="s">
        <v>344</v>
      </c>
      <c r="J1890">
        <v>44.3</v>
      </c>
      <c r="K1890">
        <v>2.91</v>
      </c>
      <c r="L1890" t="s">
        <v>346</v>
      </c>
      <c r="M1890" s="1">
        <v>2.9100000000000001E-2</v>
      </c>
      <c r="N1890" t="s">
        <v>350</v>
      </c>
      <c r="O1890">
        <v>-1.58</v>
      </c>
      <c r="P1890" t="s">
        <v>343</v>
      </c>
      <c r="Q1890">
        <v>-0.95</v>
      </c>
      <c r="R1890" t="s">
        <v>343</v>
      </c>
      <c r="S1890">
        <v>1</v>
      </c>
    </row>
    <row r="1891" spans="1:19" x14ac:dyDescent="0.25">
      <c r="A1891" t="s">
        <v>42</v>
      </c>
      <c r="B1891" t="s">
        <v>63</v>
      </c>
      <c r="C1891">
        <v>140</v>
      </c>
      <c r="D1891" t="s">
        <v>342</v>
      </c>
      <c r="E1891">
        <v>24.15</v>
      </c>
      <c r="F1891">
        <v>16.739999999999998</v>
      </c>
      <c r="G1891">
        <v>17.98</v>
      </c>
      <c r="H1891">
        <v>34.72</v>
      </c>
      <c r="I1891" t="s">
        <v>344</v>
      </c>
      <c r="J1891">
        <v>45.08</v>
      </c>
      <c r="K1891">
        <v>3.89</v>
      </c>
      <c r="L1891" t="s">
        <v>346</v>
      </c>
      <c r="M1891" s="1">
        <v>3.8899999999999997E-2</v>
      </c>
      <c r="N1891" t="s">
        <v>350</v>
      </c>
      <c r="O1891">
        <v>-1.31</v>
      </c>
      <c r="P1891" t="s">
        <v>343</v>
      </c>
      <c r="Q1891">
        <v>-1.62</v>
      </c>
      <c r="R1891" t="s">
        <v>343</v>
      </c>
      <c r="S1891">
        <v>1</v>
      </c>
    </row>
    <row r="1892" spans="1:19" x14ac:dyDescent="0.25">
      <c r="A1892" t="s">
        <v>42</v>
      </c>
      <c r="B1892" t="s">
        <v>64</v>
      </c>
      <c r="C1892">
        <v>160</v>
      </c>
      <c r="D1892" t="s">
        <v>342</v>
      </c>
      <c r="E1892">
        <v>24.15</v>
      </c>
      <c r="F1892">
        <v>16.43</v>
      </c>
      <c r="G1892">
        <v>17.010000000000002</v>
      </c>
      <c r="H1892">
        <v>33.43</v>
      </c>
      <c r="I1892" t="s">
        <v>344</v>
      </c>
      <c r="J1892">
        <v>46.02</v>
      </c>
      <c r="K1892">
        <v>4.7</v>
      </c>
      <c r="L1892" t="s">
        <v>346</v>
      </c>
      <c r="M1892" s="1">
        <v>4.7E-2</v>
      </c>
      <c r="N1892" t="s">
        <v>350</v>
      </c>
      <c r="O1892">
        <v>-0.5</v>
      </c>
      <c r="P1892" t="s">
        <v>343</v>
      </c>
      <c r="Q1892">
        <v>-1.39</v>
      </c>
      <c r="R1892" t="s">
        <v>343</v>
      </c>
      <c r="S1892">
        <v>1</v>
      </c>
    </row>
    <row r="1893" spans="1:19" x14ac:dyDescent="0.25">
      <c r="A1893" t="s">
        <v>42</v>
      </c>
      <c r="B1893" t="s">
        <v>65</v>
      </c>
      <c r="C1893">
        <v>180</v>
      </c>
      <c r="D1893" t="s">
        <v>342</v>
      </c>
      <c r="E1893">
        <v>24.15</v>
      </c>
      <c r="F1893">
        <v>16.43</v>
      </c>
      <c r="G1893">
        <v>18.579999999999998</v>
      </c>
      <c r="H1893">
        <v>35</v>
      </c>
      <c r="I1893" t="s">
        <v>344</v>
      </c>
      <c r="J1893">
        <v>47.1</v>
      </c>
      <c r="K1893">
        <v>5.43</v>
      </c>
      <c r="L1893" t="s">
        <v>346</v>
      </c>
      <c r="M1893" s="1">
        <v>5.4299999999999987E-2</v>
      </c>
      <c r="N1893" t="s">
        <v>350</v>
      </c>
      <c r="O1893">
        <v>-0.11</v>
      </c>
      <c r="P1893" t="s">
        <v>343</v>
      </c>
      <c r="Q1893">
        <v>-1.86</v>
      </c>
      <c r="R1893" t="s">
        <v>343</v>
      </c>
      <c r="S1893">
        <v>1</v>
      </c>
    </row>
    <row r="1894" spans="1:19" x14ac:dyDescent="0.25">
      <c r="A1894" t="s">
        <v>42</v>
      </c>
      <c r="B1894" t="s">
        <v>66</v>
      </c>
      <c r="C1894">
        <v>200</v>
      </c>
      <c r="D1894" t="s">
        <v>342</v>
      </c>
      <c r="E1894">
        <v>24.15</v>
      </c>
      <c r="F1894">
        <v>15.09</v>
      </c>
      <c r="G1894">
        <v>20</v>
      </c>
      <c r="H1894">
        <v>35.090000000000003</v>
      </c>
      <c r="I1894" t="s">
        <v>344</v>
      </c>
      <c r="J1894">
        <v>48.35</v>
      </c>
      <c r="K1894">
        <v>6.26</v>
      </c>
      <c r="L1894" t="s">
        <v>346</v>
      </c>
      <c r="M1894" s="1">
        <v>6.2600000000000003E-2</v>
      </c>
      <c r="N1894" t="s">
        <v>350</v>
      </c>
      <c r="O1894">
        <v>0.67</v>
      </c>
      <c r="P1894" t="s">
        <v>343</v>
      </c>
      <c r="Q1894">
        <v>-1.1499999999999999</v>
      </c>
      <c r="R1894" t="s">
        <v>343</v>
      </c>
      <c r="S1894">
        <v>1</v>
      </c>
    </row>
    <row r="1895" spans="1:19" x14ac:dyDescent="0.25">
      <c r="A1895" t="s">
        <v>42</v>
      </c>
      <c r="B1895" t="s">
        <v>67</v>
      </c>
      <c r="C1895">
        <v>220</v>
      </c>
      <c r="D1895" t="s">
        <v>342</v>
      </c>
      <c r="E1895">
        <v>24.15</v>
      </c>
      <c r="F1895">
        <v>14.83</v>
      </c>
      <c r="G1895">
        <v>20</v>
      </c>
      <c r="H1895">
        <v>34.83</v>
      </c>
      <c r="I1895" t="s">
        <v>344</v>
      </c>
      <c r="J1895">
        <v>49.48</v>
      </c>
      <c r="K1895">
        <v>5.62</v>
      </c>
      <c r="L1895" t="s">
        <v>346</v>
      </c>
      <c r="M1895" s="1">
        <v>5.62E-2</v>
      </c>
      <c r="N1895" t="s">
        <v>350</v>
      </c>
      <c r="O1895">
        <v>-3.93</v>
      </c>
      <c r="P1895" t="s">
        <v>344</v>
      </c>
      <c r="Q1895">
        <v>1</v>
      </c>
      <c r="R1895" t="s">
        <v>343</v>
      </c>
      <c r="S1895">
        <v>1</v>
      </c>
    </row>
    <row r="1896" spans="1:19" x14ac:dyDescent="0.25">
      <c r="A1896" t="s">
        <v>42</v>
      </c>
      <c r="B1896" t="s">
        <v>68</v>
      </c>
      <c r="C1896">
        <v>240</v>
      </c>
      <c r="D1896" t="s">
        <v>342</v>
      </c>
      <c r="E1896">
        <v>24.15</v>
      </c>
      <c r="F1896">
        <v>14.54</v>
      </c>
      <c r="G1896">
        <v>15.05</v>
      </c>
      <c r="H1896">
        <v>29.59</v>
      </c>
      <c r="I1896" t="s">
        <v>344</v>
      </c>
      <c r="J1896">
        <v>50.4</v>
      </c>
      <c r="K1896">
        <v>4.5999999999999996</v>
      </c>
      <c r="L1896" t="s">
        <v>346</v>
      </c>
      <c r="M1896" s="1">
        <v>4.5999999999999999E-2</v>
      </c>
      <c r="N1896" t="s">
        <v>350</v>
      </c>
      <c r="O1896">
        <v>-0.8</v>
      </c>
      <c r="P1896" t="s">
        <v>343</v>
      </c>
      <c r="Q1896">
        <v>4.07</v>
      </c>
      <c r="R1896" t="s">
        <v>343</v>
      </c>
      <c r="S1896">
        <v>1</v>
      </c>
    </row>
    <row r="1897" spans="1:19" x14ac:dyDescent="0.25">
      <c r="A1897" t="s">
        <v>42</v>
      </c>
      <c r="B1897" t="s">
        <v>69</v>
      </c>
      <c r="C1897">
        <v>260</v>
      </c>
      <c r="D1897" t="s">
        <v>342</v>
      </c>
      <c r="E1897">
        <v>24.15</v>
      </c>
      <c r="F1897">
        <v>14.83</v>
      </c>
      <c r="G1897">
        <v>13.21</v>
      </c>
      <c r="H1897">
        <v>28.04</v>
      </c>
      <c r="I1897" t="s">
        <v>344</v>
      </c>
      <c r="J1897">
        <v>50.79</v>
      </c>
      <c r="K1897">
        <v>1.95</v>
      </c>
      <c r="L1897" t="s">
        <v>346</v>
      </c>
      <c r="M1897" s="1">
        <v>1.95E-2</v>
      </c>
      <c r="N1897" t="s">
        <v>349</v>
      </c>
      <c r="O1897">
        <v>-2.74</v>
      </c>
      <c r="P1897" t="s">
        <v>344</v>
      </c>
      <c r="Q1897">
        <v>1.68</v>
      </c>
      <c r="R1897" t="s">
        <v>343</v>
      </c>
      <c r="S1897">
        <v>1</v>
      </c>
    </row>
    <row r="1898" spans="1:19" x14ac:dyDescent="0.25">
      <c r="A1898" t="s">
        <v>42</v>
      </c>
      <c r="B1898" t="s">
        <v>70</v>
      </c>
      <c r="C1898">
        <v>280</v>
      </c>
      <c r="D1898" t="s">
        <v>342</v>
      </c>
      <c r="E1898">
        <v>24.15</v>
      </c>
      <c r="F1898">
        <v>14.54</v>
      </c>
      <c r="G1898">
        <v>12.94</v>
      </c>
      <c r="H1898">
        <v>27.48</v>
      </c>
      <c r="I1898" t="s">
        <v>344</v>
      </c>
      <c r="J1898">
        <v>51.4</v>
      </c>
      <c r="K1898">
        <v>3.08</v>
      </c>
      <c r="L1898" t="s">
        <v>346</v>
      </c>
      <c r="M1898" s="1">
        <v>3.0800000000000001E-2</v>
      </c>
      <c r="N1898" t="s">
        <v>350</v>
      </c>
      <c r="O1898">
        <v>-0.66</v>
      </c>
      <c r="P1898" t="s">
        <v>343</v>
      </c>
      <c r="Q1898">
        <v>1.57</v>
      </c>
      <c r="R1898" t="s">
        <v>343</v>
      </c>
      <c r="S1898">
        <v>1</v>
      </c>
    </row>
    <row r="1899" spans="1:19" x14ac:dyDescent="0.25">
      <c r="A1899" t="s">
        <v>42</v>
      </c>
      <c r="B1899" t="s">
        <v>71</v>
      </c>
      <c r="C1899">
        <v>300</v>
      </c>
      <c r="D1899" t="s">
        <v>342</v>
      </c>
      <c r="E1899">
        <v>24.15</v>
      </c>
      <c r="F1899">
        <v>13.72</v>
      </c>
      <c r="G1899">
        <v>12.77</v>
      </c>
      <c r="H1899">
        <v>26.49</v>
      </c>
      <c r="I1899" t="s">
        <v>344</v>
      </c>
      <c r="J1899">
        <v>51.84</v>
      </c>
      <c r="K1899">
        <v>2.19</v>
      </c>
      <c r="L1899" t="s">
        <v>346</v>
      </c>
      <c r="M1899" s="1">
        <v>2.1899999999999999E-2</v>
      </c>
      <c r="N1899" t="s">
        <v>350</v>
      </c>
      <c r="O1899">
        <v>-0.02</v>
      </c>
      <c r="P1899" t="s">
        <v>343</v>
      </c>
      <c r="Q1899">
        <v>0.89</v>
      </c>
      <c r="R1899" t="s">
        <v>343</v>
      </c>
      <c r="S1899">
        <v>1</v>
      </c>
    </row>
    <row r="1900" spans="1:19" x14ac:dyDescent="0.25">
      <c r="A1900" t="s">
        <v>42</v>
      </c>
      <c r="B1900" t="s">
        <v>72</v>
      </c>
      <c r="C1900">
        <v>320</v>
      </c>
      <c r="D1900" t="s">
        <v>342</v>
      </c>
      <c r="E1900">
        <v>24.15</v>
      </c>
      <c r="F1900">
        <v>13.47</v>
      </c>
      <c r="G1900">
        <v>12.97</v>
      </c>
      <c r="H1900">
        <v>26.44</v>
      </c>
      <c r="I1900" t="s">
        <v>344</v>
      </c>
      <c r="J1900">
        <v>52.1</v>
      </c>
      <c r="K1900">
        <v>1.26</v>
      </c>
      <c r="L1900" t="s">
        <v>346</v>
      </c>
      <c r="M1900" s="1">
        <v>1.26E-2</v>
      </c>
      <c r="N1900" t="s">
        <v>349</v>
      </c>
      <c r="O1900">
        <v>1.33</v>
      </c>
      <c r="P1900" t="s">
        <v>343</v>
      </c>
      <c r="Q1900">
        <v>2.0499999999999998</v>
      </c>
      <c r="R1900" t="s">
        <v>344</v>
      </c>
      <c r="S1900">
        <v>1</v>
      </c>
    </row>
    <row r="1901" spans="1:19" x14ac:dyDescent="0.25">
      <c r="A1901" t="s">
        <v>42</v>
      </c>
      <c r="B1901" t="s">
        <v>73</v>
      </c>
      <c r="C1901">
        <v>340</v>
      </c>
      <c r="D1901" t="s">
        <v>342</v>
      </c>
      <c r="E1901">
        <v>24.15</v>
      </c>
      <c r="F1901">
        <v>13.55</v>
      </c>
      <c r="G1901">
        <v>14.92</v>
      </c>
      <c r="H1901">
        <v>28.47</v>
      </c>
      <c r="I1901" t="s">
        <v>344</v>
      </c>
      <c r="J1901">
        <v>52.12</v>
      </c>
      <c r="K1901">
        <v>0.11</v>
      </c>
      <c r="L1901" t="s">
        <v>346</v>
      </c>
      <c r="M1901" s="1">
        <v>1.1000000000000001E-3</v>
      </c>
      <c r="N1901" t="s">
        <v>349</v>
      </c>
      <c r="O1901">
        <v>0</v>
      </c>
      <c r="P1901" t="s">
        <v>343</v>
      </c>
      <c r="Q1901">
        <v>3.99</v>
      </c>
      <c r="R1901" t="s">
        <v>344</v>
      </c>
      <c r="S1901">
        <v>1</v>
      </c>
    </row>
    <row r="1902" spans="1:19" x14ac:dyDescent="0.25">
      <c r="A1902" t="s">
        <v>42</v>
      </c>
      <c r="B1902" t="s">
        <v>74</v>
      </c>
      <c r="C1902">
        <v>360</v>
      </c>
      <c r="D1902" t="s">
        <v>342</v>
      </c>
      <c r="E1902">
        <v>24.15</v>
      </c>
      <c r="F1902">
        <v>13.64</v>
      </c>
      <c r="G1902">
        <v>15.03</v>
      </c>
      <c r="H1902">
        <v>28.67</v>
      </c>
      <c r="I1902" t="s">
        <v>344</v>
      </c>
      <c r="J1902">
        <v>51.88</v>
      </c>
      <c r="K1902">
        <v>-1.17</v>
      </c>
      <c r="L1902" t="s">
        <v>346</v>
      </c>
      <c r="M1902" s="1">
        <v>1.17E-2</v>
      </c>
      <c r="N1902" t="s">
        <v>349</v>
      </c>
      <c r="O1902">
        <v>-0.06</v>
      </c>
      <c r="P1902" t="s">
        <v>343</v>
      </c>
      <c r="Q1902">
        <v>2.87</v>
      </c>
      <c r="R1902" t="s">
        <v>344</v>
      </c>
      <c r="S1902">
        <v>1</v>
      </c>
    </row>
    <row r="1903" spans="1:19" x14ac:dyDescent="0.25">
      <c r="A1903" t="s">
        <v>42</v>
      </c>
      <c r="B1903" t="s">
        <v>75</v>
      </c>
      <c r="C1903">
        <v>380</v>
      </c>
      <c r="D1903" t="s">
        <v>342</v>
      </c>
      <c r="E1903">
        <v>24.15</v>
      </c>
      <c r="F1903">
        <v>14.34</v>
      </c>
      <c r="G1903">
        <v>14.92</v>
      </c>
      <c r="H1903">
        <v>29.26</v>
      </c>
      <c r="I1903" t="s">
        <v>344</v>
      </c>
      <c r="J1903">
        <v>51.69</v>
      </c>
      <c r="K1903">
        <v>-0.98</v>
      </c>
      <c r="L1903" t="s">
        <v>346</v>
      </c>
      <c r="M1903" s="1">
        <v>9.7999999999999997E-3</v>
      </c>
      <c r="N1903" t="s">
        <v>349</v>
      </c>
      <c r="O1903">
        <v>0.04</v>
      </c>
      <c r="P1903" t="s">
        <v>343</v>
      </c>
      <c r="Q1903">
        <v>2.7</v>
      </c>
      <c r="R1903" t="s">
        <v>344</v>
      </c>
      <c r="S1903">
        <v>1</v>
      </c>
    </row>
    <row r="1904" spans="1:19" x14ac:dyDescent="0.25">
      <c r="A1904" t="s">
        <v>42</v>
      </c>
      <c r="B1904" t="s">
        <v>76</v>
      </c>
      <c r="C1904">
        <v>400</v>
      </c>
      <c r="D1904" t="s">
        <v>342</v>
      </c>
      <c r="E1904">
        <v>24.15</v>
      </c>
      <c r="F1904">
        <v>14.79</v>
      </c>
      <c r="G1904">
        <v>14.82</v>
      </c>
      <c r="H1904">
        <v>29.61</v>
      </c>
      <c r="I1904" t="s">
        <v>344</v>
      </c>
      <c r="J1904">
        <v>51.68</v>
      </c>
      <c r="K1904">
        <v>-0.04</v>
      </c>
      <c r="L1904" t="s">
        <v>346</v>
      </c>
      <c r="M1904" s="1">
        <v>4.0000000000000002E-4</v>
      </c>
      <c r="N1904" t="s">
        <v>349</v>
      </c>
      <c r="O1904">
        <v>0.69</v>
      </c>
      <c r="P1904" t="s">
        <v>343</v>
      </c>
      <c r="Q1904">
        <v>3.54</v>
      </c>
      <c r="R1904" t="s">
        <v>344</v>
      </c>
      <c r="S1904">
        <v>1</v>
      </c>
    </row>
    <row r="1905" spans="1:19" x14ac:dyDescent="0.25">
      <c r="A1905" t="s">
        <v>42</v>
      </c>
      <c r="B1905" t="s">
        <v>77</v>
      </c>
      <c r="C1905">
        <v>420</v>
      </c>
      <c r="D1905" t="s">
        <v>342</v>
      </c>
      <c r="E1905">
        <v>24.15</v>
      </c>
      <c r="F1905">
        <v>13.97</v>
      </c>
      <c r="G1905">
        <v>12.64</v>
      </c>
      <c r="H1905">
        <v>26.61</v>
      </c>
      <c r="I1905" t="s">
        <v>344</v>
      </c>
      <c r="J1905">
        <v>51.65</v>
      </c>
      <c r="K1905">
        <v>-0.14000000000000001</v>
      </c>
      <c r="L1905" t="s">
        <v>346</v>
      </c>
      <c r="M1905" s="1">
        <v>1.4E-3</v>
      </c>
      <c r="N1905" t="s">
        <v>349</v>
      </c>
      <c r="O1905">
        <v>1.25</v>
      </c>
      <c r="P1905" t="s">
        <v>343</v>
      </c>
      <c r="Q1905">
        <v>4.1900000000000004</v>
      </c>
      <c r="R1905" t="s">
        <v>343</v>
      </c>
      <c r="S1905">
        <v>1</v>
      </c>
    </row>
    <row r="1906" spans="1:19" x14ac:dyDescent="0.25">
      <c r="A1906" t="s">
        <v>42</v>
      </c>
      <c r="B1906" t="s">
        <v>78</v>
      </c>
      <c r="C1906">
        <v>440</v>
      </c>
      <c r="D1906" t="s">
        <v>342</v>
      </c>
      <c r="E1906">
        <v>24.15</v>
      </c>
      <c r="F1906">
        <v>12.4</v>
      </c>
      <c r="G1906">
        <v>12.64</v>
      </c>
      <c r="H1906">
        <v>25.04</v>
      </c>
      <c r="I1906" t="s">
        <v>344</v>
      </c>
      <c r="J1906">
        <v>51.74</v>
      </c>
      <c r="K1906">
        <v>0.44</v>
      </c>
      <c r="L1906" t="s">
        <v>346</v>
      </c>
      <c r="M1906" s="1">
        <v>4.4000000000000003E-3</v>
      </c>
      <c r="N1906" t="s">
        <v>349</v>
      </c>
      <c r="O1906">
        <v>1.57</v>
      </c>
      <c r="P1906" t="s">
        <v>343</v>
      </c>
      <c r="Q1906">
        <v>3.7</v>
      </c>
      <c r="R1906" t="s">
        <v>344</v>
      </c>
      <c r="S1906">
        <v>1</v>
      </c>
    </row>
    <row r="1907" spans="1:19" x14ac:dyDescent="0.25">
      <c r="A1907" t="s">
        <v>42</v>
      </c>
      <c r="B1907" t="s">
        <v>79</v>
      </c>
      <c r="C1907">
        <v>460</v>
      </c>
      <c r="D1907" t="s">
        <v>342</v>
      </c>
      <c r="E1907">
        <v>24.15</v>
      </c>
      <c r="F1907">
        <v>11.34</v>
      </c>
      <c r="G1907">
        <v>11.63</v>
      </c>
      <c r="H1907">
        <v>22.97</v>
      </c>
      <c r="I1907" t="s">
        <v>343</v>
      </c>
      <c r="J1907">
        <v>51.97</v>
      </c>
      <c r="K1907">
        <v>1.1399999999999999</v>
      </c>
      <c r="L1907" t="s">
        <v>346</v>
      </c>
      <c r="M1907" s="1">
        <v>1.14E-2</v>
      </c>
      <c r="N1907" t="s">
        <v>349</v>
      </c>
      <c r="O1907">
        <v>5.0599999999999996</v>
      </c>
      <c r="P1907" t="s">
        <v>343</v>
      </c>
      <c r="Q1907">
        <v>3.52</v>
      </c>
      <c r="R1907" t="s">
        <v>344</v>
      </c>
      <c r="S1907">
        <v>1</v>
      </c>
    </row>
    <row r="1908" spans="1:19" x14ac:dyDescent="0.25">
      <c r="A1908" t="s">
        <v>42</v>
      </c>
      <c r="B1908" t="s">
        <v>80</v>
      </c>
      <c r="C1908">
        <v>480</v>
      </c>
      <c r="D1908" t="s">
        <v>342</v>
      </c>
      <c r="E1908">
        <v>24.15</v>
      </c>
      <c r="F1908">
        <v>11.58</v>
      </c>
      <c r="G1908">
        <v>20</v>
      </c>
      <c r="H1908">
        <v>31.58</v>
      </c>
      <c r="I1908" t="s">
        <v>344</v>
      </c>
      <c r="J1908">
        <v>51.72</v>
      </c>
      <c r="K1908">
        <v>-1.23</v>
      </c>
      <c r="L1908" t="s">
        <v>346</v>
      </c>
      <c r="M1908" s="1">
        <v>1.23E-2</v>
      </c>
      <c r="N1908" t="s">
        <v>349</v>
      </c>
      <c r="O1908">
        <v>2.85</v>
      </c>
      <c r="P1908" t="s">
        <v>344</v>
      </c>
      <c r="Q1908">
        <v>1.69</v>
      </c>
      <c r="R1908" t="s">
        <v>343</v>
      </c>
      <c r="S1908">
        <v>1</v>
      </c>
    </row>
    <row r="1909" spans="1:19" x14ac:dyDescent="0.25">
      <c r="A1909" t="s">
        <v>42</v>
      </c>
      <c r="B1909" t="s">
        <v>81</v>
      </c>
      <c r="C1909">
        <v>500</v>
      </c>
      <c r="D1909" t="s">
        <v>342</v>
      </c>
      <c r="E1909">
        <v>24.15</v>
      </c>
      <c r="F1909">
        <v>11.24</v>
      </c>
      <c r="G1909">
        <v>20</v>
      </c>
      <c r="H1909">
        <v>31.24</v>
      </c>
      <c r="I1909" t="s">
        <v>344</v>
      </c>
      <c r="J1909">
        <v>51.63</v>
      </c>
      <c r="K1909">
        <v>-0.46</v>
      </c>
      <c r="L1909" t="s">
        <v>346</v>
      </c>
      <c r="M1909" s="1">
        <v>4.5999999999999999E-3</v>
      </c>
      <c r="N1909" t="s">
        <v>349</v>
      </c>
      <c r="O1909">
        <v>1.93</v>
      </c>
      <c r="P1909" t="s">
        <v>343</v>
      </c>
      <c r="Q1909">
        <v>1.4</v>
      </c>
      <c r="R1909" t="s">
        <v>343</v>
      </c>
      <c r="S1909">
        <v>1</v>
      </c>
    </row>
    <row r="1910" spans="1:19" x14ac:dyDescent="0.25">
      <c r="A1910" t="s">
        <v>42</v>
      </c>
      <c r="B1910" t="s">
        <v>82</v>
      </c>
      <c r="C1910">
        <v>520</v>
      </c>
      <c r="D1910" t="s">
        <v>342</v>
      </c>
      <c r="E1910">
        <v>24.15</v>
      </c>
      <c r="F1910">
        <v>12.3</v>
      </c>
      <c r="G1910">
        <v>20</v>
      </c>
      <c r="H1910">
        <v>32.299999999999997</v>
      </c>
      <c r="I1910" t="s">
        <v>344</v>
      </c>
      <c r="J1910">
        <v>51.63</v>
      </c>
      <c r="K1910">
        <v>0.01</v>
      </c>
      <c r="L1910" t="s">
        <v>346</v>
      </c>
      <c r="M1910" s="1">
        <v>1E-4</v>
      </c>
      <c r="N1910" t="s">
        <v>349</v>
      </c>
      <c r="O1910">
        <v>3.31</v>
      </c>
      <c r="P1910" t="s">
        <v>344</v>
      </c>
      <c r="Q1910">
        <v>0.4</v>
      </c>
      <c r="R1910" t="s">
        <v>343</v>
      </c>
      <c r="S1910">
        <v>1</v>
      </c>
    </row>
    <row r="1911" spans="1:19" x14ac:dyDescent="0.25">
      <c r="A1911" t="s">
        <v>42</v>
      </c>
      <c r="B1911" t="s">
        <v>83</v>
      </c>
      <c r="C1911">
        <v>540</v>
      </c>
      <c r="D1911" t="s">
        <v>342</v>
      </c>
      <c r="E1911">
        <v>24.15</v>
      </c>
      <c r="F1911">
        <v>12.3</v>
      </c>
      <c r="G1911">
        <v>20</v>
      </c>
      <c r="H1911">
        <v>32.299999999999997</v>
      </c>
      <c r="I1911" t="s">
        <v>344</v>
      </c>
      <c r="J1911">
        <v>51.68</v>
      </c>
      <c r="K1911">
        <v>0.23</v>
      </c>
      <c r="L1911" t="s">
        <v>346</v>
      </c>
      <c r="M1911" s="1">
        <v>2.3E-3</v>
      </c>
      <c r="N1911" t="s">
        <v>349</v>
      </c>
      <c r="O1911">
        <v>3.91</v>
      </c>
      <c r="P1911" t="s">
        <v>344</v>
      </c>
      <c r="Q1911">
        <v>-0.56999999999999995</v>
      </c>
      <c r="R1911" t="s">
        <v>343</v>
      </c>
      <c r="S1911">
        <v>1</v>
      </c>
    </row>
    <row r="1912" spans="1:19" x14ac:dyDescent="0.25">
      <c r="A1912" t="s">
        <v>42</v>
      </c>
      <c r="B1912" t="s">
        <v>84</v>
      </c>
      <c r="C1912">
        <v>560</v>
      </c>
      <c r="D1912" t="s">
        <v>342</v>
      </c>
      <c r="E1912">
        <v>24.15</v>
      </c>
      <c r="F1912">
        <v>13.2</v>
      </c>
      <c r="G1912">
        <v>18.600000000000001</v>
      </c>
      <c r="H1912">
        <v>31.79</v>
      </c>
      <c r="I1912" t="s">
        <v>344</v>
      </c>
      <c r="J1912">
        <v>51.63</v>
      </c>
      <c r="K1912">
        <v>-0.25</v>
      </c>
      <c r="L1912" t="s">
        <v>346</v>
      </c>
      <c r="M1912" s="1">
        <v>2.5000000000000001E-3</v>
      </c>
      <c r="N1912" t="s">
        <v>349</v>
      </c>
      <c r="O1912">
        <v>4.13</v>
      </c>
      <c r="P1912" t="s">
        <v>343</v>
      </c>
      <c r="Q1912">
        <v>-0.01</v>
      </c>
      <c r="R1912" t="s">
        <v>343</v>
      </c>
      <c r="S1912">
        <v>1</v>
      </c>
    </row>
    <row r="1913" spans="1:19" x14ac:dyDescent="0.25">
      <c r="A1913" t="s">
        <v>42</v>
      </c>
      <c r="B1913" t="s">
        <v>85</v>
      </c>
      <c r="C1913">
        <v>580</v>
      </c>
      <c r="D1913" t="s">
        <v>342</v>
      </c>
      <c r="E1913">
        <v>24.15</v>
      </c>
      <c r="F1913">
        <v>13.72</v>
      </c>
      <c r="G1913">
        <v>18.600000000000001</v>
      </c>
      <c r="H1913">
        <v>32.32</v>
      </c>
      <c r="I1913" t="s">
        <v>344</v>
      </c>
      <c r="J1913">
        <v>51.55</v>
      </c>
      <c r="K1913">
        <v>-0.4</v>
      </c>
      <c r="L1913" t="s">
        <v>346</v>
      </c>
      <c r="M1913" s="1">
        <v>4.0000000000000001E-3</v>
      </c>
      <c r="N1913" t="s">
        <v>349</v>
      </c>
      <c r="O1913">
        <v>3.5</v>
      </c>
      <c r="P1913" t="s">
        <v>344</v>
      </c>
      <c r="Q1913">
        <v>-2</v>
      </c>
      <c r="R1913" t="s">
        <v>344</v>
      </c>
      <c r="S1913">
        <v>1</v>
      </c>
    </row>
    <row r="1914" spans="1:19" x14ac:dyDescent="0.25">
      <c r="A1914" t="s">
        <v>42</v>
      </c>
      <c r="B1914" t="s">
        <v>86</v>
      </c>
      <c r="C1914">
        <v>600</v>
      </c>
      <c r="D1914" t="s">
        <v>342</v>
      </c>
      <c r="E1914">
        <v>24.15</v>
      </c>
      <c r="F1914">
        <v>13.88</v>
      </c>
      <c r="G1914">
        <v>15.57</v>
      </c>
      <c r="H1914">
        <v>29.45</v>
      </c>
      <c r="I1914" t="s">
        <v>344</v>
      </c>
      <c r="J1914">
        <v>51.54</v>
      </c>
      <c r="K1914">
        <v>-0.01</v>
      </c>
      <c r="L1914" t="s">
        <v>346</v>
      </c>
      <c r="M1914" s="1">
        <v>1E-4</v>
      </c>
      <c r="N1914" t="s">
        <v>349</v>
      </c>
      <c r="O1914">
        <v>3.54</v>
      </c>
      <c r="P1914" t="s">
        <v>344</v>
      </c>
      <c r="Q1914">
        <v>0.12</v>
      </c>
      <c r="R1914" t="s">
        <v>343</v>
      </c>
      <c r="S1914">
        <v>1</v>
      </c>
    </row>
    <row r="1915" spans="1:19" x14ac:dyDescent="0.25">
      <c r="A1915" t="s">
        <v>42</v>
      </c>
      <c r="B1915" t="s">
        <v>87</v>
      </c>
      <c r="C1915">
        <v>620</v>
      </c>
      <c r="D1915" t="s">
        <v>342</v>
      </c>
      <c r="E1915">
        <v>24.15</v>
      </c>
      <c r="F1915">
        <v>14.31</v>
      </c>
      <c r="G1915">
        <v>12.04</v>
      </c>
      <c r="H1915">
        <v>26.35</v>
      </c>
      <c r="I1915" t="s">
        <v>344</v>
      </c>
      <c r="J1915">
        <v>51.6</v>
      </c>
      <c r="K1915">
        <v>0.27</v>
      </c>
      <c r="L1915" t="s">
        <v>346</v>
      </c>
      <c r="M1915" s="1">
        <v>2.7000000000000001E-3</v>
      </c>
      <c r="N1915" t="s">
        <v>349</v>
      </c>
      <c r="O1915">
        <v>1.56</v>
      </c>
      <c r="P1915" t="s">
        <v>343</v>
      </c>
      <c r="Q1915">
        <v>2.72</v>
      </c>
      <c r="R1915" t="s">
        <v>344</v>
      </c>
      <c r="S1915">
        <v>1</v>
      </c>
    </row>
    <row r="1916" spans="1:19" x14ac:dyDescent="0.25">
      <c r="A1916" t="s">
        <v>42</v>
      </c>
      <c r="B1916" t="s">
        <v>88</v>
      </c>
      <c r="C1916">
        <v>640</v>
      </c>
      <c r="D1916" t="s">
        <v>342</v>
      </c>
      <c r="E1916">
        <v>24.15</v>
      </c>
      <c r="F1916">
        <v>15.81</v>
      </c>
      <c r="G1916">
        <v>11.1</v>
      </c>
      <c r="H1916">
        <v>26.91</v>
      </c>
      <c r="I1916" t="s">
        <v>344</v>
      </c>
      <c r="J1916">
        <v>51.71</v>
      </c>
      <c r="K1916">
        <v>0.54</v>
      </c>
      <c r="L1916" t="s">
        <v>346</v>
      </c>
      <c r="M1916" s="1">
        <v>5.4000000000000003E-3</v>
      </c>
      <c r="N1916" t="s">
        <v>349</v>
      </c>
      <c r="O1916">
        <v>2.11</v>
      </c>
      <c r="P1916" t="s">
        <v>344</v>
      </c>
      <c r="Q1916">
        <v>3.83</v>
      </c>
      <c r="R1916" t="s">
        <v>344</v>
      </c>
      <c r="S1916">
        <v>1</v>
      </c>
    </row>
    <row r="1917" spans="1:19" x14ac:dyDescent="0.25">
      <c r="A1917" t="s">
        <v>42</v>
      </c>
      <c r="B1917" t="s">
        <v>89</v>
      </c>
      <c r="C1917">
        <v>660</v>
      </c>
      <c r="D1917" t="s">
        <v>342</v>
      </c>
      <c r="E1917">
        <v>24.15</v>
      </c>
      <c r="F1917">
        <v>15.81</v>
      </c>
      <c r="G1917">
        <v>10.86</v>
      </c>
      <c r="H1917">
        <v>26.67</v>
      </c>
      <c r="I1917" t="s">
        <v>344</v>
      </c>
      <c r="J1917">
        <v>51.9</v>
      </c>
      <c r="K1917">
        <v>1</v>
      </c>
      <c r="L1917" t="s">
        <v>346</v>
      </c>
      <c r="M1917" s="1">
        <v>0.01</v>
      </c>
      <c r="N1917" t="s">
        <v>349</v>
      </c>
      <c r="O1917">
        <v>2.5299999999999998</v>
      </c>
      <c r="P1917" t="s">
        <v>344</v>
      </c>
      <c r="Q1917">
        <v>3.87</v>
      </c>
      <c r="R1917" t="s">
        <v>344</v>
      </c>
      <c r="S1917">
        <v>1</v>
      </c>
    </row>
    <row r="1918" spans="1:19" x14ac:dyDescent="0.25">
      <c r="A1918" t="s">
        <v>42</v>
      </c>
      <c r="B1918" t="s">
        <v>90</v>
      </c>
      <c r="C1918">
        <v>680</v>
      </c>
      <c r="D1918" t="s">
        <v>342</v>
      </c>
      <c r="E1918">
        <v>24.15</v>
      </c>
      <c r="F1918">
        <v>16.72</v>
      </c>
      <c r="G1918">
        <v>11.1</v>
      </c>
      <c r="H1918">
        <v>27.82</v>
      </c>
      <c r="I1918" t="s">
        <v>344</v>
      </c>
      <c r="J1918">
        <v>52.07</v>
      </c>
      <c r="K1918">
        <v>0.85</v>
      </c>
      <c r="L1918" t="s">
        <v>346</v>
      </c>
      <c r="M1918" s="1">
        <v>8.5000000000000006E-3</v>
      </c>
      <c r="N1918" t="s">
        <v>349</v>
      </c>
      <c r="O1918">
        <v>3.29</v>
      </c>
      <c r="P1918" t="s">
        <v>344</v>
      </c>
      <c r="Q1918">
        <v>-0.36</v>
      </c>
      <c r="R1918" t="s">
        <v>343</v>
      </c>
      <c r="S1918">
        <v>1</v>
      </c>
    </row>
    <row r="1919" spans="1:19" x14ac:dyDescent="0.25">
      <c r="A1919" t="s">
        <v>42</v>
      </c>
      <c r="B1919" t="s">
        <v>91</v>
      </c>
      <c r="C1919">
        <v>700</v>
      </c>
      <c r="D1919" t="s">
        <v>342</v>
      </c>
      <c r="E1919">
        <v>24.15</v>
      </c>
      <c r="F1919">
        <v>17.25</v>
      </c>
      <c r="G1919">
        <v>13.16</v>
      </c>
      <c r="H1919">
        <v>30.41</v>
      </c>
      <c r="I1919" t="s">
        <v>344</v>
      </c>
      <c r="J1919">
        <v>52.12</v>
      </c>
      <c r="K1919">
        <v>0.21</v>
      </c>
      <c r="L1919" t="s">
        <v>346</v>
      </c>
      <c r="M1919" s="1">
        <v>2.0999999999999999E-3</v>
      </c>
      <c r="N1919" t="s">
        <v>349</v>
      </c>
      <c r="O1919">
        <v>2.87</v>
      </c>
      <c r="P1919" t="s">
        <v>344</v>
      </c>
      <c r="Q1919">
        <v>-0.44</v>
      </c>
      <c r="R1919" t="s">
        <v>343</v>
      </c>
      <c r="S1919">
        <v>1</v>
      </c>
    </row>
    <row r="1920" spans="1:19" x14ac:dyDescent="0.25">
      <c r="A1920" t="s">
        <v>42</v>
      </c>
      <c r="B1920" t="s">
        <v>92</v>
      </c>
      <c r="C1920">
        <v>720</v>
      </c>
      <c r="D1920" t="s">
        <v>342</v>
      </c>
      <c r="E1920">
        <v>24.15</v>
      </c>
      <c r="F1920">
        <v>16.72</v>
      </c>
      <c r="G1920">
        <v>15.52</v>
      </c>
      <c r="H1920">
        <v>32.24</v>
      </c>
      <c r="I1920" t="s">
        <v>344</v>
      </c>
      <c r="J1920">
        <v>52.04</v>
      </c>
      <c r="K1920">
        <v>-0.38</v>
      </c>
      <c r="L1920" t="s">
        <v>346</v>
      </c>
      <c r="M1920" s="1">
        <v>3.8E-3</v>
      </c>
      <c r="N1920" t="s">
        <v>349</v>
      </c>
      <c r="O1920">
        <v>2.63</v>
      </c>
      <c r="P1920" t="s">
        <v>344</v>
      </c>
      <c r="Q1920">
        <v>-10.49</v>
      </c>
      <c r="R1920" t="s">
        <v>343</v>
      </c>
      <c r="S1920">
        <v>1</v>
      </c>
    </row>
    <row r="1921" spans="1:19" x14ac:dyDescent="0.25">
      <c r="A1921" t="s">
        <v>42</v>
      </c>
      <c r="B1921" t="s">
        <v>93</v>
      </c>
      <c r="C1921">
        <v>740</v>
      </c>
      <c r="D1921" t="s">
        <v>342</v>
      </c>
      <c r="E1921">
        <v>24.15</v>
      </c>
      <c r="F1921">
        <v>17.18</v>
      </c>
      <c r="G1921">
        <v>15.52</v>
      </c>
      <c r="H1921">
        <v>32.700000000000003</v>
      </c>
      <c r="I1921" t="s">
        <v>344</v>
      </c>
      <c r="J1921">
        <v>52.17</v>
      </c>
      <c r="K1921">
        <v>0.62</v>
      </c>
      <c r="L1921" t="s">
        <v>346</v>
      </c>
      <c r="M1921" s="1">
        <v>6.1999999999999998E-3</v>
      </c>
      <c r="N1921" t="s">
        <v>349</v>
      </c>
      <c r="O1921">
        <v>2.88</v>
      </c>
      <c r="P1921" t="s">
        <v>344</v>
      </c>
      <c r="Q1921">
        <v>1.87</v>
      </c>
      <c r="R1921" t="s">
        <v>343</v>
      </c>
      <c r="S1921">
        <v>1</v>
      </c>
    </row>
    <row r="1922" spans="1:19" x14ac:dyDescent="0.25">
      <c r="A1922" t="s">
        <v>42</v>
      </c>
      <c r="B1922" t="s">
        <v>94</v>
      </c>
      <c r="C1922">
        <v>760</v>
      </c>
      <c r="D1922" t="s">
        <v>342</v>
      </c>
      <c r="E1922">
        <v>24.15</v>
      </c>
      <c r="F1922">
        <v>15.22</v>
      </c>
      <c r="G1922">
        <v>15.52</v>
      </c>
      <c r="H1922">
        <v>30.74</v>
      </c>
      <c r="I1922" t="s">
        <v>344</v>
      </c>
      <c r="J1922">
        <v>52.38</v>
      </c>
      <c r="K1922">
        <v>1.08</v>
      </c>
      <c r="L1922" t="s">
        <v>346</v>
      </c>
      <c r="M1922" s="1">
        <v>1.0800000000000001E-2</v>
      </c>
      <c r="N1922" t="s">
        <v>349</v>
      </c>
      <c r="O1922">
        <v>1.52</v>
      </c>
      <c r="P1922" t="s">
        <v>343</v>
      </c>
      <c r="Q1922">
        <v>2.82</v>
      </c>
      <c r="R1922" t="s">
        <v>344</v>
      </c>
      <c r="S1922">
        <v>1</v>
      </c>
    </row>
    <row r="1923" spans="1:19" x14ac:dyDescent="0.25">
      <c r="A1923" t="s">
        <v>42</v>
      </c>
      <c r="B1923" t="s">
        <v>95</v>
      </c>
      <c r="C1923">
        <v>780</v>
      </c>
      <c r="D1923" t="s">
        <v>342</v>
      </c>
      <c r="E1923">
        <v>24.15</v>
      </c>
      <c r="F1923">
        <v>13.83</v>
      </c>
      <c r="G1923">
        <v>15.68</v>
      </c>
      <c r="H1923">
        <v>29.51</v>
      </c>
      <c r="I1923" t="s">
        <v>344</v>
      </c>
      <c r="J1923">
        <v>52.56</v>
      </c>
      <c r="K1923">
        <v>0.87</v>
      </c>
      <c r="L1923" t="s">
        <v>346</v>
      </c>
      <c r="M1923" s="1">
        <v>8.6999999999999994E-3</v>
      </c>
      <c r="N1923" t="s">
        <v>349</v>
      </c>
      <c r="O1923">
        <v>1.05</v>
      </c>
      <c r="P1923" t="s">
        <v>343</v>
      </c>
      <c r="Q1923">
        <v>1.78</v>
      </c>
      <c r="R1923" t="s">
        <v>343</v>
      </c>
      <c r="S1923">
        <v>1</v>
      </c>
    </row>
    <row r="1924" spans="1:19" x14ac:dyDescent="0.25">
      <c r="A1924" t="s">
        <v>42</v>
      </c>
      <c r="B1924" t="s">
        <v>96</v>
      </c>
      <c r="C1924">
        <v>800</v>
      </c>
      <c r="D1924" t="s">
        <v>342</v>
      </c>
      <c r="E1924">
        <v>24.15</v>
      </c>
      <c r="F1924">
        <v>15.22</v>
      </c>
      <c r="G1924">
        <v>15.04</v>
      </c>
      <c r="H1924">
        <v>30.26</v>
      </c>
      <c r="I1924" t="s">
        <v>344</v>
      </c>
      <c r="J1924">
        <v>52.79</v>
      </c>
      <c r="K1924">
        <v>1.1599999999999999</v>
      </c>
      <c r="L1924" t="s">
        <v>346</v>
      </c>
      <c r="M1924" s="1">
        <v>1.1599999999999999E-2</v>
      </c>
      <c r="N1924" t="s">
        <v>349</v>
      </c>
      <c r="O1924">
        <v>1.06</v>
      </c>
      <c r="P1924" t="s">
        <v>343</v>
      </c>
      <c r="Q1924">
        <v>1.95</v>
      </c>
      <c r="R1924" t="s">
        <v>343</v>
      </c>
      <c r="S1924">
        <v>1</v>
      </c>
    </row>
    <row r="1925" spans="1:19" x14ac:dyDescent="0.25">
      <c r="A1925" t="s">
        <v>42</v>
      </c>
      <c r="B1925" t="s">
        <v>97</v>
      </c>
      <c r="C1925">
        <v>820</v>
      </c>
      <c r="D1925" t="s">
        <v>342</v>
      </c>
      <c r="E1925">
        <v>24.15</v>
      </c>
      <c r="F1925">
        <v>15.54</v>
      </c>
      <c r="G1925">
        <v>14.69</v>
      </c>
      <c r="H1925">
        <v>30.23</v>
      </c>
      <c r="I1925" t="s">
        <v>344</v>
      </c>
      <c r="J1925">
        <v>53.07</v>
      </c>
      <c r="K1925">
        <v>1.42</v>
      </c>
      <c r="L1925" t="s">
        <v>346</v>
      </c>
      <c r="M1925" s="1">
        <v>1.4200000000000001E-2</v>
      </c>
      <c r="N1925" t="s">
        <v>349</v>
      </c>
      <c r="O1925">
        <v>0.83</v>
      </c>
      <c r="P1925" t="s">
        <v>343</v>
      </c>
      <c r="Q1925">
        <v>1.29</v>
      </c>
      <c r="R1925" t="s">
        <v>343</v>
      </c>
      <c r="S1925">
        <v>1</v>
      </c>
    </row>
    <row r="1926" spans="1:19" x14ac:dyDescent="0.25">
      <c r="A1926" t="s">
        <v>42</v>
      </c>
      <c r="B1926" t="s">
        <v>98</v>
      </c>
      <c r="C1926">
        <v>840</v>
      </c>
      <c r="D1926" t="s">
        <v>342</v>
      </c>
      <c r="E1926">
        <v>24.15</v>
      </c>
      <c r="F1926">
        <v>15.54</v>
      </c>
      <c r="G1926">
        <v>14.88</v>
      </c>
      <c r="H1926">
        <v>30.42</v>
      </c>
      <c r="I1926" t="s">
        <v>344</v>
      </c>
      <c r="J1926">
        <v>53.48</v>
      </c>
      <c r="K1926">
        <v>2.0699999999999998</v>
      </c>
      <c r="L1926" t="s">
        <v>346</v>
      </c>
      <c r="M1926" s="1">
        <v>2.07E-2</v>
      </c>
      <c r="N1926" t="s">
        <v>350</v>
      </c>
      <c r="O1926">
        <v>1.17</v>
      </c>
      <c r="P1926" t="s">
        <v>343</v>
      </c>
      <c r="Q1926">
        <v>1.75</v>
      </c>
      <c r="R1926" t="s">
        <v>343</v>
      </c>
      <c r="S1926">
        <v>1</v>
      </c>
    </row>
    <row r="1927" spans="1:19" x14ac:dyDescent="0.25">
      <c r="A1927" t="s">
        <v>42</v>
      </c>
      <c r="B1927" t="s">
        <v>99</v>
      </c>
      <c r="C1927">
        <v>860</v>
      </c>
      <c r="D1927" t="s">
        <v>342</v>
      </c>
      <c r="E1927">
        <v>24.15</v>
      </c>
      <c r="F1927">
        <v>15.85</v>
      </c>
      <c r="G1927">
        <v>15.41</v>
      </c>
      <c r="H1927">
        <v>31.26</v>
      </c>
      <c r="I1927" t="s">
        <v>344</v>
      </c>
      <c r="J1927">
        <v>54.07</v>
      </c>
      <c r="K1927">
        <v>2.91</v>
      </c>
      <c r="L1927" t="s">
        <v>346</v>
      </c>
      <c r="M1927" s="1">
        <v>2.9100000000000001E-2</v>
      </c>
      <c r="N1927" t="s">
        <v>350</v>
      </c>
      <c r="O1927">
        <v>1.32</v>
      </c>
      <c r="P1927" t="s">
        <v>343</v>
      </c>
      <c r="Q1927">
        <v>0.95</v>
      </c>
      <c r="R1927" t="s">
        <v>343</v>
      </c>
      <c r="S1927">
        <v>1</v>
      </c>
    </row>
    <row r="1928" spans="1:19" x14ac:dyDescent="0.25">
      <c r="A1928" t="s">
        <v>42</v>
      </c>
      <c r="B1928" t="s">
        <v>100</v>
      </c>
      <c r="C1928">
        <v>880</v>
      </c>
      <c r="D1928" t="s">
        <v>342</v>
      </c>
      <c r="E1928">
        <v>24.15</v>
      </c>
      <c r="F1928">
        <v>15.45</v>
      </c>
      <c r="G1928">
        <v>15.19</v>
      </c>
      <c r="H1928">
        <v>30.64</v>
      </c>
      <c r="I1928" t="s">
        <v>344</v>
      </c>
      <c r="J1928">
        <v>54.75</v>
      </c>
      <c r="K1928">
        <v>3.41</v>
      </c>
      <c r="L1928" t="s">
        <v>346</v>
      </c>
      <c r="M1928" s="1">
        <v>3.4099999999999998E-2</v>
      </c>
      <c r="N1928" t="s">
        <v>350</v>
      </c>
      <c r="O1928">
        <v>2.1</v>
      </c>
      <c r="P1928" t="s">
        <v>344</v>
      </c>
      <c r="Q1928">
        <v>0.26</v>
      </c>
      <c r="R1928" t="s">
        <v>343</v>
      </c>
      <c r="S1928">
        <v>1</v>
      </c>
    </row>
    <row r="1929" spans="1:19" x14ac:dyDescent="0.25">
      <c r="A1929" t="s">
        <v>42</v>
      </c>
      <c r="B1929" t="s">
        <v>101</v>
      </c>
      <c r="C1929">
        <v>900</v>
      </c>
      <c r="D1929" t="s">
        <v>342</v>
      </c>
      <c r="E1929">
        <v>24.15</v>
      </c>
      <c r="F1929">
        <v>15.01</v>
      </c>
      <c r="G1929">
        <v>16.73</v>
      </c>
      <c r="H1929">
        <v>31.73</v>
      </c>
      <c r="I1929" t="s">
        <v>344</v>
      </c>
      <c r="J1929">
        <v>55.69</v>
      </c>
      <c r="K1929">
        <v>4.7300000000000004</v>
      </c>
      <c r="L1929" t="s">
        <v>346</v>
      </c>
      <c r="M1929" s="1">
        <v>4.7300000000000002E-2</v>
      </c>
      <c r="N1929" t="s">
        <v>350</v>
      </c>
      <c r="O1929">
        <v>2.4900000000000002</v>
      </c>
      <c r="P1929" t="s">
        <v>344</v>
      </c>
      <c r="Q1929">
        <v>1.22</v>
      </c>
      <c r="R1929" t="s">
        <v>343</v>
      </c>
      <c r="S1929">
        <v>1</v>
      </c>
    </row>
    <row r="1930" spans="1:19" x14ac:dyDescent="0.25">
      <c r="A1930" t="s">
        <v>42</v>
      </c>
      <c r="B1930" t="s">
        <v>102</v>
      </c>
      <c r="C1930">
        <v>920</v>
      </c>
      <c r="D1930" t="s">
        <v>342</v>
      </c>
      <c r="E1930">
        <v>24.15</v>
      </c>
      <c r="F1930">
        <v>14.01</v>
      </c>
      <c r="G1930">
        <v>16.73</v>
      </c>
      <c r="H1930">
        <v>30.73</v>
      </c>
      <c r="I1930" t="s">
        <v>344</v>
      </c>
      <c r="J1930">
        <v>56.65</v>
      </c>
      <c r="K1930">
        <v>4.79</v>
      </c>
      <c r="L1930" t="s">
        <v>346</v>
      </c>
      <c r="M1930" s="1">
        <v>4.7899999999999998E-2</v>
      </c>
      <c r="N1930" t="s">
        <v>350</v>
      </c>
      <c r="O1930">
        <v>0.87</v>
      </c>
      <c r="P1930" t="s">
        <v>343</v>
      </c>
      <c r="Q1930">
        <v>-1.61</v>
      </c>
      <c r="R1930" t="s">
        <v>343</v>
      </c>
      <c r="S1930">
        <v>1</v>
      </c>
    </row>
    <row r="1931" spans="1:19" x14ac:dyDescent="0.25">
      <c r="A1931" t="s">
        <v>42</v>
      </c>
      <c r="B1931" t="s">
        <v>103</v>
      </c>
      <c r="C1931">
        <v>940</v>
      </c>
      <c r="D1931" t="s">
        <v>342</v>
      </c>
      <c r="E1931">
        <v>24.15</v>
      </c>
      <c r="F1931">
        <v>14.31</v>
      </c>
      <c r="G1931">
        <v>16.73</v>
      </c>
      <c r="H1931">
        <v>31.03</v>
      </c>
      <c r="I1931" t="s">
        <v>344</v>
      </c>
      <c r="J1931">
        <v>57.85</v>
      </c>
      <c r="K1931">
        <v>6</v>
      </c>
      <c r="L1931" t="s">
        <v>346</v>
      </c>
      <c r="M1931" s="1">
        <v>0.06</v>
      </c>
      <c r="N1931" t="s">
        <v>350</v>
      </c>
      <c r="O1931">
        <v>2.19</v>
      </c>
      <c r="P1931" t="s">
        <v>344</v>
      </c>
      <c r="Q1931">
        <v>0.28000000000000003</v>
      </c>
      <c r="R1931" t="s">
        <v>343</v>
      </c>
      <c r="S1931">
        <v>1</v>
      </c>
    </row>
    <row r="1932" spans="1:19" x14ac:dyDescent="0.25">
      <c r="A1932" t="s">
        <v>42</v>
      </c>
      <c r="B1932" t="s">
        <v>104</v>
      </c>
      <c r="C1932">
        <v>960</v>
      </c>
      <c r="D1932" t="s">
        <v>342</v>
      </c>
      <c r="E1932">
        <v>24.15</v>
      </c>
      <c r="F1932">
        <v>14.22</v>
      </c>
      <c r="G1932">
        <v>15.05</v>
      </c>
      <c r="H1932">
        <v>29.27</v>
      </c>
      <c r="I1932" t="s">
        <v>344</v>
      </c>
      <c r="J1932">
        <v>58.9</v>
      </c>
      <c r="K1932">
        <v>5.23</v>
      </c>
      <c r="L1932" t="s">
        <v>346</v>
      </c>
      <c r="M1932" s="1">
        <v>5.2300000000000013E-2</v>
      </c>
      <c r="N1932" t="s">
        <v>350</v>
      </c>
      <c r="O1932">
        <v>1.34</v>
      </c>
      <c r="P1932" t="s">
        <v>343</v>
      </c>
      <c r="Q1932">
        <v>-0.66</v>
      </c>
      <c r="R1932" t="s">
        <v>343</v>
      </c>
      <c r="S1932">
        <v>1</v>
      </c>
    </row>
    <row r="1933" spans="1:19" x14ac:dyDescent="0.25">
      <c r="A1933" t="s">
        <v>42</v>
      </c>
      <c r="B1933" t="s">
        <v>105</v>
      </c>
      <c r="C1933">
        <v>980</v>
      </c>
      <c r="D1933" t="s">
        <v>342</v>
      </c>
      <c r="E1933">
        <v>24.15</v>
      </c>
      <c r="F1933">
        <v>15.46</v>
      </c>
      <c r="G1933">
        <v>15.87</v>
      </c>
      <c r="H1933">
        <v>31.33</v>
      </c>
      <c r="I1933" t="s">
        <v>344</v>
      </c>
      <c r="J1933">
        <v>60.17</v>
      </c>
      <c r="K1933">
        <v>6.37</v>
      </c>
      <c r="L1933" t="s">
        <v>346</v>
      </c>
      <c r="M1933" s="1">
        <v>6.3700000000000007E-2</v>
      </c>
      <c r="N1933" t="s">
        <v>350</v>
      </c>
      <c r="O1933">
        <v>2.33</v>
      </c>
      <c r="P1933" t="s">
        <v>344</v>
      </c>
      <c r="Q1933">
        <v>0.01</v>
      </c>
      <c r="R1933" t="s">
        <v>343</v>
      </c>
      <c r="S1933">
        <v>1</v>
      </c>
    </row>
    <row r="1934" spans="1:19" x14ac:dyDescent="0.25">
      <c r="A1934" t="s">
        <v>42</v>
      </c>
      <c r="B1934" t="s">
        <v>106</v>
      </c>
      <c r="C1934">
        <v>1000</v>
      </c>
      <c r="D1934" t="s">
        <v>342</v>
      </c>
      <c r="E1934">
        <v>24.15</v>
      </c>
      <c r="F1934">
        <v>16.48</v>
      </c>
      <c r="G1934">
        <v>15.82</v>
      </c>
      <c r="H1934">
        <v>32.299999999999997</v>
      </c>
      <c r="I1934" t="s">
        <v>344</v>
      </c>
      <c r="J1934">
        <v>61.44</v>
      </c>
      <c r="K1934">
        <v>6.35</v>
      </c>
      <c r="L1934" t="s">
        <v>346</v>
      </c>
      <c r="M1934" s="1">
        <v>6.3500000000000001E-2</v>
      </c>
      <c r="N1934" t="s">
        <v>350</v>
      </c>
      <c r="O1934">
        <v>2.94</v>
      </c>
      <c r="P1934" t="s">
        <v>344</v>
      </c>
      <c r="Q1934">
        <v>1.35</v>
      </c>
      <c r="R1934" t="s">
        <v>343</v>
      </c>
      <c r="S1934">
        <v>1</v>
      </c>
    </row>
    <row r="1935" spans="1:19" x14ac:dyDescent="0.25">
      <c r="A1935" t="s">
        <v>42</v>
      </c>
      <c r="B1935" t="s">
        <v>108</v>
      </c>
      <c r="C1935">
        <v>1020</v>
      </c>
      <c r="D1935" t="s">
        <v>342</v>
      </c>
      <c r="E1935">
        <v>24.15</v>
      </c>
      <c r="F1935">
        <v>16.36</v>
      </c>
      <c r="G1935">
        <v>15.5</v>
      </c>
      <c r="H1935">
        <v>31.86</v>
      </c>
      <c r="I1935" t="s">
        <v>344</v>
      </c>
      <c r="J1935">
        <v>62.52</v>
      </c>
      <c r="K1935">
        <v>5.38</v>
      </c>
      <c r="L1935" t="s">
        <v>346</v>
      </c>
      <c r="M1935" s="1">
        <v>5.3800000000000001E-2</v>
      </c>
      <c r="N1935" t="s">
        <v>350</v>
      </c>
      <c r="O1935">
        <v>3.68</v>
      </c>
      <c r="P1935" t="s">
        <v>344</v>
      </c>
      <c r="Q1935">
        <v>2.12</v>
      </c>
      <c r="R1935" t="s">
        <v>344</v>
      </c>
      <c r="S1935">
        <v>1</v>
      </c>
    </row>
    <row r="1936" spans="1:19" x14ac:dyDescent="0.25">
      <c r="A1936" t="s">
        <v>42</v>
      </c>
      <c r="B1936" t="s">
        <v>109</v>
      </c>
      <c r="C1936">
        <v>1040</v>
      </c>
      <c r="D1936" t="s">
        <v>342</v>
      </c>
      <c r="E1936">
        <v>24.15</v>
      </c>
      <c r="F1936">
        <v>16.399999999999999</v>
      </c>
      <c r="G1936">
        <v>14.83</v>
      </c>
      <c r="H1936">
        <v>31.22</v>
      </c>
      <c r="I1936" t="s">
        <v>344</v>
      </c>
      <c r="J1936">
        <v>63.59</v>
      </c>
      <c r="K1936">
        <v>5.35</v>
      </c>
      <c r="L1936" t="s">
        <v>346</v>
      </c>
      <c r="M1936" s="1">
        <v>5.3499999999999999E-2</v>
      </c>
      <c r="N1936" t="s">
        <v>350</v>
      </c>
      <c r="O1936">
        <v>3.32</v>
      </c>
      <c r="P1936" t="s">
        <v>344</v>
      </c>
      <c r="Q1936">
        <v>1.97</v>
      </c>
      <c r="R1936" t="s">
        <v>343</v>
      </c>
      <c r="S1936">
        <v>1</v>
      </c>
    </row>
    <row r="1937" spans="1:19" x14ac:dyDescent="0.25">
      <c r="A1937" t="s">
        <v>42</v>
      </c>
      <c r="B1937" t="s">
        <v>110</v>
      </c>
      <c r="C1937">
        <v>1060</v>
      </c>
      <c r="D1937" t="s">
        <v>342</v>
      </c>
      <c r="E1937">
        <v>24.15</v>
      </c>
      <c r="F1937">
        <v>17.579999999999998</v>
      </c>
      <c r="G1937">
        <v>13.8</v>
      </c>
      <c r="H1937">
        <v>31.38</v>
      </c>
      <c r="I1937" t="s">
        <v>344</v>
      </c>
      <c r="J1937">
        <v>64.38</v>
      </c>
      <c r="K1937">
        <v>3.98</v>
      </c>
      <c r="L1937" t="s">
        <v>346</v>
      </c>
      <c r="M1937" s="1">
        <v>3.9800000000000002E-2</v>
      </c>
      <c r="N1937" t="s">
        <v>350</v>
      </c>
      <c r="O1937">
        <v>1.52</v>
      </c>
      <c r="P1937" t="s">
        <v>343</v>
      </c>
      <c r="Q1937">
        <v>7.0000000000000007E-2</v>
      </c>
      <c r="R1937" t="s">
        <v>343</v>
      </c>
      <c r="S1937">
        <v>1</v>
      </c>
    </row>
    <row r="1938" spans="1:19" x14ac:dyDescent="0.25">
      <c r="A1938" t="s">
        <v>42</v>
      </c>
      <c r="B1938" t="s">
        <v>111</v>
      </c>
      <c r="C1938">
        <v>1080</v>
      </c>
      <c r="D1938" t="s">
        <v>342</v>
      </c>
      <c r="E1938">
        <v>24.15</v>
      </c>
      <c r="F1938">
        <v>16.61</v>
      </c>
      <c r="G1938">
        <v>14.04</v>
      </c>
      <c r="H1938">
        <v>30.64</v>
      </c>
      <c r="I1938" t="s">
        <v>344</v>
      </c>
      <c r="J1938">
        <v>65.33</v>
      </c>
      <c r="K1938">
        <v>4.76</v>
      </c>
      <c r="L1938" t="s">
        <v>346</v>
      </c>
      <c r="M1938" s="1">
        <v>4.7600000000000003E-2</v>
      </c>
      <c r="N1938" t="s">
        <v>350</v>
      </c>
      <c r="O1938">
        <v>2</v>
      </c>
      <c r="P1938" t="s">
        <v>344</v>
      </c>
      <c r="Q1938">
        <v>1.8</v>
      </c>
      <c r="R1938" t="s">
        <v>343</v>
      </c>
      <c r="S1938">
        <v>1</v>
      </c>
    </row>
    <row r="1939" spans="1:19" x14ac:dyDescent="0.25">
      <c r="A1939" t="s">
        <v>42</v>
      </c>
      <c r="B1939" t="s">
        <v>112</v>
      </c>
      <c r="C1939">
        <v>1100</v>
      </c>
      <c r="D1939" t="s">
        <v>342</v>
      </c>
      <c r="E1939">
        <v>24.15</v>
      </c>
      <c r="F1939">
        <v>16.61</v>
      </c>
      <c r="G1939">
        <v>14.03</v>
      </c>
      <c r="H1939">
        <v>30.64</v>
      </c>
      <c r="I1939" t="s">
        <v>344</v>
      </c>
      <c r="J1939">
        <v>66.2</v>
      </c>
      <c r="K1939">
        <v>4.3099999999999996</v>
      </c>
      <c r="L1939" t="s">
        <v>346</v>
      </c>
      <c r="M1939" s="1">
        <v>4.3099999999999999E-2</v>
      </c>
      <c r="N1939" t="s">
        <v>350</v>
      </c>
      <c r="O1939">
        <v>1.97</v>
      </c>
      <c r="P1939" t="s">
        <v>343</v>
      </c>
      <c r="Q1939">
        <v>1.46</v>
      </c>
      <c r="R1939" t="s">
        <v>343</v>
      </c>
      <c r="S1939">
        <v>1</v>
      </c>
    </row>
    <row r="1940" spans="1:19" x14ac:dyDescent="0.25">
      <c r="A1940" t="s">
        <v>42</v>
      </c>
      <c r="B1940" t="s">
        <v>113</v>
      </c>
      <c r="C1940">
        <v>1120</v>
      </c>
      <c r="D1940" t="s">
        <v>342</v>
      </c>
      <c r="E1940">
        <v>24.15</v>
      </c>
      <c r="F1940">
        <v>16.260000000000002</v>
      </c>
      <c r="G1940">
        <v>14.04</v>
      </c>
      <c r="H1940">
        <v>30.29</v>
      </c>
      <c r="I1940" t="s">
        <v>344</v>
      </c>
      <c r="J1940">
        <v>66.92</v>
      </c>
      <c r="K1940">
        <v>3.63</v>
      </c>
      <c r="L1940" t="s">
        <v>346</v>
      </c>
      <c r="M1940" s="1">
        <v>3.6299999999999999E-2</v>
      </c>
      <c r="N1940" t="s">
        <v>350</v>
      </c>
      <c r="O1940">
        <v>2.0299999999999998</v>
      </c>
      <c r="P1940" t="s">
        <v>344</v>
      </c>
      <c r="Q1940">
        <v>-0.73</v>
      </c>
      <c r="R1940" t="s">
        <v>343</v>
      </c>
      <c r="S1940">
        <v>1</v>
      </c>
    </row>
    <row r="1941" spans="1:19" x14ac:dyDescent="0.25">
      <c r="A1941" t="s">
        <v>42</v>
      </c>
      <c r="B1941" t="s">
        <v>114</v>
      </c>
      <c r="C1941">
        <v>1140</v>
      </c>
      <c r="D1941" t="s">
        <v>342</v>
      </c>
      <c r="E1941">
        <v>24.15</v>
      </c>
      <c r="F1941">
        <v>15.11</v>
      </c>
      <c r="G1941">
        <v>13.45</v>
      </c>
      <c r="H1941">
        <v>28.56</v>
      </c>
      <c r="I1941" t="s">
        <v>344</v>
      </c>
      <c r="J1941">
        <v>68.14</v>
      </c>
      <c r="K1941">
        <v>6.07</v>
      </c>
      <c r="L1941" t="s">
        <v>346</v>
      </c>
      <c r="M1941" s="1">
        <v>6.0699999999999997E-2</v>
      </c>
      <c r="N1941" t="s">
        <v>350</v>
      </c>
      <c r="O1941">
        <v>2.02</v>
      </c>
      <c r="P1941" t="s">
        <v>344</v>
      </c>
      <c r="Q1941">
        <v>-0.39</v>
      </c>
      <c r="R1941" t="s">
        <v>343</v>
      </c>
      <c r="S1941">
        <v>1</v>
      </c>
    </row>
    <row r="1942" spans="1:19" x14ac:dyDescent="0.25">
      <c r="A1942" t="s">
        <v>42</v>
      </c>
      <c r="B1942" t="s">
        <v>115</v>
      </c>
      <c r="C1942">
        <v>1160</v>
      </c>
      <c r="D1942" t="s">
        <v>342</v>
      </c>
      <c r="E1942">
        <v>24.15</v>
      </c>
      <c r="F1942">
        <v>15.66</v>
      </c>
      <c r="G1942">
        <v>14.8</v>
      </c>
      <c r="H1942">
        <v>30.45</v>
      </c>
      <c r="I1942" t="s">
        <v>344</v>
      </c>
      <c r="J1942">
        <v>70.06</v>
      </c>
      <c r="K1942">
        <v>9.6199999999999992</v>
      </c>
      <c r="L1942" t="s">
        <v>348</v>
      </c>
      <c r="M1942" s="1">
        <v>9.6199999999999994E-2</v>
      </c>
      <c r="N1942" t="s">
        <v>350</v>
      </c>
      <c r="O1942">
        <v>0.77</v>
      </c>
      <c r="P1942" t="s">
        <v>343</v>
      </c>
      <c r="Q1942">
        <v>0.82</v>
      </c>
      <c r="R1942" t="s">
        <v>343</v>
      </c>
      <c r="S1942">
        <v>1</v>
      </c>
    </row>
    <row r="1943" spans="1:19" x14ac:dyDescent="0.25">
      <c r="A1943" t="s">
        <v>42</v>
      </c>
      <c r="B1943" t="s">
        <v>324</v>
      </c>
      <c r="C1943">
        <v>1172.316</v>
      </c>
      <c r="D1943" t="s">
        <v>342</v>
      </c>
      <c r="E1943">
        <v>24.15</v>
      </c>
      <c r="F1943">
        <v>15.66</v>
      </c>
      <c r="G1943">
        <v>13.45</v>
      </c>
      <c r="H1943">
        <v>29.1</v>
      </c>
      <c r="I1943" t="s">
        <v>344</v>
      </c>
      <c r="J1943">
        <v>69.260000000000005</v>
      </c>
      <c r="K1943">
        <v>-6.51</v>
      </c>
      <c r="L1943" t="s">
        <v>346</v>
      </c>
      <c r="M1943" s="1">
        <v>6.5099999999999991E-2</v>
      </c>
      <c r="N1943" t="s">
        <v>350</v>
      </c>
      <c r="O1943">
        <v>-0.99</v>
      </c>
      <c r="P1943" t="s">
        <v>343</v>
      </c>
      <c r="Q1943">
        <v>2.2799999999999998</v>
      </c>
      <c r="R1943" t="s">
        <v>344</v>
      </c>
      <c r="S1943">
        <v>0</v>
      </c>
    </row>
    <row r="1944" spans="1:19" x14ac:dyDescent="0.25">
      <c r="A1944" t="s">
        <v>43</v>
      </c>
      <c r="B1944" t="s">
        <v>56</v>
      </c>
      <c r="C1944">
        <v>0</v>
      </c>
      <c r="D1944" t="s">
        <v>342</v>
      </c>
      <c r="E1944">
        <v>24.15</v>
      </c>
      <c r="F1944">
        <v>15.66</v>
      </c>
      <c r="G1944">
        <v>13.36</v>
      </c>
      <c r="H1944">
        <v>29.02</v>
      </c>
      <c r="I1944" t="s">
        <v>344</v>
      </c>
      <c r="J1944">
        <v>99.23</v>
      </c>
      <c r="L1944" t="s">
        <v>345</v>
      </c>
      <c r="N1944" t="s">
        <v>345</v>
      </c>
      <c r="O1944">
        <v>-3.01</v>
      </c>
      <c r="P1944" t="s">
        <v>344</v>
      </c>
      <c r="Q1944">
        <v>3.32</v>
      </c>
      <c r="R1944" t="s">
        <v>344</v>
      </c>
      <c r="S1944">
        <v>1</v>
      </c>
    </row>
    <row r="1945" spans="1:19" x14ac:dyDescent="0.25">
      <c r="A1945" t="s">
        <v>43</v>
      </c>
      <c r="B1945" t="s">
        <v>57</v>
      </c>
      <c r="C1945">
        <v>20</v>
      </c>
      <c r="D1945" t="s">
        <v>342</v>
      </c>
      <c r="E1945">
        <v>24.15</v>
      </c>
      <c r="F1945">
        <v>13.95</v>
      </c>
      <c r="G1945">
        <v>12.16</v>
      </c>
      <c r="H1945">
        <v>26.11</v>
      </c>
      <c r="I1945" t="s">
        <v>344</v>
      </c>
      <c r="J1945">
        <v>98.62</v>
      </c>
      <c r="K1945">
        <v>-3.08</v>
      </c>
      <c r="L1945" t="s">
        <v>346</v>
      </c>
      <c r="M1945" s="1">
        <v>3.0800000000000001E-2</v>
      </c>
      <c r="N1945" t="s">
        <v>350</v>
      </c>
      <c r="O1945">
        <v>-2.27</v>
      </c>
      <c r="P1945" t="s">
        <v>344</v>
      </c>
      <c r="Q1945">
        <v>2.15</v>
      </c>
      <c r="R1945" t="s">
        <v>344</v>
      </c>
      <c r="S1945">
        <v>1</v>
      </c>
    </row>
    <row r="1946" spans="1:19" x14ac:dyDescent="0.25">
      <c r="A1946" t="s">
        <v>43</v>
      </c>
      <c r="B1946" t="s">
        <v>58</v>
      </c>
      <c r="C1946">
        <v>40</v>
      </c>
      <c r="D1946" t="s">
        <v>342</v>
      </c>
      <c r="E1946">
        <v>24.15</v>
      </c>
      <c r="F1946">
        <v>12.83</v>
      </c>
      <c r="G1946">
        <v>10.49</v>
      </c>
      <c r="H1946">
        <v>23.32</v>
      </c>
      <c r="I1946" t="s">
        <v>343</v>
      </c>
      <c r="J1946">
        <v>96.19</v>
      </c>
      <c r="K1946">
        <v>-12.15</v>
      </c>
      <c r="L1946" t="s">
        <v>348</v>
      </c>
      <c r="M1946" s="1">
        <v>0.1215</v>
      </c>
      <c r="N1946" t="s">
        <v>350</v>
      </c>
      <c r="O1946">
        <v>2.5099999999999998</v>
      </c>
      <c r="P1946" t="s">
        <v>344</v>
      </c>
      <c r="Q1946">
        <v>0.4</v>
      </c>
      <c r="R1946" t="s">
        <v>343</v>
      </c>
      <c r="S1946">
        <v>1</v>
      </c>
    </row>
    <row r="1947" spans="1:19" x14ac:dyDescent="0.25">
      <c r="A1947" t="s">
        <v>43</v>
      </c>
      <c r="B1947" t="s">
        <v>59</v>
      </c>
      <c r="C1947">
        <v>60</v>
      </c>
      <c r="D1947" t="s">
        <v>342</v>
      </c>
      <c r="E1947">
        <v>24.15</v>
      </c>
      <c r="F1947">
        <v>13.95</v>
      </c>
      <c r="G1947">
        <v>9.82</v>
      </c>
      <c r="H1947">
        <v>23.77</v>
      </c>
      <c r="I1947" t="s">
        <v>343</v>
      </c>
      <c r="J1947">
        <v>94.74</v>
      </c>
      <c r="K1947">
        <v>-7.26</v>
      </c>
      <c r="L1947" t="s">
        <v>346</v>
      </c>
      <c r="M1947" s="1">
        <v>7.2599999999999998E-2</v>
      </c>
      <c r="N1947" t="s">
        <v>350</v>
      </c>
      <c r="O1947">
        <v>1.64</v>
      </c>
      <c r="P1947" t="s">
        <v>343</v>
      </c>
      <c r="Q1947">
        <v>1.52</v>
      </c>
      <c r="R1947" t="s">
        <v>343</v>
      </c>
      <c r="S1947">
        <v>1</v>
      </c>
    </row>
    <row r="1948" spans="1:19" x14ac:dyDescent="0.25">
      <c r="A1948" t="s">
        <v>43</v>
      </c>
      <c r="B1948" t="s">
        <v>60</v>
      </c>
      <c r="C1948">
        <v>80</v>
      </c>
      <c r="D1948" t="s">
        <v>342</v>
      </c>
      <c r="E1948">
        <v>24.15</v>
      </c>
      <c r="F1948">
        <v>13.72</v>
      </c>
      <c r="G1948">
        <v>11.24</v>
      </c>
      <c r="H1948">
        <v>24.96</v>
      </c>
      <c r="I1948" t="s">
        <v>344</v>
      </c>
      <c r="J1948">
        <v>93.19</v>
      </c>
      <c r="K1948">
        <v>-7.74</v>
      </c>
      <c r="L1948" t="s">
        <v>346</v>
      </c>
      <c r="M1948" s="1">
        <v>7.7399999999999997E-2</v>
      </c>
      <c r="N1948" t="s">
        <v>350</v>
      </c>
      <c r="O1948">
        <v>2.66</v>
      </c>
      <c r="P1948" t="s">
        <v>344</v>
      </c>
      <c r="Q1948">
        <v>1.86</v>
      </c>
      <c r="R1948" t="s">
        <v>343</v>
      </c>
      <c r="S1948">
        <v>1</v>
      </c>
    </row>
    <row r="1949" spans="1:19" x14ac:dyDescent="0.25">
      <c r="A1949" t="s">
        <v>43</v>
      </c>
      <c r="B1949" t="s">
        <v>61</v>
      </c>
      <c r="C1949">
        <v>100</v>
      </c>
      <c r="D1949" t="s">
        <v>342</v>
      </c>
      <c r="E1949">
        <v>24.15</v>
      </c>
      <c r="F1949">
        <v>13.77</v>
      </c>
      <c r="G1949">
        <v>12.79</v>
      </c>
      <c r="H1949">
        <v>26.56</v>
      </c>
      <c r="I1949" t="s">
        <v>344</v>
      </c>
      <c r="J1949">
        <v>91.66</v>
      </c>
      <c r="K1949">
        <v>-7.67</v>
      </c>
      <c r="L1949" t="s">
        <v>346</v>
      </c>
      <c r="M1949" s="1">
        <v>7.6700000000000004E-2</v>
      </c>
      <c r="N1949" t="s">
        <v>350</v>
      </c>
      <c r="O1949">
        <v>2.4700000000000002</v>
      </c>
      <c r="P1949" t="s">
        <v>344</v>
      </c>
      <c r="Q1949">
        <v>2.2999999999999998</v>
      </c>
      <c r="R1949" t="s">
        <v>344</v>
      </c>
      <c r="S1949">
        <v>1</v>
      </c>
    </row>
    <row r="1950" spans="1:19" x14ac:dyDescent="0.25">
      <c r="A1950" t="s">
        <v>43</v>
      </c>
      <c r="B1950" t="s">
        <v>62</v>
      </c>
      <c r="C1950">
        <v>120</v>
      </c>
      <c r="D1950" t="s">
        <v>342</v>
      </c>
      <c r="E1950">
        <v>24.15</v>
      </c>
      <c r="F1950">
        <v>13.83</v>
      </c>
      <c r="G1950">
        <v>13.7</v>
      </c>
      <c r="H1950">
        <v>27.52</v>
      </c>
      <c r="I1950" t="s">
        <v>344</v>
      </c>
      <c r="J1950">
        <v>90.02</v>
      </c>
      <c r="K1950">
        <v>-8.15</v>
      </c>
      <c r="L1950" t="s">
        <v>347</v>
      </c>
      <c r="M1950" s="1">
        <v>8.1500000000000003E-2</v>
      </c>
      <c r="N1950" t="s">
        <v>350</v>
      </c>
      <c r="O1950">
        <v>2.6</v>
      </c>
      <c r="P1950" t="s">
        <v>344</v>
      </c>
      <c r="Q1950">
        <v>2.2200000000000002</v>
      </c>
      <c r="R1950" t="s">
        <v>344</v>
      </c>
      <c r="S1950">
        <v>1</v>
      </c>
    </row>
    <row r="1951" spans="1:19" x14ac:dyDescent="0.25">
      <c r="A1951" t="s">
        <v>43</v>
      </c>
      <c r="B1951" t="s">
        <v>63</v>
      </c>
      <c r="C1951">
        <v>140</v>
      </c>
      <c r="D1951" t="s">
        <v>342</v>
      </c>
      <c r="E1951">
        <v>24.15</v>
      </c>
      <c r="F1951">
        <v>14.24</v>
      </c>
      <c r="G1951">
        <v>14.45</v>
      </c>
      <c r="H1951">
        <v>28.69</v>
      </c>
      <c r="I1951" t="s">
        <v>344</v>
      </c>
      <c r="J1951">
        <v>88.47</v>
      </c>
      <c r="K1951">
        <v>-7.79</v>
      </c>
      <c r="L1951" t="s">
        <v>346</v>
      </c>
      <c r="M1951" s="1">
        <v>7.7899999999999997E-2</v>
      </c>
      <c r="N1951" t="s">
        <v>350</v>
      </c>
      <c r="O1951">
        <v>2.79</v>
      </c>
      <c r="P1951" t="s">
        <v>344</v>
      </c>
      <c r="Q1951">
        <v>2.7</v>
      </c>
      <c r="R1951" t="s">
        <v>344</v>
      </c>
      <c r="S1951">
        <v>1</v>
      </c>
    </row>
    <row r="1952" spans="1:19" x14ac:dyDescent="0.25">
      <c r="A1952" t="s">
        <v>43</v>
      </c>
      <c r="B1952" t="s">
        <v>64</v>
      </c>
      <c r="C1952">
        <v>160</v>
      </c>
      <c r="D1952" t="s">
        <v>342</v>
      </c>
      <c r="E1952">
        <v>24.15</v>
      </c>
      <c r="F1952">
        <v>14.93</v>
      </c>
      <c r="G1952">
        <v>14.82</v>
      </c>
      <c r="H1952">
        <v>29.75</v>
      </c>
      <c r="I1952" t="s">
        <v>344</v>
      </c>
      <c r="J1952">
        <v>87.02</v>
      </c>
      <c r="K1952">
        <v>-7.24</v>
      </c>
      <c r="L1952" t="s">
        <v>346</v>
      </c>
      <c r="M1952" s="1">
        <v>7.2400000000000006E-2</v>
      </c>
      <c r="N1952" t="s">
        <v>350</v>
      </c>
      <c r="O1952">
        <v>2.58</v>
      </c>
      <c r="P1952" t="s">
        <v>344</v>
      </c>
      <c r="Q1952">
        <v>2.31</v>
      </c>
      <c r="R1952" t="s">
        <v>344</v>
      </c>
      <c r="S1952">
        <v>1</v>
      </c>
    </row>
    <row r="1953" spans="1:19" x14ac:dyDescent="0.25">
      <c r="A1953" t="s">
        <v>43</v>
      </c>
      <c r="B1953" t="s">
        <v>65</v>
      </c>
      <c r="C1953">
        <v>180</v>
      </c>
      <c r="D1953" t="s">
        <v>342</v>
      </c>
      <c r="E1953">
        <v>24.15</v>
      </c>
      <c r="F1953">
        <v>15.02</v>
      </c>
      <c r="G1953">
        <v>14.82</v>
      </c>
      <c r="H1953">
        <v>29.84</v>
      </c>
      <c r="I1953" t="s">
        <v>344</v>
      </c>
      <c r="J1953">
        <v>85.49</v>
      </c>
      <c r="K1953">
        <v>-7.65</v>
      </c>
      <c r="L1953" t="s">
        <v>346</v>
      </c>
      <c r="M1953" s="1">
        <v>7.6499999999999999E-2</v>
      </c>
      <c r="N1953" t="s">
        <v>350</v>
      </c>
      <c r="O1953">
        <v>1.63</v>
      </c>
      <c r="P1953" t="s">
        <v>343</v>
      </c>
      <c r="Q1953">
        <v>2.02</v>
      </c>
      <c r="R1953" t="s">
        <v>344</v>
      </c>
      <c r="S1953">
        <v>1</v>
      </c>
    </row>
    <row r="1954" spans="1:19" x14ac:dyDescent="0.25">
      <c r="A1954" t="s">
        <v>43</v>
      </c>
      <c r="B1954" t="s">
        <v>66</v>
      </c>
      <c r="C1954">
        <v>200</v>
      </c>
      <c r="D1954" t="s">
        <v>342</v>
      </c>
      <c r="E1954">
        <v>24.15</v>
      </c>
      <c r="F1954">
        <v>14.73</v>
      </c>
      <c r="G1954">
        <v>14.35</v>
      </c>
      <c r="H1954">
        <v>29.08</v>
      </c>
      <c r="I1954" t="s">
        <v>344</v>
      </c>
      <c r="J1954">
        <v>83.85</v>
      </c>
      <c r="K1954">
        <v>-8.1999999999999993</v>
      </c>
      <c r="L1954" t="s">
        <v>347</v>
      </c>
      <c r="M1954" s="1">
        <v>8.199999999999999E-2</v>
      </c>
      <c r="N1954" t="s">
        <v>350</v>
      </c>
      <c r="O1954">
        <v>2.0299999999999998</v>
      </c>
      <c r="P1954" t="s">
        <v>344</v>
      </c>
      <c r="Q1954">
        <v>1.33</v>
      </c>
      <c r="R1954" t="s">
        <v>343</v>
      </c>
      <c r="S1954">
        <v>1</v>
      </c>
    </row>
    <row r="1955" spans="1:19" x14ac:dyDescent="0.25">
      <c r="A1955" t="s">
        <v>43</v>
      </c>
      <c r="B1955" t="s">
        <v>67</v>
      </c>
      <c r="C1955">
        <v>220</v>
      </c>
      <c r="D1955" t="s">
        <v>342</v>
      </c>
      <c r="E1955">
        <v>24.15</v>
      </c>
      <c r="F1955">
        <v>14.55</v>
      </c>
      <c r="G1955">
        <v>14.74</v>
      </c>
      <c r="H1955">
        <v>29.29</v>
      </c>
      <c r="I1955" t="s">
        <v>344</v>
      </c>
      <c r="J1955">
        <v>82.25</v>
      </c>
      <c r="K1955">
        <v>-7.99</v>
      </c>
      <c r="L1955" t="s">
        <v>346</v>
      </c>
      <c r="M1955" s="1">
        <v>7.9899999999999999E-2</v>
      </c>
      <c r="N1955" t="s">
        <v>350</v>
      </c>
      <c r="O1955">
        <v>2.5</v>
      </c>
      <c r="P1955" t="s">
        <v>344</v>
      </c>
      <c r="Q1955">
        <v>2.4300000000000002</v>
      </c>
      <c r="R1955" t="s">
        <v>344</v>
      </c>
      <c r="S1955">
        <v>1</v>
      </c>
    </row>
    <row r="1956" spans="1:19" x14ac:dyDescent="0.25">
      <c r="A1956" t="s">
        <v>43</v>
      </c>
      <c r="B1956" t="s">
        <v>68</v>
      </c>
      <c r="C1956">
        <v>240</v>
      </c>
      <c r="D1956" t="s">
        <v>342</v>
      </c>
      <c r="E1956">
        <v>24.15</v>
      </c>
      <c r="F1956">
        <v>14.42</v>
      </c>
      <c r="G1956">
        <v>15.02</v>
      </c>
      <c r="H1956">
        <v>29.44</v>
      </c>
      <c r="I1956" t="s">
        <v>344</v>
      </c>
      <c r="J1956">
        <v>80.7</v>
      </c>
      <c r="K1956">
        <v>-7.73</v>
      </c>
      <c r="L1956" t="s">
        <v>346</v>
      </c>
      <c r="M1956" s="1">
        <v>7.7300000000000008E-2</v>
      </c>
      <c r="N1956" t="s">
        <v>350</v>
      </c>
      <c r="O1956">
        <v>1.46</v>
      </c>
      <c r="P1956" t="s">
        <v>343</v>
      </c>
      <c r="Q1956">
        <v>2.0299999999999998</v>
      </c>
      <c r="R1956" t="s">
        <v>344</v>
      </c>
      <c r="S1956">
        <v>1</v>
      </c>
    </row>
    <row r="1957" spans="1:19" x14ac:dyDescent="0.25">
      <c r="A1957" t="s">
        <v>43</v>
      </c>
      <c r="B1957" t="s">
        <v>69</v>
      </c>
      <c r="C1957">
        <v>260</v>
      </c>
      <c r="D1957" t="s">
        <v>342</v>
      </c>
      <c r="E1957">
        <v>24.15</v>
      </c>
      <c r="F1957">
        <v>14.29</v>
      </c>
      <c r="G1957">
        <v>15.17</v>
      </c>
      <c r="H1957">
        <v>29.46</v>
      </c>
      <c r="I1957" t="s">
        <v>344</v>
      </c>
      <c r="J1957">
        <v>79.34</v>
      </c>
      <c r="K1957">
        <v>-6.82</v>
      </c>
      <c r="L1957" t="s">
        <v>346</v>
      </c>
      <c r="M1957" s="1">
        <v>6.8199999999999997E-2</v>
      </c>
      <c r="N1957" t="s">
        <v>350</v>
      </c>
      <c r="O1957">
        <v>1</v>
      </c>
      <c r="P1957" t="s">
        <v>343</v>
      </c>
      <c r="Q1957">
        <v>1.9</v>
      </c>
      <c r="R1957" t="s">
        <v>343</v>
      </c>
      <c r="S1957">
        <v>1</v>
      </c>
    </row>
    <row r="1958" spans="1:19" x14ac:dyDescent="0.25">
      <c r="A1958" t="s">
        <v>43</v>
      </c>
      <c r="B1958" t="s">
        <v>70</v>
      </c>
      <c r="C1958">
        <v>280</v>
      </c>
      <c r="D1958" t="s">
        <v>342</v>
      </c>
      <c r="E1958">
        <v>24.15</v>
      </c>
      <c r="F1958">
        <v>14.34</v>
      </c>
      <c r="G1958">
        <v>14.94</v>
      </c>
      <c r="H1958">
        <v>29.28</v>
      </c>
      <c r="I1958" t="s">
        <v>344</v>
      </c>
      <c r="J1958">
        <v>77.91</v>
      </c>
      <c r="K1958">
        <v>-7.17</v>
      </c>
      <c r="L1958" t="s">
        <v>346</v>
      </c>
      <c r="M1958" s="1">
        <v>7.17E-2</v>
      </c>
      <c r="N1958" t="s">
        <v>350</v>
      </c>
      <c r="O1958">
        <v>2.0099999999999998</v>
      </c>
      <c r="P1958" t="s">
        <v>344</v>
      </c>
      <c r="Q1958">
        <v>1.94</v>
      </c>
      <c r="R1958" t="s">
        <v>343</v>
      </c>
      <c r="S1958">
        <v>1</v>
      </c>
    </row>
    <row r="1959" spans="1:19" x14ac:dyDescent="0.25">
      <c r="A1959" t="s">
        <v>43</v>
      </c>
      <c r="B1959" t="s">
        <v>71</v>
      </c>
      <c r="C1959">
        <v>300</v>
      </c>
      <c r="D1959" t="s">
        <v>342</v>
      </c>
      <c r="E1959">
        <v>24.15</v>
      </c>
      <c r="F1959">
        <v>15.55</v>
      </c>
      <c r="G1959">
        <v>14.82</v>
      </c>
      <c r="H1959">
        <v>30.37</v>
      </c>
      <c r="I1959" t="s">
        <v>344</v>
      </c>
      <c r="J1959">
        <v>76.37</v>
      </c>
      <c r="K1959">
        <v>-7.68</v>
      </c>
      <c r="L1959" t="s">
        <v>346</v>
      </c>
      <c r="M1959" s="1">
        <v>7.6799999999999993E-2</v>
      </c>
      <c r="N1959" t="s">
        <v>350</v>
      </c>
      <c r="O1959">
        <v>-0.24</v>
      </c>
      <c r="P1959" t="s">
        <v>343</v>
      </c>
      <c r="Q1959">
        <v>2.6</v>
      </c>
      <c r="R1959" t="s">
        <v>344</v>
      </c>
      <c r="S1959">
        <v>1</v>
      </c>
    </row>
    <row r="1960" spans="1:19" x14ac:dyDescent="0.25">
      <c r="A1960" t="s">
        <v>43</v>
      </c>
      <c r="B1960" t="s">
        <v>72</v>
      </c>
      <c r="C1960">
        <v>320</v>
      </c>
      <c r="D1960" t="s">
        <v>342</v>
      </c>
      <c r="E1960">
        <v>24.15</v>
      </c>
      <c r="F1960">
        <v>15.67</v>
      </c>
      <c r="G1960">
        <v>15.27</v>
      </c>
      <c r="H1960">
        <v>30.94</v>
      </c>
      <c r="I1960" t="s">
        <v>344</v>
      </c>
      <c r="J1960">
        <v>74.73</v>
      </c>
      <c r="K1960">
        <v>-8.1999999999999993</v>
      </c>
      <c r="L1960" t="s">
        <v>347</v>
      </c>
      <c r="M1960" s="1">
        <v>8.199999999999999E-2</v>
      </c>
      <c r="N1960" t="s">
        <v>350</v>
      </c>
      <c r="O1960">
        <v>-0.92</v>
      </c>
      <c r="P1960" t="s">
        <v>343</v>
      </c>
      <c r="Q1960">
        <v>2.1</v>
      </c>
      <c r="R1960" t="s">
        <v>344</v>
      </c>
      <c r="S1960">
        <v>1</v>
      </c>
    </row>
    <row r="1961" spans="1:19" x14ac:dyDescent="0.25">
      <c r="A1961" t="s">
        <v>43</v>
      </c>
      <c r="B1961" t="s">
        <v>73</v>
      </c>
      <c r="C1961">
        <v>340</v>
      </c>
      <c r="D1961" t="s">
        <v>342</v>
      </c>
      <c r="E1961">
        <v>24.15</v>
      </c>
      <c r="F1961">
        <v>15.55</v>
      </c>
      <c r="G1961">
        <v>15.69</v>
      </c>
      <c r="H1961">
        <v>31.24</v>
      </c>
      <c r="I1961" t="s">
        <v>344</v>
      </c>
      <c r="J1961">
        <v>73.180000000000007</v>
      </c>
      <c r="K1961">
        <v>-7.77</v>
      </c>
      <c r="L1961" t="s">
        <v>346</v>
      </c>
      <c r="M1961" s="1">
        <v>7.7699999999999991E-2</v>
      </c>
      <c r="N1961" t="s">
        <v>350</v>
      </c>
      <c r="O1961">
        <v>-0.93</v>
      </c>
      <c r="P1961" t="s">
        <v>343</v>
      </c>
      <c r="Q1961">
        <v>1.44</v>
      </c>
      <c r="R1961" t="s">
        <v>343</v>
      </c>
      <c r="S1961">
        <v>1</v>
      </c>
    </row>
    <row r="1962" spans="1:19" x14ac:dyDescent="0.25">
      <c r="A1962" t="s">
        <v>43</v>
      </c>
      <c r="B1962" t="s">
        <v>74</v>
      </c>
      <c r="C1962">
        <v>360</v>
      </c>
      <c r="D1962" t="s">
        <v>342</v>
      </c>
      <c r="E1962">
        <v>24.15</v>
      </c>
      <c r="F1962">
        <v>15.07</v>
      </c>
      <c r="G1962">
        <v>16.02</v>
      </c>
      <c r="H1962">
        <v>31.09</v>
      </c>
      <c r="I1962" t="s">
        <v>344</v>
      </c>
      <c r="J1962">
        <v>71.66</v>
      </c>
      <c r="K1962">
        <v>-7.59</v>
      </c>
      <c r="L1962" t="s">
        <v>346</v>
      </c>
      <c r="M1962" s="1">
        <v>7.5899999999999995E-2</v>
      </c>
      <c r="N1962" t="s">
        <v>350</v>
      </c>
      <c r="O1962">
        <v>-2.1</v>
      </c>
      <c r="P1962" t="s">
        <v>344</v>
      </c>
      <c r="Q1962">
        <v>1.51</v>
      </c>
      <c r="R1962" t="s">
        <v>343</v>
      </c>
      <c r="S1962">
        <v>1</v>
      </c>
    </row>
    <row r="1963" spans="1:19" x14ac:dyDescent="0.25">
      <c r="A1963" t="s">
        <v>43</v>
      </c>
      <c r="B1963" t="s">
        <v>75</v>
      </c>
      <c r="C1963">
        <v>380</v>
      </c>
      <c r="D1963" t="s">
        <v>342</v>
      </c>
      <c r="E1963">
        <v>24.15</v>
      </c>
      <c r="F1963">
        <v>14.74</v>
      </c>
      <c r="G1963">
        <v>15.56</v>
      </c>
      <c r="H1963">
        <v>30.3</v>
      </c>
      <c r="I1963" t="s">
        <v>344</v>
      </c>
      <c r="J1963">
        <v>70.209999999999994</v>
      </c>
      <c r="K1963">
        <v>-7.27</v>
      </c>
      <c r="L1963" t="s">
        <v>346</v>
      </c>
      <c r="M1963" s="1">
        <v>7.2700000000000001E-2</v>
      </c>
      <c r="N1963" t="s">
        <v>350</v>
      </c>
      <c r="O1963">
        <v>-1.62</v>
      </c>
      <c r="P1963" t="s">
        <v>343</v>
      </c>
      <c r="Q1963">
        <v>1.23</v>
      </c>
      <c r="R1963" t="s">
        <v>343</v>
      </c>
      <c r="S1963">
        <v>1</v>
      </c>
    </row>
    <row r="1964" spans="1:19" x14ac:dyDescent="0.25">
      <c r="A1964" t="s">
        <v>43</v>
      </c>
      <c r="B1964" t="s">
        <v>76</v>
      </c>
      <c r="C1964">
        <v>400</v>
      </c>
      <c r="D1964" t="s">
        <v>342</v>
      </c>
      <c r="E1964">
        <v>24.15</v>
      </c>
      <c r="F1964">
        <v>16.04</v>
      </c>
      <c r="G1964">
        <v>16.04</v>
      </c>
      <c r="H1964">
        <v>32.07</v>
      </c>
      <c r="I1964" t="s">
        <v>344</v>
      </c>
      <c r="J1964">
        <v>69.709999999999994</v>
      </c>
      <c r="K1964">
        <v>-2.4700000000000002</v>
      </c>
      <c r="L1964" t="s">
        <v>346</v>
      </c>
      <c r="M1964" s="1">
        <v>2.47E-2</v>
      </c>
      <c r="N1964" t="s">
        <v>350</v>
      </c>
      <c r="O1964">
        <v>0.47</v>
      </c>
      <c r="P1964" t="s">
        <v>343</v>
      </c>
      <c r="Q1964">
        <v>2.64</v>
      </c>
      <c r="R1964" t="s">
        <v>344</v>
      </c>
      <c r="S1964">
        <v>1</v>
      </c>
    </row>
    <row r="1965" spans="1:19" x14ac:dyDescent="0.25">
      <c r="A1965" t="s">
        <v>43</v>
      </c>
      <c r="B1965" t="s">
        <v>77</v>
      </c>
      <c r="C1965">
        <v>420</v>
      </c>
      <c r="D1965" t="s">
        <v>342</v>
      </c>
      <c r="E1965">
        <v>24.15</v>
      </c>
      <c r="F1965">
        <v>16.04</v>
      </c>
      <c r="G1965">
        <v>20</v>
      </c>
      <c r="H1965">
        <v>36.04</v>
      </c>
      <c r="I1965" t="s">
        <v>344</v>
      </c>
      <c r="J1965">
        <v>67.44</v>
      </c>
      <c r="K1965">
        <v>-11.35</v>
      </c>
      <c r="L1965" t="s">
        <v>348</v>
      </c>
      <c r="M1965" s="1">
        <v>0.1135</v>
      </c>
      <c r="N1965" t="s">
        <v>350</v>
      </c>
      <c r="O1965">
        <v>-0.63</v>
      </c>
      <c r="P1965" t="s">
        <v>343</v>
      </c>
      <c r="Q1965">
        <v>5.35</v>
      </c>
      <c r="R1965" t="s">
        <v>343</v>
      </c>
      <c r="S1965">
        <v>1</v>
      </c>
    </row>
    <row r="1966" spans="1:19" x14ac:dyDescent="0.25">
      <c r="A1966" t="s">
        <v>43</v>
      </c>
      <c r="B1966" t="s">
        <v>78</v>
      </c>
      <c r="C1966">
        <v>440</v>
      </c>
      <c r="D1966" t="s">
        <v>342</v>
      </c>
      <c r="E1966">
        <v>24.15</v>
      </c>
      <c r="F1966">
        <v>16.04</v>
      </c>
      <c r="G1966">
        <v>20</v>
      </c>
      <c r="H1966">
        <v>36.04</v>
      </c>
      <c r="I1966" t="s">
        <v>344</v>
      </c>
      <c r="J1966">
        <v>66.45</v>
      </c>
      <c r="K1966">
        <v>-4.95</v>
      </c>
      <c r="L1966" t="s">
        <v>346</v>
      </c>
      <c r="M1966" s="1">
        <v>4.9500000000000002E-2</v>
      </c>
      <c r="N1966" t="s">
        <v>350</v>
      </c>
      <c r="O1966">
        <v>1.66</v>
      </c>
      <c r="P1966" t="s">
        <v>343</v>
      </c>
      <c r="Q1966">
        <v>4.74</v>
      </c>
      <c r="R1966" t="s">
        <v>343</v>
      </c>
      <c r="S1966">
        <v>1</v>
      </c>
    </row>
    <row r="1967" spans="1:19" x14ac:dyDescent="0.25">
      <c r="A1967" t="s">
        <v>43</v>
      </c>
      <c r="B1967" t="s">
        <v>79</v>
      </c>
      <c r="C1967">
        <v>460</v>
      </c>
      <c r="D1967" t="s">
        <v>342</v>
      </c>
      <c r="E1967">
        <v>24.15</v>
      </c>
      <c r="F1967">
        <v>15.63</v>
      </c>
      <c r="G1967">
        <v>20</v>
      </c>
      <c r="H1967">
        <v>35.630000000000003</v>
      </c>
      <c r="I1967" t="s">
        <v>344</v>
      </c>
      <c r="J1967">
        <v>65.12</v>
      </c>
      <c r="K1967">
        <v>-6.66</v>
      </c>
      <c r="L1967" t="s">
        <v>346</v>
      </c>
      <c r="M1967" s="1">
        <v>6.6600000000000006E-2</v>
      </c>
      <c r="N1967" t="s">
        <v>350</v>
      </c>
      <c r="O1967">
        <v>-1.33</v>
      </c>
      <c r="P1967" t="s">
        <v>343</v>
      </c>
      <c r="Q1967">
        <v>2.56</v>
      </c>
      <c r="R1967" t="s">
        <v>344</v>
      </c>
      <c r="S1967">
        <v>1</v>
      </c>
    </row>
    <row r="1968" spans="1:19" x14ac:dyDescent="0.25">
      <c r="A1968" t="s">
        <v>43</v>
      </c>
      <c r="B1968" t="s">
        <v>80</v>
      </c>
      <c r="C1968">
        <v>480</v>
      </c>
      <c r="D1968" t="s">
        <v>342</v>
      </c>
      <c r="E1968">
        <v>24.15</v>
      </c>
      <c r="F1968">
        <v>14.56</v>
      </c>
      <c r="G1968">
        <v>20</v>
      </c>
      <c r="H1968">
        <v>34.56</v>
      </c>
      <c r="I1968" t="s">
        <v>344</v>
      </c>
      <c r="J1968">
        <v>63.88</v>
      </c>
      <c r="K1968">
        <v>-6.18</v>
      </c>
      <c r="L1968" t="s">
        <v>346</v>
      </c>
      <c r="M1968" s="1">
        <v>6.1799999999999987E-2</v>
      </c>
      <c r="N1968" t="s">
        <v>350</v>
      </c>
      <c r="O1968">
        <v>-2.42</v>
      </c>
      <c r="P1968" t="s">
        <v>344</v>
      </c>
      <c r="Q1968">
        <v>0.93</v>
      </c>
      <c r="R1968" t="s">
        <v>343</v>
      </c>
      <c r="S1968">
        <v>1</v>
      </c>
    </row>
    <row r="1969" spans="1:19" x14ac:dyDescent="0.25">
      <c r="A1969" t="s">
        <v>43</v>
      </c>
      <c r="B1969" t="s">
        <v>81</v>
      </c>
      <c r="C1969">
        <v>500</v>
      </c>
      <c r="D1969" t="s">
        <v>342</v>
      </c>
      <c r="E1969">
        <v>24.15</v>
      </c>
      <c r="F1969">
        <v>14.46</v>
      </c>
      <c r="G1969">
        <v>14.11</v>
      </c>
      <c r="H1969">
        <v>28.57</v>
      </c>
      <c r="I1969" t="s">
        <v>344</v>
      </c>
      <c r="J1969">
        <v>62.7</v>
      </c>
      <c r="K1969">
        <v>-5.92</v>
      </c>
      <c r="L1969" t="s">
        <v>346</v>
      </c>
      <c r="M1969" s="1">
        <v>5.9200000000000003E-2</v>
      </c>
      <c r="N1969" t="s">
        <v>350</v>
      </c>
      <c r="O1969">
        <v>-1.88</v>
      </c>
      <c r="P1969" t="s">
        <v>343</v>
      </c>
      <c r="Q1969">
        <v>1.38</v>
      </c>
      <c r="R1969" t="s">
        <v>343</v>
      </c>
      <c r="S1969">
        <v>1</v>
      </c>
    </row>
    <row r="1970" spans="1:19" x14ac:dyDescent="0.25">
      <c r="A1970" t="s">
        <v>43</v>
      </c>
      <c r="B1970" t="s">
        <v>82</v>
      </c>
      <c r="C1970">
        <v>520</v>
      </c>
      <c r="D1970" t="s">
        <v>342</v>
      </c>
      <c r="E1970">
        <v>24.15</v>
      </c>
      <c r="F1970">
        <v>12.55</v>
      </c>
      <c r="G1970">
        <v>13.74</v>
      </c>
      <c r="H1970">
        <v>26.28</v>
      </c>
      <c r="I1970" t="s">
        <v>344</v>
      </c>
      <c r="J1970">
        <v>62.85</v>
      </c>
      <c r="K1970">
        <v>0.75</v>
      </c>
      <c r="L1970" t="s">
        <v>346</v>
      </c>
      <c r="M1970" s="1">
        <v>7.4999999999999997E-3</v>
      </c>
      <c r="N1970" t="s">
        <v>349</v>
      </c>
      <c r="O1970">
        <v>1.85</v>
      </c>
      <c r="P1970" t="s">
        <v>343</v>
      </c>
      <c r="Q1970">
        <v>4.26</v>
      </c>
      <c r="R1970" t="s">
        <v>343</v>
      </c>
      <c r="S1970">
        <v>1</v>
      </c>
    </row>
    <row r="1971" spans="1:19" x14ac:dyDescent="0.25">
      <c r="A1971" t="s">
        <v>43</v>
      </c>
      <c r="B1971" t="s">
        <v>83</v>
      </c>
      <c r="C1971">
        <v>540</v>
      </c>
      <c r="D1971" t="s">
        <v>342</v>
      </c>
      <c r="E1971">
        <v>24.15</v>
      </c>
      <c r="F1971">
        <v>11.5</v>
      </c>
      <c r="G1971">
        <v>13.08</v>
      </c>
      <c r="H1971">
        <v>24.58</v>
      </c>
      <c r="I1971" t="s">
        <v>344</v>
      </c>
      <c r="J1971">
        <v>60.25</v>
      </c>
      <c r="K1971">
        <v>-13.01</v>
      </c>
      <c r="L1971" t="s">
        <v>348</v>
      </c>
      <c r="M1971" s="1">
        <v>0.13009999999999999</v>
      </c>
      <c r="N1971" t="s">
        <v>350</v>
      </c>
      <c r="O1971">
        <v>-0.74</v>
      </c>
      <c r="P1971" t="s">
        <v>343</v>
      </c>
      <c r="Q1971">
        <v>4.13</v>
      </c>
      <c r="R1971" t="s">
        <v>343</v>
      </c>
      <c r="S1971">
        <v>1</v>
      </c>
    </row>
    <row r="1972" spans="1:19" x14ac:dyDescent="0.25">
      <c r="A1972" t="s">
        <v>43</v>
      </c>
      <c r="B1972" t="s">
        <v>84</v>
      </c>
      <c r="C1972">
        <v>560</v>
      </c>
      <c r="D1972" t="s">
        <v>342</v>
      </c>
      <c r="E1972">
        <v>24.15</v>
      </c>
      <c r="F1972">
        <v>11.81</v>
      </c>
      <c r="G1972">
        <v>13.74</v>
      </c>
      <c r="H1972">
        <v>25.55</v>
      </c>
      <c r="I1972" t="s">
        <v>344</v>
      </c>
      <c r="J1972">
        <v>58.99</v>
      </c>
      <c r="K1972">
        <v>-6.3</v>
      </c>
      <c r="L1972" t="s">
        <v>346</v>
      </c>
      <c r="M1972" s="1">
        <v>6.3E-2</v>
      </c>
      <c r="N1972" t="s">
        <v>350</v>
      </c>
      <c r="O1972">
        <v>-1.2</v>
      </c>
      <c r="P1972" t="s">
        <v>343</v>
      </c>
      <c r="Q1972">
        <v>5.0199999999999996</v>
      </c>
      <c r="R1972" t="s">
        <v>343</v>
      </c>
      <c r="S1972">
        <v>1</v>
      </c>
    </row>
    <row r="1973" spans="1:19" x14ac:dyDescent="0.25">
      <c r="A1973" t="s">
        <v>43</v>
      </c>
      <c r="B1973" t="s">
        <v>85</v>
      </c>
      <c r="C1973">
        <v>580</v>
      </c>
      <c r="D1973" t="s">
        <v>342</v>
      </c>
      <c r="E1973">
        <v>24.15</v>
      </c>
      <c r="F1973">
        <v>10.54</v>
      </c>
      <c r="G1973">
        <v>13.19</v>
      </c>
      <c r="H1973">
        <v>23.73</v>
      </c>
      <c r="I1973" t="s">
        <v>343</v>
      </c>
      <c r="J1973">
        <v>57.73</v>
      </c>
      <c r="K1973">
        <v>-6.28</v>
      </c>
      <c r="L1973" t="s">
        <v>346</v>
      </c>
      <c r="M1973" s="1">
        <v>6.2800000000000009E-2</v>
      </c>
      <c r="N1973" t="s">
        <v>350</v>
      </c>
      <c r="O1973">
        <v>-0.09</v>
      </c>
      <c r="P1973" t="s">
        <v>343</v>
      </c>
      <c r="Q1973">
        <v>6.65</v>
      </c>
      <c r="R1973" t="s">
        <v>343</v>
      </c>
      <c r="S1973">
        <v>1</v>
      </c>
    </row>
    <row r="1974" spans="1:19" x14ac:dyDescent="0.25">
      <c r="A1974" t="s">
        <v>43</v>
      </c>
      <c r="B1974" t="s">
        <v>86</v>
      </c>
      <c r="C1974">
        <v>600</v>
      </c>
      <c r="D1974" t="s">
        <v>342</v>
      </c>
      <c r="E1974">
        <v>24.15</v>
      </c>
      <c r="F1974">
        <v>11.03</v>
      </c>
      <c r="G1974">
        <v>12.59</v>
      </c>
      <c r="H1974">
        <v>23.62</v>
      </c>
      <c r="I1974" t="s">
        <v>343</v>
      </c>
      <c r="J1974">
        <v>56.16</v>
      </c>
      <c r="K1974">
        <v>-7.83</v>
      </c>
      <c r="L1974" t="s">
        <v>346</v>
      </c>
      <c r="M1974" s="1">
        <v>7.8299999999999995E-2</v>
      </c>
      <c r="N1974" t="s">
        <v>350</v>
      </c>
      <c r="O1974">
        <v>0.43</v>
      </c>
      <c r="P1974" t="s">
        <v>343</v>
      </c>
      <c r="Q1974">
        <v>2.76</v>
      </c>
      <c r="R1974" t="s">
        <v>344</v>
      </c>
      <c r="S1974">
        <v>1</v>
      </c>
    </row>
    <row r="1975" spans="1:19" x14ac:dyDescent="0.25">
      <c r="A1975" t="s">
        <v>43</v>
      </c>
      <c r="B1975" t="s">
        <v>87</v>
      </c>
      <c r="C1975">
        <v>620</v>
      </c>
      <c r="D1975" t="s">
        <v>342</v>
      </c>
      <c r="E1975">
        <v>24.15</v>
      </c>
      <c r="F1975">
        <v>12.43</v>
      </c>
      <c r="G1975">
        <v>12.98</v>
      </c>
      <c r="H1975">
        <v>25.41</v>
      </c>
      <c r="I1975" t="s">
        <v>344</v>
      </c>
      <c r="J1975">
        <v>54.61</v>
      </c>
      <c r="K1975">
        <v>-7.77</v>
      </c>
      <c r="L1975" t="s">
        <v>346</v>
      </c>
      <c r="M1975" s="1">
        <v>7.7699999999999991E-2</v>
      </c>
      <c r="N1975" t="s">
        <v>350</v>
      </c>
      <c r="O1975">
        <v>1.78</v>
      </c>
      <c r="P1975" t="s">
        <v>343</v>
      </c>
      <c r="Q1975">
        <v>0.98</v>
      </c>
      <c r="R1975" t="s">
        <v>343</v>
      </c>
      <c r="S1975">
        <v>1</v>
      </c>
    </row>
    <row r="1976" spans="1:19" x14ac:dyDescent="0.25">
      <c r="A1976" t="s">
        <v>43</v>
      </c>
      <c r="B1976" t="s">
        <v>88</v>
      </c>
      <c r="C1976">
        <v>640</v>
      </c>
      <c r="D1976" t="s">
        <v>342</v>
      </c>
      <c r="E1976">
        <v>24.15</v>
      </c>
      <c r="F1976">
        <v>13.07</v>
      </c>
      <c r="G1976">
        <v>13.33</v>
      </c>
      <c r="H1976">
        <v>26.4</v>
      </c>
      <c r="I1976" t="s">
        <v>344</v>
      </c>
      <c r="J1976">
        <v>53.28</v>
      </c>
      <c r="K1976">
        <v>-6.64</v>
      </c>
      <c r="L1976" t="s">
        <v>346</v>
      </c>
      <c r="M1976" s="1">
        <v>6.6400000000000001E-2</v>
      </c>
      <c r="N1976" t="s">
        <v>350</v>
      </c>
      <c r="O1976">
        <v>2.21</v>
      </c>
      <c r="P1976" t="s">
        <v>344</v>
      </c>
      <c r="Q1976">
        <v>0.79</v>
      </c>
      <c r="R1976" t="s">
        <v>343</v>
      </c>
      <c r="S1976">
        <v>1</v>
      </c>
    </row>
    <row r="1977" spans="1:19" x14ac:dyDescent="0.25">
      <c r="A1977" t="s">
        <v>43</v>
      </c>
      <c r="B1977" t="s">
        <v>89</v>
      </c>
      <c r="C1977">
        <v>660</v>
      </c>
      <c r="D1977" t="s">
        <v>342</v>
      </c>
      <c r="E1977">
        <v>24.15</v>
      </c>
      <c r="F1977">
        <v>12.22</v>
      </c>
      <c r="G1977">
        <v>15.01</v>
      </c>
      <c r="H1977">
        <v>27.24</v>
      </c>
      <c r="I1977" t="s">
        <v>344</v>
      </c>
      <c r="J1977">
        <v>52.11</v>
      </c>
      <c r="K1977">
        <v>-5.87</v>
      </c>
      <c r="L1977" t="s">
        <v>346</v>
      </c>
      <c r="M1977" s="1">
        <v>5.8700000000000002E-2</v>
      </c>
      <c r="N1977" t="s">
        <v>350</v>
      </c>
      <c r="O1977">
        <v>0.92</v>
      </c>
      <c r="P1977" t="s">
        <v>343</v>
      </c>
      <c r="Q1977">
        <v>1.62</v>
      </c>
      <c r="R1977" t="s">
        <v>343</v>
      </c>
      <c r="S1977">
        <v>1</v>
      </c>
    </row>
    <row r="1978" spans="1:19" x14ac:dyDescent="0.25">
      <c r="A1978" t="s">
        <v>43</v>
      </c>
      <c r="B1978" t="s">
        <v>90</v>
      </c>
      <c r="C1978">
        <v>680</v>
      </c>
      <c r="D1978" t="s">
        <v>342</v>
      </c>
      <c r="E1978">
        <v>24.15</v>
      </c>
      <c r="F1978">
        <v>11.79</v>
      </c>
      <c r="G1978">
        <v>15.01</v>
      </c>
      <c r="H1978">
        <v>26.8</v>
      </c>
      <c r="I1978" t="s">
        <v>344</v>
      </c>
      <c r="J1978">
        <v>50.95</v>
      </c>
      <c r="K1978">
        <v>-5.77</v>
      </c>
      <c r="L1978" t="s">
        <v>346</v>
      </c>
      <c r="M1978" s="1">
        <v>5.7699999999999987E-2</v>
      </c>
      <c r="N1978" t="s">
        <v>350</v>
      </c>
      <c r="O1978">
        <v>-0.54</v>
      </c>
      <c r="P1978" t="s">
        <v>343</v>
      </c>
      <c r="Q1978">
        <v>2.84</v>
      </c>
      <c r="R1978" t="s">
        <v>344</v>
      </c>
      <c r="S1978">
        <v>1</v>
      </c>
    </row>
    <row r="1979" spans="1:19" x14ac:dyDescent="0.25">
      <c r="A1979" t="s">
        <v>43</v>
      </c>
      <c r="B1979" t="s">
        <v>91</v>
      </c>
      <c r="C1979">
        <v>700</v>
      </c>
      <c r="D1979" t="s">
        <v>342</v>
      </c>
      <c r="E1979">
        <v>24.15</v>
      </c>
      <c r="F1979">
        <v>13.15</v>
      </c>
      <c r="G1979">
        <v>16.29</v>
      </c>
      <c r="H1979">
        <v>29.44</v>
      </c>
      <c r="I1979" t="s">
        <v>344</v>
      </c>
      <c r="J1979">
        <v>49.56</v>
      </c>
      <c r="K1979">
        <v>-6.99</v>
      </c>
      <c r="L1979" t="s">
        <v>346</v>
      </c>
      <c r="M1979" s="1">
        <v>6.9900000000000004E-2</v>
      </c>
      <c r="N1979" t="s">
        <v>350</v>
      </c>
      <c r="O1979">
        <v>0.8</v>
      </c>
      <c r="P1979" t="s">
        <v>343</v>
      </c>
      <c r="Q1979">
        <v>1.9</v>
      </c>
      <c r="R1979" t="s">
        <v>343</v>
      </c>
      <c r="S1979">
        <v>1</v>
      </c>
    </row>
    <row r="1980" spans="1:19" x14ac:dyDescent="0.25">
      <c r="A1980" t="s">
        <v>43</v>
      </c>
      <c r="B1980" t="s">
        <v>92</v>
      </c>
      <c r="C1980">
        <v>720</v>
      </c>
      <c r="D1980" t="s">
        <v>342</v>
      </c>
      <c r="E1980">
        <v>24.15</v>
      </c>
      <c r="F1980">
        <v>14.69</v>
      </c>
      <c r="G1980">
        <v>14.92</v>
      </c>
      <c r="H1980">
        <v>29.61</v>
      </c>
      <c r="I1980" t="s">
        <v>344</v>
      </c>
      <c r="J1980">
        <v>48.2</v>
      </c>
      <c r="K1980">
        <v>-6.76</v>
      </c>
      <c r="L1980" t="s">
        <v>346</v>
      </c>
      <c r="M1980" s="1">
        <v>6.7599999999999993E-2</v>
      </c>
      <c r="N1980" t="s">
        <v>350</v>
      </c>
      <c r="O1980">
        <v>-0.36</v>
      </c>
      <c r="P1980" t="s">
        <v>343</v>
      </c>
      <c r="Q1980">
        <v>2.5299999999999998</v>
      </c>
      <c r="R1980" t="s">
        <v>344</v>
      </c>
      <c r="S1980">
        <v>1</v>
      </c>
    </row>
    <row r="1981" spans="1:19" x14ac:dyDescent="0.25">
      <c r="A1981" t="s">
        <v>43</v>
      </c>
      <c r="B1981" t="s">
        <v>93</v>
      </c>
      <c r="C1981">
        <v>740</v>
      </c>
      <c r="D1981" t="s">
        <v>342</v>
      </c>
      <c r="E1981">
        <v>24.15</v>
      </c>
      <c r="F1981">
        <v>14.39</v>
      </c>
      <c r="G1981">
        <v>12.85</v>
      </c>
      <c r="H1981">
        <v>27.24</v>
      </c>
      <c r="I1981" t="s">
        <v>344</v>
      </c>
      <c r="J1981">
        <v>47.03</v>
      </c>
      <c r="K1981">
        <v>-5.84</v>
      </c>
      <c r="L1981" t="s">
        <v>346</v>
      </c>
      <c r="M1981" s="1">
        <v>5.8400000000000001E-2</v>
      </c>
      <c r="N1981" t="s">
        <v>350</v>
      </c>
      <c r="O1981">
        <v>-0.7</v>
      </c>
      <c r="P1981" t="s">
        <v>343</v>
      </c>
      <c r="Q1981">
        <v>4.38</v>
      </c>
      <c r="R1981" t="s">
        <v>343</v>
      </c>
      <c r="S1981">
        <v>1</v>
      </c>
    </row>
    <row r="1982" spans="1:19" x14ac:dyDescent="0.25">
      <c r="A1982" t="s">
        <v>43</v>
      </c>
      <c r="B1982" t="s">
        <v>94</v>
      </c>
      <c r="C1982">
        <v>760</v>
      </c>
      <c r="D1982" t="s">
        <v>342</v>
      </c>
      <c r="E1982">
        <v>24.15</v>
      </c>
      <c r="F1982">
        <v>13.77</v>
      </c>
      <c r="G1982">
        <v>12.23</v>
      </c>
      <c r="H1982">
        <v>26</v>
      </c>
      <c r="I1982" t="s">
        <v>344</v>
      </c>
      <c r="J1982">
        <v>45.81</v>
      </c>
      <c r="K1982">
        <v>-6.13</v>
      </c>
      <c r="L1982" t="s">
        <v>346</v>
      </c>
      <c r="M1982" s="1">
        <v>6.13E-2</v>
      </c>
      <c r="N1982" t="s">
        <v>350</v>
      </c>
      <c r="O1982">
        <v>0</v>
      </c>
      <c r="P1982" t="s">
        <v>343</v>
      </c>
      <c r="Q1982">
        <v>2.44</v>
      </c>
      <c r="R1982" t="s">
        <v>344</v>
      </c>
      <c r="S1982">
        <v>1</v>
      </c>
    </row>
    <row r="1983" spans="1:19" x14ac:dyDescent="0.25">
      <c r="A1983" t="s">
        <v>43</v>
      </c>
      <c r="B1983" t="s">
        <v>95</v>
      </c>
      <c r="C1983">
        <v>780</v>
      </c>
      <c r="D1983" t="s">
        <v>342</v>
      </c>
      <c r="E1983">
        <v>24.15</v>
      </c>
      <c r="F1983">
        <v>13.78</v>
      </c>
      <c r="G1983">
        <v>13.11</v>
      </c>
      <c r="H1983">
        <v>26.89</v>
      </c>
      <c r="I1983" t="s">
        <v>344</v>
      </c>
      <c r="J1983">
        <v>44.48</v>
      </c>
      <c r="K1983">
        <v>-6.66</v>
      </c>
      <c r="L1983" t="s">
        <v>346</v>
      </c>
      <c r="M1983" s="1">
        <v>6.6600000000000006E-2</v>
      </c>
      <c r="N1983" t="s">
        <v>350</v>
      </c>
      <c r="O1983">
        <v>2.42</v>
      </c>
      <c r="P1983" t="s">
        <v>344</v>
      </c>
      <c r="Q1983">
        <v>3.43</v>
      </c>
      <c r="R1983" t="s">
        <v>344</v>
      </c>
      <c r="S1983">
        <v>1</v>
      </c>
    </row>
    <row r="1984" spans="1:19" x14ac:dyDescent="0.25">
      <c r="A1984" t="s">
        <v>43</v>
      </c>
      <c r="B1984" t="s">
        <v>96</v>
      </c>
      <c r="C1984">
        <v>800</v>
      </c>
      <c r="D1984" t="s">
        <v>342</v>
      </c>
      <c r="E1984">
        <v>24.15</v>
      </c>
      <c r="F1984">
        <v>14.09</v>
      </c>
      <c r="G1984">
        <v>14.44</v>
      </c>
      <c r="H1984">
        <v>28.53</v>
      </c>
      <c r="I1984" t="s">
        <v>344</v>
      </c>
      <c r="J1984">
        <v>42.97</v>
      </c>
      <c r="K1984">
        <v>-7.52</v>
      </c>
      <c r="L1984" t="s">
        <v>346</v>
      </c>
      <c r="M1984" s="1">
        <v>7.5199999999999989E-2</v>
      </c>
      <c r="N1984" t="s">
        <v>350</v>
      </c>
      <c r="O1984">
        <v>-1.64</v>
      </c>
      <c r="P1984" t="s">
        <v>343</v>
      </c>
      <c r="Q1984">
        <v>5.66</v>
      </c>
      <c r="R1984" t="s">
        <v>343</v>
      </c>
      <c r="S1984">
        <v>1</v>
      </c>
    </row>
    <row r="1985" spans="1:19" x14ac:dyDescent="0.25">
      <c r="A1985" t="s">
        <v>43</v>
      </c>
      <c r="B1985" t="s">
        <v>97</v>
      </c>
      <c r="C1985">
        <v>820</v>
      </c>
      <c r="D1985" t="s">
        <v>342</v>
      </c>
      <c r="E1985">
        <v>24.15</v>
      </c>
      <c r="F1985">
        <v>13.71</v>
      </c>
      <c r="G1985">
        <v>15.76</v>
      </c>
      <c r="H1985">
        <v>29.48</v>
      </c>
      <c r="I1985" t="s">
        <v>344</v>
      </c>
      <c r="J1985">
        <v>41.92</v>
      </c>
      <c r="K1985">
        <v>-5.27</v>
      </c>
      <c r="L1985" t="s">
        <v>346</v>
      </c>
      <c r="M1985" s="1">
        <v>5.2699999999999997E-2</v>
      </c>
      <c r="N1985" t="s">
        <v>350</v>
      </c>
      <c r="O1985">
        <v>-1.43</v>
      </c>
      <c r="P1985" t="s">
        <v>343</v>
      </c>
      <c r="Q1985">
        <v>4.66</v>
      </c>
      <c r="R1985" t="s">
        <v>343</v>
      </c>
      <c r="S1985">
        <v>1</v>
      </c>
    </row>
    <row r="1986" spans="1:19" x14ac:dyDescent="0.25">
      <c r="A1986" t="s">
        <v>43</v>
      </c>
      <c r="B1986" t="s">
        <v>98</v>
      </c>
      <c r="C1986">
        <v>840</v>
      </c>
      <c r="D1986" t="s">
        <v>342</v>
      </c>
      <c r="E1986">
        <v>24.15</v>
      </c>
      <c r="F1986">
        <v>13.34</v>
      </c>
      <c r="G1986">
        <v>15.51</v>
      </c>
      <c r="H1986">
        <v>28.85</v>
      </c>
      <c r="I1986" t="s">
        <v>344</v>
      </c>
      <c r="J1986">
        <v>41.16</v>
      </c>
      <c r="K1986">
        <v>-3.79</v>
      </c>
      <c r="L1986" t="s">
        <v>346</v>
      </c>
      <c r="M1986" s="1">
        <v>3.7900000000000003E-2</v>
      </c>
      <c r="N1986" t="s">
        <v>350</v>
      </c>
      <c r="O1986">
        <v>-1.2</v>
      </c>
      <c r="P1986" t="s">
        <v>343</v>
      </c>
      <c r="Q1986">
        <v>5.73</v>
      </c>
      <c r="R1986" t="s">
        <v>343</v>
      </c>
      <c r="S1986">
        <v>1</v>
      </c>
    </row>
    <row r="1987" spans="1:19" x14ac:dyDescent="0.25">
      <c r="A1987" t="s">
        <v>43</v>
      </c>
      <c r="B1987" t="s">
        <v>99</v>
      </c>
      <c r="C1987">
        <v>860</v>
      </c>
      <c r="D1987" t="s">
        <v>342</v>
      </c>
      <c r="E1987">
        <v>24.15</v>
      </c>
      <c r="F1987">
        <v>12.58</v>
      </c>
      <c r="G1987">
        <v>16.059999999999999</v>
      </c>
      <c r="H1987">
        <v>28.64</v>
      </c>
      <c r="I1987" t="s">
        <v>344</v>
      </c>
      <c r="J1987">
        <v>40.51</v>
      </c>
      <c r="K1987">
        <v>-3.26</v>
      </c>
      <c r="L1987" t="s">
        <v>346</v>
      </c>
      <c r="M1987" s="1">
        <v>3.2599999999999997E-2</v>
      </c>
      <c r="N1987" t="s">
        <v>350</v>
      </c>
      <c r="O1987">
        <v>-1.41</v>
      </c>
      <c r="P1987" t="s">
        <v>343</v>
      </c>
      <c r="Q1987">
        <v>2.85</v>
      </c>
      <c r="R1987" t="s">
        <v>344</v>
      </c>
      <c r="S1987">
        <v>1</v>
      </c>
    </row>
    <row r="1988" spans="1:19" x14ac:dyDescent="0.25">
      <c r="A1988" t="s">
        <v>43</v>
      </c>
      <c r="B1988" t="s">
        <v>100</v>
      </c>
      <c r="C1988">
        <v>880</v>
      </c>
      <c r="D1988" t="s">
        <v>342</v>
      </c>
      <c r="E1988">
        <v>24.15</v>
      </c>
      <c r="F1988">
        <v>12.4</v>
      </c>
      <c r="G1988">
        <v>15.15</v>
      </c>
      <c r="H1988">
        <v>27.56</v>
      </c>
      <c r="I1988" t="s">
        <v>344</v>
      </c>
      <c r="J1988">
        <v>40.090000000000003</v>
      </c>
      <c r="K1988">
        <v>-2.1</v>
      </c>
      <c r="L1988" t="s">
        <v>346</v>
      </c>
      <c r="M1988" s="1">
        <v>2.1000000000000001E-2</v>
      </c>
      <c r="N1988" t="s">
        <v>350</v>
      </c>
      <c r="O1988">
        <v>0.31</v>
      </c>
      <c r="P1988" t="s">
        <v>343</v>
      </c>
      <c r="Q1988">
        <v>2.17</v>
      </c>
      <c r="R1988" t="s">
        <v>344</v>
      </c>
      <c r="S1988">
        <v>1</v>
      </c>
    </row>
    <row r="1989" spans="1:19" x14ac:dyDescent="0.25">
      <c r="A1989" t="s">
        <v>43</v>
      </c>
      <c r="B1989" t="s">
        <v>101</v>
      </c>
      <c r="C1989">
        <v>900</v>
      </c>
      <c r="D1989" t="s">
        <v>342</v>
      </c>
      <c r="E1989">
        <v>24.15</v>
      </c>
      <c r="F1989">
        <v>12.48</v>
      </c>
      <c r="G1989">
        <v>13.77</v>
      </c>
      <c r="H1989">
        <v>26.24</v>
      </c>
      <c r="I1989" t="s">
        <v>344</v>
      </c>
      <c r="J1989">
        <v>39.619999999999997</v>
      </c>
      <c r="K1989">
        <v>-2.3199999999999998</v>
      </c>
      <c r="L1989" t="s">
        <v>346</v>
      </c>
      <c r="M1989" s="1">
        <v>2.3199999999999998E-2</v>
      </c>
      <c r="N1989" t="s">
        <v>350</v>
      </c>
      <c r="O1989">
        <v>1.21</v>
      </c>
      <c r="P1989" t="s">
        <v>343</v>
      </c>
      <c r="Q1989">
        <v>0.6</v>
      </c>
      <c r="R1989" t="s">
        <v>343</v>
      </c>
      <c r="S1989">
        <v>1</v>
      </c>
    </row>
    <row r="1990" spans="1:19" x14ac:dyDescent="0.25">
      <c r="A1990" t="s">
        <v>43</v>
      </c>
      <c r="B1990" t="s">
        <v>102</v>
      </c>
      <c r="C1990">
        <v>920</v>
      </c>
      <c r="D1990" t="s">
        <v>342</v>
      </c>
      <c r="E1990">
        <v>24.15</v>
      </c>
      <c r="F1990">
        <v>11.19</v>
      </c>
      <c r="G1990">
        <v>13.5</v>
      </c>
      <c r="H1990">
        <v>24.69</v>
      </c>
      <c r="I1990" t="s">
        <v>344</v>
      </c>
      <c r="J1990">
        <v>39.47</v>
      </c>
      <c r="K1990">
        <v>-0.76</v>
      </c>
      <c r="L1990" t="s">
        <v>346</v>
      </c>
      <c r="M1990" s="1">
        <v>7.6E-3</v>
      </c>
      <c r="N1990" t="s">
        <v>349</v>
      </c>
      <c r="O1990">
        <v>0.93</v>
      </c>
      <c r="P1990" t="s">
        <v>343</v>
      </c>
      <c r="Q1990">
        <v>1.52</v>
      </c>
      <c r="R1990" t="s">
        <v>343</v>
      </c>
      <c r="S1990">
        <v>1</v>
      </c>
    </row>
    <row r="1991" spans="1:19" x14ac:dyDescent="0.25">
      <c r="A1991" t="s">
        <v>43</v>
      </c>
      <c r="B1991" t="s">
        <v>103</v>
      </c>
      <c r="C1991">
        <v>940</v>
      </c>
      <c r="D1991" t="s">
        <v>342</v>
      </c>
      <c r="E1991">
        <v>24.15</v>
      </c>
      <c r="F1991">
        <v>9.89</v>
      </c>
      <c r="G1991">
        <v>13.6</v>
      </c>
      <c r="H1991">
        <v>23.49</v>
      </c>
      <c r="I1991" t="s">
        <v>343</v>
      </c>
      <c r="J1991">
        <v>39.51</v>
      </c>
      <c r="K1991">
        <v>0.17</v>
      </c>
      <c r="L1991" t="s">
        <v>346</v>
      </c>
      <c r="M1991" s="1">
        <v>1.6999999999999999E-3</v>
      </c>
      <c r="N1991" t="s">
        <v>349</v>
      </c>
      <c r="O1991">
        <v>0.74</v>
      </c>
      <c r="P1991" t="s">
        <v>343</v>
      </c>
      <c r="Q1991">
        <v>0.4</v>
      </c>
      <c r="R1991" t="s">
        <v>343</v>
      </c>
      <c r="S1991">
        <v>1</v>
      </c>
    </row>
    <row r="1992" spans="1:19" x14ac:dyDescent="0.25">
      <c r="A1992" t="s">
        <v>43</v>
      </c>
      <c r="B1992" t="s">
        <v>104</v>
      </c>
      <c r="C1992">
        <v>960</v>
      </c>
      <c r="D1992" t="s">
        <v>342</v>
      </c>
      <c r="E1992">
        <v>24.15</v>
      </c>
      <c r="F1992">
        <v>10.77</v>
      </c>
      <c r="G1992">
        <v>13.6</v>
      </c>
      <c r="H1992">
        <v>24.38</v>
      </c>
      <c r="I1992" t="s">
        <v>344</v>
      </c>
      <c r="J1992">
        <v>39.659999999999997</v>
      </c>
      <c r="K1992">
        <v>0.79</v>
      </c>
      <c r="L1992" t="s">
        <v>346</v>
      </c>
      <c r="M1992" s="1">
        <v>7.9000000000000008E-3</v>
      </c>
      <c r="N1992" t="s">
        <v>349</v>
      </c>
      <c r="O1992">
        <v>0.61</v>
      </c>
      <c r="P1992" t="s">
        <v>343</v>
      </c>
      <c r="Q1992">
        <v>1.62</v>
      </c>
      <c r="R1992" t="s">
        <v>343</v>
      </c>
      <c r="S1992">
        <v>1</v>
      </c>
    </row>
    <row r="1993" spans="1:19" x14ac:dyDescent="0.25">
      <c r="A1993" t="s">
        <v>43</v>
      </c>
      <c r="B1993" t="s">
        <v>105</v>
      </c>
      <c r="C1993">
        <v>980</v>
      </c>
      <c r="D1993" t="s">
        <v>342</v>
      </c>
      <c r="E1993">
        <v>24.15</v>
      </c>
      <c r="F1993">
        <v>11.87</v>
      </c>
      <c r="G1993">
        <v>12.96</v>
      </c>
      <c r="H1993">
        <v>24.83</v>
      </c>
      <c r="I1993" t="s">
        <v>344</v>
      </c>
      <c r="J1993">
        <v>39.869999999999997</v>
      </c>
      <c r="K1993">
        <v>1.04</v>
      </c>
      <c r="L1993" t="s">
        <v>346</v>
      </c>
      <c r="M1993" s="1">
        <v>1.04E-2</v>
      </c>
      <c r="N1993" t="s">
        <v>349</v>
      </c>
      <c r="O1993">
        <v>1.86</v>
      </c>
      <c r="P1993" t="s">
        <v>343</v>
      </c>
      <c r="Q1993">
        <v>2.83</v>
      </c>
      <c r="R1993" t="s">
        <v>344</v>
      </c>
      <c r="S1993">
        <v>1</v>
      </c>
    </row>
    <row r="1994" spans="1:19" x14ac:dyDescent="0.25">
      <c r="A1994" t="s">
        <v>43</v>
      </c>
      <c r="B1994" t="s">
        <v>106</v>
      </c>
      <c r="C1994">
        <v>1000</v>
      </c>
      <c r="D1994" t="s">
        <v>342</v>
      </c>
      <c r="E1994">
        <v>24.15</v>
      </c>
      <c r="F1994">
        <v>12.19</v>
      </c>
      <c r="G1994">
        <v>12.56</v>
      </c>
      <c r="H1994">
        <v>24.75</v>
      </c>
      <c r="I1994" t="s">
        <v>344</v>
      </c>
      <c r="J1994">
        <v>40.17</v>
      </c>
      <c r="K1994">
        <v>1.47</v>
      </c>
      <c r="L1994" t="s">
        <v>346</v>
      </c>
      <c r="M1994" s="1">
        <v>1.47E-2</v>
      </c>
      <c r="N1994" t="s">
        <v>349</v>
      </c>
      <c r="O1994">
        <v>0.74</v>
      </c>
      <c r="P1994" t="s">
        <v>343</v>
      </c>
      <c r="Q1994">
        <v>1.07</v>
      </c>
      <c r="R1994" t="s">
        <v>343</v>
      </c>
      <c r="S1994">
        <v>1</v>
      </c>
    </row>
    <row r="1995" spans="1:19" x14ac:dyDescent="0.25">
      <c r="A1995" t="s">
        <v>43</v>
      </c>
      <c r="B1995" t="s">
        <v>108</v>
      </c>
      <c r="C1995">
        <v>1020</v>
      </c>
      <c r="D1995" t="s">
        <v>342</v>
      </c>
      <c r="E1995">
        <v>24.15</v>
      </c>
      <c r="F1995">
        <v>13.17</v>
      </c>
      <c r="G1995">
        <v>11.69</v>
      </c>
      <c r="H1995">
        <v>24.86</v>
      </c>
      <c r="I1995" t="s">
        <v>344</v>
      </c>
      <c r="J1995">
        <v>40.659999999999997</v>
      </c>
      <c r="K1995">
        <v>2.48</v>
      </c>
      <c r="L1995" t="s">
        <v>346</v>
      </c>
      <c r="M1995" s="1">
        <v>2.4799999999999999E-2</v>
      </c>
      <c r="N1995" t="s">
        <v>350</v>
      </c>
      <c r="O1995">
        <v>1.27</v>
      </c>
      <c r="P1995" t="s">
        <v>343</v>
      </c>
      <c r="Q1995">
        <v>0.56999999999999995</v>
      </c>
      <c r="R1995" t="s">
        <v>343</v>
      </c>
      <c r="S1995">
        <v>1</v>
      </c>
    </row>
    <row r="1996" spans="1:19" x14ac:dyDescent="0.25">
      <c r="A1996" t="s">
        <v>43</v>
      </c>
      <c r="B1996" t="s">
        <v>109</v>
      </c>
      <c r="C1996">
        <v>1040</v>
      </c>
      <c r="D1996" t="s">
        <v>342</v>
      </c>
      <c r="E1996">
        <v>24.15</v>
      </c>
      <c r="F1996">
        <v>13.73</v>
      </c>
      <c r="G1996">
        <v>11.34</v>
      </c>
      <c r="H1996">
        <v>25.07</v>
      </c>
      <c r="I1996" t="s">
        <v>344</v>
      </c>
      <c r="J1996">
        <v>41.2</v>
      </c>
      <c r="K1996">
        <v>2.68</v>
      </c>
      <c r="L1996" t="s">
        <v>346</v>
      </c>
      <c r="M1996" s="1">
        <v>2.6800000000000001E-2</v>
      </c>
      <c r="N1996" t="s">
        <v>350</v>
      </c>
      <c r="O1996">
        <v>1.84</v>
      </c>
      <c r="P1996" t="s">
        <v>343</v>
      </c>
      <c r="Q1996">
        <v>0.24</v>
      </c>
      <c r="R1996" t="s">
        <v>343</v>
      </c>
      <c r="S1996">
        <v>1</v>
      </c>
    </row>
    <row r="1997" spans="1:19" x14ac:dyDescent="0.25">
      <c r="A1997" t="s">
        <v>43</v>
      </c>
      <c r="B1997" t="s">
        <v>110</v>
      </c>
      <c r="C1997">
        <v>1060</v>
      </c>
      <c r="D1997" t="s">
        <v>342</v>
      </c>
      <c r="E1997">
        <v>24.15</v>
      </c>
      <c r="F1997">
        <v>13.73</v>
      </c>
      <c r="G1997">
        <v>11.87</v>
      </c>
      <c r="H1997">
        <v>25.6</v>
      </c>
      <c r="I1997" t="s">
        <v>344</v>
      </c>
      <c r="J1997">
        <v>41.94</v>
      </c>
      <c r="K1997">
        <v>3.69</v>
      </c>
      <c r="L1997" t="s">
        <v>346</v>
      </c>
      <c r="M1997" s="1">
        <v>3.6900000000000002E-2</v>
      </c>
      <c r="N1997" t="s">
        <v>350</v>
      </c>
      <c r="O1997">
        <v>1.74</v>
      </c>
      <c r="P1997" t="s">
        <v>343</v>
      </c>
      <c r="Q1997">
        <v>0.16</v>
      </c>
      <c r="R1997" t="s">
        <v>343</v>
      </c>
      <c r="S1997">
        <v>1</v>
      </c>
    </row>
    <row r="1998" spans="1:19" x14ac:dyDescent="0.25">
      <c r="A1998" t="s">
        <v>43</v>
      </c>
      <c r="B1998" t="s">
        <v>111</v>
      </c>
      <c r="C1998">
        <v>1080</v>
      </c>
      <c r="D1998" t="s">
        <v>342</v>
      </c>
      <c r="E1998">
        <v>24.15</v>
      </c>
      <c r="F1998">
        <v>13.98</v>
      </c>
      <c r="G1998">
        <v>11.49</v>
      </c>
      <c r="H1998">
        <v>25.47</v>
      </c>
      <c r="I1998" t="s">
        <v>344</v>
      </c>
      <c r="J1998">
        <v>42.77</v>
      </c>
      <c r="K1998">
        <v>4.2</v>
      </c>
      <c r="L1998" t="s">
        <v>346</v>
      </c>
      <c r="M1998" s="1">
        <v>4.2000000000000003E-2</v>
      </c>
      <c r="N1998" t="s">
        <v>350</v>
      </c>
      <c r="O1998">
        <v>2.14</v>
      </c>
      <c r="P1998" t="s">
        <v>344</v>
      </c>
      <c r="Q1998">
        <v>0.56000000000000005</v>
      </c>
      <c r="R1998" t="s">
        <v>343</v>
      </c>
      <c r="S1998">
        <v>1</v>
      </c>
    </row>
    <row r="1999" spans="1:19" x14ac:dyDescent="0.25">
      <c r="A1999" t="s">
        <v>43</v>
      </c>
      <c r="B1999" t="s">
        <v>112</v>
      </c>
      <c r="C1999">
        <v>1100</v>
      </c>
      <c r="D1999" t="s">
        <v>342</v>
      </c>
      <c r="E1999">
        <v>24.15</v>
      </c>
      <c r="F1999">
        <v>13.72</v>
      </c>
      <c r="G1999">
        <v>11.83</v>
      </c>
      <c r="H1999">
        <v>25.55</v>
      </c>
      <c r="I1999" t="s">
        <v>344</v>
      </c>
      <c r="J1999">
        <v>43.63</v>
      </c>
      <c r="K1999">
        <v>4.26</v>
      </c>
      <c r="L1999" t="s">
        <v>346</v>
      </c>
      <c r="M1999" s="1">
        <v>4.2599999999999999E-2</v>
      </c>
      <c r="N1999" t="s">
        <v>350</v>
      </c>
      <c r="O1999">
        <v>0.46</v>
      </c>
      <c r="P1999" t="s">
        <v>343</v>
      </c>
      <c r="Q1999">
        <v>0.43</v>
      </c>
      <c r="R1999" t="s">
        <v>343</v>
      </c>
      <c r="S1999">
        <v>1</v>
      </c>
    </row>
    <row r="2000" spans="1:19" x14ac:dyDescent="0.25">
      <c r="A2000" t="s">
        <v>43</v>
      </c>
      <c r="B2000" t="s">
        <v>113</v>
      </c>
      <c r="C2000">
        <v>1120</v>
      </c>
      <c r="D2000" t="s">
        <v>342</v>
      </c>
      <c r="E2000">
        <v>24.15</v>
      </c>
      <c r="F2000">
        <v>14.09</v>
      </c>
      <c r="G2000">
        <v>13.1</v>
      </c>
      <c r="H2000">
        <v>27.19</v>
      </c>
      <c r="I2000" t="s">
        <v>344</v>
      </c>
      <c r="J2000">
        <v>45.82</v>
      </c>
      <c r="K2000">
        <v>10.95</v>
      </c>
      <c r="L2000" t="s">
        <v>348</v>
      </c>
      <c r="M2000" s="1">
        <v>0.1095</v>
      </c>
      <c r="N2000" t="s">
        <v>350</v>
      </c>
      <c r="O2000">
        <v>0.69</v>
      </c>
      <c r="P2000" t="s">
        <v>343</v>
      </c>
      <c r="Q2000">
        <v>1.77</v>
      </c>
      <c r="R2000" t="s">
        <v>343</v>
      </c>
      <c r="S2000">
        <v>1</v>
      </c>
    </row>
    <row r="2001" spans="1:19" x14ac:dyDescent="0.25">
      <c r="A2001" t="s">
        <v>43</v>
      </c>
      <c r="B2001" t="s">
        <v>114</v>
      </c>
      <c r="C2001">
        <v>1140</v>
      </c>
      <c r="D2001" t="s">
        <v>342</v>
      </c>
      <c r="E2001">
        <v>24.15</v>
      </c>
      <c r="F2001">
        <v>13.86</v>
      </c>
      <c r="G2001">
        <v>12.64</v>
      </c>
      <c r="H2001">
        <v>26.5</v>
      </c>
      <c r="I2001" t="s">
        <v>344</v>
      </c>
      <c r="J2001">
        <v>45.59</v>
      </c>
      <c r="K2001">
        <v>-1.1399999999999999</v>
      </c>
      <c r="L2001" t="s">
        <v>346</v>
      </c>
      <c r="M2001" s="1">
        <v>1.14E-2</v>
      </c>
      <c r="N2001" t="s">
        <v>349</v>
      </c>
      <c r="O2001">
        <v>-0.8</v>
      </c>
      <c r="P2001" t="s">
        <v>343</v>
      </c>
      <c r="Q2001">
        <v>3.7</v>
      </c>
      <c r="R2001" t="s">
        <v>344</v>
      </c>
      <c r="S2001">
        <v>1</v>
      </c>
    </row>
    <row r="2002" spans="1:19" x14ac:dyDescent="0.25">
      <c r="A2002" t="s">
        <v>43</v>
      </c>
      <c r="B2002" t="s">
        <v>115</v>
      </c>
      <c r="C2002">
        <v>1160</v>
      </c>
      <c r="D2002" t="s">
        <v>342</v>
      </c>
      <c r="E2002">
        <v>24.15</v>
      </c>
      <c r="F2002">
        <v>13.76</v>
      </c>
      <c r="G2002">
        <v>14.05</v>
      </c>
      <c r="H2002">
        <v>27.81</v>
      </c>
      <c r="I2002" t="s">
        <v>344</v>
      </c>
      <c r="J2002">
        <v>46.22</v>
      </c>
      <c r="K2002">
        <v>3.15</v>
      </c>
      <c r="L2002" t="s">
        <v>346</v>
      </c>
      <c r="M2002" s="1">
        <v>3.15E-2</v>
      </c>
      <c r="N2002" t="s">
        <v>350</v>
      </c>
      <c r="O2002">
        <v>-1.3</v>
      </c>
      <c r="P2002" t="s">
        <v>343</v>
      </c>
      <c r="Q2002">
        <v>2.46</v>
      </c>
      <c r="R2002" t="s">
        <v>344</v>
      </c>
      <c r="S2002">
        <v>1</v>
      </c>
    </row>
    <row r="2003" spans="1:19" x14ac:dyDescent="0.25">
      <c r="A2003" t="s">
        <v>43</v>
      </c>
      <c r="B2003" t="s">
        <v>325</v>
      </c>
      <c r="C2003">
        <v>1175.1880000000001</v>
      </c>
      <c r="D2003" t="s">
        <v>342</v>
      </c>
      <c r="E2003">
        <v>24.15</v>
      </c>
      <c r="F2003">
        <v>13.08</v>
      </c>
      <c r="G2003">
        <v>16.79</v>
      </c>
      <c r="H2003">
        <v>29.87</v>
      </c>
      <c r="I2003" t="s">
        <v>344</v>
      </c>
      <c r="J2003">
        <v>46.62</v>
      </c>
      <c r="K2003">
        <v>2.67</v>
      </c>
      <c r="L2003" t="s">
        <v>346</v>
      </c>
      <c r="M2003" s="1">
        <v>2.6700000000000002E-2</v>
      </c>
      <c r="N2003" t="s">
        <v>350</v>
      </c>
      <c r="O2003">
        <v>-1.47</v>
      </c>
      <c r="P2003" t="s">
        <v>343</v>
      </c>
      <c r="Q2003">
        <v>1.78</v>
      </c>
      <c r="R2003" t="s">
        <v>343</v>
      </c>
      <c r="S2003">
        <v>0</v>
      </c>
    </row>
    <row r="2004" spans="1:19" x14ac:dyDescent="0.25">
      <c r="A2004" t="s">
        <v>44</v>
      </c>
      <c r="B2004" t="s">
        <v>56</v>
      </c>
      <c r="C2004">
        <v>0</v>
      </c>
      <c r="D2004" t="s">
        <v>342</v>
      </c>
      <c r="E2004">
        <v>24.15</v>
      </c>
      <c r="F2004">
        <v>14.95</v>
      </c>
      <c r="G2004">
        <v>18.100000000000001</v>
      </c>
      <c r="H2004">
        <v>33.06</v>
      </c>
      <c r="I2004" t="s">
        <v>344</v>
      </c>
      <c r="J2004">
        <v>2.63</v>
      </c>
      <c r="L2004" t="s">
        <v>345</v>
      </c>
      <c r="N2004" t="s">
        <v>345</v>
      </c>
      <c r="O2004">
        <v>1.42</v>
      </c>
      <c r="P2004" t="s">
        <v>343</v>
      </c>
      <c r="Q2004">
        <v>-3.37</v>
      </c>
      <c r="R2004" t="s">
        <v>344</v>
      </c>
      <c r="S2004">
        <v>1</v>
      </c>
    </row>
    <row r="2005" spans="1:19" x14ac:dyDescent="0.25">
      <c r="A2005" t="s">
        <v>44</v>
      </c>
      <c r="B2005" t="s">
        <v>57</v>
      </c>
      <c r="C2005">
        <v>20</v>
      </c>
      <c r="D2005" t="s">
        <v>342</v>
      </c>
      <c r="E2005">
        <v>24.15</v>
      </c>
      <c r="F2005">
        <v>14.95</v>
      </c>
      <c r="G2005">
        <v>18.100000000000001</v>
      </c>
      <c r="H2005">
        <v>33.06</v>
      </c>
      <c r="I2005" t="s">
        <v>344</v>
      </c>
      <c r="J2005">
        <v>1.85</v>
      </c>
      <c r="K2005">
        <v>-3.91</v>
      </c>
      <c r="L2005" t="s">
        <v>346</v>
      </c>
      <c r="M2005" s="1">
        <v>3.9100000000000003E-2</v>
      </c>
      <c r="N2005" t="s">
        <v>350</v>
      </c>
      <c r="O2005">
        <v>-0.64</v>
      </c>
      <c r="P2005" t="s">
        <v>343</v>
      </c>
      <c r="Q2005">
        <v>-2.4700000000000002</v>
      </c>
      <c r="R2005" t="s">
        <v>344</v>
      </c>
      <c r="S2005">
        <v>1</v>
      </c>
    </row>
    <row r="2006" spans="1:19" x14ac:dyDescent="0.25">
      <c r="A2006" t="s">
        <v>44</v>
      </c>
      <c r="B2006" t="s">
        <v>58</v>
      </c>
      <c r="C2006">
        <v>40</v>
      </c>
      <c r="D2006" t="s">
        <v>342</v>
      </c>
      <c r="E2006">
        <v>24.15</v>
      </c>
      <c r="F2006">
        <v>15.31</v>
      </c>
      <c r="G2006">
        <v>18.100000000000001</v>
      </c>
      <c r="H2006">
        <v>33.42</v>
      </c>
      <c r="I2006" t="s">
        <v>344</v>
      </c>
      <c r="J2006">
        <v>1.22</v>
      </c>
      <c r="K2006">
        <v>-3.18</v>
      </c>
      <c r="L2006" t="s">
        <v>346</v>
      </c>
      <c r="M2006" s="1">
        <v>3.1800000000000002E-2</v>
      </c>
      <c r="N2006" t="s">
        <v>350</v>
      </c>
      <c r="O2006">
        <v>0.8</v>
      </c>
      <c r="P2006" t="s">
        <v>343</v>
      </c>
      <c r="Q2006">
        <v>-1.88</v>
      </c>
      <c r="R2006" t="s">
        <v>343</v>
      </c>
      <c r="S2006">
        <v>1</v>
      </c>
    </row>
    <row r="2007" spans="1:19" x14ac:dyDescent="0.25">
      <c r="A2007" t="s">
        <v>44</v>
      </c>
      <c r="B2007" t="s">
        <v>59</v>
      </c>
      <c r="C2007">
        <v>60</v>
      </c>
      <c r="D2007" t="s">
        <v>342</v>
      </c>
      <c r="E2007">
        <v>24.15</v>
      </c>
      <c r="F2007">
        <v>17.5</v>
      </c>
      <c r="G2007">
        <v>14.34</v>
      </c>
      <c r="H2007">
        <v>31.84</v>
      </c>
      <c r="I2007" t="s">
        <v>344</v>
      </c>
      <c r="J2007">
        <v>0.62</v>
      </c>
      <c r="K2007">
        <v>-2.96</v>
      </c>
      <c r="L2007" t="s">
        <v>346</v>
      </c>
      <c r="M2007" s="1">
        <v>2.9600000000000001E-2</v>
      </c>
      <c r="N2007" t="s">
        <v>350</v>
      </c>
      <c r="O2007">
        <v>2.33</v>
      </c>
      <c r="P2007" t="s">
        <v>344</v>
      </c>
      <c r="Q2007">
        <v>-1.35</v>
      </c>
      <c r="R2007" t="s">
        <v>343</v>
      </c>
      <c r="S2007">
        <v>1</v>
      </c>
    </row>
    <row r="2008" spans="1:19" x14ac:dyDescent="0.25">
      <c r="A2008" t="s">
        <v>44</v>
      </c>
      <c r="B2008" t="s">
        <v>60</v>
      </c>
      <c r="C2008">
        <v>80</v>
      </c>
      <c r="D2008" t="s">
        <v>342</v>
      </c>
      <c r="E2008">
        <v>24.15</v>
      </c>
      <c r="F2008">
        <v>18.3</v>
      </c>
      <c r="G2008">
        <v>12.4</v>
      </c>
      <c r="H2008">
        <v>30.7</v>
      </c>
      <c r="I2008" t="s">
        <v>344</v>
      </c>
      <c r="J2008">
        <v>-0.38</v>
      </c>
      <c r="K2008">
        <v>-5.01</v>
      </c>
      <c r="L2008" t="s">
        <v>346</v>
      </c>
      <c r="M2008" s="1">
        <v>5.0099999999999999E-2</v>
      </c>
      <c r="N2008" t="s">
        <v>350</v>
      </c>
      <c r="O2008">
        <v>2.19</v>
      </c>
      <c r="P2008" t="s">
        <v>344</v>
      </c>
      <c r="Q2008">
        <v>0.5</v>
      </c>
      <c r="R2008" t="s">
        <v>343</v>
      </c>
      <c r="S2008">
        <v>1</v>
      </c>
    </row>
    <row r="2009" spans="1:19" x14ac:dyDescent="0.25">
      <c r="A2009" t="s">
        <v>44</v>
      </c>
      <c r="B2009" t="s">
        <v>61</v>
      </c>
      <c r="C2009">
        <v>100</v>
      </c>
      <c r="D2009" t="s">
        <v>342</v>
      </c>
      <c r="E2009">
        <v>24.15</v>
      </c>
      <c r="F2009">
        <v>17.399999999999999</v>
      </c>
      <c r="G2009">
        <v>12.39</v>
      </c>
      <c r="H2009">
        <v>29.79</v>
      </c>
      <c r="I2009" t="s">
        <v>344</v>
      </c>
      <c r="J2009">
        <v>-1.49</v>
      </c>
      <c r="K2009">
        <v>-5.56</v>
      </c>
      <c r="L2009" t="s">
        <v>346</v>
      </c>
      <c r="M2009" s="1">
        <v>5.5599999999999997E-2</v>
      </c>
      <c r="N2009" t="s">
        <v>350</v>
      </c>
      <c r="O2009">
        <v>2.33</v>
      </c>
      <c r="P2009" t="s">
        <v>344</v>
      </c>
      <c r="Q2009">
        <v>-0.34</v>
      </c>
      <c r="R2009" t="s">
        <v>343</v>
      </c>
      <c r="S2009">
        <v>1</v>
      </c>
    </row>
    <row r="2010" spans="1:19" x14ac:dyDescent="0.25">
      <c r="A2010" t="s">
        <v>44</v>
      </c>
      <c r="B2010" t="s">
        <v>62</v>
      </c>
      <c r="C2010">
        <v>120</v>
      </c>
      <c r="D2010" t="s">
        <v>342</v>
      </c>
      <c r="E2010">
        <v>24.15</v>
      </c>
      <c r="F2010">
        <v>16.690000000000001</v>
      </c>
      <c r="G2010">
        <v>12.98</v>
      </c>
      <c r="H2010">
        <v>29.67</v>
      </c>
      <c r="I2010" t="s">
        <v>344</v>
      </c>
      <c r="J2010">
        <v>-2.42</v>
      </c>
      <c r="K2010">
        <v>-4.6399999999999997</v>
      </c>
      <c r="L2010" t="s">
        <v>346</v>
      </c>
      <c r="M2010" s="1">
        <v>4.6399999999999997E-2</v>
      </c>
      <c r="N2010" t="s">
        <v>350</v>
      </c>
      <c r="O2010">
        <v>3.31</v>
      </c>
      <c r="P2010" t="s">
        <v>344</v>
      </c>
      <c r="Q2010">
        <v>1.24</v>
      </c>
      <c r="R2010" t="s">
        <v>343</v>
      </c>
      <c r="S2010">
        <v>1</v>
      </c>
    </row>
    <row r="2011" spans="1:19" x14ac:dyDescent="0.25">
      <c r="A2011" t="s">
        <v>44</v>
      </c>
      <c r="B2011" t="s">
        <v>63</v>
      </c>
      <c r="C2011">
        <v>140</v>
      </c>
      <c r="D2011" t="s">
        <v>342</v>
      </c>
      <c r="E2011">
        <v>24.15</v>
      </c>
      <c r="F2011">
        <v>16.23</v>
      </c>
      <c r="G2011">
        <v>13.16</v>
      </c>
      <c r="H2011">
        <v>29.39</v>
      </c>
      <c r="I2011" t="s">
        <v>344</v>
      </c>
      <c r="J2011">
        <v>-3.39</v>
      </c>
      <c r="K2011">
        <v>-4.8600000000000003</v>
      </c>
      <c r="L2011" t="s">
        <v>346</v>
      </c>
      <c r="M2011" s="1">
        <v>4.8599999999999997E-2</v>
      </c>
      <c r="N2011" t="s">
        <v>350</v>
      </c>
      <c r="O2011">
        <v>3.45</v>
      </c>
      <c r="P2011" t="s">
        <v>344</v>
      </c>
      <c r="Q2011">
        <v>0.01</v>
      </c>
      <c r="R2011" t="s">
        <v>343</v>
      </c>
      <c r="S2011">
        <v>1</v>
      </c>
    </row>
    <row r="2012" spans="1:19" x14ac:dyDescent="0.25">
      <c r="A2012" t="s">
        <v>44</v>
      </c>
      <c r="B2012" t="s">
        <v>64</v>
      </c>
      <c r="C2012">
        <v>160</v>
      </c>
      <c r="D2012" t="s">
        <v>342</v>
      </c>
      <c r="E2012">
        <v>24.15</v>
      </c>
      <c r="F2012">
        <v>16.670000000000002</v>
      </c>
      <c r="G2012">
        <v>13.49</v>
      </c>
      <c r="H2012">
        <v>30.16</v>
      </c>
      <c r="I2012" t="s">
        <v>344</v>
      </c>
      <c r="J2012">
        <v>-4.0999999999999996</v>
      </c>
      <c r="K2012">
        <v>-3.55</v>
      </c>
      <c r="L2012" t="s">
        <v>346</v>
      </c>
      <c r="M2012" s="1">
        <v>3.5499999999999997E-2</v>
      </c>
      <c r="N2012" t="s">
        <v>350</v>
      </c>
      <c r="O2012">
        <v>4.3099999999999996</v>
      </c>
      <c r="P2012" t="s">
        <v>343</v>
      </c>
      <c r="Q2012">
        <v>0.73</v>
      </c>
      <c r="R2012" t="s">
        <v>343</v>
      </c>
      <c r="S2012">
        <v>1</v>
      </c>
    </row>
    <row r="2013" spans="1:19" x14ac:dyDescent="0.25">
      <c r="A2013" t="s">
        <v>44</v>
      </c>
      <c r="B2013" t="s">
        <v>65</v>
      </c>
      <c r="C2013">
        <v>180</v>
      </c>
      <c r="D2013" t="s">
        <v>342</v>
      </c>
      <c r="E2013">
        <v>24.15</v>
      </c>
      <c r="F2013">
        <v>16.89</v>
      </c>
      <c r="G2013">
        <v>14.2</v>
      </c>
      <c r="H2013">
        <v>31.08</v>
      </c>
      <c r="I2013" t="s">
        <v>344</v>
      </c>
      <c r="J2013">
        <v>-4.79</v>
      </c>
      <c r="K2013">
        <v>-3.45</v>
      </c>
      <c r="L2013" t="s">
        <v>346</v>
      </c>
      <c r="M2013" s="1">
        <v>3.4500000000000003E-2</v>
      </c>
      <c r="N2013" t="s">
        <v>350</v>
      </c>
      <c r="O2013">
        <v>1.71</v>
      </c>
      <c r="P2013" t="s">
        <v>343</v>
      </c>
      <c r="Q2013">
        <v>1.3</v>
      </c>
      <c r="R2013" t="s">
        <v>343</v>
      </c>
      <c r="S2013">
        <v>1</v>
      </c>
    </row>
    <row r="2014" spans="1:19" x14ac:dyDescent="0.25">
      <c r="A2014" t="s">
        <v>44</v>
      </c>
      <c r="B2014" t="s">
        <v>66</v>
      </c>
      <c r="C2014">
        <v>200</v>
      </c>
      <c r="D2014" t="s">
        <v>342</v>
      </c>
      <c r="E2014">
        <v>24.15</v>
      </c>
      <c r="F2014">
        <v>16.48</v>
      </c>
      <c r="G2014">
        <v>15.92</v>
      </c>
      <c r="H2014">
        <v>32.4</v>
      </c>
      <c r="I2014" t="s">
        <v>344</v>
      </c>
      <c r="J2014">
        <v>-5.39</v>
      </c>
      <c r="K2014">
        <v>-3.01</v>
      </c>
      <c r="L2014" t="s">
        <v>346</v>
      </c>
      <c r="M2014" s="1">
        <v>3.0099999999999998E-2</v>
      </c>
      <c r="N2014" t="s">
        <v>350</v>
      </c>
      <c r="O2014">
        <v>0.8</v>
      </c>
      <c r="P2014" t="s">
        <v>343</v>
      </c>
      <c r="Q2014">
        <v>0.1</v>
      </c>
      <c r="R2014" t="s">
        <v>343</v>
      </c>
      <c r="S2014">
        <v>1</v>
      </c>
    </row>
    <row r="2015" spans="1:19" x14ac:dyDescent="0.25">
      <c r="A2015" t="s">
        <v>44</v>
      </c>
      <c r="B2015" t="s">
        <v>67</v>
      </c>
      <c r="C2015">
        <v>220</v>
      </c>
      <c r="D2015" t="s">
        <v>342</v>
      </c>
      <c r="E2015">
        <v>24.15</v>
      </c>
      <c r="F2015">
        <v>15.65</v>
      </c>
      <c r="G2015">
        <v>16.28</v>
      </c>
      <c r="H2015">
        <v>31.94</v>
      </c>
      <c r="I2015" t="s">
        <v>344</v>
      </c>
      <c r="J2015">
        <v>-5.98</v>
      </c>
      <c r="K2015">
        <v>-2.91</v>
      </c>
      <c r="L2015" t="s">
        <v>346</v>
      </c>
      <c r="M2015" s="1">
        <v>2.9100000000000001E-2</v>
      </c>
      <c r="N2015" t="s">
        <v>350</v>
      </c>
      <c r="O2015">
        <v>-0.35</v>
      </c>
      <c r="P2015" t="s">
        <v>343</v>
      </c>
      <c r="Q2015">
        <v>-1.73</v>
      </c>
      <c r="R2015" t="s">
        <v>343</v>
      </c>
      <c r="S2015">
        <v>1</v>
      </c>
    </row>
    <row r="2016" spans="1:19" x14ac:dyDescent="0.25">
      <c r="A2016" t="s">
        <v>44</v>
      </c>
      <c r="B2016" t="s">
        <v>68</v>
      </c>
      <c r="C2016">
        <v>240</v>
      </c>
      <c r="D2016" t="s">
        <v>342</v>
      </c>
      <c r="E2016">
        <v>24.15</v>
      </c>
      <c r="F2016">
        <v>16.48</v>
      </c>
      <c r="G2016">
        <v>16.100000000000001</v>
      </c>
      <c r="H2016">
        <v>32.58</v>
      </c>
      <c r="I2016" t="s">
        <v>344</v>
      </c>
      <c r="J2016">
        <v>-6.4</v>
      </c>
      <c r="K2016">
        <v>-2.13</v>
      </c>
      <c r="L2016" t="s">
        <v>346</v>
      </c>
      <c r="M2016" s="1">
        <v>2.1299999999999999E-2</v>
      </c>
      <c r="N2016" t="s">
        <v>350</v>
      </c>
      <c r="O2016">
        <v>0.39</v>
      </c>
      <c r="P2016" t="s">
        <v>343</v>
      </c>
      <c r="Q2016">
        <v>2.89</v>
      </c>
      <c r="R2016" t="s">
        <v>344</v>
      </c>
      <c r="S2016">
        <v>1</v>
      </c>
    </row>
    <row r="2017" spans="1:19" x14ac:dyDescent="0.25">
      <c r="A2017" t="s">
        <v>44</v>
      </c>
      <c r="B2017" t="s">
        <v>69</v>
      </c>
      <c r="C2017">
        <v>260</v>
      </c>
      <c r="D2017" t="s">
        <v>342</v>
      </c>
      <c r="E2017">
        <v>24.15</v>
      </c>
      <c r="F2017">
        <v>15.65</v>
      </c>
      <c r="G2017">
        <v>15.18</v>
      </c>
      <c r="H2017">
        <v>30.84</v>
      </c>
      <c r="I2017" t="s">
        <v>344</v>
      </c>
      <c r="J2017">
        <v>-7.06</v>
      </c>
      <c r="K2017">
        <v>-3.3</v>
      </c>
      <c r="L2017" t="s">
        <v>346</v>
      </c>
      <c r="M2017" s="1">
        <v>3.3000000000000002E-2</v>
      </c>
      <c r="N2017" t="s">
        <v>350</v>
      </c>
      <c r="O2017">
        <v>-0.02</v>
      </c>
      <c r="P2017" t="s">
        <v>343</v>
      </c>
      <c r="Q2017">
        <v>-1.36</v>
      </c>
      <c r="R2017" t="s">
        <v>343</v>
      </c>
      <c r="S2017">
        <v>1</v>
      </c>
    </row>
    <row r="2018" spans="1:19" x14ac:dyDescent="0.25">
      <c r="A2018" t="s">
        <v>44</v>
      </c>
      <c r="B2018" t="s">
        <v>70</v>
      </c>
      <c r="C2018">
        <v>280</v>
      </c>
      <c r="D2018" t="s">
        <v>342</v>
      </c>
      <c r="E2018">
        <v>24.15</v>
      </c>
      <c r="F2018">
        <v>14.76</v>
      </c>
      <c r="G2018">
        <v>15.18</v>
      </c>
      <c r="H2018">
        <v>29.94</v>
      </c>
      <c r="I2018" t="s">
        <v>344</v>
      </c>
      <c r="J2018">
        <v>-8.11</v>
      </c>
      <c r="K2018">
        <v>-5.27</v>
      </c>
      <c r="L2018" t="s">
        <v>346</v>
      </c>
      <c r="M2018" s="1">
        <v>5.2699999999999997E-2</v>
      </c>
      <c r="N2018" t="s">
        <v>350</v>
      </c>
      <c r="O2018">
        <v>-2.37</v>
      </c>
      <c r="P2018" t="s">
        <v>344</v>
      </c>
      <c r="Q2018">
        <v>1.87</v>
      </c>
      <c r="R2018" t="s">
        <v>343</v>
      </c>
      <c r="S2018">
        <v>1</v>
      </c>
    </row>
    <row r="2019" spans="1:19" x14ac:dyDescent="0.25">
      <c r="A2019" t="s">
        <v>44</v>
      </c>
      <c r="B2019" t="s">
        <v>71</v>
      </c>
      <c r="C2019">
        <v>300</v>
      </c>
      <c r="D2019" t="s">
        <v>342</v>
      </c>
      <c r="E2019">
        <v>24.15</v>
      </c>
      <c r="F2019">
        <v>13.89</v>
      </c>
      <c r="G2019">
        <v>13.7</v>
      </c>
      <c r="H2019">
        <v>27.59</v>
      </c>
      <c r="I2019" t="s">
        <v>344</v>
      </c>
      <c r="J2019">
        <v>-9.42</v>
      </c>
      <c r="K2019">
        <v>-6.55</v>
      </c>
      <c r="L2019" t="s">
        <v>346</v>
      </c>
      <c r="M2019" s="1">
        <v>6.5500000000000003E-2</v>
      </c>
      <c r="N2019" t="s">
        <v>350</v>
      </c>
      <c r="O2019">
        <v>1.64</v>
      </c>
      <c r="P2019" t="s">
        <v>343</v>
      </c>
      <c r="Q2019">
        <v>3.33</v>
      </c>
      <c r="R2019" t="s">
        <v>344</v>
      </c>
      <c r="S2019">
        <v>1</v>
      </c>
    </row>
    <row r="2020" spans="1:19" x14ac:dyDescent="0.25">
      <c r="A2020" t="s">
        <v>44</v>
      </c>
      <c r="B2020" t="s">
        <v>72</v>
      </c>
      <c r="C2020">
        <v>320</v>
      </c>
      <c r="D2020" t="s">
        <v>342</v>
      </c>
      <c r="E2020">
        <v>24.15</v>
      </c>
      <c r="F2020">
        <v>12.84</v>
      </c>
      <c r="G2020">
        <v>12.35</v>
      </c>
      <c r="H2020">
        <v>25.2</v>
      </c>
      <c r="I2020" t="s">
        <v>344</v>
      </c>
      <c r="J2020">
        <v>-11.19</v>
      </c>
      <c r="K2020">
        <v>-8.83</v>
      </c>
      <c r="L2020" t="s">
        <v>347</v>
      </c>
      <c r="M2020" s="1">
        <v>8.8300000000000003E-2</v>
      </c>
      <c r="N2020" t="s">
        <v>350</v>
      </c>
      <c r="O2020">
        <v>-0.41</v>
      </c>
      <c r="P2020" t="s">
        <v>343</v>
      </c>
      <c r="Q2020">
        <v>3.06</v>
      </c>
      <c r="R2020" t="s">
        <v>344</v>
      </c>
      <c r="S2020">
        <v>1</v>
      </c>
    </row>
    <row r="2021" spans="1:19" x14ac:dyDescent="0.25">
      <c r="A2021" t="s">
        <v>44</v>
      </c>
      <c r="B2021" t="s">
        <v>73</v>
      </c>
      <c r="C2021">
        <v>340</v>
      </c>
      <c r="D2021" t="s">
        <v>342</v>
      </c>
      <c r="E2021">
        <v>24.15</v>
      </c>
      <c r="F2021">
        <v>13.89</v>
      </c>
      <c r="G2021">
        <v>13.52</v>
      </c>
      <c r="H2021">
        <v>27.41</v>
      </c>
      <c r="I2021" t="s">
        <v>344</v>
      </c>
      <c r="J2021">
        <v>-12.73</v>
      </c>
      <c r="K2021">
        <v>-7.7</v>
      </c>
      <c r="L2021" t="s">
        <v>346</v>
      </c>
      <c r="M2021" s="1">
        <v>7.6999999999999999E-2</v>
      </c>
      <c r="N2021" t="s">
        <v>350</v>
      </c>
      <c r="O2021">
        <v>-0.95</v>
      </c>
      <c r="P2021" t="s">
        <v>343</v>
      </c>
      <c r="Q2021">
        <v>3.67</v>
      </c>
      <c r="R2021" t="s">
        <v>344</v>
      </c>
      <c r="S2021">
        <v>1</v>
      </c>
    </row>
    <row r="2022" spans="1:19" x14ac:dyDescent="0.25">
      <c r="A2022" t="s">
        <v>44</v>
      </c>
      <c r="B2022" t="s">
        <v>74</v>
      </c>
      <c r="C2022">
        <v>360</v>
      </c>
      <c r="D2022" t="s">
        <v>342</v>
      </c>
      <c r="E2022">
        <v>24.15</v>
      </c>
      <c r="F2022">
        <v>12.84</v>
      </c>
      <c r="G2022">
        <v>14.33</v>
      </c>
      <c r="H2022">
        <v>27.18</v>
      </c>
      <c r="I2022" t="s">
        <v>344</v>
      </c>
      <c r="J2022">
        <v>-14.25</v>
      </c>
      <c r="K2022">
        <v>-7.59</v>
      </c>
      <c r="L2022" t="s">
        <v>346</v>
      </c>
      <c r="M2022" s="1">
        <v>7.5899999999999995E-2</v>
      </c>
      <c r="N2022" t="s">
        <v>350</v>
      </c>
      <c r="O2022">
        <v>0.92</v>
      </c>
      <c r="P2022" t="s">
        <v>343</v>
      </c>
      <c r="Q2022">
        <v>2.41</v>
      </c>
      <c r="R2022" t="s">
        <v>344</v>
      </c>
      <c r="S2022">
        <v>1</v>
      </c>
    </row>
    <row r="2023" spans="1:19" x14ac:dyDescent="0.25">
      <c r="A2023" t="s">
        <v>44</v>
      </c>
      <c r="B2023" t="s">
        <v>75</v>
      </c>
      <c r="C2023">
        <v>380</v>
      </c>
      <c r="D2023" t="s">
        <v>342</v>
      </c>
      <c r="E2023">
        <v>24.15</v>
      </c>
      <c r="F2023">
        <v>11.77</v>
      </c>
      <c r="G2023">
        <v>15.11</v>
      </c>
      <c r="H2023">
        <v>26.88</v>
      </c>
      <c r="I2023" t="s">
        <v>344</v>
      </c>
      <c r="J2023">
        <v>-15.84</v>
      </c>
      <c r="K2023">
        <v>-7.97</v>
      </c>
      <c r="L2023" t="s">
        <v>346</v>
      </c>
      <c r="M2023" s="1">
        <v>7.9699999999999993E-2</v>
      </c>
      <c r="N2023" t="s">
        <v>350</v>
      </c>
      <c r="O2023">
        <v>0.77</v>
      </c>
      <c r="P2023" t="s">
        <v>343</v>
      </c>
      <c r="Q2023">
        <v>2.75</v>
      </c>
      <c r="R2023" t="s">
        <v>344</v>
      </c>
      <c r="S2023">
        <v>1</v>
      </c>
    </row>
    <row r="2024" spans="1:19" x14ac:dyDescent="0.25">
      <c r="A2024" t="s">
        <v>44</v>
      </c>
      <c r="B2024" t="s">
        <v>76</v>
      </c>
      <c r="C2024">
        <v>400</v>
      </c>
      <c r="D2024" t="s">
        <v>342</v>
      </c>
      <c r="E2024">
        <v>24.15</v>
      </c>
      <c r="F2024">
        <v>11.55</v>
      </c>
      <c r="G2024">
        <v>15.26</v>
      </c>
      <c r="H2024">
        <v>26.81</v>
      </c>
      <c r="I2024" t="s">
        <v>344</v>
      </c>
      <c r="J2024">
        <v>-17.25</v>
      </c>
      <c r="K2024">
        <v>-7.05</v>
      </c>
      <c r="L2024" t="s">
        <v>346</v>
      </c>
      <c r="M2024" s="1">
        <v>7.0499999999999993E-2</v>
      </c>
      <c r="N2024" t="s">
        <v>350</v>
      </c>
      <c r="O2024">
        <v>2.57</v>
      </c>
      <c r="P2024" t="s">
        <v>344</v>
      </c>
      <c r="Q2024">
        <v>1.47</v>
      </c>
      <c r="R2024" t="s">
        <v>343</v>
      </c>
      <c r="S2024">
        <v>1</v>
      </c>
    </row>
    <row r="2025" spans="1:19" x14ac:dyDescent="0.25">
      <c r="A2025" t="s">
        <v>44</v>
      </c>
      <c r="B2025" t="s">
        <v>77</v>
      </c>
      <c r="C2025">
        <v>420</v>
      </c>
      <c r="D2025" t="s">
        <v>342</v>
      </c>
      <c r="E2025">
        <v>24.15</v>
      </c>
      <c r="F2025">
        <v>12.09</v>
      </c>
      <c r="G2025">
        <v>14.6</v>
      </c>
      <c r="H2025">
        <v>26.69</v>
      </c>
      <c r="I2025" t="s">
        <v>344</v>
      </c>
      <c r="J2025">
        <v>-18.670000000000002</v>
      </c>
      <c r="K2025">
        <v>-7.1</v>
      </c>
      <c r="L2025" t="s">
        <v>346</v>
      </c>
      <c r="M2025" s="1">
        <v>7.0999999999999994E-2</v>
      </c>
      <c r="N2025" t="s">
        <v>350</v>
      </c>
      <c r="O2025">
        <v>3.2</v>
      </c>
      <c r="P2025" t="s">
        <v>344</v>
      </c>
      <c r="Q2025">
        <v>0.46</v>
      </c>
      <c r="R2025" t="s">
        <v>343</v>
      </c>
      <c r="S2025">
        <v>1</v>
      </c>
    </row>
    <row r="2026" spans="1:19" x14ac:dyDescent="0.25">
      <c r="A2026" t="s">
        <v>44</v>
      </c>
      <c r="B2026" t="s">
        <v>78</v>
      </c>
      <c r="C2026">
        <v>440</v>
      </c>
      <c r="D2026" t="s">
        <v>342</v>
      </c>
      <c r="E2026">
        <v>24.15</v>
      </c>
      <c r="F2026">
        <v>12.04</v>
      </c>
      <c r="G2026">
        <v>13.27</v>
      </c>
      <c r="H2026">
        <v>25.31</v>
      </c>
      <c r="I2026" t="s">
        <v>344</v>
      </c>
      <c r="J2026">
        <v>-20.079999999999998</v>
      </c>
      <c r="K2026">
        <v>-7.02</v>
      </c>
      <c r="L2026" t="s">
        <v>346</v>
      </c>
      <c r="M2026" s="1">
        <v>7.0199999999999999E-2</v>
      </c>
      <c r="N2026" t="s">
        <v>350</v>
      </c>
      <c r="O2026">
        <v>1.9</v>
      </c>
      <c r="P2026" t="s">
        <v>343</v>
      </c>
      <c r="Q2026">
        <v>-1.75</v>
      </c>
      <c r="R2026" t="s">
        <v>343</v>
      </c>
      <c r="S2026">
        <v>1</v>
      </c>
    </row>
    <row r="2027" spans="1:19" x14ac:dyDescent="0.25">
      <c r="A2027" t="s">
        <v>44</v>
      </c>
      <c r="B2027" t="s">
        <v>79</v>
      </c>
      <c r="C2027">
        <v>460</v>
      </c>
      <c r="D2027" t="s">
        <v>342</v>
      </c>
      <c r="E2027">
        <v>24.15</v>
      </c>
      <c r="F2027">
        <v>12.25</v>
      </c>
      <c r="G2027">
        <v>12.27</v>
      </c>
      <c r="H2027">
        <v>24.52</v>
      </c>
      <c r="I2027" t="s">
        <v>344</v>
      </c>
      <c r="J2027">
        <v>-21.15</v>
      </c>
      <c r="K2027">
        <v>-5.35</v>
      </c>
      <c r="L2027" t="s">
        <v>346</v>
      </c>
      <c r="M2027" s="1">
        <v>5.3499999999999999E-2</v>
      </c>
      <c r="N2027" t="s">
        <v>350</v>
      </c>
      <c r="O2027">
        <v>5.13</v>
      </c>
      <c r="P2027" t="s">
        <v>343</v>
      </c>
      <c r="Q2027">
        <v>-0.77</v>
      </c>
      <c r="R2027" t="s">
        <v>343</v>
      </c>
      <c r="S2027">
        <v>1</v>
      </c>
    </row>
    <row r="2028" spans="1:19" x14ac:dyDescent="0.25">
      <c r="A2028" t="s">
        <v>44</v>
      </c>
      <c r="B2028" t="s">
        <v>80</v>
      </c>
      <c r="C2028">
        <v>480</v>
      </c>
      <c r="D2028" t="s">
        <v>342</v>
      </c>
      <c r="E2028">
        <v>24.15</v>
      </c>
      <c r="F2028">
        <v>12.69</v>
      </c>
      <c r="G2028">
        <v>11.84</v>
      </c>
      <c r="H2028">
        <v>24.53</v>
      </c>
      <c r="I2028" t="s">
        <v>344</v>
      </c>
      <c r="J2028">
        <v>-22.3</v>
      </c>
      <c r="K2028">
        <v>-5.77</v>
      </c>
      <c r="L2028" t="s">
        <v>346</v>
      </c>
      <c r="M2028" s="1">
        <v>5.7699999999999987E-2</v>
      </c>
      <c r="N2028" t="s">
        <v>350</v>
      </c>
      <c r="O2028">
        <v>4.04</v>
      </c>
      <c r="P2028" t="s">
        <v>343</v>
      </c>
      <c r="Q2028">
        <v>1.03</v>
      </c>
      <c r="R2028" t="s">
        <v>343</v>
      </c>
      <c r="S2028">
        <v>1</v>
      </c>
    </row>
    <row r="2029" spans="1:19" x14ac:dyDescent="0.25">
      <c r="A2029" t="s">
        <v>44</v>
      </c>
      <c r="B2029" t="s">
        <v>81</v>
      </c>
      <c r="C2029">
        <v>500</v>
      </c>
      <c r="D2029" t="s">
        <v>342</v>
      </c>
      <c r="E2029">
        <v>24.15</v>
      </c>
      <c r="F2029">
        <v>13.93</v>
      </c>
      <c r="G2029">
        <v>12.63</v>
      </c>
      <c r="H2029">
        <v>26.57</v>
      </c>
      <c r="I2029" t="s">
        <v>344</v>
      </c>
      <c r="J2029">
        <v>-23.31</v>
      </c>
      <c r="K2029">
        <v>-5.03</v>
      </c>
      <c r="L2029" t="s">
        <v>346</v>
      </c>
      <c r="M2029" s="1">
        <v>5.0299999999999997E-2</v>
      </c>
      <c r="N2029" t="s">
        <v>350</v>
      </c>
      <c r="O2029">
        <v>3.4</v>
      </c>
      <c r="P2029" t="s">
        <v>344</v>
      </c>
      <c r="Q2029">
        <v>2.2799999999999998</v>
      </c>
      <c r="R2029" t="s">
        <v>344</v>
      </c>
      <c r="S2029">
        <v>1</v>
      </c>
    </row>
    <row r="2030" spans="1:19" x14ac:dyDescent="0.25">
      <c r="A2030" t="s">
        <v>44</v>
      </c>
      <c r="B2030" t="s">
        <v>82</v>
      </c>
      <c r="C2030">
        <v>520</v>
      </c>
      <c r="D2030" t="s">
        <v>342</v>
      </c>
      <c r="E2030">
        <v>24.15</v>
      </c>
      <c r="F2030">
        <v>13.4</v>
      </c>
      <c r="G2030">
        <v>13.38</v>
      </c>
      <c r="H2030">
        <v>26.78</v>
      </c>
      <c r="I2030" t="s">
        <v>344</v>
      </c>
      <c r="J2030">
        <v>-24.19</v>
      </c>
      <c r="K2030">
        <v>-4.4400000000000004</v>
      </c>
      <c r="L2030" t="s">
        <v>346</v>
      </c>
      <c r="M2030" s="1">
        <v>4.4400000000000002E-2</v>
      </c>
      <c r="N2030" t="s">
        <v>350</v>
      </c>
      <c r="O2030">
        <v>3.04</v>
      </c>
      <c r="P2030" t="s">
        <v>344</v>
      </c>
      <c r="Q2030">
        <v>1.1100000000000001</v>
      </c>
      <c r="R2030" t="s">
        <v>343</v>
      </c>
      <c r="S2030">
        <v>1</v>
      </c>
    </row>
    <row r="2031" spans="1:19" x14ac:dyDescent="0.25">
      <c r="A2031" t="s">
        <v>44</v>
      </c>
      <c r="B2031" t="s">
        <v>83</v>
      </c>
      <c r="C2031">
        <v>540</v>
      </c>
      <c r="D2031" t="s">
        <v>342</v>
      </c>
      <c r="E2031">
        <v>24.15</v>
      </c>
      <c r="F2031">
        <v>12.34</v>
      </c>
      <c r="G2031">
        <v>13.45</v>
      </c>
      <c r="H2031">
        <v>25.79</v>
      </c>
      <c r="I2031" t="s">
        <v>344</v>
      </c>
      <c r="J2031">
        <v>-23.8</v>
      </c>
      <c r="K2031">
        <v>1.99</v>
      </c>
      <c r="L2031" t="s">
        <v>346</v>
      </c>
      <c r="M2031" s="1">
        <v>1.9900000000000001E-2</v>
      </c>
      <c r="N2031" t="s">
        <v>349</v>
      </c>
      <c r="O2031">
        <v>0.87</v>
      </c>
      <c r="P2031" t="s">
        <v>343</v>
      </c>
      <c r="Q2031">
        <v>2.4500000000000002</v>
      </c>
      <c r="R2031" t="s">
        <v>344</v>
      </c>
      <c r="S2031">
        <v>1</v>
      </c>
    </row>
    <row r="2032" spans="1:19" x14ac:dyDescent="0.25">
      <c r="A2032" t="s">
        <v>44</v>
      </c>
      <c r="B2032" t="s">
        <v>84</v>
      </c>
      <c r="C2032">
        <v>560</v>
      </c>
      <c r="D2032" t="s">
        <v>342</v>
      </c>
      <c r="E2032">
        <v>24.15</v>
      </c>
      <c r="F2032">
        <v>10.94</v>
      </c>
      <c r="G2032">
        <v>20</v>
      </c>
      <c r="H2032">
        <v>30.94</v>
      </c>
      <c r="I2032" t="s">
        <v>344</v>
      </c>
      <c r="J2032">
        <v>-25.14</v>
      </c>
      <c r="K2032">
        <v>-6.75</v>
      </c>
      <c r="L2032" t="s">
        <v>346</v>
      </c>
      <c r="M2032" s="1">
        <v>6.7500000000000004E-2</v>
      </c>
      <c r="N2032" t="s">
        <v>350</v>
      </c>
      <c r="O2032">
        <v>1.9</v>
      </c>
      <c r="P2032" t="s">
        <v>343</v>
      </c>
      <c r="Q2032">
        <v>1.71</v>
      </c>
      <c r="R2032" t="s">
        <v>343</v>
      </c>
      <c r="S2032">
        <v>1</v>
      </c>
    </row>
    <row r="2033" spans="1:19" x14ac:dyDescent="0.25">
      <c r="A2033" t="s">
        <v>44</v>
      </c>
      <c r="B2033" t="s">
        <v>85</v>
      </c>
      <c r="C2033">
        <v>580</v>
      </c>
      <c r="D2033" t="s">
        <v>342</v>
      </c>
      <c r="E2033">
        <v>24.15</v>
      </c>
      <c r="F2033">
        <v>12.23</v>
      </c>
      <c r="G2033">
        <v>20</v>
      </c>
      <c r="H2033">
        <v>32.229999999999997</v>
      </c>
      <c r="I2033" t="s">
        <v>344</v>
      </c>
      <c r="J2033">
        <v>-25.6</v>
      </c>
      <c r="K2033">
        <v>-2.2799999999999998</v>
      </c>
      <c r="L2033" t="s">
        <v>346</v>
      </c>
      <c r="M2033" s="1">
        <v>2.2800000000000001E-2</v>
      </c>
      <c r="N2033" t="s">
        <v>350</v>
      </c>
      <c r="O2033">
        <v>-0.87</v>
      </c>
      <c r="P2033" t="s">
        <v>343</v>
      </c>
      <c r="Q2033">
        <v>4.29</v>
      </c>
      <c r="R2033" t="s">
        <v>343</v>
      </c>
      <c r="S2033">
        <v>1</v>
      </c>
    </row>
    <row r="2034" spans="1:19" x14ac:dyDescent="0.25">
      <c r="A2034" t="s">
        <v>44</v>
      </c>
      <c r="B2034" t="s">
        <v>86</v>
      </c>
      <c r="C2034">
        <v>600</v>
      </c>
      <c r="D2034" t="s">
        <v>342</v>
      </c>
      <c r="E2034">
        <v>24.15</v>
      </c>
      <c r="F2034">
        <v>13.31</v>
      </c>
      <c r="G2034">
        <v>20</v>
      </c>
      <c r="H2034">
        <v>33.31</v>
      </c>
      <c r="I2034" t="s">
        <v>344</v>
      </c>
      <c r="J2034">
        <v>-25.19</v>
      </c>
      <c r="K2034">
        <v>2.04</v>
      </c>
      <c r="L2034" t="s">
        <v>346</v>
      </c>
      <c r="M2034" s="1">
        <v>2.0400000000000001E-2</v>
      </c>
      <c r="N2034" t="s">
        <v>350</v>
      </c>
      <c r="O2034">
        <v>-0.46</v>
      </c>
      <c r="P2034" t="s">
        <v>343</v>
      </c>
      <c r="Q2034">
        <v>7.58</v>
      </c>
      <c r="R2034" t="s">
        <v>343</v>
      </c>
      <c r="S2034">
        <v>1</v>
      </c>
    </row>
    <row r="2035" spans="1:19" x14ac:dyDescent="0.25">
      <c r="A2035" t="s">
        <v>44</v>
      </c>
      <c r="B2035" t="s">
        <v>87</v>
      </c>
      <c r="C2035">
        <v>620</v>
      </c>
      <c r="D2035" t="s">
        <v>342</v>
      </c>
      <c r="E2035">
        <v>24.15</v>
      </c>
      <c r="F2035">
        <v>12.28</v>
      </c>
      <c r="G2035">
        <v>12.99</v>
      </c>
      <c r="H2035">
        <v>25.28</v>
      </c>
      <c r="I2035" t="s">
        <v>344</v>
      </c>
      <c r="J2035">
        <v>-25.8</v>
      </c>
      <c r="K2035">
        <v>-3.04</v>
      </c>
      <c r="L2035" t="s">
        <v>346</v>
      </c>
      <c r="M2035" s="1">
        <v>3.04E-2</v>
      </c>
      <c r="N2035" t="s">
        <v>350</v>
      </c>
      <c r="O2035">
        <v>-0.32</v>
      </c>
      <c r="P2035" t="s">
        <v>343</v>
      </c>
      <c r="Q2035">
        <v>3.75</v>
      </c>
      <c r="R2035" t="s">
        <v>344</v>
      </c>
      <c r="S2035">
        <v>1</v>
      </c>
    </row>
    <row r="2036" spans="1:19" x14ac:dyDescent="0.25">
      <c r="A2036" t="s">
        <v>44</v>
      </c>
      <c r="B2036" t="s">
        <v>88</v>
      </c>
      <c r="C2036">
        <v>640</v>
      </c>
      <c r="D2036" t="s">
        <v>342</v>
      </c>
      <c r="E2036">
        <v>24.15</v>
      </c>
      <c r="F2036">
        <v>12.3</v>
      </c>
      <c r="G2036">
        <v>13.7</v>
      </c>
      <c r="H2036">
        <v>26.01</v>
      </c>
      <c r="I2036" t="s">
        <v>344</v>
      </c>
      <c r="J2036">
        <v>-25.84</v>
      </c>
      <c r="K2036">
        <v>-0.22</v>
      </c>
      <c r="L2036" t="s">
        <v>346</v>
      </c>
      <c r="M2036" s="1">
        <v>2.2000000000000001E-3</v>
      </c>
      <c r="N2036" t="s">
        <v>349</v>
      </c>
      <c r="O2036">
        <v>0.13</v>
      </c>
      <c r="P2036" t="s">
        <v>343</v>
      </c>
      <c r="Q2036">
        <v>3.41</v>
      </c>
      <c r="R2036" t="s">
        <v>344</v>
      </c>
      <c r="S2036">
        <v>1</v>
      </c>
    </row>
    <row r="2037" spans="1:19" x14ac:dyDescent="0.25">
      <c r="A2037" t="s">
        <v>44</v>
      </c>
      <c r="B2037" t="s">
        <v>89</v>
      </c>
      <c r="C2037">
        <v>660</v>
      </c>
      <c r="D2037" t="s">
        <v>342</v>
      </c>
      <c r="E2037">
        <v>24.15</v>
      </c>
      <c r="F2037">
        <v>12.46</v>
      </c>
      <c r="G2037">
        <v>13.7</v>
      </c>
      <c r="H2037">
        <v>26.16</v>
      </c>
      <c r="I2037" t="s">
        <v>344</v>
      </c>
      <c r="J2037">
        <v>-25.79</v>
      </c>
      <c r="K2037">
        <v>0.27</v>
      </c>
      <c r="L2037" t="s">
        <v>346</v>
      </c>
      <c r="M2037" s="1">
        <v>2.7000000000000001E-3</v>
      </c>
      <c r="N2037" t="s">
        <v>349</v>
      </c>
      <c r="O2037">
        <v>1.05</v>
      </c>
      <c r="P2037" t="s">
        <v>343</v>
      </c>
      <c r="Q2037">
        <v>4.22</v>
      </c>
      <c r="R2037" t="s">
        <v>343</v>
      </c>
      <c r="S2037">
        <v>1</v>
      </c>
    </row>
    <row r="2038" spans="1:19" x14ac:dyDescent="0.25">
      <c r="A2038" t="s">
        <v>44</v>
      </c>
      <c r="B2038" t="s">
        <v>90</v>
      </c>
      <c r="C2038">
        <v>680</v>
      </c>
      <c r="D2038" t="s">
        <v>342</v>
      </c>
      <c r="E2038">
        <v>24.15</v>
      </c>
      <c r="F2038">
        <v>11.94</v>
      </c>
      <c r="G2038">
        <v>14.82</v>
      </c>
      <c r="H2038">
        <v>26.77</v>
      </c>
      <c r="I2038" t="s">
        <v>344</v>
      </c>
      <c r="J2038">
        <v>-25.72</v>
      </c>
      <c r="K2038">
        <v>0.33</v>
      </c>
      <c r="L2038" t="s">
        <v>346</v>
      </c>
      <c r="M2038" s="1">
        <v>3.3E-3</v>
      </c>
      <c r="N2038" t="s">
        <v>349</v>
      </c>
      <c r="O2038">
        <v>-1.95</v>
      </c>
      <c r="P2038" t="s">
        <v>343</v>
      </c>
      <c r="Q2038">
        <v>3.54</v>
      </c>
      <c r="R2038" t="s">
        <v>344</v>
      </c>
      <c r="S2038">
        <v>1</v>
      </c>
    </row>
    <row r="2039" spans="1:19" x14ac:dyDescent="0.25">
      <c r="A2039" t="s">
        <v>44</v>
      </c>
      <c r="B2039" t="s">
        <v>91</v>
      </c>
      <c r="C2039">
        <v>700</v>
      </c>
      <c r="D2039" t="s">
        <v>342</v>
      </c>
      <c r="E2039">
        <v>24.15</v>
      </c>
      <c r="F2039">
        <v>12.76</v>
      </c>
      <c r="G2039">
        <v>14.78</v>
      </c>
      <c r="H2039">
        <v>27.54</v>
      </c>
      <c r="I2039" t="s">
        <v>344</v>
      </c>
      <c r="J2039">
        <v>-25.48</v>
      </c>
      <c r="K2039">
        <v>1.23</v>
      </c>
      <c r="L2039" t="s">
        <v>346</v>
      </c>
      <c r="M2039" s="1">
        <v>1.23E-2</v>
      </c>
      <c r="N2039" t="s">
        <v>349</v>
      </c>
      <c r="O2039">
        <v>-1.53</v>
      </c>
      <c r="P2039" t="s">
        <v>343</v>
      </c>
      <c r="Q2039">
        <v>4.29</v>
      </c>
      <c r="R2039" t="s">
        <v>343</v>
      </c>
      <c r="S2039">
        <v>1</v>
      </c>
    </row>
    <row r="2040" spans="1:19" x14ac:dyDescent="0.25">
      <c r="A2040" t="s">
        <v>44</v>
      </c>
      <c r="B2040" t="s">
        <v>92</v>
      </c>
      <c r="C2040">
        <v>720</v>
      </c>
      <c r="D2040" t="s">
        <v>342</v>
      </c>
      <c r="E2040">
        <v>24.15</v>
      </c>
      <c r="F2040">
        <v>12.95</v>
      </c>
      <c r="G2040">
        <v>14.9</v>
      </c>
      <c r="H2040">
        <v>27.85</v>
      </c>
      <c r="I2040" t="s">
        <v>344</v>
      </c>
      <c r="J2040">
        <v>-25.3</v>
      </c>
      <c r="K2040">
        <v>0.9</v>
      </c>
      <c r="L2040" t="s">
        <v>346</v>
      </c>
      <c r="M2040" s="1">
        <v>9.0000000000000011E-3</v>
      </c>
      <c r="N2040" t="s">
        <v>349</v>
      </c>
      <c r="O2040">
        <v>-2.2200000000000002</v>
      </c>
      <c r="P2040" t="s">
        <v>344</v>
      </c>
      <c r="Q2040">
        <v>3.9</v>
      </c>
      <c r="R2040" t="s">
        <v>344</v>
      </c>
      <c r="S2040">
        <v>1</v>
      </c>
    </row>
    <row r="2041" spans="1:19" x14ac:dyDescent="0.25">
      <c r="A2041" t="s">
        <v>44</v>
      </c>
      <c r="B2041" t="s">
        <v>93</v>
      </c>
      <c r="C2041">
        <v>740</v>
      </c>
      <c r="D2041" t="s">
        <v>342</v>
      </c>
      <c r="E2041">
        <v>24.15</v>
      </c>
      <c r="F2041">
        <v>14.37</v>
      </c>
      <c r="G2041">
        <v>15.55</v>
      </c>
      <c r="H2041">
        <v>29.92</v>
      </c>
      <c r="I2041" t="s">
        <v>344</v>
      </c>
      <c r="J2041">
        <v>-24.97</v>
      </c>
      <c r="K2041">
        <v>1.61</v>
      </c>
      <c r="L2041" t="s">
        <v>346</v>
      </c>
      <c r="M2041" s="1">
        <v>1.61E-2</v>
      </c>
      <c r="N2041" t="s">
        <v>349</v>
      </c>
      <c r="O2041">
        <v>-1.89</v>
      </c>
      <c r="P2041" t="s">
        <v>343</v>
      </c>
      <c r="Q2041">
        <v>3.18</v>
      </c>
      <c r="R2041" t="s">
        <v>344</v>
      </c>
      <c r="S2041">
        <v>1</v>
      </c>
    </row>
    <row r="2042" spans="1:19" x14ac:dyDescent="0.25">
      <c r="A2042" t="s">
        <v>44</v>
      </c>
      <c r="B2042" t="s">
        <v>94</v>
      </c>
      <c r="C2042">
        <v>760</v>
      </c>
      <c r="D2042" t="s">
        <v>342</v>
      </c>
      <c r="E2042">
        <v>24.15</v>
      </c>
      <c r="F2042">
        <v>15.18</v>
      </c>
      <c r="G2042">
        <v>15.49</v>
      </c>
      <c r="H2042">
        <v>30.67</v>
      </c>
      <c r="I2042" t="s">
        <v>344</v>
      </c>
      <c r="J2042">
        <v>-24.7</v>
      </c>
      <c r="K2042">
        <v>1.4</v>
      </c>
      <c r="L2042" t="s">
        <v>346</v>
      </c>
      <c r="M2042" s="1">
        <v>1.4E-2</v>
      </c>
      <c r="N2042" t="s">
        <v>349</v>
      </c>
      <c r="O2042">
        <v>-1.51</v>
      </c>
      <c r="P2042" t="s">
        <v>343</v>
      </c>
      <c r="Q2042">
        <v>2.2999999999999998</v>
      </c>
      <c r="R2042" t="s">
        <v>344</v>
      </c>
      <c r="S2042">
        <v>1</v>
      </c>
    </row>
    <row r="2043" spans="1:19" x14ac:dyDescent="0.25">
      <c r="A2043" t="s">
        <v>44</v>
      </c>
      <c r="B2043" t="s">
        <v>95</v>
      </c>
      <c r="C2043">
        <v>780</v>
      </c>
      <c r="D2043" t="s">
        <v>342</v>
      </c>
      <c r="E2043">
        <v>24.15</v>
      </c>
      <c r="F2043">
        <v>15.51</v>
      </c>
      <c r="G2043">
        <v>16.34</v>
      </c>
      <c r="H2043">
        <v>31.85</v>
      </c>
      <c r="I2043" t="s">
        <v>344</v>
      </c>
      <c r="J2043">
        <v>-24.27</v>
      </c>
      <c r="K2043">
        <v>2.13</v>
      </c>
      <c r="L2043" t="s">
        <v>346</v>
      </c>
      <c r="M2043" s="1">
        <v>2.1299999999999999E-2</v>
      </c>
      <c r="N2043" t="s">
        <v>350</v>
      </c>
      <c r="O2043">
        <v>-3.46</v>
      </c>
      <c r="P2043" t="s">
        <v>344</v>
      </c>
      <c r="Q2043">
        <v>1.89</v>
      </c>
      <c r="R2043" t="s">
        <v>343</v>
      </c>
      <c r="S2043">
        <v>1</v>
      </c>
    </row>
    <row r="2044" spans="1:19" x14ac:dyDescent="0.25">
      <c r="A2044" t="s">
        <v>44</v>
      </c>
      <c r="B2044" t="s">
        <v>96</v>
      </c>
      <c r="C2044">
        <v>800</v>
      </c>
      <c r="D2044" t="s">
        <v>342</v>
      </c>
      <c r="E2044">
        <v>24.15</v>
      </c>
      <c r="F2044">
        <v>14.48</v>
      </c>
      <c r="G2044">
        <v>17.2</v>
      </c>
      <c r="H2044">
        <v>31.69</v>
      </c>
      <c r="I2044" t="s">
        <v>344</v>
      </c>
      <c r="J2044">
        <v>-23.56</v>
      </c>
      <c r="K2044">
        <v>3.57</v>
      </c>
      <c r="L2044" t="s">
        <v>346</v>
      </c>
      <c r="M2044" s="1">
        <v>3.5700000000000003E-2</v>
      </c>
      <c r="N2044" t="s">
        <v>350</v>
      </c>
      <c r="O2044">
        <v>-1.64</v>
      </c>
      <c r="P2044" t="s">
        <v>343</v>
      </c>
      <c r="Q2044">
        <v>2.98</v>
      </c>
      <c r="R2044" t="s">
        <v>344</v>
      </c>
      <c r="S2044">
        <v>1</v>
      </c>
    </row>
    <row r="2045" spans="1:19" x14ac:dyDescent="0.25">
      <c r="A2045" t="s">
        <v>44</v>
      </c>
      <c r="B2045" t="s">
        <v>97</v>
      </c>
      <c r="C2045">
        <v>820</v>
      </c>
      <c r="D2045" t="s">
        <v>342</v>
      </c>
      <c r="E2045">
        <v>24.15</v>
      </c>
      <c r="F2045">
        <v>13.34</v>
      </c>
      <c r="G2045">
        <v>17.66</v>
      </c>
      <c r="H2045">
        <v>31.01</v>
      </c>
      <c r="I2045" t="s">
        <v>344</v>
      </c>
      <c r="J2045">
        <v>-23.19</v>
      </c>
      <c r="K2045">
        <v>1.84</v>
      </c>
      <c r="L2045" t="s">
        <v>346</v>
      </c>
      <c r="M2045" s="1">
        <v>1.84E-2</v>
      </c>
      <c r="N2045" t="s">
        <v>349</v>
      </c>
      <c r="O2045">
        <v>-1.98</v>
      </c>
      <c r="P2045" t="s">
        <v>343</v>
      </c>
      <c r="Q2045">
        <v>2.54</v>
      </c>
      <c r="R2045" t="s">
        <v>344</v>
      </c>
      <c r="S2045">
        <v>1</v>
      </c>
    </row>
    <row r="2046" spans="1:19" x14ac:dyDescent="0.25">
      <c r="A2046" t="s">
        <v>44</v>
      </c>
      <c r="B2046" t="s">
        <v>98</v>
      </c>
      <c r="C2046">
        <v>840</v>
      </c>
      <c r="D2046" t="s">
        <v>342</v>
      </c>
      <c r="E2046">
        <v>24.15</v>
      </c>
      <c r="F2046">
        <v>12.54</v>
      </c>
      <c r="G2046">
        <v>16.28</v>
      </c>
      <c r="H2046">
        <v>28.83</v>
      </c>
      <c r="I2046" t="s">
        <v>344</v>
      </c>
      <c r="J2046">
        <v>-22.9</v>
      </c>
      <c r="K2046">
        <v>1.46</v>
      </c>
      <c r="L2046" t="s">
        <v>346</v>
      </c>
      <c r="M2046" s="1">
        <v>1.46E-2</v>
      </c>
      <c r="N2046" t="s">
        <v>349</v>
      </c>
      <c r="O2046">
        <v>-1.42</v>
      </c>
      <c r="P2046" t="s">
        <v>343</v>
      </c>
      <c r="Q2046">
        <v>2.38</v>
      </c>
      <c r="R2046" t="s">
        <v>344</v>
      </c>
      <c r="S2046">
        <v>1</v>
      </c>
    </row>
    <row r="2047" spans="1:19" x14ac:dyDescent="0.25">
      <c r="A2047" t="s">
        <v>44</v>
      </c>
      <c r="B2047" t="s">
        <v>99</v>
      </c>
      <c r="C2047">
        <v>860</v>
      </c>
      <c r="D2047" t="s">
        <v>342</v>
      </c>
      <c r="E2047">
        <v>24.15</v>
      </c>
      <c r="F2047">
        <v>11.32</v>
      </c>
      <c r="G2047">
        <v>15.72</v>
      </c>
      <c r="H2047">
        <v>27.04</v>
      </c>
      <c r="I2047" t="s">
        <v>344</v>
      </c>
      <c r="J2047">
        <v>-22.8</v>
      </c>
      <c r="K2047">
        <v>0.46</v>
      </c>
      <c r="L2047" t="s">
        <v>346</v>
      </c>
      <c r="M2047" s="1">
        <v>4.5999999999999999E-3</v>
      </c>
      <c r="N2047" t="s">
        <v>349</v>
      </c>
      <c r="O2047">
        <v>-1.63</v>
      </c>
      <c r="P2047" t="s">
        <v>343</v>
      </c>
      <c r="Q2047">
        <v>1.63</v>
      </c>
      <c r="R2047" t="s">
        <v>343</v>
      </c>
      <c r="S2047">
        <v>1</v>
      </c>
    </row>
    <row r="2048" spans="1:19" x14ac:dyDescent="0.25">
      <c r="A2048" t="s">
        <v>44</v>
      </c>
      <c r="B2048" t="s">
        <v>100</v>
      </c>
      <c r="C2048">
        <v>880</v>
      </c>
      <c r="D2048" t="s">
        <v>342</v>
      </c>
      <c r="E2048">
        <v>24.15</v>
      </c>
      <c r="F2048">
        <v>12.26</v>
      </c>
      <c r="G2048">
        <v>15.88</v>
      </c>
      <c r="H2048">
        <v>28.13</v>
      </c>
      <c r="I2048" t="s">
        <v>344</v>
      </c>
      <c r="J2048">
        <v>-22.73</v>
      </c>
      <c r="K2048">
        <v>0.37</v>
      </c>
      <c r="L2048" t="s">
        <v>346</v>
      </c>
      <c r="M2048" s="1">
        <v>3.7000000000000002E-3</v>
      </c>
      <c r="N2048" t="s">
        <v>349</v>
      </c>
      <c r="O2048">
        <v>-1.69</v>
      </c>
      <c r="P2048" t="s">
        <v>343</v>
      </c>
      <c r="Q2048">
        <v>1.73</v>
      </c>
      <c r="R2048" t="s">
        <v>343</v>
      </c>
      <c r="S2048">
        <v>1</v>
      </c>
    </row>
    <row r="2049" spans="1:19" x14ac:dyDescent="0.25">
      <c r="A2049" t="s">
        <v>44</v>
      </c>
      <c r="B2049" t="s">
        <v>101</v>
      </c>
      <c r="C2049">
        <v>900</v>
      </c>
      <c r="D2049" t="s">
        <v>342</v>
      </c>
      <c r="E2049">
        <v>24.15</v>
      </c>
      <c r="F2049">
        <v>12.62</v>
      </c>
      <c r="G2049">
        <v>15.21</v>
      </c>
      <c r="H2049">
        <v>27.83</v>
      </c>
      <c r="I2049" t="s">
        <v>344</v>
      </c>
      <c r="J2049">
        <v>-22.55</v>
      </c>
      <c r="K2049">
        <v>0.91</v>
      </c>
      <c r="L2049" t="s">
        <v>346</v>
      </c>
      <c r="M2049" s="1">
        <v>9.1000000000000004E-3</v>
      </c>
      <c r="N2049" t="s">
        <v>349</v>
      </c>
      <c r="O2049">
        <v>-1.01</v>
      </c>
      <c r="P2049" t="s">
        <v>343</v>
      </c>
      <c r="Q2049">
        <v>1.34</v>
      </c>
      <c r="R2049" t="s">
        <v>343</v>
      </c>
      <c r="S2049">
        <v>1</v>
      </c>
    </row>
    <row r="2050" spans="1:19" x14ac:dyDescent="0.25">
      <c r="A2050" t="s">
        <v>44</v>
      </c>
      <c r="B2050" t="s">
        <v>102</v>
      </c>
      <c r="C2050">
        <v>920</v>
      </c>
      <c r="D2050" t="s">
        <v>342</v>
      </c>
      <c r="E2050">
        <v>24.15</v>
      </c>
      <c r="F2050">
        <v>11.78</v>
      </c>
      <c r="G2050">
        <v>15.05</v>
      </c>
      <c r="H2050">
        <v>26.83</v>
      </c>
      <c r="I2050" t="s">
        <v>344</v>
      </c>
      <c r="J2050">
        <v>-22.34</v>
      </c>
      <c r="K2050">
        <v>1.03</v>
      </c>
      <c r="L2050" t="s">
        <v>346</v>
      </c>
      <c r="M2050" s="1">
        <v>1.03E-2</v>
      </c>
      <c r="N2050" t="s">
        <v>349</v>
      </c>
      <c r="O2050">
        <v>-1.49</v>
      </c>
      <c r="P2050" t="s">
        <v>343</v>
      </c>
      <c r="Q2050">
        <v>2.63</v>
      </c>
      <c r="R2050" t="s">
        <v>344</v>
      </c>
      <c r="S2050">
        <v>1</v>
      </c>
    </row>
    <row r="2051" spans="1:19" x14ac:dyDescent="0.25">
      <c r="A2051" t="s">
        <v>44</v>
      </c>
      <c r="B2051" t="s">
        <v>103</v>
      </c>
      <c r="C2051">
        <v>940</v>
      </c>
      <c r="D2051" t="s">
        <v>342</v>
      </c>
      <c r="E2051">
        <v>24.15</v>
      </c>
      <c r="F2051">
        <v>12.9</v>
      </c>
      <c r="G2051">
        <v>15.42</v>
      </c>
      <c r="H2051">
        <v>28.32</v>
      </c>
      <c r="I2051" t="s">
        <v>344</v>
      </c>
      <c r="J2051">
        <v>-21.98</v>
      </c>
      <c r="K2051">
        <v>1.83</v>
      </c>
      <c r="L2051" t="s">
        <v>346</v>
      </c>
      <c r="M2051" s="1">
        <v>1.83E-2</v>
      </c>
      <c r="N2051" t="s">
        <v>349</v>
      </c>
      <c r="O2051">
        <v>0.32</v>
      </c>
      <c r="P2051" t="s">
        <v>343</v>
      </c>
      <c r="Q2051">
        <v>3.09</v>
      </c>
      <c r="R2051" t="s">
        <v>344</v>
      </c>
      <c r="S2051">
        <v>1</v>
      </c>
    </row>
    <row r="2052" spans="1:19" x14ac:dyDescent="0.25">
      <c r="A2052" t="s">
        <v>44</v>
      </c>
      <c r="B2052" t="s">
        <v>104</v>
      </c>
      <c r="C2052">
        <v>960</v>
      </c>
      <c r="D2052" t="s">
        <v>342</v>
      </c>
      <c r="E2052">
        <v>24.15</v>
      </c>
      <c r="F2052">
        <v>13.7</v>
      </c>
      <c r="G2052">
        <v>15.3</v>
      </c>
      <c r="H2052">
        <v>29</v>
      </c>
      <c r="I2052" t="s">
        <v>344</v>
      </c>
      <c r="J2052">
        <v>-21.76</v>
      </c>
      <c r="K2052">
        <v>1.0900000000000001</v>
      </c>
      <c r="L2052" t="s">
        <v>346</v>
      </c>
      <c r="M2052" s="1">
        <v>1.09E-2</v>
      </c>
      <c r="N2052" t="s">
        <v>349</v>
      </c>
      <c r="O2052">
        <v>-0.09</v>
      </c>
      <c r="P2052" t="s">
        <v>343</v>
      </c>
      <c r="Q2052">
        <v>2.1800000000000002</v>
      </c>
      <c r="R2052" t="s">
        <v>344</v>
      </c>
      <c r="S2052">
        <v>1</v>
      </c>
    </row>
    <row r="2053" spans="1:19" x14ac:dyDescent="0.25">
      <c r="A2053" t="s">
        <v>44</v>
      </c>
      <c r="B2053" t="s">
        <v>105</v>
      </c>
      <c r="C2053">
        <v>980</v>
      </c>
      <c r="D2053" t="s">
        <v>342</v>
      </c>
      <c r="E2053">
        <v>24.15</v>
      </c>
      <c r="F2053">
        <v>15.17</v>
      </c>
      <c r="G2053">
        <v>16.149999999999999</v>
      </c>
      <c r="H2053">
        <v>31.31</v>
      </c>
      <c r="I2053" t="s">
        <v>344</v>
      </c>
      <c r="J2053">
        <v>-21.45</v>
      </c>
      <c r="K2053">
        <v>1.54</v>
      </c>
      <c r="L2053" t="s">
        <v>346</v>
      </c>
      <c r="M2053" s="1">
        <v>1.54E-2</v>
      </c>
      <c r="N2053" t="s">
        <v>349</v>
      </c>
      <c r="O2053">
        <v>-0.64</v>
      </c>
      <c r="P2053" t="s">
        <v>343</v>
      </c>
      <c r="Q2053">
        <v>1.77</v>
      </c>
      <c r="R2053" t="s">
        <v>343</v>
      </c>
      <c r="S2053">
        <v>1</v>
      </c>
    </row>
    <row r="2054" spans="1:19" x14ac:dyDescent="0.25">
      <c r="A2054" t="s">
        <v>44</v>
      </c>
      <c r="B2054" t="s">
        <v>106</v>
      </c>
      <c r="C2054">
        <v>1000</v>
      </c>
      <c r="D2054" t="s">
        <v>342</v>
      </c>
      <c r="E2054">
        <v>24.15</v>
      </c>
      <c r="F2054">
        <v>16.07</v>
      </c>
      <c r="G2054">
        <v>16.73</v>
      </c>
      <c r="H2054">
        <v>32.81</v>
      </c>
      <c r="I2054" t="s">
        <v>344</v>
      </c>
      <c r="J2054">
        <v>-21.22</v>
      </c>
      <c r="K2054">
        <v>1.1599999999999999</v>
      </c>
      <c r="L2054" t="s">
        <v>346</v>
      </c>
      <c r="M2054" s="1">
        <v>1.1599999999999999E-2</v>
      </c>
      <c r="N2054" t="s">
        <v>349</v>
      </c>
      <c r="O2054">
        <v>-1.2</v>
      </c>
      <c r="P2054" t="s">
        <v>343</v>
      </c>
      <c r="Q2054">
        <v>1.1200000000000001</v>
      </c>
      <c r="R2054" t="s">
        <v>343</v>
      </c>
      <c r="S2054">
        <v>1</v>
      </c>
    </row>
    <row r="2055" spans="1:19" x14ac:dyDescent="0.25">
      <c r="A2055" t="s">
        <v>44</v>
      </c>
      <c r="B2055" t="s">
        <v>108</v>
      </c>
      <c r="C2055">
        <v>1020</v>
      </c>
      <c r="D2055" t="s">
        <v>342</v>
      </c>
      <c r="E2055">
        <v>24.15</v>
      </c>
      <c r="F2055">
        <v>15.57</v>
      </c>
      <c r="G2055">
        <v>16.149999999999999</v>
      </c>
      <c r="H2055">
        <v>31.71</v>
      </c>
      <c r="I2055" t="s">
        <v>344</v>
      </c>
      <c r="J2055">
        <v>-20.94</v>
      </c>
      <c r="K2055">
        <v>1.4</v>
      </c>
      <c r="L2055" t="s">
        <v>346</v>
      </c>
      <c r="M2055" s="1">
        <v>1.4E-2</v>
      </c>
      <c r="N2055" t="s">
        <v>349</v>
      </c>
      <c r="O2055">
        <v>-0.24</v>
      </c>
      <c r="P2055" t="s">
        <v>343</v>
      </c>
      <c r="Q2055">
        <v>0.71</v>
      </c>
      <c r="R2055" t="s">
        <v>343</v>
      </c>
      <c r="S2055">
        <v>1</v>
      </c>
    </row>
    <row r="2056" spans="1:19" x14ac:dyDescent="0.25">
      <c r="A2056" t="s">
        <v>44</v>
      </c>
      <c r="B2056" t="s">
        <v>109</v>
      </c>
      <c r="C2056">
        <v>1040</v>
      </c>
      <c r="D2056" t="s">
        <v>342</v>
      </c>
      <c r="E2056">
        <v>24.15</v>
      </c>
      <c r="F2056">
        <v>14.24</v>
      </c>
      <c r="G2056">
        <v>17.02</v>
      </c>
      <c r="H2056">
        <v>31.25</v>
      </c>
      <c r="I2056" t="s">
        <v>344</v>
      </c>
      <c r="J2056">
        <v>-20.67</v>
      </c>
      <c r="K2056">
        <v>1.34</v>
      </c>
      <c r="L2056" t="s">
        <v>346</v>
      </c>
      <c r="M2056" s="1">
        <v>1.34E-2</v>
      </c>
      <c r="N2056" t="s">
        <v>349</v>
      </c>
      <c r="O2056">
        <v>-0.12</v>
      </c>
      <c r="P2056" t="s">
        <v>343</v>
      </c>
      <c r="Q2056">
        <v>-0.8</v>
      </c>
      <c r="R2056" t="s">
        <v>343</v>
      </c>
      <c r="S2056">
        <v>1</v>
      </c>
    </row>
    <row r="2057" spans="1:19" x14ac:dyDescent="0.25">
      <c r="A2057" t="s">
        <v>44</v>
      </c>
      <c r="B2057" t="s">
        <v>110</v>
      </c>
      <c r="C2057">
        <v>1060</v>
      </c>
      <c r="D2057" t="s">
        <v>342</v>
      </c>
      <c r="E2057">
        <v>24.15</v>
      </c>
      <c r="F2057">
        <v>12.58</v>
      </c>
      <c r="G2057">
        <v>14.91</v>
      </c>
      <c r="H2057">
        <v>27.5</v>
      </c>
      <c r="I2057" t="s">
        <v>344</v>
      </c>
      <c r="J2057">
        <v>-20.34</v>
      </c>
      <c r="K2057">
        <v>1.68</v>
      </c>
      <c r="L2057" t="s">
        <v>346</v>
      </c>
      <c r="M2057" s="1">
        <v>1.6799999999999999E-2</v>
      </c>
      <c r="N2057" t="s">
        <v>349</v>
      </c>
      <c r="O2057">
        <v>0.15</v>
      </c>
      <c r="P2057" t="s">
        <v>343</v>
      </c>
      <c r="Q2057">
        <v>1.71</v>
      </c>
      <c r="R2057" t="s">
        <v>343</v>
      </c>
      <c r="S2057">
        <v>1</v>
      </c>
    </row>
    <row r="2058" spans="1:19" x14ac:dyDescent="0.25">
      <c r="A2058" t="s">
        <v>44</v>
      </c>
      <c r="B2058" t="s">
        <v>111</v>
      </c>
      <c r="C2058">
        <v>1080</v>
      </c>
      <c r="D2058" t="s">
        <v>342</v>
      </c>
      <c r="E2058">
        <v>24.15</v>
      </c>
      <c r="F2058">
        <v>13.19</v>
      </c>
      <c r="G2058">
        <v>14.91</v>
      </c>
      <c r="H2058">
        <v>28.1</v>
      </c>
      <c r="I2058" t="s">
        <v>344</v>
      </c>
      <c r="J2058">
        <v>-19.87</v>
      </c>
      <c r="K2058">
        <v>2.33</v>
      </c>
      <c r="L2058" t="s">
        <v>346</v>
      </c>
      <c r="M2058" s="1">
        <v>2.3300000000000001E-2</v>
      </c>
      <c r="N2058" t="s">
        <v>350</v>
      </c>
      <c r="O2058">
        <v>7.0000000000000007E-2</v>
      </c>
      <c r="P2058" t="s">
        <v>343</v>
      </c>
      <c r="Q2058">
        <v>0.69</v>
      </c>
      <c r="R2058" t="s">
        <v>343</v>
      </c>
      <c r="S2058">
        <v>1</v>
      </c>
    </row>
    <row r="2059" spans="1:19" x14ac:dyDescent="0.25">
      <c r="A2059" t="s">
        <v>44</v>
      </c>
      <c r="B2059" t="s">
        <v>112</v>
      </c>
      <c r="C2059">
        <v>1100</v>
      </c>
      <c r="D2059" t="s">
        <v>342</v>
      </c>
      <c r="E2059">
        <v>24.15</v>
      </c>
      <c r="F2059">
        <v>13.1</v>
      </c>
      <c r="G2059">
        <v>13.96</v>
      </c>
      <c r="H2059">
        <v>27.06</v>
      </c>
      <c r="I2059" t="s">
        <v>344</v>
      </c>
      <c r="J2059">
        <v>-19.21</v>
      </c>
      <c r="K2059">
        <v>3.29</v>
      </c>
      <c r="L2059" t="s">
        <v>346</v>
      </c>
      <c r="M2059" s="1">
        <v>3.2899999999999999E-2</v>
      </c>
      <c r="N2059" t="s">
        <v>350</v>
      </c>
      <c r="O2059">
        <v>0.3</v>
      </c>
      <c r="P2059" t="s">
        <v>343</v>
      </c>
      <c r="Q2059">
        <v>4.97</v>
      </c>
      <c r="R2059" t="s">
        <v>343</v>
      </c>
      <c r="S2059">
        <v>1</v>
      </c>
    </row>
    <row r="2060" spans="1:19" x14ac:dyDescent="0.25">
      <c r="A2060" t="s">
        <v>44</v>
      </c>
      <c r="B2060" t="s">
        <v>113</v>
      </c>
      <c r="C2060">
        <v>1120</v>
      </c>
      <c r="D2060" t="s">
        <v>342</v>
      </c>
      <c r="E2060">
        <v>24.15</v>
      </c>
      <c r="F2060">
        <v>14.51</v>
      </c>
      <c r="G2060">
        <v>14.95</v>
      </c>
      <c r="H2060">
        <v>29.46</v>
      </c>
      <c r="I2060" t="s">
        <v>344</v>
      </c>
      <c r="J2060">
        <v>-17.489999999999998</v>
      </c>
      <c r="K2060">
        <v>8.6199999999999992</v>
      </c>
      <c r="L2060" t="s">
        <v>347</v>
      </c>
      <c r="M2060" s="1">
        <v>8.6199999999999999E-2</v>
      </c>
      <c r="N2060" t="s">
        <v>350</v>
      </c>
      <c r="O2060">
        <v>-2.85</v>
      </c>
      <c r="P2060" t="s">
        <v>344</v>
      </c>
      <c r="Q2060">
        <v>13.39</v>
      </c>
      <c r="R2060" t="s">
        <v>343</v>
      </c>
      <c r="S2060">
        <v>1</v>
      </c>
    </row>
    <row r="2061" spans="1:19" x14ac:dyDescent="0.25">
      <c r="A2061" t="s">
        <v>44</v>
      </c>
      <c r="B2061" t="s">
        <v>114</v>
      </c>
      <c r="C2061">
        <v>1140</v>
      </c>
      <c r="D2061" t="s">
        <v>342</v>
      </c>
      <c r="E2061">
        <v>24.15</v>
      </c>
      <c r="F2061">
        <v>14.51</v>
      </c>
      <c r="G2061">
        <v>14.95</v>
      </c>
      <c r="H2061">
        <v>29.46</v>
      </c>
      <c r="I2061" t="s">
        <v>344</v>
      </c>
      <c r="J2061">
        <v>-17.03</v>
      </c>
      <c r="K2061">
        <v>2.27</v>
      </c>
      <c r="L2061" t="s">
        <v>346</v>
      </c>
      <c r="M2061" s="1">
        <v>2.2700000000000001E-2</v>
      </c>
      <c r="N2061" t="s">
        <v>350</v>
      </c>
      <c r="O2061">
        <v>-2.83</v>
      </c>
      <c r="P2061" t="s">
        <v>344</v>
      </c>
      <c r="Q2061">
        <v>13.93</v>
      </c>
      <c r="R2061" t="s">
        <v>343</v>
      </c>
      <c r="S2061">
        <v>1</v>
      </c>
    </row>
    <row r="2062" spans="1:19" x14ac:dyDescent="0.25">
      <c r="A2062" t="s">
        <v>44</v>
      </c>
      <c r="B2062" t="s">
        <v>115</v>
      </c>
      <c r="C2062">
        <v>1160</v>
      </c>
      <c r="D2062" t="s">
        <v>342</v>
      </c>
      <c r="E2062">
        <v>24.15</v>
      </c>
      <c r="F2062">
        <v>14.51</v>
      </c>
      <c r="G2062">
        <v>16.09</v>
      </c>
      <c r="H2062">
        <v>30.6</v>
      </c>
      <c r="I2062" t="s">
        <v>344</v>
      </c>
      <c r="J2062">
        <v>-17.899999999999999</v>
      </c>
      <c r="K2062">
        <v>-4.3499999999999996</v>
      </c>
      <c r="L2062" t="s">
        <v>346</v>
      </c>
      <c r="M2062" s="1">
        <v>4.3499999999999997E-2</v>
      </c>
      <c r="N2062" t="s">
        <v>350</v>
      </c>
      <c r="O2062">
        <v>-0.66</v>
      </c>
      <c r="P2062" t="s">
        <v>343</v>
      </c>
      <c r="Q2062">
        <v>4.53</v>
      </c>
      <c r="R2062" t="s">
        <v>343</v>
      </c>
      <c r="S2062">
        <v>1</v>
      </c>
    </row>
    <row r="2063" spans="1:19" x14ac:dyDescent="0.25">
      <c r="A2063" t="s">
        <v>44</v>
      </c>
      <c r="B2063" t="s">
        <v>116</v>
      </c>
      <c r="C2063">
        <v>1180</v>
      </c>
      <c r="D2063" t="s">
        <v>342</v>
      </c>
      <c r="E2063">
        <v>24.15</v>
      </c>
      <c r="F2063">
        <v>14.49</v>
      </c>
      <c r="G2063">
        <v>16.09</v>
      </c>
      <c r="H2063">
        <v>30.58</v>
      </c>
      <c r="I2063" t="s">
        <v>344</v>
      </c>
      <c r="J2063">
        <v>-18.3</v>
      </c>
      <c r="K2063">
        <v>-1.98</v>
      </c>
      <c r="L2063" t="s">
        <v>346</v>
      </c>
      <c r="M2063" s="1">
        <v>1.9800000000000002E-2</v>
      </c>
      <c r="N2063" t="s">
        <v>349</v>
      </c>
      <c r="O2063">
        <v>-1.54</v>
      </c>
      <c r="P2063" t="s">
        <v>343</v>
      </c>
      <c r="Q2063">
        <v>-5.57</v>
      </c>
      <c r="R2063" t="s">
        <v>343</v>
      </c>
      <c r="S2063">
        <v>1</v>
      </c>
    </row>
    <row r="2064" spans="1:19" x14ac:dyDescent="0.25">
      <c r="A2064" t="s">
        <v>44</v>
      </c>
      <c r="B2064" t="s">
        <v>117</v>
      </c>
      <c r="C2064">
        <v>1200</v>
      </c>
      <c r="D2064" t="s">
        <v>342</v>
      </c>
      <c r="E2064">
        <v>24.15</v>
      </c>
      <c r="F2064">
        <v>15.43</v>
      </c>
      <c r="G2064">
        <v>10.119999999999999</v>
      </c>
      <c r="H2064">
        <v>25.55</v>
      </c>
      <c r="I2064" t="s">
        <v>344</v>
      </c>
      <c r="J2064">
        <v>-18.489999999999998</v>
      </c>
      <c r="K2064">
        <v>-0.95</v>
      </c>
      <c r="L2064" t="s">
        <v>346</v>
      </c>
      <c r="M2064" s="1">
        <v>9.4999999999999998E-3</v>
      </c>
      <c r="N2064" t="s">
        <v>349</v>
      </c>
      <c r="O2064">
        <v>-1.28</v>
      </c>
      <c r="P2064" t="s">
        <v>343</v>
      </c>
      <c r="Q2064">
        <v>4.7</v>
      </c>
      <c r="R2064" t="s">
        <v>343</v>
      </c>
      <c r="S2064">
        <v>1</v>
      </c>
    </row>
    <row r="2065" spans="1:19" x14ac:dyDescent="0.25">
      <c r="A2065" t="s">
        <v>44</v>
      </c>
      <c r="B2065" t="s">
        <v>118</v>
      </c>
      <c r="C2065">
        <v>1220</v>
      </c>
      <c r="D2065" t="s">
        <v>342</v>
      </c>
      <c r="E2065">
        <v>24.15</v>
      </c>
      <c r="F2065">
        <v>17.04</v>
      </c>
      <c r="G2065">
        <v>11.06</v>
      </c>
      <c r="H2065">
        <v>28.11</v>
      </c>
      <c r="I2065" t="s">
        <v>344</v>
      </c>
      <c r="J2065">
        <v>-18.32</v>
      </c>
      <c r="K2065">
        <v>0.85</v>
      </c>
      <c r="L2065" t="s">
        <v>346</v>
      </c>
      <c r="M2065" s="1">
        <v>8.5000000000000006E-3</v>
      </c>
      <c r="N2065" t="s">
        <v>349</v>
      </c>
      <c r="O2065">
        <v>-0.42</v>
      </c>
      <c r="P2065" t="s">
        <v>343</v>
      </c>
      <c r="Q2065">
        <v>4.55</v>
      </c>
      <c r="R2065" t="s">
        <v>343</v>
      </c>
      <c r="S2065">
        <v>1</v>
      </c>
    </row>
    <row r="2066" spans="1:19" x14ac:dyDescent="0.25">
      <c r="A2066" t="s">
        <v>44</v>
      </c>
      <c r="B2066" t="s">
        <v>119</v>
      </c>
      <c r="C2066">
        <v>1240</v>
      </c>
      <c r="D2066" t="s">
        <v>342</v>
      </c>
      <c r="E2066">
        <v>24.15</v>
      </c>
      <c r="F2066">
        <v>17.329999999999998</v>
      </c>
      <c r="G2066">
        <v>11.06</v>
      </c>
      <c r="H2066">
        <v>28.39</v>
      </c>
      <c r="I2066" t="s">
        <v>344</v>
      </c>
      <c r="J2066">
        <v>-18.3</v>
      </c>
      <c r="K2066">
        <v>7.0000000000000007E-2</v>
      </c>
      <c r="L2066" t="s">
        <v>346</v>
      </c>
      <c r="M2066" s="1">
        <v>7.000000000000001E-4</v>
      </c>
      <c r="N2066" t="s">
        <v>349</v>
      </c>
      <c r="O2066">
        <v>-1</v>
      </c>
      <c r="P2066" t="s">
        <v>343</v>
      </c>
      <c r="Q2066">
        <v>2.12</v>
      </c>
      <c r="R2066" t="s">
        <v>344</v>
      </c>
      <c r="S2066">
        <v>1</v>
      </c>
    </row>
    <row r="2067" spans="1:19" x14ac:dyDescent="0.25">
      <c r="A2067" t="s">
        <v>44</v>
      </c>
      <c r="B2067" t="s">
        <v>120</v>
      </c>
      <c r="C2067">
        <v>1260</v>
      </c>
      <c r="D2067" t="s">
        <v>342</v>
      </c>
      <c r="E2067">
        <v>24.15</v>
      </c>
      <c r="F2067">
        <v>17.11</v>
      </c>
      <c r="G2067">
        <v>11.42</v>
      </c>
      <c r="H2067">
        <v>28.53</v>
      </c>
      <c r="I2067" t="s">
        <v>344</v>
      </c>
      <c r="J2067">
        <v>-18.04</v>
      </c>
      <c r="K2067">
        <v>1.34</v>
      </c>
      <c r="L2067" t="s">
        <v>346</v>
      </c>
      <c r="M2067" s="1">
        <v>1.34E-2</v>
      </c>
      <c r="N2067" t="s">
        <v>349</v>
      </c>
      <c r="O2067">
        <v>-0.62</v>
      </c>
      <c r="P2067" t="s">
        <v>343</v>
      </c>
      <c r="Q2067">
        <v>1.6</v>
      </c>
      <c r="R2067" t="s">
        <v>343</v>
      </c>
      <c r="S2067">
        <v>1</v>
      </c>
    </row>
    <row r="2068" spans="1:19" x14ac:dyDescent="0.25">
      <c r="A2068" t="s">
        <v>44</v>
      </c>
      <c r="B2068" t="s">
        <v>121</v>
      </c>
      <c r="C2068">
        <v>1280</v>
      </c>
      <c r="D2068" t="s">
        <v>342</v>
      </c>
      <c r="E2068">
        <v>24.15</v>
      </c>
      <c r="F2068">
        <v>17.03</v>
      </c>
      <c r="G2068">
        <v>10.77</v>
      </c>
      <c r="H2068">
        <v>27.79</v>
      </c>
      <c r="I2068" t="s">
        <v>344</v>
      </c>
      <c r="J2068">
        <v>-17.66</v>
      </c>
      <c r="K2068">
        <v>1.89</v>
      </c>
      <c r="L2068" t="s">
        <v>346</v>
      </c>
      <c r="M2068" s="1">
        <v>1.89E-2</v>
      </c>
      <c r="N2068" t="s">
        <v>349</v>
      </c>
      <c r="O2068">
        <v>-0.26</v>
      </c>
      <c r="P2068" t="s">
        <v>343</v>
      </c>
      <c r="Q2068">
        <v>3.37</v>
      </c>
      <c r="R2068" t="s">
        <v>344</v>
      </c>
      <c r="S2068">
        <v>1</v>
      </c>
    </row>
    <row r="2069" spans="1:19" x14ac:dyDescent="0.25">
      <c r="A2069" t="s">
        <v>44</v>
      </c>
      <c r="B2069" t="s">
        <v>123</v>
      </c>
      <c r="C2069">
        <v>1300</v>
      </c>
      <c r="D2069" t="s">
        <v>342</v>
      </c>
      <c r="E2069">
        <v>24.15</v>
      </c>
      <c r="F2069">
        <v>15.7</v>
      </c>
      <c r="G2069">
        <v>10.55</v>
      </c>
      <c r="H2069">
        <v>26.25</v>
      </c>
      <c r="I2069" t="s">
        <v>344</v>
      </c>
      <c r="J2069">
        <v>-17.22</v>
      </c>
      <c r="K2069">
        <v>2.21</v>
      </c>
      <c r="L2069" t="s">
        <v>346</v>
      </c>
      <c r="M2069" s="1">
        <v>2.2100000000000002E-2</v>
      </c>
      <c r="N2069" t="s">
        <v>350</v>
      </c>
      <c r="O2069">
        <v>-0.79</v>
      </c>
      <c r="P2069" t="s">
        <v>343</v>
      </c>
      <c r="Q2069">
        <v>3.32</v>
      </c>
      <c r="R2069" t="s">
        <v>344</v>
      </c>
      <c r="S2069">
        <v>1</v>
      </c>
    </row>
    <row r="2070" spans="1:19" x14ac:dyDescent="0.25">
      <c r="A2070" t="s">
        <v>44</v>
      </c>
      <c r="B2070" t="s">
        <v>124</v>
      </c>
      <c r="C2070">
        <v>1320</v>
      </c>
      <c r="D2070" t="s">
        <v>342</v>
      </c>
      <c r="E2070">
        <v>24.15</v>
      </c>
      <c r="F2070">
        <v>14.15</v>
      </c>
      <c r="G2070">
        <v>11.43</v>
      </c>
      <c r="H2070">
        <v>25.58</v>
      </c>
      <c r="I2070" t="s">
        <v>344</v>
      </c>
      <c r="J2070">
        <v>-16.739999999999998</v>
      </c>
      <c r="K2070">
        <v>2.36</v>
      </c>
      <c r="L2070" t="s">
        <v>346</v>
      </c>
      <c r="M2070" s="1">
        <v>2.3599999999999999E-2</v>
      </c>
      <c r="N2070" t="s">
        <v>350</v>
      </c>
      <c r="O2070">
        <v>-1.33</v>
      </c>
      <c r="P2070" t="s">
        <v>343</v>
      </c>
      <c r="Q2070">
        <v>4.18</v>
      </c>
      <c r="R2070" t="s">
        <v>343</v>
      </c>
      <c r="S2070">
        <v>1</v>
      </c>
    </row>
    <row r="2071" spans="1:19" x14ac:dyDescent="0.25">
      <c r="A2071" t="s">
        <v>44</v>
      </c>
      <c r="B2071" t="s">
        <v>125</v>
      </c>
      <c r="C2071">
        <v>1340</v>
      </c>
      <c r="D2071" t="s">
        <v>342</v>
      </c>
      <c r="E2071">
        <v>24.15</v>
      </c>
      <c r="F2071">
        <v>14.15</v>
      </c>
      <c r="G2071">
        <v>16.34</v>
      </c>
      <c r="H2071">
        <v>30.49</v>
      </c>
      <c r="I2071" t="s">
        <v>344</v>
      </c>
      <c r="J2071">
        <v>-16.38</v>
      </c>
      <c r="K2071">
        <v>1.8</v>
      </c>
      <c r="L2071" t="s">
        <v>346</v>
      </c>
      <c r="M2071" s="1">
        <v>1.7999999999999999E-2</v>
      </c>
      <c r="N2071" t="s">
        <v>349</v>
      </c>
      <c r="O2071">
        <v>-0.77</v>
      </c>
      <c r="P2071" t="s">
        <v>343</v>
      </c>
      <c r="Q2071">
        <v>2.2200000000000002</v>
      </c>
      <c r="R2071" t="s">
        <v>344</v>
      </c>
      <c r="S2071">
        <v>1</v>
      </c>
    </row>
    <row r="2072" spans="1:19" x14ac:dyDescent="0.25">
      <c r="A2072" t="s">
        <v>44</v>
      </c>
      <c r="B2072" t="s">
        <v>126</v>
      </c>
      <c r="C2072">
        <v>1360</v>
      </c>
      <c r="D2072" t="s">
        <v>342</v>
      </c>
      <c r="E2072">
        <v>24.15</v>
      </c>
      <c r="F2072">
        <v>14.1</v>
      </c>
      <c r="G2072">
        <v>16.34</v>
      </c>
      <c r="H2072">
        <v>30.44</v>
      </c>
      <c r="I2072" t="s">
        <v>344</v>
      </c>
      <c r="J2072">
        <v>-16.2</v>
      </c>
      <c r="K2072">
        <v>0.93</v>
      </c>
      <c r="L2072" t="s">
        <v>346</v>
      </c>
      <c r="M2072" s="1">
        <v>9.300000000000001E-3</v>
      </c>
      <c r="N2072" t="s">
        <v>349</v>
      </c>
      <c r="O2072">
        <v>-1.23</v>
      </c>
      <c r="P2072" t="s">
        <v>343</v>
      </c>
      <c r="Q2072">
        <v>0.99</v>
      </c>
      <c r="R2072" t="s">
        <v>343</v>
      </c>
      <c r="S2072">
        <v>1</v>
      </c>
    </row>
    <row r="2073" spans="1:19" x14ac:dyDescent="0.25">
      <c r="A2073" t="s">
        <v>44</v>
      </c>
      <c r="B2073" t="s">
        <v>127</v>
      </c>
      <c r="C2073">
        <v>1380</v>
      </c>
      <c r="D2073" t="s">
        <v>342</v>
      </c>
      <c r="E2073">
        <v>24.15</v>
      </c>
      <c r="F2073">
        <v>14.93</v>
      </c>
      <c r="G2073">
        <v>16.350000000000001</v>
      </c>
      <c r="H2073">
        <v>31.28</v>
      </c>
      <c r="I2073" t="s">
        <v>344</v>
      </c>
      <c r="J2073">
        <v>-15.94</v>
      </c>
      <c r="K2073">
        <v>1.3</v>
      </c>
      <c r="L2073" t="s">
        <v>346</v>
      </c>
      <c r="M2073" s="1">
        <v>1.2999999999999999E-2</v>
      </c>
      <c r="N2073" t="s">
        <v>349</v>
      </c>
      <c r="O2073">
        <v>-1.8</v>
      </c>
      <c r="P2073" t="s">
        <v>343</v>
      </c>
      <c r="Q2073">
        <v>0.68</v>
      </c>
      <c r="R2073" t="s">
        <v>343</v>
      </c>
      <c r="S2073">
        <v>1</v>
      </c>
    </row>
    <row r="2074" spans="1:19" x14ac:dyDescent="0.25">
      <c r="A2074" t="s">
        <v>44</v>
      </c>
      <c r="B2074" t="s">
        <v>326</v>
      </c>
      <c r="C2074">
        <v>1398.212</v>
      </c>
      <c r="D2074" t="s">
        <v>342</v>
      </c>
      <c r="E2074">
        <v>24.15</v>
      </c>
      <c r="F2074">
        <v>14.63</v>
      </c>
      <c r="G2074">
        <v>15.83</v>
      </c>
      <c r="H2074">
        <v>30.45</v>
      </c>
      <c r="I2074" t="s">
        <v>344</v>
      </c>
      <c r="J2074">
        <v>-15.63</v>
      </c>
      <c r="K2074">
        <v>1.7</v>
      </c>
      <c r="L2074" t="s">
        <v>346</v>
      </c>
      <c r="M2074" s="1">
        <v>1.7000000000000001E-2</v>
      </c>
      <c r="N2074" t="s">
        <v>349</v>
      </c>
      <c r="O2074">
        <v>-2.11</v>
      </c>
      <c r="P2074" t="s">
        <v>344</v>
      </c>
      <c r="Q2074">
        <v>3.47</v>
      </c>
      <c r="R2074" t="s">
        <v>344</v>
      </c>
      <c r="S2074">
        <v>0</v>
      </c>
    </row>
    <row r="2075" spans="1:19" x14ac:dyDescent="0.25">
      <c r="A2075" t="s">
        <v>45</v>
      </c>
      <c r="B2075" t="s">
        <v>56</v>
      </c>
      <c r="C2075">
        <v>0</v>
      </c>
      <c r="D2075" t="s">
        <v>342</v>
      </c>
      <c r="E2075">
        <v>24.15</v>
      </c>
      <c r="F2075">
        <v>13.57</v>
      </c>
      <c r="G2075">
        <v>16.350000000000001</v>
      </c>
      <c r="H2075">
        <v>29.91</v>
      </c>
      <c r="I2075" t="s">
        <v>344</v>
      </c>
      <c r="J2075">
        <v>69.959999999999994</v>
      </c>
      <c r="L2075" t="s">
        <v>345</v>
      </c>
      <c r="N2075" t="s">
        <v>345</v>
      </c>
      <c r="O2075">
        <v>3.03</v>
      </c>
      <c r="P2075" t="s">
        <v>344</v>
      </c>
      <c r="Q2075">
        <v>1.46</v>
      </c>
      <c r="R2075" t="s">
        <v>343</v>
      </c>
      <c r="S2075">
        <v>1</v>
      </c>
    </row>
    <row r="2076" spans="1:19" x14ac:dyDescent="0.25">
      <c r="A2076" t="s">
        <v>45</v>
      </c>
      <c r="B2076" t="s">
        <v>57</v>
      </c>
      <c r="C2076">
        <v>20</v>
      </c>
      <c r="D2076" t="s">
        <v>342</v>
      </c>
      <c r="E2076">
        <v>24.15</v>
      </c>
      <c r="F2076">
        <v>13.81</v>
      </c>
      <c r="G2076">
        <v>17.149999999999999</v>
      </c>
      <c r="H2076">
        <v>30.97</v>
      </c>
      <c r="I2076" t="s">
        <v>344</v>
      </c>
      <c r="J2076">
        <v>69.150000000000006</v>
      </c>
      <c r="K2076">
        <v>-4.03</v>
      </c>
      <c r="L2076" t="s">
        <v>346</v>
      </c>
      <c r="M2076" s="1">
        <v>4.0300000000000002E-2</v>
      </c>
      <c r="N2076" t="s">
        <v>350</v>
      </c>
      <c r="O2076">
        <v>1.72</v>
      </c>
      <c r="P2076" t="s">
        <v>343</v>
      </c>
      <c r="Q2076">
        <v>1.26</v>
      </c>
      <c r="R2076" t="s">
        <v>343</v>
      </c>
      <c r="S2076">
        <v>1</v>
      </c>
    </row>
    <row r="2077" spans="1:19" x14ac:dyDescent="0.25">
      <c r="A2077" t="s">
        <v>45</v>
      </c>
      <c r="B2077" t="s">
        <v>58</v>
      </c>
      <c r="C2077">
        <v>40</v>
      </c>
      <c r="D2077" t="s">
        <v>342</v>
      </c>
      <c r="E2077">
        <v>24.15</v>
      </c>
      <c r="F2077">
        <v>14.69</v>
      </c>
      <c r="G2077">
        <v>16.350000000000001</v>
      </c>
      <c r="H2077">
        <v>31.04</v>
      </c>
      <c r="I2077" t="s">
        <v>344</v>
      </c>
      <c r="J2077">
        <v>68.34</v>
      </c>
      <c r="K2077">
        <v>-4.07</v>
      </c>
      <c r="L2077" t="s">
        <v>346</v>
      </c>
      <c r="M2077" s="1">
        <v>4.07E-2</v>
      </c>
      <c r="N2077" t="s">
        <v>350</v>
      </c>
      <c r="O2077">
        <v>1.05</v>
      </c>
      <c r="P2077" t="s">
        <v>343</v>
      </c>
      <c r="Q2077">
        <v>1.54</v>
      </c>
      <c r="R2077" t="s">
        <v>343</v>
      </c>
      <c r="S2077">
        <v>1</v>
      </c>
    </row>
    <row r="2078" spans="1:19" x14ac:dyDescent="0.25">
      <c r="A2078" t="s">
        <v>45</v>
      </c>
      <c r="B2078" t="s">
        <v>59</v>
      </c>
      <c r="C2078">
        <v>60</v>
      </c>
      <c r="D2078" t="s">
        <v>342</v>
      </c>
      <c r="E2078">
        <v>24.15</v>
      </c>
      <c r="F2078">
        <v>17.23</v>
      </c>
      <c r="G2078">
        <v>15.62</v>
      </c>
      <c r="H2078">
        <v>32.85</v>
      </c>
      <c r="I2078" t="s">
        <v>344</v>
      </c>
      <c r="J2078">
        <v>67.540000000000006</v>
      </c>
      <c r="K2078">
        <v>-3.98</v>
      </c>
      <c r="L2078" t="s">
        <v>346</v>
      </c>
      <c r="M2078" s="1">
        <v>3.9800000000000002E-2</v>
      </c>
      <c r="N2078" t="s">
        <v>350</v>
      </c>
      <c r="O2078">
        <v>-0.09</v>
      </c>
      <c r="P2078" t="s">
        <v>343</v>
      </c>
      <c r="Q2078">
        <v>0.67</v>
      </c>
      <c r="R2078" t="s">
        <v>343</v>
      </c>
      <c r="S2078">
        <v>1</v>
      </c>
    </row>
    <row r="2079" spans="1:19" x14ac:dyDescent="0.25">
      <c r="A2079" t="s">
        <v>45</v>
      </c>
      <c r="B2079" t="s">
        <v>60</v>
      </c>
      <c r="C2079">
        <v>80</v>
      </c>
      <c r="D2079" t="s">
        <v>342</v>
      </c>
      <c r="E2079">
        <v>24.15</v>
      </c>
      <c r="F2079">
        <v>17.23</v>
      </c>
      <c r="G2079">
        <v>14.34</v>
      </c>
      <c r="H2079">
        <v>31.57</v>
      </c>
      <c r="I2079" t="s">
        <v>344</v>
      </c>
      <c r="J2079">
        <v>67.13</v>
      </c>
      <c r="K2079">
        <v>-2.0499999999999998</v>
      </c>
      <c r="L2079" t="s">
        <v>346</v>
      </c>
      <c r="M2079" s="1">
        <v>2.0500000000000001E-2</v>
      </c>
      <c r="N2079" t="s">
        <v>350</v>
      </c>
      <c r="O2079">
        <v>-0.03</v>
      </c>
      <c r="P2079" t="s">
        <v>343</v>
      </c>
      <c r="Q2079">
        <v>2.77</v>
      </c>
      <c r="R2079" t="s">
        <v>344</v>
      </c>
      <c r="S2079">
        <v>1</v>
      </c>
    </row>
    <row r="2080" spans="1:19" x14ac:dyDescent="0.25">
      <c r="A2080" t="s">
        <v>45</v>
      </c>
      <c r="B2080" t="s">
        <v>61</v>
      </c>
      <c r="C2080">
        <v>100</v>
      </c>
      <c r="D2080" t="s">
        <v>342</v>
      </c>
      <c r="E2080">
        <v>24.15</v>
      </c>
      <c r="F2080">
        <v>18.09</v>
      </c>
      <c r="G2080">
        <v>14.34</v>
      </c>
      <c r="H2080">
        <v>32.43</v>
      </c>
      <c r="I2080" t="s">
        <v>344</v>
      </c>
      <c r="J2080">
        <v>66.75</v>
      </c>
      <c r="K2080">
        <v>-1.91</v>
      </c>
      <c r="L2080" t="s">
        <v>346</v>
      </c>
      <c r="M2080" s="1">
        <v>1.9099999999999999E-2</v>
      </c>
      <c r="N2080" t="s">
        <v>349</v>
      </c>
      <c r="O2080">
        <v>-1.23</v>
      </c>
      <c r="P2080" t="s">
        <v>343</v>
      </c>
      <c r="Q2080">
        <v>3.75</v>
      </c>
      <c r="R2080" t="s">
        <v>344</v>
      </c>
      <c r="S2080">
        <v>1</v>
      </c>
    </row>
    <row r="2081" spans="1:19" x14ac:dyDescent="0.25">
      <c r="A2081" t="s">
        <v>45</v>
      </c>
      <c r="B2081" t="s">
        <v>62</v>
      </c>
      <c r="C2081">
        <v>120</v>
      </c>
      <c r="D2081" t="s">
        <v>342</v>
      </c>
      <c r="E2081">
        <v>24.15</v>
      </c>
      <c r="F2081">
        <v>18.09</v>
      </c>
      <c r="G2081">
        <v>12.53</v>
      </c>
      <c r="H2081">
        <v>30.62</v>
      </c>
      <c r="I2081" t="s">
        <v>344</v>
      </c>
      <c r="J2081">
        <v>66.260000000000005</v>
      </c>
      <c r="K2081">
        <v>-2.46</v>
      </c>
      <c r="L2081" t="s">
        <v>346</v>
      </c>
      <c r="M2081" s="1">
        <v>2.46E-2</v>
      </c>
      <c r="N2081" t="s">
        <v>350</v>
      </c>
      <c r="O2081">
        <v>-2.71</v>
      </c>
      <c r="P2081" t="s">
        <v>344</v>
      </c>
      <c r="Q2081">
        <v>4.97</v>
      </c>
      <c r="R2081" t="s">
        <v>343</v>
      </c>
      <c r="S2081">
        <v>1</v>
      </c>
    </row>
    <row r="2082" spans="1:19" x14ac:dyDescent="0.25">
      <c r="A2082" t="s">
        <v>45</v>
      </c>
      <c r="B2082" t="s">
        <v>63</v>
      </c>
      <c r="C2082">
        <v>140</v>
      </c>
      <c r="D2082" t="s">
        <v>342</v>
      </c>
      <c r="E2082">
        <v>24.15</v>
      </c>
      <c r="F2082">
        <v>17.52</v>
      </c>
      <c r="G2082">
        <v>12.78</v>
      </c>
      <c r="H2082">
        <v>30.3</v>
      </c>
      <c r="I2082" t="s">
        <v>344</v>
      </c>
      <c r="J2082">
        <v>65.84</v>
      </c>
      <c r="K2082">
        <v>-2.08</v>
      </c>
      <c r="L2082" t="s">
        <v>346</v>
      </c>
      <c r="M2082" s="1">
        <v>2.0799999999999999E-2</v>
      </c>
      <c r="N2082" t="s">
        <v>350</v>
      </c>
      <c r="O2082">
        <v>-3</v>
      </c>
      <c r="P2082" t="s">
        <v>344</v>
      </c>
      <c r="Q2082">
        <v>5.51</v>
      </c>
      <c r="R2082" t="s">
        <v>343</v>
      </c>
      <c r="S2082">
        <v>1</v>
      </c>
    </row>
    <row r="2083" spans="1:19" x14ac:dyDescent="0.25">
      <c r="A2083" t="s">
        <v>45</v>
      </c>
      <c r="B2083" t="s">
        <v>64</v>
      </c>
      <c r="C2083">
        <v>160</v>
      </c>
      <c r="D2083" t="s">
        <v>342</v>
      </c>
      <c r="E2083">
        <v>24.15</v>
      </c>
      <c r="F2083">
        <v>16.43</v>
      </c>
      <c r="G2083">
        <v>12.78</v>
      </c>
      <c r="H2083">
        <v>29.21</v>
      </c>
      <c r="I2083" t="s">
        <v>344</v>
      </c>
      <c r="J2083">
        <v>65.540000000000006</v>
      </c>
      <c r="K2083">
        <v>-1.5</v>
      </c>
      <c r="L2083" t="s">
        <v>346</v>
      </c>
      <c r="M2083" s="1">
        <v>1.4999999999999999E-2</v>
      </c>
      <c r="N2083" t="s">
        <v>349</v>
      </c>
      <c r="O2083">
        <v>-2.77</v>
      </c>
      <c r="P2083" t="s">
        <v>344</v>
      </c>
      <c r="Q2083">
        <v>4.05</v>
      </c>
      <c r="R2083" t="s">
        <v>343</v>
      </c>
      <c r="S2083">
        <v>1</v>
      </c>
    </row>
    <row r="2084" spans="1:19" x14ac:dyDescent="0.25">
      <c r="A2084" t="s">
        <v>45</v>
      </c>
      <c r="B2084" t="s">
        <v>65</v>
      </c>
      <c r="C2084">
        <v>180</v>
      </c>
      <c r="D2084" t="s">
        <v>342</v>
      </c>
      <c r="E2084">
        <v>24.15</v>
      </c>
      <c r="F2084">
        <v>16.07</v>
      </c>
      <c r="G2084">
        <v>13.21</v>
      </c>
      <c r="H2084">
        <v>29.29</v>
      </c>
      <c r="I2084" t="s">
        <v>344</v>
      </c>
      <c r="J2084">
        <v>65.239999999999995</v>
      </c>
      <c r="K2084">
        <v>-1.49</v>
      </c>
      <c r="L2084" t="s">
        <v>346</v>
      </c>
      <c r="M2084" s="1">
        <v>1.49E-2</v>
      </c>
      <c r="N2084" t="s">
        <v>349</v>
      </c>
      <c r="O2084">
        <v>-2.5099999999999998</v>
      </c>
      <c r="P2084" t="s">
        <v>344</v>
      </c>
      <c r="Q2084">
        <v>3.46</v>
      </c>
      <c r="R2084" t="s">
        <v>344</v>
      </c>
      <c r="S2084">
        <v>1</v>
      </c>
    </row>
    <row r="2085" spans="1:19" x14ac:dyDescent="0.25">
      <c r="A2085" t="s">
        <v>45</v>
      </c>
      <c r="B2085" t="s">
        <v>66</v>
      </c>
      <c r="C2085">
        <v>200</v>
      </c>
      <c r="D2085" t="s">
        <v>342</v>
      </c>
      <c r="E2085">
        <v>24.15</v>
      </c>
      <c r="F2085">
        <v>15.67</v>
      </c>
      <c r="G2085">
        <v>13.84</v>
      </c>
      <c r="H2085">
        <v>29.51</v>
      </c>
      <c r="I2085" t="s">
        <v>344</v>
      </c>
      <c r="J2085">
        <v>65.180000000000007</v>
      </c>
      <c r="K2085">
        <v>-0.3</v>
      </c>
      <c r="L2085" t="s">
        <v>346</v>
      </c>
      <c r="M2085" s="1">
        <v>3.0000000000000001E-3</v>
      </c>
      <c r="N2085" t="s">
        <v>349</v>
      </c>
      <c r="O2085">
        <v>-1.25</v>
      </c>
      <c r="P2085" t="s">
        <v>343</v>
      </c>
      <c r="Q2085">
        <v>2.19</v>
      </c>
      <c r="R2085" t="s">
        <v>344</v>
      </c>
      <c r="S2085">
        <v>1</v>
      </c>
    </row>
    <row r="2086" spans="1:19" x14ac:dyDescent="0.25">
      <c r="A2086" t="s">
        <v>45</v>
      </c>
      <c r="B2086" t="s">
        <v>67</v>
      </c>
      <c r="C2086">
        <v>220</v>
      </c>
      <c r="D2086" t="s">
        <v>342</v>
      </c>
      <c r="E2086">
        <v>24.15</v>
      </c>
      <c r="F2086">
        <v>15.7</v>
      </c>
      <c r="G2086">
        <v>12.67</v>
      </c>
      <c r="H2086">
        <v>28.37</v>
      </c>
      <c r="I2086" t="s">
        <v>344</v>
      </c>
      <c r="J2086">
        <v>65.3</v>
      </c>
      <c r="K2086">
        <v>0.59</v>
      </c>
      <c r="L2086" t="s">
        <v>346</v>
      </c>
      <c r="M2086" s="1">
        <v>5.8999999999999999E-3</v>
      </c>
      <c r="N2086" t="s">
        <v>349</v>
      </c>
      <c r="O2086">
        <v>-1.1399999999999999</v>
      </c>
      <c r="P2086" t="s">
        <v>343</v>
      </c>
      <c r="Q2086">
        <v>4.46</v>
      </c>
      <c r="R2086" t="s">
        <v>343</v>
      </c>
      <c r="S2086">
        <v>1</v>
      </c>
    </row>
    <row r="2087" spans="1:19" x14ac:dyDescent="0.25">
      <c r="A2087" t="s">
        <v>45</v>
      </c>
      <c r="B2087" t="s">
        <v>68</v>
      </c>
      <c r="C2087">
        <v>240</v>
      </c>
      <c r="D2087" t="s">
        <v>342</v>
      </c>
      <c r="E2087">
        <v>24.15</v>
      </c>
      <c r="F2087">
        <v>15.67</v>
      </c>
      <c r="G2087">
        <v>12.06</v>
      </c>
      <c r="H2087">
        <v>27.74</v>
      </c>
      <c r="I2087" t="s">
        <v>344</v>
      </c>
      <c r="J2087">
        <v>66.8</v>
      </c>
      <c r="K2087">
        <v>7.46</v>
      </c>
      <c r="L2087" t="s">
        <v>346</v>
      </c>
      <c r="M2087" s="1">
        <v>7.46E-2</v>
      </c>
      <c r="N2087" t="s">
        <v>350</v>
      </c>
      <c r="O2087">
        <v>-2.87</v>
      </c>
      <c r="P2087" t="s">
        <v>344</v>
      </c>
      <c r="Q2087">
        <v>2.36</v>
      </c>
      <c r="R2087" t="s">
        <v>344</v>
      </c>
      <c r="S2087">
        <v>1</v>
      </c>
    </row>
    <row r="2088" spans="1:19" x14ac:dyDescent="0.25">
      <c r="A2088" t="s">
        <v>45</v>
      </c>
      <c r="B2088" t="s">
        <v>327</v>
      </c>
      <c r="C2088">
        <v>251.56700000000001</v>
      </c>
      <c r="D2088" t="s">
        <v>342</v>
      </c>
      <c r="E2088">
        <v>24.15</v>
      </c>
      <c r="F2088">
        <v>15.7</v>
      </c>
      <c r="G2088">
        <v>13.52</v>
      </c>
      <c r="H2088">
        <v>29.21</v>
      </c>
      <c r="I2088" t="s">
        <v>344</v>
      </c>
      <c r="J2088">
        <v>65.42</v>
      </c>
      <c r="K2088">
        <v>-11.91</v>
      </c>
      <c r="L2088" t="s">
        <v>348</v>
      </c>
      <c r="M2088" s="1">
        <v>0.1191</v>
      </c>
      <c r="N2088" t="s">
        <v>350</v>
      </c>
      <c r="O2088">
        <v>-6.75</v>
      </c>
      <c r="P2088" t="s">
        <v>343</v>
      </c>
      <c r="Q2088">
        <v>4.93</v>
      </c>
      <c r="R2088" t="s">
        <v>343</v>
      </c>
      <c r="S2088">
        <v>0</v>
      </c>
    </row>
    <row r="2089" spans="1:19" x14ac:dyDescent="0.25">
      <c r="A2089" t="s">
        <v>46</v>
      </c>
      <c r="B2089" t="s">
        <v>56</v>
      </c>
      <c r="C2089">
        <v>0</v>
      </c>
      <c r="D2089" t="s">
        <v>342</v>
      </c>
      <c r="E2089">
        <v>24.15</v>
      </c>
      <c r="F2089">
        <v>18.36</v>
      </c>
      <c r="G2089">
        <v>15.58</v>
      </c>
      <c r="H2089">
        <v>33.93</v>
      </c>
      <c r="I2089" t="s">
        <v>344</v>
      </c>
      <c r="J2089">
        <v>114.58</v>
      </c>
      <c r="L2089" t="s">
        <v>345</v>
      </c>
      <c r="N2089" t="s">
        <v>345</v>
      </c>
      <c r="O2089">
        <v>1.92</v>
      </c>
      <c r="P2089" t="s">
        <v>343</v>
      </c>
      <c r="Q2089">
        <v>-1.63</v>
      </c>
      <c r="R2089" t="s">
        <v>343</v>
      </c>
      <c r="S2089">
        <v>1</v>
      </c>
    </row>
    <row r="2090" spans="1:19" x14ac:dyDescent="0.25">
      <c r="A2090" t="s">
        <v>46</v>
      </c>
      <c r="B2090" t="s">
        <v>57</v>
      </c>
      <c r="C2090">
        <v>20</v>
      </c>
      <c r="D2090" t="s">
        <v>342</v>
      </c>
      <c r="E2090">
        <v>24.15</v>
      </c>
      <c r="F2090">
        <v>18.36</v>
      </c>
      <c r="G2090">
        <v>17.07</v>
      </c>
      <c r="H2090">
        <v>35.42</v>
      </c>
      <c r="I2090" t="s">
        <v>344</v>
      </c>
      <c r="J2090">
        <v>114.73</v>
      </c>
      <c r="K2090">
        <v>0.72</v>
      </c>
      <c r="L2090" t="s">
        <v>346</v>
      </c>
      <c r="M2090" s="1">
        <v>7.1999999999999998E-3</v>
      </c>
      <c r="N2090" t="s">
        <v>349</v>
      </c>
      <c r="O2090">
        <v>1.85</v>
      </c>
      <c r="P2090" t="s">
        <v>343</v>
      </c>
      <c r="Q2090">
        <v>-1.33</v>
      </c>
      <c r="R2090" t="s">
        <v>343</v>
      </c>
      <c r="S2090">
        <v>1</v>
      </c>
    </row>
    <row r="2091" spans="1:19" x14ac:dyDescent="0.25">
      <c r="A2091" t="s">
        <v>46</v>
      </c>
      <c r="B2091" t="s">
        <v>58</v>
      </c>
      <c r="C2091">
        <v>40</v>
      </c>
      <c r="D2091" t="s">
        <v>342</v>
      </c>
      <c r="E2091">
        <v>24.15</v>
      </c>
      <c r="F2091">
        <v>18.36</v>
      </c>
      <c r="G2091">
        <v>15.96</v>
      </c>
      <c r="H2091">
        <v>34.32</v>
      </c>
      <c r="I2091" t="s">
        <v>344</v>
      </c>
      <c r="J2091">
        <v>116.31</v>
      </c>
      <c r="K2091">
        <v>7.91</v>
      </c>
      <c r="L2091" t="s">
        <v>346</v>
      </c>
      <c r="M2091" s="1">
        <v>7.9100000000000004E-2</v>
      </c>
      <c r="N2091" t="s">
        <v>350</v>
      </c>
      <c r="O2091">
        <v>2.17</v>
      </c>
      <c r="P2091" t="s">
        <v>344</v>
      </c>
      <c r="Q2091">
        <v>-1.69</v>
      </c>
      <c r="R2091" t="s">
        <v>343</v>
      </c>
      <c r="S2091">
        <v>1</v>
      </c>
    </row>
    <row r="2092" spans="1:19" x14ac:dyDescent="0.25">
      <c r="A2092" t="s">
        <v>46</v>
      </c>
      <c r="B2092" t="s">
        <v>59</v>
      </c>
      <c r="C2092">
        <v>60</v>
      </c>
      <c r="D2092" t="s">
        <v>342</v>
      </c>
      <c r="E2092">
        <v>24.15</v>
      </c>
      <c r="F2092">
        <v>16.82</v>
      </c>
      <c r="G2092">
        <v>14.04</v>
      </c>
      <c r="H2092">
        <v>30.86</v>
      </c>
      <c r="I2092" t="s">
        <v>344</v>
      </c>
      <c r="J2092">
        <v>114.54</v>
      </c>
      <c r="K2092">
        <v>-8.83</v>
      </c>
      <c r="L2092" t="s">
        <v>347</v>
      </c>
      <c r="M2092" s="1">
        <v>8.8300000000000003E-2</v>
      </c>
      <c r="N2092" t="s">
        <v>350</v>
      </c>
      <c r="O2092">
        <v>4.26</v>
      </c>
      <c r="P2092" t="s">
        <v>343</v>
      </c>
      <c r="Q2092">
        <v>-4.24</v>
      </c>
      <c r="R2092" t="s">
        <v>343</v>
      </c>
      <c r="S2092">
        <v>1</v>
      </c>
    </row>
    <row r="2093" spans="1:19" x14ac:dyDescent="0.25">
      <c r="A2093" t="s">
        <v>46</v>
      </c>
      <c r="B2093" t="s">
        <v>60</v>
      </c>
      <c r="C2093">
        <v>80</v>
      </c>
      <c r="D2093" t="s">
        <v>342</v>
      </c>
      <c r="E2093">
        <v>24.15</v>
      </c>
      <c r="F2093">
        <v>15.41</v>
      </c>
      <c r="G2093">
        <v>15.02</v>
      </c>
      <c r="H2093">
        <v>30.43</v>
      </c>
      <c r="I2093" t="s">
        <v>344</v>
      </c>
      <c r="J2093">
        <v>114.72</v>
      </c>
      <c r="K2093">
        <v>0.86</v>
      </c>
      <c r="L2093" t="s">
        <v>346</v>
      </c>
      <c r="M2093" s="1">
        <v>8.6E-3</v>
      </c>
      <c r="N2093" t="s">
        <v>349</v>
      </c>
      <c r="O2093">
        <v>5.98</v>
      </c>
      <c r="P2093" t="s">
        <v>343</v>
      </c>
      <c r="Q2093">
        <v>-4.9800000000000004</v>
      </c>
      <c r="R2093" t="s">
        <v>343</v>
      </c>
      <c r="S2093">
        <v>1</v>
      </c>
    </row>
    <row r="2094" spans="1:19" x14ac:dyDescent="0.25">
      <c r="A2094" t="s">
        <v>46</v>
      </c>
      <c r="B2094" t="s">
        <v>61</v>
      </c>
      <c r="C2094">
        <v>100</v>
      </c>
      <c r="D2094" t="s">
        <v>342</v>
      </c>
      <c r="E2094">
        <v>24.15</v>
      </c>
      <c r="F2094">
        <v>14.67</v>
      </c>
      <c r="G2094">
        <v>15.51</v>
      </c>
      <c r="H2094">
        <v>30.18</v>
      </c>
      <c r="I2094" t="s">
        <v>344</v>
      </c>
      <c r="J2094">
        <v>114.58</v>
      </c>
      <c r="K2094">
        <v>-0.67</v>
      </c>
      <c r="L2094" t="s">
        <v>346</v>
      </c>
      <c r="M2094" s="1">
        <v>6.7000000000000002E-3</v>
      </c>
      <c r="N2094" t="s">
        <v>349</v>
      </c>
      <c r="O2094">
        <v>5.52</v>
      </c>
      <c r="P2094" t="s">
        <v>343</v>
      </c>
      <c r="Q2094">
        <v>-3.72</v>
      </c>
      <c r="R2094" t="s">
        <v>344</v>
      </c>
      <c r="S2094">
        <v>1</v>
      </c>
    </row>
    <row r="2095" spans="1:19" x14ac:dyDescent="0.25">
      <c r="A2095" t="s">
        <v>46</v>
      </c>
      <c r="B2095" t="s">
        <v>62</v>
      </c>
      <c r="C2095">
        <v>120</v>
      </c>
      <c r="D2095" t="s">
        <v>342</v>
      </c>
      <c r="E2095">
        <v>24.15</v>
      </c>
      <c r="F2095">
        <v>15.1</v>
      </c>
      <c r="G2095">
        <v>15.02</v>
      </c>
      <c r="H2095">
        <v>30.13</v>
      </c>
      <c r="I2095" t="s">
        <v>344</v>
      </c>
      <c r="J2095">
        <v>114.43</v>
      </c>
      <c r="K2095">
        <v>-0.77</v>
      </c>
      <c r="L2095" t="s">
        <v>346</v>
      </c>
      <c r="M2095" s="1">
        <v>7.7000000000000002E-3</v>
      </c>
      <c r="N2095" t="s">
        <v>349</v>
      </c>
      <c r="O2095">
        <v>4.1399999999999997</v>
      </c>
      <c r="P2095" t="s">
        <v>343</v>
      </c>
      <c r="Q2095">
        <v>-4.33</v>
      </c>
      <c r="R2095" t="s">
        <v>343</v>
      </c>
      <c r="S2095">
        <v>1</v>
      </c>
    </row>
    <row r="2096" spans="1:19" x14ac:dyDescent="0.25">
      <c r="A2096" t="s">
        <v>46</v>
      </c>
      <c r="B2096" t="s">
        <v>63</v>
      </c>
      <c r="C2096">
        <v>140</v>
      </c>
      <c r="D2096" t="s">
        <v>342</v>
      </c>
      <c r="E2096">
        <v>24.15</v>
      </c>
      <c r="F2096">
        <v>16.73</v>
      </c>
      <c r="G2096">
        <v>13.93</v>
      </c>
      <c r="H2096">
        <v>30.66</v>
      </c>
      <c r="I2096" t="s">
        <v>344</v>
      </c>
      <c r="J2096">
        <v>114.45</v>
      </c>
      <c r="K2096">
        <v>0.11</v>
      </c>
      <c r="L2096" t="s">
        <v>346</v>
      </c>
      <c r="M2096" s="1">
        <v>1.1000000000000001E-3</v>
      </c>
      <c r="N2096" t="s">
        <v>349</v>
      </c>
      <c r="O2096">
        <v>4.45</v>
      </c>
      <c r="P2096" t="s">
        <v>343</v>
      </c>
      <c r="Q2096">
        <v>-4.42</v>
      </c>
      <c r="R2096" t="s">
        <v>343</v>
      </c>
      <c r="S2096">
        <v>1</v>
      </c>
    </row>
    <row r="2097" spans="1:19" x14ac:dyDescent="0.25">
      <c r="A2097" t="s">
        <v>46</v>
      </c>
      <c r="B2097" t="s">
        <v>64</v>
      </c>
      <c r="C2097">
        <v>160</v>
      </c>
      <c r="D2097" t="s">
        <v>342</v>
      </c>
      <c r="E2097">
        <v>24.15</v>
      </c>
      <c r="F2097">
        <v>16.5</v>
      </c>
      <c r="G2097">
        <v>14.88</v>
      </c>
      <c r="H2097">
        <v>31.38</v>
      </c>
      <c r="I2097" t="s">
        <v>344</v>
      </c>
      <c r="J2097">
        <v>114.54</v>
      </c>
      <c r="K2097">
        <v>0.46</v>
      </c>
      <c r="L2097" t="s">
        <v>346</v>
      </c>
      <c r="M2097" s="1">
        <v>4.5999999999999999E-3</v>
      </c>
      <c r="N2097" t="s">
        <v>349</v>
      </c>
      <c r="O2097">
        <v>5.53</v>
      </c>
      <c r="P2097" t="s">
        <v>343</v>
      </c>
      <c r="Q2097">
        <v>-2.35</v>
      </c>
      <c r="R2097" t="s">
        <v>344</v>
      </c>
      <c r="S2097">
        <v>1</v>
      </c>
    </row>
    <row r="2098" spans="1:19" x14ac:dyDescent="0.25">
      <c r="A2098" t="s">
        <v>46</v>
      </c>
      <c r="B2098" t="s">
        <v>65</v>
      </c>
      <c r="C2098">
        <v>180</v>
      </c>
      <c r="D2098" t="s">
        <v>342</v>
      </c>
      <c r="E2098">
        <v>24.15</v>
      </c>
      <c r="F2098">
        <v>16.09</v>
      </c>
      <c r="G2098">
        <v>14.85</v>
      </c>
      <c r="H2098">
        <v>30.94</v>
      </c>
      <c r="I2098" t="s">
        <v>344</v>
      </c>
      <c r="J2098">
        <v>114.75</v>
      </c>
      <c r="K2098">
        <v>1.06</v>
      </c>
      <c r="L2098" t="s">
        <v>346</v>
      </c>
      <c r="M2098" s="1">
        <v>1.06E-2</v>
      </c>
      <c r="N2098" t="s">
        <v>349</v>
      </c>
      <c r="O2098">
        <v>5.4</v>
      </c>
      <c r="P2098" t="s">
        <v>343</v>
      </c>
      <c r="Q2098">
        <v>-1.65</v>
      </c>
      <c r="R2098" t="s">
        <v>343</v>
      </c>
      <c r="S2098">
        <v>1</v>
      </c>
    </row>
    <row r="2099" spans="1:19" x14ac:dyDescent="0.25">
      <c r="A2099" t="s">
        <v>46</v>
      </c>
      <c r="B2099" t="s">
        <v>66</v>
      </c>
      <c r="C2099">
        <v>200</v>
      </c>
      <c r="D2099" t="s">
        <v>342</v>
      </c>
      <c r="E2099">
        <v>24.15</v>
      </c>
      <c r="F2099">
        <v>15.87</v>
      </c>
      <c r="G2099">
        <v>14.53</v>
      </c>
      <c r="H2099">
        <v>30.41</v>
      </c>
      <c r="I2099" t="s">
        <v>344</v>
      </c>
      <c r="J2099">
        <v>115.36</v>
      </c>
      <c r="K2099">
        <v>3.03</v>
      </c>
      <c r="L2099" t="s">
        <v>346</v>
      </c>
      <c r="M2099" s="1">
        <v>3.0300000000000001E-2</v>
      </c>
      <c r="N2099" t="s">
        <v>350</v>
      </c>
      <c r="O2099">
        <v>5.51</v>
      </c>
      <c r="P2099" t="s">
        <v>343</v>
      </c>
      <c r="Q2099">
        <v>-1.67</v>
      </c>
      <c r="R2099" t="s">
        <v>343</v>
      </c>
      <c r="S2099">
        <v>1</v>
      </c>
    </row>
    <row r="2100" spans="1:19" x14ac:dyDescent="0.25">
      <c r="A2100" t="s">
        <v>46</v>
      </c>
      <c r="B2100" t="s">
        <v>67</v>
      </c>
      <c r="C2100">
        <v>220</v>
      </c>
      <c r="D2100" t="s">
        <v>342</v>
      </c>
      <c r="E2100">
        <v>24.15</v>
      </c>
      <c r="F2100">
        <v>15.47</v>
      </c>
      <c r="G2100">
        <v>14.53</v>
      </c>
      <c r="H2100">
        <v>30.01</v>
      </c>
      <c r="I2100" t="s">
        <v>344</v>
      </c>
      <c r="J2100">
        <v>115.87</v>
      </c>
      <c r="K2100">
        <v>2.56</v>
      </c>
      <c r="L2100" t="s">
        <v>346</v>
      </c>
      <c r="M2100" s="1">
        <v>2.5600000000000001E-2</v>
      </c>
      <c r="N2100" t="s">
        <v>350</v>
      </c>
      <c r="O2100">
        <v>6.45</v>
      </c>
      <c r="P2100" t="s">
        <v>343</v>
      </c>
      <c r="Q2100">
        <v>-1.04</v>
      </c>
      <c r="R2100" t="s">
        <v>343</v>
      </c>
      <c r="S2100">
        <v>1</v>
      </c>
    </row>
    <row r="2101" spans="1:19" x14ac:dyDescent="0.25">
      <c r="A2101" t="s">
        <v>46</v>
      </c>
      <c r="B2101" t="s">
        <v>68</v>
      </c>
      <c r="C2101">
        <v>240</v>
      </c>
      <c r="D2101" t="s">
        <v>342</v>
      </c>
      <c r="E2101">
        <v>24.15</v>
      </c>
      <c r="F2101">
        <v>15.87</v>
      </c>
      <c r="G2101">
        <v>14.38</v>
      </c>
      <c r="H2101">
        <v>30.25</v>
      </c>
      <c r="I2101" t="s">
        <v>344</v>
      </c>
      <c r="J2101">
        <v>116.49</v>
      </c>
      <c r="K2101">
        <v>3.08</v>
      </c>
      <c r="L2101" t="s">
        <v>346</v>
      </c>
      <c r="M2101" s="1">
        <v>3.0800000000000001E-2</v>
      </c>
      <c r="N2101" t="s">
        <v>350</v>
      </c>
      <c r="O2101">
        <v>7.02</v>
      </c>
      <c r="P2101" t="s">
        <v>343</v>
      </c>
      <c r="Q2101">
        <v>-1.05</v>
      </c>
      <c r="R2101" t="s">
        <v>343</v>
      </c>
      <c r="S2101">
        <v>1</v>
      </c>
    </row>
    <row r="2102" spans="1:19" x14ac:dyDescent="0.25">
      <c r="A2102" t="s">
        <v>46</v>
      </c>
      <c r="B2102" t="s">
        <v>69</v>
      </c>
      <c r="C2102">
        <v>260</v>
      </c>
      <c r="D2102" t="s">
        <v>342</v>
      </c>
      <c r="E2102">
        <v>24.15</v>
      </c>
      <c r="F2102">
        <v>15.74</v>
      </c>
      <c r="G2102">
        <v>13.96</v>
      </c>
      <c r="H2102">
        <v>29.7</v>
      </c>
      <c r="I2102" t="s">
        <v>344</v>
      </c>
      <c r="J2102">
        <v>117.03</v>
      </c>
      <c r="K2102">
        <v>2.71</v>
      </c>
      <c r="L2102" t="s">
        <v>346</v>
      </c>
      <c r="M2102" s="1">
        <v>2.7099999999999999E-2</v>
      </c>
      <c r="N2102" t="s">
        <v>350</v>
      </c>
      <c r="O2102">
        <v>7.04</v>
      </c>
      <c r="P2102" t="s">
        <v>343</v>
      </c>
      <c r="Q2102">
        <v>-0.86</v>
      </c>
      <c r="R2102" t="s">
        <v>343</v>
      </c>
      <c r="S2102">
        <v>1</v>
      </c>
    </row>
    <row r="2103" spans="1:19" x14ac:dyDescent="0.25">
      <c r="A2103" t="s">
        <v>46</v>
      </c>
      <c r="B2103" t="s">
        <v>70</v>
      </c>
      <c r="C2103">
        <v>280</v>
      </c>
      <c r="D2103" t="s">
        <v>342</v>
      </c>
      <c r="E2103">
        <v>24.15</v>
      </c>
      <c r="F2103">
        <v>16.2</v>
      </c>
      <c r="G2103">
        <v>12.73</v>
      </c>
      <c r="H2103">
        <v>28.93</v>
      </c>
      <c r="I2103" t="s">
        <v>344</v>
      </c>
      <c r="J2103">
        <v>117.42</v>
      </c>
      <c r="K2103">
        <v>1.93</v>
      </c>
      <c r="L2103" t="s">
        <v>346</v>
      </c>
      <c r="M2103" s="1">
        <v>1.9300000000000001E-2</v>
      </c>
      <c r="N2103" t="s">
        <v>349</v>
      </c>
      <c r="O2103">
        <v>5.38</v>
      </c>
      <c r="P2103" t="s">
        <v>343</v>
      </c>
      <c r="Q2103">
        <v>-0.99</v>
      </c>
      <c r="R2103" t="s">
        <v>343</v>
      </c>
      <c r="S2103">
        <v>1</v>
      </c>
    </row>
    <row r="2104" spans="1:19" x14ac:dyDescent="0.25">
      <c r="A2104" t="s">
        <v>46</v>
      </c>
      <c r="B2104" t="s">
        <v>71</v>
      </c>
      <c r="C2104">
        <v>300</v>
      </c>
      <c r="D2104" t="s">
        <v>342</v>
      </c>
      <c r="E2104">
        <v>24.15</v>
      </c>
      <c r="F2104">
        <v>15.74</v>
      </c>
      <c r="G2104">
        <v>11.98</v>
      </c>
      <c r="H2104">
        <v>27.71</v>
      </c>
      <c r="I2104" t="s">
        <v>344</v>
      </c>
      <c r="J2104">
        <v>117.85</v>
      </c>
      <c r="K2104">
        <v>2.17</v>
      </c>
      <c r="L2104" t="s">
        <v>346</v>
      </c>
      <c r="M2104" s="1">
        <v>2.1700000000000001E-2</v>
      </c>
      <c r="N2104" t="s">
        <v>350</v>
      </c>
      <c r="O2104">
        <v>5.48</v>
      </c>
      <c r="P2104" t="s">
        <v>343</v>
      </c>
      <c r="Q2104">
        <v>-1.1399999999999999</v>
      </c>
      <c r="R2104" t="s">
        <v>343</v>
      </c>
      <c r="S2104">
        <v>1</v>
      </c>
    </row>
    <row r="2105" spans="1:19" x14ac:dyDescent="0.25">
      <c r="A2105" t="s">
        <v>46</v>
      </c>
      <c r="B2105" t="s">
        <v>72</v>
      </c>
      <c r="C2105">
        <v>320</v>
      </c>
      <c r="D2105" t="s">
        <v>342</v>
      </c>
      <c r="E2105">
        <v>24.15</v>
      </c>
      <c r="F2105">
        <v>16.2</v>
      </c>
      <c r="G2105">
        <v>11.23</v>
      </c>
      <c r="H2105">
        <v>27.43</v>
      </c>
      <c r="I2105" t="s">
        <v>344</v>
      </c>
      <c r="J2105">
        <v>117.82</v>
      </c>
      <c r="K2105">
        <v>-0.17</v>
      </c>
      <c r="L2105" t="s">
        <v>346</v>
      </c>
      <c r="M2105" s="1">
        <v>1.6999999999999999E-3</v>
      </c>
      <c r="N2105" t="s">
        <v>349</v>
      </c>
      <c r="O2105">
        <v>4.1100000000000003</v>
      </c>
      <c r="P2105" t="s">
        <v>343</v>
      </c>
      <c r="Q2105">
        <v>-2.33</v>
      </c>
      <c r="R2105" t="s">
        <v>344</v>
      </c>
      <c r="S2105">
        <v>1</v>
      </c>
    </row>
    <row r="2106" spans="1:19" x14ac:dyDescent="0.25">
      <c r="A2106" t="s">
        <v>46</v>
      </c>
      <c r="B2106" t="s">
        <v>73</v>
      </c>
      <c r="C2106">
        <v>340</v>
      </c>
      <c r="D2106" t="s">
        <v>342</v>
      </c>
      <c r="E2106">
        <v>24.15</v>
      </c>
      <c r="F2106">
        <v>16.23</v>
      </c>
      <c r="G2106">
        <v>11.39</v>
      </c>
      <c r="H2106">
        <v>27.62</v>
      </c>
      <c r="I2106" t="s">
        <v>344</v>
      </c>
      <c r="J2106">
        <v>118.1</v>
      </c>
      <c r="K2106">
        <v>1.41</v>
      </c>
      <c r="L2106" t="s">
        <v>346</v>
      </c>
      <c r="M2106" s="1">
        <v>1.41E-2</v>
      </c>
      <c r="N2106" t="s">
        <v>349</v>
      </c>
      <c r="O2106">
        <v>6.17</v>
      </c>
      <c r="P2106" t="s">
        <v>343</v>
      </c>
      <c r="Q2106">
        <v>-0.28999999999999998</v>
      </c>
      <c r="R2106" t="s">
        <v>343</v>
      </c>
      <c r="S2106">
        <v>1</v>
      </c>
    </row>
    <row r="2107" spans="1:19" x14ac:dyDescent="0.25">
      <c r="A2107" t="s">
        <v>46</v>
      </c>
      <c r="B2107" t="s">
        <v>74</v>
      </c>
      <c r="C2107">
        <v>360</v>
      </c>
      <c r="D2107" t="s">
        <v>342</v>
      </c>
      <c r="E2107">
        <v>24.15</v>
      </c>
      <c r="F2107">
        <v>13.19</v>
      </c>
      <c r="G2107">
        <v>12.55</v>
      </c>
      <c r="H2107">
        <v>25.74</v>
      </c>
      <c r="I2107" t="s">
        <v>344</v>
      </c>
      <c r="J2107">
        <v>117.47</v>
      </c>
      <c r="K2107">
        <v>-3.15</v>
      </c>
      <c r="L2107" t="s">
        <v>346</v>
      </c>
      <c r="M2107" s="1">
        <v>3.15E-2</v>
      </c>
      <c r="N2107" t="s">
        <v>350</v>
      </c>
      <c r="O2107">
        <v>3.84</v>
      </c>
      <c r="P2107" t="s">
        <v>344</v>
      </c>
      <c r="Q2107">
        <v>-1.61</v>
      </c>
      <c r="R2107" t="s">
        <v>343</v>
      </c>
      <c r="S2107">
        <v>1</v>
      </c>
    </row>
    <row r="2108" spans="1:19" x14ac:dyDescent="0.25">
      <c r="A2108" t="s">
        <v>46</v>
      </c>
      <c r="B2108" t="s">
        <v>75</v>
      </c>
      <c r="C2108">
        <v>380</v>
      </c>
      <c r="D2108" t="s">
        <v>342</v>
      </c>
      <c r="E2108">
        <v>24.15</v>
      </c>
      <c r="F2108">
        <v>13.19</v>
      </c>
      <c r="G2108">
        <v>15.01</v>
      </c>
      <c r="H2108">
        <v>28.2</v>
      </c>
      <c r="I2108" t="s">
        <v>344</v>
      </c>
      <c r="J2108">
        <v>117.21</v>
      </c>
      <c r="K2108">
        <v>-1.26</v>
      </c>
      <c r="L2108" t="s">
        <v>346</v>
      </c>
      <c r="M2108" s="1">
        <v>1.26E-2</v>
      </c>
      <c r="N2108" t="s">
        <v>349</v>
      </c>
      <c r="O2108">
        <v>6.1</v>
      </c>
      <c r="P2108" t="s">
        <v>343</v>
      </c>
      <c r="Q2108">
        <v>1.81</v>
      </c>
      <c r="R2108" t="s">
        <v>343</v>
      </c>
      <c r="S2108">
        <v>1</v>
      </c>
    </row>
    <row r="2109" spans="1:19" x14ac:dyDescent="0.25">
      <c r="A2109" t="s">
        <v>46</v>
      </c>
      <c r="B2109" t="s">
        <v>76</v>
      </c>
      <c r="C2109">
        <v>400</v>
      </c>
      <c r="D2109" t="s">
        <v>342</v>
      </c>
      <c r="E2109">
        <v>24.15</v>
      </c>
      <c r="F2109">
        <v>13.19</v>
      </c>
      <c r="G2109">
        <v>16.62</v>
      </c>
      <c r="H2109">
        <v>29.81</v>
      </c>
      <c r="I2109" t="s">
        <v>344</v>
      </c>
      <c r="J2109">
        <v>116.71</v>
      </c>
      <c r="K2109">
        <v>-2.5</v>
      </c>
      <c r="L2109" t="s">
        <v>346</v>
      </c>
      <c r="M2109" s="1">
        <v>2.5000000000000001E-2</v>
      </c>
      <c r="N2109" t="s">
        <v>350</v>
      </c>
      <c r="O2109">
        <v>6.04</v>
      </c>
      <c r="P2109" t="s">
        <v>343</v>
      </c>
      <c r="Q2109">
        <v>-0.55000000000000004</v>
      </c>
      <c r="R2109" t="s">
        <v>343</v>
      </c>
      <c r="S2109">
        <v>1</v>
      </c>
    </row>
    <row r="2110" spans="1:19" x14ac:dyDescent="0.25">
      <c r="A2110" t="s">
        <v>46</v>
      </c>
      <c r="B2110" t="s">
        <v>77</v>
      </c>
      <c r="C2110">
        <v>420</v>
      </c>
      <c r="D2110" t="s">
        <v>342</v>
      </c>
      <c r="E2110">
        <v>24.15</v>
      </c>
      <c r="F2110">
        <v>12.04</v>
      </c>
      <c r="G2110">
        <v>17.899999999999999</v>
      </c>
      <c r="H2110">
        <v>29.94</v>
      </c>
      <c r="I2110" t="s">
        <v>344</v>
      </c>
      <c r="J2110">
        <v>116.37</v>
      </c>
      <c r="K2110">
        <v>-1.75</v>
      </c>
      <c r="L2110" t="s">
        <v>346</v>
      </c>
      <c r="M2110" s="1">
        <v>1.7500000000000002E-2</v>
      </c>
      <c r="N2110" t="s">
        <v>349</v>
      </c>
      <c r="O2110">
        <v>5.86</v>
      </c>
      <c r="P2110" t="s">
        <v>343</v>
      </c>
      <c r="Q2110">
        <v>-1.85</v>
      </c>
      <c r="R2110" t="s">
        <v>343</v>
      </c>
      <c r="S2110">
        <v>1</v>
      </c>
    </row>
    <row r="2111" spans="1:19" x14ac:dyDescent="0.25">
      <c r="A2111" t="s">
        <v>46</v>
      </c>
      <c r="B2111" t="s">
        <v>78</v>
      </c>
      <c r="C2111">
        <v>440</v>
      </c>
      <c r="D2111" t="s">
        <v>342</v>
      </c>
      <c r="E2111">
        <v>24.15</v>
      </c>
      <c r="F2111">
        <v>11.86</v>
      </c>
      <c r="G2111">
        <v>17.73</v>
      </c>
      <c r="H2111">
        <v>29.59</v>
      </c>
      <c r="I2111" t="s">
        <v>344</v>
      </c>
      <c r="J2111">
        <v>115.53</v>
      </c>
      <c r="K2111">
        <v>-4.18</v>
      </c>
      <c r="L2111" t="s">
        <v>346</v>
      </c>
      <c r="M2111" s="1">
        <v>4.1799999999999997E-2</v>
      </c>
      <c r="N2111" t="s">
        <v>350</v>
      </c>
      <c r="O2111">
        <v>1.29</v>
      </c>
      <c r="P2111" t="s">
        <v>343</v>
      </c>
      <c r="Q2111">
        <v>-2.27</v>
      </c>
      <c r="R2111" t="s">
        <v>344</v>
      </c>
      <c r="S2111">
        <v>1</v>
      </c>
    </row>
    <row r="2112" spans="1:19" x14ac:dyDescent="0.25">
      <c r="A2112" t="s">
        <v>46</v>
      </c>
      <c r="B2112" t="s">
        <v>79</v>
      </c>
      <c r="C2112">
        <v>460</v>
      </c>
      <c r="D2112" t="s">
        <v>342</v>
      </c>
      <c r="E2112">
        <v>24.15</v>
      </c>
      <c r="F2112">
        <v>12.54</v>
      </c>
      <c r="G2112">
        <v>17.28</v>
      </c>
      <c r="H2112">
        <v>29.82</v>
      </c>
      <c r="I2112" t="s">
        <v>344</v>
      </c>
      <c r="J2112">
        <v>114.3</v>
      </c>
      <c r="K2112">
        <v>-6.16</v>
      </c>
      <c r="L2112" t="s">
        <v>346</v>
      </c>
      <c r="M2112" s="1">
        <v>6.1600000000000002E-2</v>
      </c>
      <c r="N2112" t="s">
        <v>350</v>
      </c>
      <c r="O2112">
        <v>4.99</v>
      </c>
      <c r="P2112" t="s">
        <v>343</v>
      </c>
      <c r="Q2112">
        <v>-2.66</v>
      </c>
      <c r="R2112" t="s">
        <v>344</v>
      </c>
      <c r="S2112">
        <v>1</v>
      </c>
    </row>
    <row r="2113" spans="1:19" x14ac:dyDescent="0.25">
      <c r="A2113" t="s">
        <v>46</v>
      </c>
      <c r="B2113" t="s">
        <v>80</v>
      </c>
      <c r="C2113">
        <v>480</v>
      </c>
      <c r="D2113" t="s">
        <v>342</v>
      </c>
      <c r="E2113">
        <v>24.15</v>
      </c>
      <c r="F2113">
        <v>14.52</v>
      </c>
      <c r="G2113">
        <v>16.5</v>
      </c>
      <c r="H2113">
        <v>31.02</v>
      </c>
      <c r="I2113" t="s">
        <v>344</v>
      </c>
      <c r="J2113">
        <v>113.31</v>
      </c>
      <c r="K2113">
        <v>-4.93</v>
      </c>
      <c r="L2113" t="s">
        <v>346</v>
      </c>
      <c r="M2113" s="1">
        <v>4.9299999999999997E-2</v>
      </c>
      <c r="N2113" t="s">
        <v>350</v>
      </c>
      <c r="O2113">
        <v>5.18</v>
      </c>
      <c r="P2113" t="s">
        <v>343</v>
      </c>
      <c r="Q2113">
        <v>-3.19</v>
      </c>
      <c r="R2113" t="s">
        <v>344</v>
      </c>
      <c r="S2113">
        <v>1</v>
      </c>
    </row>
    <row r="2114" spans="1:19" x14ac:dyDescent="0.25">
      <c r="A2114" t="s">
        <v>46</v>
      </c>
      <c r="B2114" t="s">
        <v>81</v>
      </c>
      <c r="C2114">
        <v>500</v>
      </c>
      <c r="D2114" t="s">
        <v>342</v>
      </c>
      <c r="E2114">
        <v>24.15</v>
      </c>
      <c r="F2114">
        <v>15.03</v>
      </c>
      <c r="G2114">
        <v>16.5</v>
      </c>
      <c r="H2114">
        <v>31.53</v>
      </c>
      <c r="I2114" t="s">
        <v>344</v>
      </c>
      <c r="J2114">
        <v>112.37</v>
      </c>
      <c r="K2114">
        <v>-4.71</v>
      </c>
      <c r="L2114" t="s">
        <v>346</v>
      </c>
      <c r="M2114" s="1">
        <v>4.7100000000000003E-2</v>
      </c>
      <c r="N2114" t="s">
        <v>350</v>
      </c>
      <c r="O2114">
        <v>6.12</v>
      </c>
      <c r="P2114" t="s">
        <v>343</v>
      </c>
      <c r="Q2114">
        <v>-1.23</v>
      </c>
      <c r="R2114" t="s">
        <v>343</v>
      </c>
      <c r="S2114">
        <v>1</v>
      </c>
    </row>
    <row r="2115" spans="1:19" x14ac:dyDescent="0.25">
      <c r="A2115" t="s">
        <v>46</v>
      </c>
      <c r="B2115" t="s">
        <v>82</v>
      </c>
      <c r="C2115">
        <v>520</v>
      </c>
      <c r="D2115" t="s">
        <v>342</v>
      </c>
      <c r="E2115">
        <v>24.15</v>
      </c>
      <c r="F2115">
        <v>15.21</v>
      </c>
      <c r="G2115">
        <v>15.46</v>
      </c>
      <c r="H2115">
        <v>30.67</v>
      </c>
      <c r="I2115" t="s">
        <v>344</v>
      </c>
      <c r="J2115">
        <v>111.52</v>
      </c>
      <c r="K2115">
        <v>-4.22</v>
      </c>
      <c r="L2115" t="s">
        <v>346</v>
      </c>
      <c r="M2115" s="1">
        <v>4.2199999999999988E-2</v>
      </c>
      <c r="N2115" t="s">
        <v>350</v>
      </c>
      <c r="O2115">
        <v>4.4800000000000004</v>
      </c>
      <c r="P2115" t="s">
        <v>343</v>
      </c>
      <c r="Q2115">
        <v>-1.8</v>
      </c>
      <c r="R2115" t="s">
        <v>343</v>
      </c>
      <c r="S2115">
        <v>1</v>
      </c>
    </row>
    <row r="2116" spans="1:19" x14ac:dyDescent="0.25">
      <c r="A2116" t="s">
        <v>46</v>
      </c>
      <c r="B2116" t="s">
        <v>83</v>
      </c>
      <c r="C2116">
        <v>540</v>
      </c>
      <c r="D2116" t="s">
        <v>342</v>
      </c>
      <c r="E2116">
        <v>24.15</v>
      </c>
      <c r="F2116">
        <v>15.55</v>
      </c>
      <c r="G2116">
        <v>14.34</v>
      </c>
      <c r="H2116">
        <v>29.89</v>
      </c>
      <c r="I2116" t="s">
        <v>344</v>
      </c>
      <c r="J2116">
        <v>110.95</v>
      </c>
      <c r="K2116">
        <v>-2.86</v>
      </c>
      <c r="L2116" t="s">
        <v>346</v>
      </c>
      <c r="M2116" s="1">
        <v>2.86E-2</v>
      </c>
      <c r="N2116" t="s">
        <v>350</v>
      </c>
      <c r="O2116">
        <v>4.37</v>
      </c>
      <c r="P2116" t="s">
        <v>343</v>
      </c>
      <c r="Q2116">
        <v>-0.37</v>
      </c>
      <c r="R2116" t="s">
        <v>343</v>
      </c>
      <c r="S2116">
        <v>1</v>
      </c>
    </row>
    <row r="2117" spans="1:19" x14ac:dyDescent="0.25">
      <c r="A2117" t="s">
        <v>46</v>
      </c>
      <c r="B2117" t="s">
        <v>84</v>
      </c>
      <c r="C2117">
        <v>560</v>
      </c>
      <c r="D2117" t="s">
        <v>342</v>
      </c>
      <c r="E2117">
        <v>24.15</v>
      </c>
      <c r="F2117">
        <v>15.65</v>
      </c>
      <c r="G2117">
        <v>14.91</v>
      </c>
      <c r="H2117">
        <v>30.57</v>
      </c>
      <c r="I2117" t="s">
        <v>344</v>
      </c>
      <c r="J2117">
        <v>110.22</v>
      </c>
      <c r="K2117">
        <v>-3.64</v>
      </c>
      <c r="L2117" t="s">
        <v>346</v>
      </c>
      <c r="M2117" s="1">
        <v>3.6400000000000002E-2</v>
      </c>
      <c r="N2117" t="s">
        <v>350</v>
      </c>
      <c r="O2117">
        <v>3.47</v>
      </c>
      <c r="P2117" t="s">
        <v>344</v>
      </c>
      <c r="Q2117">
        <v>-0.69</v>
      </c>
      <c r="R2117" t="s">
        <v>343</v>
      </c>
      <c r="S2117">
        <v>1</v>
      </c>
    </row>
    <row r="2118" spans="1:19" x14ac:dyDescent="0.25">
      <c r="A2118" t="s">
        <v>46</v>
      </c>
      <c r="B2118" t="s">
        <v>85</v>
      </c>
      <c r="C2118">
        <v>580</v>
      </c>
      <c r="D2118" t="s">
        <v>342</v>
      </c>
      <c r="E2118">
        <v>24.15</v>
      </c>
      <c r="F2118">
        <v>16.27</v>
      </c>
      <c r="G2118">
        <v>15.51</v>
      </c>
      <c r="H2118">
        <v>31.77</v>
      </c>
      <c r="I2118" t="s">
        <v>344</v>
      </c>
      <c r="J2118">
        <v>109.45</v>
      </c>
      <c r="K2118">
        <v>-3.86</v>
      </c>
      <c r="L2118" t="s">
        <v>346</v>
      </c>
      <c r="M2118" s="1">
        <v>3.8600000000000002E-2</v>
      </c>
      <c r="N2118" t="s">
        <v>350</v>
      </c>
      <c r="O2118">
        <v>4.18</v>
      </c>
      <c r="P2118" t="s">
        <v>343</v>
      </c>
      <c r="Q2118">
        <v>0.17</v>
      </c>
      <c r="R2118" t="s">
        <v>343</v>
      </c>
      <c r="S2118">
        <v>1</v>
      </c>
    </row>
    <row r="2119" spans="1:19" x14ac:dyDescent="0.25">
      <c r="A2119" t="s">
        <v>46</v>
      </c>
      <c r="B2119" t="s">
        <v>86</v>
      </c>
      <c r="C2119">
        <v>600</v>
      </c>
      <c r="D2119" t="s">
        <v>342</v>
      </c>
      <c r="E2119">
        <v>24.15</v>
      </c>
      <c r="F2119">
        <v>16.78</v>
      </c>
      <c r="G2119">
        <v>15.11</v>
      </c>
      <c r="H2119">
        <v>31.89</v>
      </c>
      <c r="I2119" t="s">
        <v>344</v>
      </c>
      <c r="J2119">
        <v>108.56</v>
      </c>
      <c r="K2119">
        <v>-4.46</v>
      </c>
      <c r="L2119" t="s">
        <v>346</v>
      </c>
      <c r="M2119" s="1">
        <v>4.4600000000000001E-2</v>
      </c>
      <c r="N2119" t="s">
        <v>350</v>
      </c>
      <c r="O2119">
        <v>4.3</v>
      </c>
      <c r="P2119" t="s">
        <v>343</v>
      </c>
      <c r="Q2119">
        <v>0.56999999999999995</v>
      </c>
      <c r="R2119" t="s">
        <v>343</v>
      </c>
      <c r="S2119">
        <v>1</v>
      </c>
    </row>
    <row r="2120" spans="1:19" x14ac:dyDescent="0.25">
      <c r="A2120" t="s">
        <v>46</v>
      </c>
      <c r="B2120" t="s">
        <v>87</v>
      </c>
      <c r="C2120">
        <v>620</v>
      </c>
      <c r="D2120" t="s">
        <v>342</v>
      </c>
      <c r="E2120">
        <v>24.15</v>
      </c>
      <c r="F2120">
        <v>16.97</v>
      </c>
      <c r="G2120">
        <v>15.51</v>
      </c>
      <c r="H2120">
        <v>32.479999999999997</v>
      </c>
      <c r="I2120" t="s">
        <v>344</v>
      </c>
      <c r="J2120">
        <v>107.57</v>
      </c>
      <c r="K2120">
        <v>-4.92</v>
      </c>
      <c r="L2120" t="s">
        <v>346</v>
      </c>
      <c r="M2120" s="1">
        <v>4.9200000000000001E-2</v>
      </c>
      <c r="N2120" t="s">
        <v>350</v>
      </c>
      <c r="O2120">
        <v>3.76</v>
      </c>
      <c r="P2120" t="s">
        <v>344</v>
      </c>
      <c r="Q2120">
        <v>0.92</v>
      </c>
      <c r="R2120" t="s">
        <v>343</v>
      </c>
      <c r="S2120">
        <v>1</v>
      </c>
    </row>
    <row r="2121" spans="1:19" x14ac:dyDescent="0.25">
      <c r="A2121" t="s">
        <v>46</v>
      </c>
      <c r="B2121" t="s">
        <v>88</v>
      </c>
      <c r="C2121">
        <v>640</v>
      </c>
      <c r="D2121" t="s">
        <v>342</v>
      </c>
      <c r="E2121">
        <v>24.15</v>
      </c>
      <c r="F2121">
        <v>17.18</v>
      </c>
      <c r="G2121">
        <v>15.91</v>
      </c>
      <c r="H2121">
        <v>33.090000000000003</v>
      </c>
      <c r="I2121" t="s">
        <v>344</v>
      </c>
      <c r="J2121">
        <v>106.4</v>
      </c>
      <c r="K2121">
        <v>-5.86</v>
      </c>
      <c r="L2121" t="s">
        <v>346</v>
      </c>
      <c r="M2121" s="1">
        <v>5.8600000000000013E-2</v>
      </c>
      <c r="N2121" t="s">
        <v>350</v>
      </c>
      <c r="O2121">
        <v>3.84</v>
      </c>
      <c r="P2121" t="s">
        <v>344</v>
      </c>
      <c r="Q2121">
        <v>-1.1299999999999999</v>
      </c>
      <c r="R2121" t="s">
        <v>343</v>
      </c>
      <c r="S2121">
        <v>1</v>
      </c>
    </row>
    <row r="2122" spans="1:19" x14ac:dyDescent="0.25">
      <c r="A2122" t="s">
        <v>46</v>
      </c>
      <c r="B2122" t="s">
        <v>89</v>
      </c>
      <c r="C2122">
        <v>660</v>
      </c>
      <c r="D2122" t="s">
        <v>342</v>
      </c>
      <c r="E2122">
        <v>24.15</v>
      </c>
      <c r="F2122">
        <v>17.2</v>
      </c>
      <c r="G2122">
        <v>16.45</v>
      </c>
      <c r="H2122">
        <v>33.65</v>
      </c>
      <c r="I2122" t="s">
        <v>344</v>
      </c>
      <c r="J2122">
        <v>105.32</v>
      </c>
      <c r="K2122">
        <v>-5.4</v>
      </c>
      <c r="L2122" t="s">
        <v>346</v>
      </c>
      <c r="M2122" s="1">
        <v>5.4000000000000013E-2</v>
      </c>
      <c r="N2122" t="s">
        <v>350</v>
      </c>
      <c r="O2122">
        <v>4.5199999999999996</v>
      </c>
      <c r="P2122" t="s">
        <v>343</v>
      </c>
      <c r="Q2122">
        <v>-1.84</v>
      </c>
      <c r="R2122" t="s">
        <v>343</v>
      </c>
      <c r="S2122">
        <v>1</v>
      </c>
    </row>
    <row r="2123" spans="1:19" x14ac:dyDescent="0.25">
      <c r="A2123" t="s">
        <v>46</v>
      </c>
      <c r="B2123" t="s">
        <v>90</v>
      </c>
      <c r="C2123">
        <v>680</v>
      </c>
      <c r="D2123" t="s">
        <v>342</v>
      </c>
      <c r="E2123">
        <v>24.15</v>
      </c>
      <c r="F2123">
        <v>16.43</v>
      </c>
      <c r="G2123">
        <v>17.87</v>
      </c>
      <c r="H2123">
        <v>34.299999999999997</v>
      </c>
      <c r="I2123" t="s">
        <v>344</v>
      </c>
      <c r="J2123">
        <v>104.19</v>
      </c>
      <c r="K2123">
        <v>-5.67</v>
      </c>
      <c r="L2123" t="s">
        <v>346</v>
      </c>
      <c r="M2123" s="1">
        <v>5.67E-2</v>
      </c>
      <c r="N2123" t="s">
        <v>350</v>
      </c>
      <c r="O2123">
        <v>3.1</v>
      </c>
      <c r="P2123" t="s">
        <v>344</v>
      </c>
      <c r="Q2123">
        <v>-1.1399999999999999</v>
      </c>
      <c r="R2123" t="s">
        <v>343</v>
      </c>
      <c r="S2123">
        <v>1</v>
      </c>
    </row>
    <row r="2124" spans="1:19" x14ac:dyDescent="0.25">
      <c r="A2124" t="s">
        <v>46</v>
      </c>
      <c r="B2124" t="s">
        <v>91</v>
      </c>
      <c r="C2124">
        <v>700</v>
      </c>
      <c r="D2124" t="s">
        <v>342</v>
      </c>
      <c r="E2124">
        <v>24.15</v>
      </c>
      <c r="F2124">
        <v>16.100000000000001</v>
      </c>
      <c r="G2124">
        <v>18.66</v>
      </c>
      <c r="H2124">
        <v>34.76</v>
      </c>
      <c r="I2124" t="s">
        <v>344</v>
      </c>
      <c r="J2124">
        <v>103.26</v>
      </c>
      <c r="K2124">
        <v>-4.66</v>
      </c>
      <c r="L2124" t="s">
        <v>346</v>
      </c>
      <c r="M2124" s="1">
        <v>4.6600000000000003E-2</v>
      </c>
      <c r="N2124" t="s">
        <v>350</v>
      </c>
      <c r="O2124">
        <v>4.04</v>
      </c>
      <c r="P2124" t="s">
        <v>343</v>
      </c>
      <c r="Q2124">
        <v>-1.08</v>
      </c>
      <c r="R2124" t="s">
        <v>343</v>
      </c>
      <c r="S2124">
        <v>1</v>
      </c>
    </row>
    <row r="2125" spans="1:19" x14ac:dyDescent="0.25">
      <c r="A2125" t="s">
        <v>46</v>
      </c>
      <c r="B2125" t="s">
        <v>92</v>
      </c>
      <c r="C2125">
        <v>720</v>
      </c>
      <c r="D2125" t="s">
        <v>342</v>
      </c>
      <c r="E2125">
        <v>24.15</v>
      </c>
      <c r="F2125">
        <v>15.75</v>
      </c>
      <c r="G2125">
        <v>18.059999999999999</v>
      </c>
      <c r="H2125">
        <v>33.81</v>
      </c>
      <c r="I2125" t="s">
        <v>344</v>
      </c>
      <c r="J2125">
        <v>102.11</v>
      </c>
      <c r="K2125">
        <v>-5.75</v>
      </c>
      <c r="L2125" t="s">
        <v>346</v>
      </c>
      <c r="M2125" s="1">
        <v>5.7500000000000002E-2</v>
      </c>
      <c r="N2125" t="s">
        <v>350</v>
      </c>
      <c r="O2125">
        <v>4.09</v>
      </c>
      <c r="P2125" t="s">
        <v>343</v>
      </c>
      <c r="Q2125">
        <v>-2.31</v>
      </c>
      <c r="R2125" t="s">
        <v>344</v>
      </c>
      <c r="S2125">
        <v>1</v>
      </c>
    </row>
    <row r="2126" spans="1:19" x14ac:dyDescent="0.25">
      <c r="A2126" t="s">
        <v>46</v>
      </c>
      <c r="B2126" t="s">
        <v>93</v>
      </c>
      <c r="C2126">
        <v>740</v>
      </c>
      <c r="D2126" t="s">
        <v>342</v>
      </c>
      <c r="E2126">
        <v>24.15</v>
      </c>
      <c r="F2126">
        <v>16.05</v>
      </c>
      <c r="G2126">
        <v>17.420000000000002</v>
      </c>
      <c r="H2126">
        <v>33.47</v>
      </c>
      <c r="I2126" t="s">
        <v>344</v>
      </c>
      <c r="J2126">
        <v>101.23</v>
      </c>
      <c r="K2126">
        <v>-4.38</v>
      </c>
      <c r="L2126" t="s">
        <v>346</v>
      </c>
      <c r="M2126" s="1">
        <v>4.3799999999999999E-2</v>
      </c>
      <c r="N2126" t="s">
        <v>350</v>
      </c>
      <c r="O2126">
        <v>5.16</v>
      </c>
      <c r="P2126" t="s">
        <v>343</v>
      </c>
      <c r="Q2126">
        <v>-2.35</v>
      </c>
      <c r="R2126" t="s">
        <v>344</v>
      </c>
      <c r="S2126">
        <v>1</v>
      </c>
    </row>
    <row r="2127" spans="1:19" x14ac:dyDescent="0.25">
      <c r="A2127" t="s">
        <v>46</v>
      </c>
      <c r="B2127" t="s">
        <v>94</v>
      </c>
      <c r="C2127">
        <v>760</v>
      </c>
      <c r="D2127" t="s">
        <v>342</v>
      </c>
      <c r="E2127">
        <v>24.15</v>
      </c>
      <c r="F2127">
        <v>17.05</v>
      </c>
      <c r="G2127">
        <v>16.63</v>
      </c>
      <c r="H2127">
        <v>33.68</v>
      </c>
      <c r="I2127" t="s">
        <v>344</v>
      </c>
      <c r="J2127">
        <v>100.45</v>
      </c>
      <c r="K2127">
        <v>-3.91</v>
      </c>
      <c r="L2127" t="s">
        <v>346</v>
      </c>
      <c r="M2127" s="1">
        <v>3.9100000000000003E-2</v>
      </c>
      <c r="N2127" t="s">
        <v>350</v>
      </c>
      <c r="O2127">
        <v>4.83</v>
      </c>
      <c r="P2127" t="s">
        <v>343</v>
      </c>
      <c r="Q2127">
        <v>-1.34</v>
      </c>
      <c r="R2127" t="s">
        <v>343</v>
      </c>
      <c r="S2127">
        <v>1</v>
      </c>
    </row>
    <row r="2128" spans="1:19" x14ac:dyDescent="0.25">
      <c r="A2128" t="s">
        <v>46</v>
      </c>
      <c r="B2128" t="s">
        <v>95</v>
      </c>
      <c r="C2128">
        <v>780</v>
      </c>
      <c r="D2128" t="s">
        <v>342</v>
      </c>
      <c r="E2128">
        <v>24.15</v>
      </c>
      <c r="F2128">
        <v>18.399999999999999</v>
      </c>
      <c r="G2128">
        <v>15</v>
      </c>
      <c r="H2128">
        <v>33.4</v>
      </c>
      <c r="I2128" t="s">
        <v>344</v>
      </c>
      <c r="J2128">
        <v>99.69</v>
      </c>
      <c r="K2128">
        <v>-3.79</v>
      </c>
      <c r="L2128" t="s">
        <v>346</v>
      </c>
      <c r="M2128" s="1">
        <v>3.7900000000000003E-2</v>
      </c>
      <c r="N2128" t="s">
        <v>350</v>
      </c>
      <c r="O2128">
        <v>5.37</v>
      </c>
      <c r="P2128" t="s">
        <v>343</v>
      </c>
      <c r="Q2128">
        <v>0.48</v>
      </c>
      <c r="R2128" t="s">
        <v>343</v>
      </c>
      <c r="S2128">
        <v>1</v>
      </c>
    </row>
    <row r="2129" spans="1:19" x14ac:dyDescent="0.25">
      <c r="A2129" t="s">
        <v>46</v>
      </c>
      <c r="B2129" t="s">
        <v>96</v>
      </c>
      <c r="C2129">
        <v>800</v>
      </c>
      <c r="D2129" t="s">
        <v>342</v>
      </c>
      <c r="E2129">
        <v>24.15</v>
      </c>
      <c r="F2129">
        <v>18.55</v>
      </c>
      <c r="G2129">
        <v>14.76</v>
      </c>
      <c r="H2129">
        <v>33.299999999999997</v>
      </c>
      <c r="I2129" t="s">
        <v>344</v>
      </c>
      <c r="J2129">
        <v>98.92</v>
      </c>
      <c r="K2129">
        <v>-3.83</v>
      </c>
      <c r="L2129" t="s">
        <v>346</v>
      </c>
      <c r="M2129" s="1">
        <v>3.8300000000000001E-2</v>
      </c>
      <c r="N2129" t="s">
        <v>350</v>
      </c>
      <c r="O2129">
        <v>5.34</v>
      </c>
      <c r="P2129" t="s">
        <v>343</v>
      </c>
      <c r="Q2129">
        <v>-0.02</v>
      </c>
      <c r="R2129" t="s">
        <v>343</v>
      </c>
      <c r="S2129">
        <v>1</v>
      </c>
    </row>
    <row r="2130" spans="1:19" x14ac:dyDescent="0.25">
      <c r="A2130" t="s">
        <v>46</v>
      </c>
      <c r="B2130" t="s">
        <v>97</v>
      </c>
      <c r="C2130">
        <v>820</v>
      </c>
      <c r="D2130" t="s">
        <v>342</v>
      </c>
      <c r="E2130">
        <v>24.15</v>
      </c>
      <c r="F2130">
        <v>18.57</v>
      </c>
      <c r="G2130">
        <v>14.9</v>
      </c>
      <c r="H2130">
        <v>33.47</v>
      </c>
      <c r="I2130" t="s">
        <v>344</v>
      </c>
      <c r="J2130">
        <v>98.26</v>
      </c>
      <c r="K2130">
        <v>-3.29</v>
      </c>
      <c r="L2130" t="s">
        <v>346</v>
      </c>
      <c r="M2130" s="1">
        <v>3.2899999999999999E-2</v>
      </c>
      <c r="N2130" t="s">
        <v>350</v>
      </c>
      <c r="O2130">
        <v>4.51</v>
      </c>
      <c r="P2130" t="s">
        <v>343</v>
      </c>
      <c r="Q2130">
        <v>-0.56999999999999995</v>
      </c>
      <c r="R2130" t="s">
        <v>343</v>
      </c>
      <c r="S2130">
        <v>1</v>
      </c>
    </row>
    <row r="2131" spans="1:19" x14ac:dyDescent="0.25">
      <c r="A2131" t="s">
        <v>46</v>
      </c>
      <c r="B2131" t="s">
        <v>98</v>
      </c>
      <c r="C2131">
        <v>840</v>
      </c>
      <c r="D2131" t="s">
        <v>342</v>
      </c>
      <c r="E2131">
        <v>24.15</v>
      </c>
      <c r="F2131">
        <v>20</v>
      </c>
      <c r="G2131">
        <v>15.11</v>
      </c>
      <c r="H2131">
        <v>35.11</v>
      </c>
      <c r="I2131" t="s">
        <v>344</v>
      </c>
      <c r="J2131">
        <v>97.8</v>
      </c>
      <c r="K2131">
        <v>-2.33</v>
      </c>
      <c r="L2131" t="s">
        <v>346</v>
      </c>
      <c r="M2131" s="1">
        <v>2.3300000000000001E-2</v>
      </c>
      <c r="N2131" t="s">
        <v>350</v>
      </c>
      <c r="O2131">
        <v>4.99</v>
      </c>
      <c r="P2131" t="s">
        <v>343</v>
      </c>
      <c r="Q2131">
        <v>-0.22</v>
      </c>
      <c r="R2131" t="s">
        <v>343</v>
      </c>
      <c r="S2131">
        <v>1</v>
      </c>
    </row>
    <row r="2132" spans="1:19" x14ac:dyDescent="0.25">
      <c r="A2132" t="s">
        <v>46</v>
      </c>
      <c r="B2132" t="s">
        <v>99</v>
      </c>
      <c r="C2132">
        <v>860</v>
      </c>
      <c r="D2132" t="s">
        <v>342</v>
      </c>
      <c r="E2132">
        <v>24.15</v>
      </c>
      <c r="F2132">
        <v>18.29</v>
      </c>
      <c r="G2132">
        <v>15.33</v>
      </c>
      <c r="H2132">
        <v>33.619999999999997</v>
      </c>
      <c r="I2132" t="s">
        <v>344</v>
      </c>
      <c r="J2132">
        <v>97.23</v>
      </c>
      <c r="K2132">
        <v>-2.84</v>
      </c>
      <c r="L2132" t="s">
        <v>346</v>
      </c>
      <c r="M2132" s="1">
        <v>2.8400000000000002E-2</v>
      </c>
      <c r="N2132" t="s">
        <v>350</v>
      </c>
      <c r="O2132">
        <v>4.1900000000000004</v>
      </c>
      <c r="P2132" t="s">
        <v>343</v>
      </c>
      <c r="Q2132">
        <v>-0.05</v>
      </c>
      <c r="R2132" t="s">
        <v>343</v>
      </c>
      <c r="S2132">
        <v>1</v>
      </c>
    </row>
    <row r="2133" spans="1:19" x14ac:dyDescent="0.25">
      <c r="A2133" t="s">
        <v>46</v>
      </c>
      <c r="B2133" t="s">
        <v>100</v>
      </c>
      <c r="C2133">
        <v>880</v>
      </c>
      <c r="D2133" t="s">
        <v>342</v>
      </c>
      <c r="E2133">
        <v>24.15</v>
      </c>
      <c r="F2133">
        <v>18.07</v>
      </c>
      <c r="G2133">
        <v>15.6</v>
      </c>
      <c r="H2133">
        <v>33.67</v>
      </c>
      <c r="I2133" t="s">
        <v>344</v>
      </c>
      <c r="J2133">
        <v>96.96</v>
      </c>
      <c r="K2133">
        <v>-1.35</v>
      </c>
      <c r="L2133" t="s">
        <v>346</v>
      </c>
      <c r="M2133" s="1">
        <v>1.35E-2</v>
      </c>
      <c r="N2133" t="s">
        <v>349</v>
      </c>
      <c r="O2133">
        <v>4.4000000000000004</v>
      </c>
      <c r="P2133" t="s">
        <v>343</v>
      </c>
      <c r="Q2133">
        <v>-0.2</v>
      </c>
      <c r="R2133" t="s">
        <v>343</v>
      </c>
      <c r="S2133">
        <v>1</v>
      </c>
    </row>
    <row r="2134" spans="1:19" x14ac:dyDescent="0.25">
      <c r="A2134" t="s">
        <v>46</v>
      </c>
      <c r="B2134" t="s">
        <v>101</v>
      </c>
      <c r="C2134">
        <v>900</v>
      </c>
      <c r="D2134" t="s">
        <v>342</v>
      </c>
      <c r="E2134">
        <v>24.15</v>
      </c>
      <c r="F2134">
        <v>17.940000000000001</v>
      </c>
      <c r="G2134">
        <v>14.96</v>
      </c>
      <c r="H2134">
        <v>32.9</v>
      </c>
      <c r="I2134" t="s">
        <v>344</v>
      </c>
      <c r="J2134">
        <v>96.78</v>
      </c>
      <c r="K2134">
        <v>-0.9</v>
      </c>
      <c r="L2134" t="s">
        <v>346</v>
      </c>
      <c r="M2134" s="1">
        <v>9.0000000000000011E-3</v>
      </c>
      <c r="N2134" t="s">
        <v>349</v>
      </c>
      <c r="O2134">
        <v>4.3899999999999997</v>
      </c>
      <c r="P2134" t="s">
        <v>343</v>
      </c>
      <c r="Q2134">
        <v>-0.57999999999999996</v>
      </c>
      <c r="R2134" t="s">
        <v>343</v>
      </c>
      <c r="S2134">
        <v>1</v>
      </c>
    </row>
    <row r="2135" spans="1:19" x14ac:dyDescent="0.25">
      <c r="A2135" t="s">
        <v>46</v>
      </c>
      <c r="B2135" t="s">
        <v>102</v>
      </c>
      <c r="C2135">
        <v>920</v>
      </c>
      <c r="D2135" t="s">
        <v>342</v>
      </c>
      <c r="E2135">
        <v>24.15</v>
      </c>
      <c r="F2135">
        <v>17.75</v>
      </c>
      <c r="G2135">
        <v>16.850000000000001</v>
      </c>
      <c r="H2135">
        <v>34.61</v>
      </c>
      <c r="I2135" t="s">
        <v>344</v>
      </c>
      <c r="J2135">
        <v>96.69</v>
      </c>
      <c r="K2135">
        <v>-0.43</v>
      </c>
      <c r="L2135" t="s">
        <v>346</v>
      </c>
      <c r="M2135" s="1">
        <v>4.3E-3</v>
      </c>
      <c r="N2135" t="s">
        <v>349</v>
      </c>
      <c r="O2135">
        <v>3.93</v>
      </c>
      <c r="P2135" t="s">
        <v>344</v>
      </c>
      <c r="Q2135">
        <v>0.33</v>
      </c>
      <c r="R2135" t="s">
        <v>343</v>
      </c>
      <c r="S2135">
        <v>1</v>
      </c>
    </row>
    <row r="2136" spans="1:19" x14ac:dyDescent="0.25">
      <c r="A2136" t="s">
        <v>46</v>
      </c>
      <c r="B2136" t="s">
        <v>103</v>
      </c>
      <c r="C2136">
        <v>940</v>
      </c>
      <c r="D2136" t="s">
        <v>342</v>
      </c>
      <c r="E2136">
        <v>24.15</v>
      </c>
      <c r="F2136">
        <v>17.12</v>
      </c>
      <c r="G2136">
        <v>20</v>
      </c>
      <c r="H2136">
        <v>37.119999999999997</v>
      </c>
      <c r="I2136" t="s">
        <v>344</v>
      </c>
      <c r="J2136">
        <v>96.78</v>
      </c>
      <c r="K2136">
        <v>0.41</v>
      </c>
      <c r="L2136" t="s">
        <v>346</v>
      </c>
      <c r="M2136" s="1">
        <v>4.0999999999999986E-3</v>
      </c>
      <c r="N2136" t="s">
        <v>349</v>
      </c>
      <c r="O2136">
        <v>3.24</v>
      </c>
      <c r="P2136" t="s">
        <v>344</v>
      </c>
      <c r="Q2136">
        <v>-3.45</v>
      </c>
      <c r="R2136" t="s">
        <v>344</v>
      </c>
      <c r="S2136">
        <v>1</v>
      </c>
    </row>
    <row r="2137" spans="1:19" x14ac:dyDescent="0.25">
      <c r="A2137" t="s">
        <v>46</v>
      </c>
      <c r="B2137" t="s">
        <v>104</v>
      </c>
      <c r="C2137">
        <v>960</v>
      </c>
      <c r="D2137" t="s">
        <v>342</v>
      </c>
      <c r="E2137">
        <v>24.15</v>
      </c>
      <c r="F2137">
        <v>17.12</v>
      </c>
      <c r="G2137">
        <v>20</v>
      </c>
      <c r="H2137">
        <v>37.119999999999997</v>
      </c>
      <c r="I2137" t="s">
        <v>344</v>
      </c>
      <c r="J2137">
        <v>97.18</v>
      </c>
      <c r="K2137">
        <v>2.02</v>
      </c>
      <c r="L2137" t="s">
        <v>346</v>
      </c>
      <c r="M2137" s="1">
        <v>2.0199999999999999E-2</v>
      </c>
      <c r="N2137" t="s">
        <v>350</v>
      </c>
      <c r="O2137">
        <v>1.84</v>
      </c>
      <c r="P2137" t="s">
        <v>343</v>
      </c>
      <c r="Q2137">
        <v>-0.09</v>
      </c>
      <c r="R2137" t="s">
        <v>343</v>
      </c>
      <c r="S2137">
        <v>1</v>
      </c>
    </row>
    <row r="2138" spans="1:19" x14ac:dyDescent="0.25">
      <c r="A2138" t="s">
        <v>46</v>
      </c>
      <c r="B2138" t="s">
        <v>105</v>
      </c>
      <c r="C2138">
        <v>980</v>
      </c>
      <c r="D2138" t="s">
        <v>342</v>
      </c>
      <c r="E2138">
        <v>24.15</v>
      </c>
      <c r="F2138">
        <v>15.66</v>
      </c>
      <c r="G2138">
        <v>17.68</v>
      </c>
      <c r="H2138">
        <v>33.340000000000003</v>
      </c>
      <c r="I2138" t="s">
        <v>344</v>
      </c>
      <c r="J2138">
        <v>97.74</v>
      </c>
      <c r="K2138">
        <v>2.77</v>
      </c>
      <c r="L2138" t="s">
        <v>346</v>
      </c>
      <c r="M2138" s="1">
        <v>2.7699999999999999E-2</v>
      </c>
      <c r="N2138" t="s">
        <v>350</v>
      </c>
      <c r="O2138">
        <v>2.38</v>
      </c>
      <c r="P2138" t="s">
        <v>344</v>
      </c>
      <c r="Q2138">
        <v>-0.71</v>
      </c>
      <c r="R2138" t="s">
        <v>343</v>
      </c>
      <c r="S2138">
        <v>1</v>
      </c>
    </row>
    <row r="2139" spans="1:19" x14ac:dyDescent="0.25">
      <c r="A2139" t="s">
        <v>46</v>
      </c>
      <c r="B2139" t="s">
        <v>106</v>
      </c>
      <c r="C2139">
        <v>1000</v>
      </c>
      <c r="D2139" t="s">
        <v>342</v>
      </c>
      <c r="E2139">
        <v>24.15</v>
      </c>
      <c r="F2139">
        <v>15.66</v>
      </c>
      <c r="G2139">
        <v>17.68</v>
      </c>
      <c r="H2139">
        <v>33.340000000000003</v>
      </c>
      <c r="I2139" t="s">
        <v>344</v>
      </c>
      <c r="J2139">
        <v>98.21</v>
      </c>
      <c r="K2139">
        <v>2.35</v>
      </c>
      <c r="L2139" t="s">
        <v>346</v>
      </c>
      <c r="M2139" s="1">
        <v>2.35E-2</v>
      </c>
      <c r="N2139" t="s">
        <v>350</v>
      </c>
      <c r="O2139">
        <v>1.37</v>
      </c>
      <c r="P2139" t="s">
        <v>343</v>
      </c>
      <c r="Q2139">
        <v>0.56000000000000005</v>
      </c>
      <c r="R2139" t="s">
        <v>343</v>
      </c>
      <c r="S2139">
        <v>1</v>
      </c>
    </row>
    <row r="2140" spans="1:19" x14ac:dyDescent="0.25">
      <c r="A2140" t="s">
        <v>46</v>
      </c>
      <c r="B2140" t="s">
        <v>108</v>
      </c>
      <c r="C2140">
        <v>1020</v>
      </c>
      <c r="D2140" t="s">
        <v>342</v>
      </c>
      <c r="E2140">
        <v>24.15</v>
      </c>
      <c r="F2140">
        <v>15.66</v>
      </c>
      <c r="G2140">
        <v>16.809999999999999</v>
      </c>
      <c r="H2140">
        <v>32.47</v>
      </c>
      <c r="I2140" t="s">
        <v>344</v>
      </c>
      <c r="J2140">
        <v>98.3</v>
      </c>
      <c r="K2140">
        <v>0.48</v>
      </c>
      <c r="L2140" t="s">
        <v>346</v>
      </c>
      <c r="M2140" s="1">
        <v>4.7999999999999996E-3</v>
      </c>
      <c r="N2140" t="s">
        <v>349</v>
      </c>
      <c r="O2140">
        <v>3.93</v>
      </c>
      <c r="P2140" t="s">
        <v>344</v>
      </c>
      <c r="Q2140">
        <v>-0.32</v>
      </c>
      <c r="R2140" t="s">
        <v>343</v>
      </c>
      <c r="S2140">
        <v>1</v>
      </c>
    </row>
    <row r="2141" spans="1:19" x14ac:dyDescent="0.25">
      <c r="A2141" t="s">
        <v>46</v>
      </c>
      <c r="B2141" t="s">
        <v>109</v>
      </c>
      <c r="C2141">
        <v>1040</v>
      </c>
      <c r="D2141" t="s">
        <v>342</v>
      </c>
      <c r="E2141">
        <v>24.15</v>
      </c>
      <c r="F2141">
        <v>17.64</v>
      </c>
      <c r="G2141">
        <v>16.47</v>
      </c>
      <c r="H2141">
        <v>34.11</v>
      </c>
      <c r="I2141" t="s">
        <v>344</v>
      </c>
      <c r="J2141">
        <v>98.19</v>
      </c>
      <c r="K2141">
        <v>-0.57999999999999996</v>
      </c>
      <c r="L2141" t="s">
        <v>346</v>
      </c>
      <c r="M2141" s="1">
        <v>5.7999999999999996E-3</v>
      </c>
      <c r="N2141" t="s">
        <v>349</v>
      </c>
      <c r="O2141">
        <v>3.86</v>
      </c>
      <c r="P2141" t="s">
        <v>344</v>
      </c>
      <c r="Q2141">
        <v>-1.92</v>
      </c>
      <c r="R2141" t="s">
        <v>343</v>
      </c>
      <c r="S2141">
        <v>1</v>
      </c>
    </row>
    <row r="2142" spans="1:19" x14ac:dyDescent="0.25">
      <c r="A2142" t="s">
        <v>46</v>
      </c>
      <c r="B2142" t="s">
        <v>110</v>
      </c>
      <c r="C2142">
        <v>1060</v>
      </c>
      <c r="D2142" t="s">
        <v>342</v>
      </c>
      <c r="E2142">
        <v>24.15</v>
      </c>
      <c r="F2142">
        <v>17.09</v>
      </c>
      <c r="G2142">
        <v>17.329999999999998</v>
      </c>
      <c r="H2142">
        <v>34.42</v>
      </c>
      <c r="I2142" t="s">
        <v>344</v>
      </c>
      <c r="J2142">
        <v>97.84</v>
      </c>
      <c r="K2142">
        <v>-1.72</v>
      </c>
      <c r="L2142" t="s">
        <v>346</v>
      </c>
      <c r="M2142" s="1">
        <v>1.72E-2</v>
      </c>
      <c r="N2142" t="s">
        <v>349</v>
      </c>
      <c r="O2142">
        <v>2.88</v>
      </c>
      <c r="P2142" t="s">
        <v>344</v>
      </c>
      <c r="Q2142">
        <v>-3.42</v>
      </c>
      <c r="R2142" t="s">
        <v>344</v>
      </c>
      <c r="S2142">
        <v>1</v>
      </c>
    </row>
    <row r="2143" spans="1:19" x14ac:dyDescent="0.25">
      <c r="A2143" t="s">
        <v>46</v>
      </c>
      <c r="B2143" t="s">
        <v>111</v>
      </c>
      <c r="C2143">
        <v>1080</v>
      </c>
      <c r="D2143" t="s">
        <v>342</v>
      </c>
      <c r="E2143">
        <v>24.15</v>
      </c>
      <c r="F2143">
        <v>17.88</v>
      </c>
      <c r="G2143">
        <v>16.12</v>
      </c>
      <c r="H2143">
        <v>34.01</v>
      </c>
      <c r="I2143" t="s">
        <v>344</v>
      </c>
      <c r="J2143">
        <v>97.57</v>
      </c>
      <c r="K2143">
        <v>-1.36</v>
      </c>
      <c r="L2143" t="s">
        <v>346</v>
      </c>
      <c r="M2143" s="1">
        <v>1.3599999999999999E-2</v>
      </c>
      <c r="N2143" t="s">
        <v>349</v>
      </c>
      <c r="O2143">
        <v>2.98</v>
      </c>
      <c r="P2143" t="s">
        <v>344</v>
      </c>
      <c r="Q2143">
        <v>-3.24</v>
      </c>
      <c r="R2143" t="s">
        <v>344</v>
      </c>
      <c r="S2143">
        <v>1</v>
      </c>
    </row>
    <row r="2144" spans="1:19" x14ac:dyDescent="0.25">
      <c r="A2144" t="s">
        <v>46</v>
      </c>
      <c r="B2144" t="s">
        <v>112</v>
      </c>
      <c r="C2144">
        <v>1100</v>
      </c>
      <c r="D2144" t="s">
        <v>342</v>
      </c>
      <c r="E2144">
        <v>24.15</v>
      </c>
      <c r="F2144">
        <v>17.88</v>
      </c>
      <c r="G2144">
        <v>15.4</v>
      </c>
      <c r="H2144">
        <v>33.28</v>
      </c>
      <c r="I2144" t="s">
        <v>344</v>
      </c>
      <c r="J2144">
        <v>97.18</v>
      </c>
      <c r="K2144">
        <v>-1.93</v>
      </c>
      <c r="L2144" t="s">
        <v>346</v>
      </c>
      <c r="M2144" s="1">
        <v>1.9300000000000001E-2</v>
      </c>
      <c r="N2144" t="s">
        <v>349</v>
      </c>
      <c r="O2144">
        <v>3.51</v>
      </c>
      <c r="P2144" t="s">
        <v>344</v>
      </c>
      <c r="Q2144">
        <v>-3.24</v>
      </c>
      <c r="R2144" t="s">
        <v>344</v>
      </c>
      <c r="S2144">
        <v>1</v>
      </c>
    </row>
    <row r="2145" spans="1:19" x14ac:dyDescent="0.25">
      <c r="A2145" t="s">
        <v>46</v>
      </c>
      <c r="B2145" t="s">
        <v>113</v>
      </c>
      <c r="C2145">
        <v>1120</v>
      </c>
      <c r="D2145" t="s">
        <v>342</v>
      </c>
      <c r="E2145">
        <v>24.15</v>
      </c>
      <c r="F2145">
        <v>18.190000000000001</v>
      </c>
      <c r="G2145">
        <v>15.81</v>
      </c>
      <c r="H2145">
        <v>34</v>
      </c>
      <c r="I2145" t="s">
        <v>344</v>
      </c>
      <c r="J2145">
        <v>96.76</v>
      </c>
      <c r="K2145">
        <v>-2.13</v>
      </c>
      <c r="L2145" t="s">
        <v>346</v>
      </c>
      <c r="M2145" s="1">
        <v>2.1299999999999999E-2</v>
      </c>
      <c r="N2145" t="s">
        <v>350</v>
      </c>
      <c r="O2145">
        <v>2.2599999999999998</v>
      </c>
      <c r="P2145" t="s">
        <v>344</v>
      </c>
      <c r="Q2145">
        <v>-1.7</v>
      </c>
      <c r="R2145" t="s">
        <v>343</v>
      </c>
      <c r="S2145">
        <v>1</v>
      </c>
    </row>
    <row r="2146" spans="1:19" x14ac:dyDescent="0.25">
      <c r="A2146" t="s">
        <v>46</v>
      </c>
      <c r="B2146" t="s">
        <v>114</v>
      </c>
      <c r="C2146">
        <v>1140</v>
      </c>
      <c r="D2146" t="s">
        <v>342</v>
      </c>
      <c r="E2146">
        <v>24.15</v>
      </c>
      <c r="F2146">
        <v>17.510000000000002</v>
      </c>
      <c r="G2146">
        <v>17.170000000000002</v>
      </c>
      <c r="H2146">
        <v>34.68</v>
      </c>
      <c r="I2146" t="s">
        <v>344</v>
      </c>
      <c r="J2146">
        <v>96.33</v>
      </c>
      <c r="K2146">
        <v>-2.13</v>
      </c>
      <c r="L2146" t="s">
        <v>346</v>
      </c>
      <c r="M2146" s="1">
        <v>2.1299999999999999E-2</v>
      </c>
      <c r="N2146" t="s">
        <v>350</v>
      </c>
      <c r="O2146">
        <v>2.86</v>
      </c>
      <c r="P2146" t="s">
        <v>344</v>
      </c>
      <c r="Q2146">
        <v>-0.73</v>
      </c>
      <c r="R2146" t="s">
        <v>343</v>
      </c>
      <c r="S2146">
        <v>1</v>
      </c>
    </row>
    <row r="2147" spans="1:19" x14ac:dyDescent="0.25">
      <c r="A2147" t="s">
        <v>46</v>
      </c>
      <c r="B2147" t="s">
        <v>115</v>
      </c>
      <c r="C2147">
        <v>1160</v>
      </c>
      <c r="D2147" t="s">
        <v>342</v>
      </c>
      <c r="E2147">
        <v>24.15</v>
      </c>
      <c r="F2147">
        <v>16.760000000000002</v>
      </c>
      <c r="G2147">
        <v>17.100000000000001</v>
      </c>
      <c r="H2147">
        <v>33.869999999999997</v>
      </c>
      <c r="I2147" t="s">
        <v>344</v>
      </c>
      <c r="J2147">
        <v>95.89</v>
      </c>
      <c r="K2147">
        <v>-2.23</v>
      </c>
      <c r="L2147" t="s">
        <v>346</v>
      </c>
      <c r="M2147" s="1">
        <v>2.23E-2</v>
      </c>
      <c r="N2147" t="s">
        <v>350</v>
      </c>
      <c r="O2147">
        <v>3.5</v>
      </c>
      <c r="P2147" t="s">
        <v>344</v>
      </c>
      <c r="Q2147">
        <v>-1.27</v>
      </c>
      <c r="R2147" t="s">
        <v>343</v>
      </c>
      <c r="S2147">
        <v>1</v>
      </c>
    </row>
    <row r="2148" spans="1:19" x14ac:dyDescent="0.25">
      <c r="A2148" t="s">
        <v>46</v>
      </c>
      <c r="B2148" t="s">
        <v>116</v>
      </c>
      <c r="C2148">
        <v>1180</v>
      </c>
      <c r="D2148" t="s">
        <v>342</v>
      </c>
      <c r="E2148">
        <v>24.15</v>
      </c>
      <c r="F2148">
        <v>15.89</v>
      </c>
      <c r="G2148">
        <v>16.62</v>
      </c>
      <c r="H2148">
        <v>32.51</v>
      </c>
      <c r="I2148" t="s">
        <v>344</v>
      </c>
      <c r="J2148">
        <v>95.57</v>
      </c>
      <c r="K2148">
        <v>-1.61</v>
      </c>
      <c r="L2148" t="s">
        <v>346</v>
      </c>
      <c r="M2148" s="1">
        <v>1.61E-2</v>
      </c>
      <c r="N2148" t="s">
        <v>349</v>
      </c>
      <c r="O2148">
        <v>5.29</v>
      </c>
      <c r="P2148" t="s">
        <v>343</v>
      </c>
      <c r="Q2148">
        <v>-0.86</v>
      </c>
      <c r="R2148" t="s">
        <v>343</v>
      </c>
      <c r="S2148">
        <v>1</v>
      </c>
    </row>
    <row r="2149" spans="1:19" x14ac:dyDescent="0.25">
      <c r="A2149" t="s">
        <v>46</v>
      </c>
      <c r="B2149" t="s">
        <v>117</v>
      </c>
      <c r="C2149">
        <v>1200</v>
      </c>
      <c r="D2149" t="s">
        <v>342</v>
      </c>
      <c r="E2149">
        <v>24.15</v>
      </c>
      <c r="F2149">
        <v>15.6</v>
      </c>
      <c r="G2149">
        <v>13.94</v>
      </c>
      <c r="H2149">
        <v>29.54</v>
      </c>
      <c r="I2149" t="s">
        <v>344</v>
      </c>
      <c r="J2149">
        <v>95.17</v>
      </c>
      <c r="K2149">
        <v>-1.99</v>
      </c>
      <c r="L2149" t="s">
        <v>346</v>
      </c>
      <c r="M2149" s="1">
        <v>1.9900000000000001E-2</v>
      </c>
      <c r="N2149" t="s">
        <v>349</v>
      </c>
      <c r="O2149">
        <v>4.29</v>
      </c>
      <c r="P2149" t="s">
        <v>343</v>
      </c>
      <c r="Q2149">
        <v>-1.56</v>
      </c>
      <c r="R2149" t="s">
        <v>343</v>
      </c>
      <c r="S2149">
        <v>1</v>
      </c>
    </row>
    <row r="2150" spans="1:19" x14ac:dyDescent="0.25">
      <c r="A2150" t="s">
        <v>46</v>
      </c>
      <c r="B2150" t="s">
        <v>118</v>
      </c>
      <c r="C2150">
        <v>1220</v>
      </c>
      <c r="D2150" t="s">
        <v>342</v>
      </c>
      <c r="E2150">
        <v>24.15</v>
      </c>
      <c r="F2150">
        <v>14.91</v>
      </c>
      <c r="G2150">
        <v>13.94</v>
      </c>
      <c r="H2150">
        <v>28.85</v>
      </c>
      <c r="I2150" t="s">
        <v>344</v>
      </c>
      <c r="J2150">
        <v>94.77</v>
      </c>
      <c r="K2150">
        <v>-1.98</v>
      </c>
      <c r="L2150" t="s">
        <v>346</v>
      </c>
      <c r="M2150" s="1">
        <v>1.9800000000000002E-2</v>
      </c>
      <c r="N2150" t="s">
        <v>349</v>
      </c>
      <c r="O2150">
        <v>4.55</v>
      </c>
      <c r="P2150" t="s">
        <v>343</v>
      </c>
      <c r="Q2150">
        <v>-1.49</v>
      </c>
      <c r="R2150" t="s">
        <v>343</v>
      </c>
      <c r="S2150">
        <v>1</v>
      </c>
    </row>
    <row r="2151" spans="1:19" x14ac:dyDescent="0.25">
      <c r="A2151" t="s">
        <v>46</v>
      </c>
      <c r="B2151" t="s">
        <v>119</v>
      </c>
      <c r="C2151">
        <v>1240</v>
      </c>
      <c r="D2151" t="s">
        <v>342</v>
      </c>
      <c r="E2151">
        <v>24.15</v>
      </c>
      <c r="F2151">
        <v>14.47</v>
      </c>
      <c r="G2151">
        <v>13.24</v>
      </c>
      <c r="H2151">
        <v>27.72</v>
      </c>
      <c r="I2151" t="s">
        <v>344</v>
      </c>
      <c r="J2151">
        <v>94.42</v>
      </c>
      <c r="K2151">
        <v>-1.77</v>
      </c>
      <c r="L2151" t="s">
        <v>346</v>
      </c>
      <c r="M2151" s="1">
        <v>1.77E-2</v>
      </c>
      <c r="N2151" t="s">
        <v>349</v>
      </c>
      <c r="O2151">
        <v>9.86</v>
      </c>
      <c r="P2151" t="s">
        <v>343</v>
      </c>
      <c r="Q2151">
        <v>-0.6</v>
      </c>
      <c r="R2151" t="s">
        <v>343</v>
      </c>
      <c r="S2151">
        <v>1</v>
      </c>
    </row>
    <row r="2152" spans="1:19" x14ac:dyDescent="0.25">
      <c r="A2152" t="s">
        <v>46</v>
      </c>
      <c r="B2152" t="s">
        <v>120</v>
      </c>
      <c r="C2152">
        <v>1260</v>
      </c>
      <c r="D2152" t="s">
        <v>342</v>
      </c>
      <c r="E2152">
        <v>24.15</v>
      </c>
      <c r="F2152">
        <v>12.35</v>
      </c>
      <c r="G2152">
        <v>14.89</v>
      </c>
      <c r="H2152">
        <v>27.24</v>
      </c>
      <c r="I2152" t="s">
        <v>344</v>
      </c>
      <c r="J2152">
        <v>93.88</v>
      </c>
      <c r="K2152">
        <v>-2.68</v>
      </c>
      <c r="L2152" t="s">
        <v>346</v>
      </c>
      <c r="M2152" s="1">
        <v>2.6800000000000001E-2</v>
      </c>
      <c r="N2152" t="s">
        <v>350</v>
      </c>
      <c r="O2152">
        <v>3.19</v>
      </c>
      <c r="P2152" t="s">
        <v>344</v>
      </c>
      <c r="Q2152">
        <v>-0.4</v>
      </c>
      <c r="R2152" t="s">
        <v>343</v>
      </c>
      <c r="S2152">
        <v>1</v>
      </c>
    </row>
    <row r="2153" spans="1:19" x14ac:dyDescent="0.25">
      <c r="A2153" t="s">
        <v>46</v>
      </c>
      <c r="B2153" t="s">
        <v>121</v>
      </c>
      <c r="C2153">
        <v>1280</v>
      </c>
      <c r="D2153" t="s">
        <v>342</v>
      </c>
      <c r="E2153">
        <v>24.15</v>
      </c>
      <c r="F2153">
        <v>12.35</v>
      </c>
      <c r="G2153">
        <v>15.81</v>
      </c>
      <c r="H2153">
        <v>28.16</v>
      </c>
      <c r="I2153" t="s">
        <v>344</v>
      </c>
      <c r="J2153">
        <v>93.31</v>
      </c>
      <c r="K2153">
        <v>-2.86</v>
      </c>
      <c r="L2153" t="s">
        <v>346</v>
      </c>
      <c r="M2153" s="1">
        <v>2.86E-2</v>
      </c>
      <c r="N2153" t="s">
        <v>350</v>
      </c>
      <c r="O2153">
        <v>3.4</v>
      </c>
      <c r="P2153" t="s">
        <v>344</v>
      </c>
      <c r="Q2153">
        <v>-0.08</v>
      </c>
      <c r="R2153" t="s">
        <v>343</v>
      </c>
      <c r="S2153">
        <v>1</v>
      </c>
    </row>
    <row r="2154" spans="1:19" x14ac:dyDescent="0.25">
      <c r="A2154" t="s">
        <v>46</v>
      </c>
      <c r="B2154" t="s">
        <v>123</v>
      </c>
      <c r="C2154">
        <v>1300</v>
      </c>
      <c r="D2154" t="s">
        <v>342</v>
      </c>
      <c r="E2154">
        <v>24.15</v>
      </c>
      <c r="F2154">
        <v>12.19</v>
      </c>
      <c r="G2154">
        <v>15.89</v>
      </c>
      <c r="H2154">
        <v>28.09</v>
      </c>
      <c r="I2154" t="s">
        <v>344</v>
      </c>
      <c r="J2154">
        <v>92.52</v>
      </c>
      <c r="K2154">
        <v>-3.95</v>
      </c>
      <c r="L2154" t="s">
        <v>346</v>
      </c>
      <c r="M2154" s="1">
        <v>3.95E-2</v>
      </c>
      <c r="N2154" t="s">
        <v>350</v>
      </c>
      <c r="O2154">
        <v>3.85</v>
      </c>
      <c r="P2154" t="s">
        <v>344</v>
      </c>
      <c r="Q2154">
        <v>-1.06</v>
      </c>
      <c r="R2154" t="s">
        <v>343</v>
      </c>
      <c r="S2154">
        <v>1</v>
      </c>
    </row>
    <row r="2155" spans="1:19" x14ac:dyDescent="0.25">
      <c r="A2155" t="s">
        <v>46</v>
      </c>
      <c r="B2155" t="s">
        <v>124</v>
      </c>
      <c r="C2155">
        <v>1320</v>
      </c>
      <c r="D2155" t="s">
        <v>342</v>
      </c>
      <c r="E2155">
        <v>24.15</v>
      </c>
      <c r="F2155">
        <v>13.11</v>
      </c>
      <c r="G2155">
        <v>15.86</v>
      </c>
      <c r="H2155">
        <v>28.97</v>
      </c>
      <c r="I2155" t="s">
        <v>344</v>
      </c>
      <c r="J2155">
        <v>91.84</v>
      </c>
      <c r="K2155">
        <v>-3.41</v>
      </c>
      <c r="L2155" t="s">
        <v>346</v>
      </c>
      <c r="M2155" s="1">
        <v>3.4099999999999998E-2</v>
      </c>
      <c r="N2155" t="s">
        <v>350</v>
      </c>
      <c r="O2155">
        <v>4.28</v>
      </c>
      <c r="P2155" t="s">
        <v>343</v>
      </c>
      <c r="Q2155">
        <v>-2.42</v>
      </c>
      <c r="R2155" t="s">
        <v>344</v>
      </c>
      <c r="S2155">
        <v>1</v>
      </c>
    </row>
    <row r="2156" spans="1:19" x14ac:dyDescent="0.25">
      <c r="A2156" t="s">
        <v>46</v>
      </c>
      <c r="B2156" t="s">
        <v>125</v>
      </c>
      <c r="C2156">
        <v>1340</v>
      </c>
      <c r="D2156" t="s">
        <v>342</v>
      </c>
      <c r="E2156">
        <v>24.15</v>
      </c>
      <c r="F2156">
        <v>14.54</v>
      </c>
      <c r="G2156">
        <v>16.309999999999999</v>
      </c>
      <c r="H2156">
        <v>30.86</v>
      </c>
      <c r="I2156" t="s">
        <v>344</v>
      </c>
      <c r="J2156">
        <v>91.11</v>
      </c>
      <c r="K2156">
        <v>-3.65</v>
      </c>
      <c r="L2156" t="s">
        <v>346</v>
      </c>
      <c r="M2156" s="1">
        <v>3.6499999999999998E-2</v>
      </c>
      <c r="N2156" t="s">
        <v>350</v>
      </c>
      <c r="O2156">
        <v>3.42</v>
      </c>
      <c r="P2156" t="s">
        <v>344</v>
      </c>
      <c r="Q2156">
        <v>-1.87</v>
      </c>
      <c r="R2156" t="s">
        <v>343</v>
      </c>
      <c r="S2156">
        <v>1</v>
      </c>
    </row>
    <row r="2157" spans="1:19" x14ac:dyDescent="0.25">
      <c r="A2157" t="s">
        <v>46</v>
      </c>
      <c r="B2157" t="s">
        <v>126</v>
      </c>
      <c r="C2157">
        <v>1360</v>
      </c>
      <c r="D2157" t="s">
        <v>342</v>
      </c>
      <c r="E2157">
        <v>24.15</v>
      </c>
      <c r="F2157">
        <v>17.05</v>
      </c>
      <c r="G2157">
        <v>15.93</v>
      </c>
      <c r="H2157">
        <v>32.99</v>
      </c>
      <c r="I2157" t="s">
        <v>344</v>
      </c>
      <c r="J2157">
        <v>90.38</v>
      </c>
      <c r="K2157">
        <v>-3.66</v>
      </c>
      <c r="L2157" t="s">
        <v>346</v>
      </c>
      <c r="M2157" s="1">
        <v>3.6600000000000001E-2</v>
      </c>
      <c r="N2157" t="s">
        <v>350</v>
      </c>
      <c r="O2157">
        <v>4.58</v>
      </c>
      <c r="P2157" t="s">
        <v>343</v>
      </c>
      <c r="Q2157">
        <v>-1.47</v>
      </c>
      <c r="R2157" t="s">
        <v>343</v>
      </c>
      <c r="S2157">
        <v>1</v>
      </c>
    </row>
    <row r="2158" spans="1:19" x14ac:dyDescent="0.25">
      <c r="A2158" t="s">
        <v>46</v>
      </c>
      <c r="B2158" t="s">
        <v>127</v>
      </c>
      <c r="C2158">
        <v>1380</v>
      </c>
      <c r="D2158" t="s">
        <v>342</v>
      </c>
      <c r="E2158">
        <v>24.15</v>
      </c>
      <c r="F2158">
        <v>17.05</v>
      </c>
      <c r="G2158">
        <v>15.19</v>
      </c>
      <c r="H2158">
        <v>32.25</v>
      </c>
      <c r="I2158" t="s">
        <v>344</v>
      </c>
      <c r="J2158">
        <v>89.51</v>
      </c>
      <c r="K2158">
        <v>-4.34</v>
      </c>
      <c r="L2158" t="s">
        <v>346</v>
      </c>
      <c r="M2158" s="1">
        <v>4.3400000000000001E-2</v>
      </c>
      <c r="N2158" t="s">
        <v>350</v>
      </c>
      <c r="O2158">
        <v>2.1</v>
      </c>
      <c r="P2158" t="s">
        <v>344</v>
      </c>
      <c r="Q2158">
        <v>-2.2999999999999998</v>
      </c>
      <c r="R2158" t="s">
        <v>344</v>
      </c>
      <c r="S2158">
        <v>1</v>
      </c>
    </row>
    <row r="2159" spans="1:19" x14ac:dyDescent="0.25">
      <c r="A2159" t="s">
        <v>46</v>
      </c>
      <c r="B2159" t="s">
        <v>128</v>
      </c>
      <c r="C2159">
        <v>1400</v>
      </c>
      <c r="D2159" t="s">
        <v>342</v>
      </c>
      <c r="E2159">
        <v>24.15</v>
      </c>
      <c r="F2159">
        <v>17.93</v>
      </c>
      <c r="G2159">
        <v>15.93</v>
      </c>
      <c r="H2159">
        <v>33.86</v>
      </c>
      <c r="I2159" t="s">
        <v>344</v>
      </c>
      <c r="J2159">
        <v>90.48</v>
      </c>
      <c r="K2159">
        <v>4.84</v>
      </c>
      <c r="L2159" t="s">
        <v>346</v>
      </c>
      <c r="M2159" s="1">
        <v>4.8399999999999999E-2</v>
      </c>
      <c r="N2159" t="s">
        <v>350</v>
      </c>
      <c r="O2159">
        <v>1.81</v>
      </c>
      <c r="P2159" t="s">
        <v>343</v>
      </c>
      <c r="Q2159">
        <v>-0.63</v>
      </c>
      <c r="R2159" t="s">
        <v>343</v>
      </c>
      <c r="S2159">
        <v>1</v>
      </c>
    </row>
    <row r="2160" spans="1:19" x14ac:dyDescent="0.25">
      <c r="A2160" t="s">
        <v>46</v>
      </c>
      <c r="B2160" t="s">
        <v>129</v>
      </c>
      <c r="C2160">
        <v>1420</v>
      </c>
      <c r="D2160" t="s">
        <v>342</v>
      </c>
      <c r="E2160">
        <v>24.15</v>
      </c>
      <c r="F2160">
        <v>20</v>
      </c>
      <c r="G2160">
        <v>17.3</v>
      </c>
      <c r="H2160">
        <v>37.299999999999997</v>
      </c>
      <c r="I2160" t="s">
        <v>344</v>
      </c>
      <c r="J2160">
        <v>89.35</v>
      </c>
      <c r="K2160">
        <v>-5.61</v>
      </c>
      <c r="L2160" t="s">
        <v>346</v>
      </c>
      <c r="M2160" s="1">
        <v>5.6099999999999997E-2</v>
      </c>
      <c r="N2160" t="s">
        <v>350</v>
      </c>
      <c r="O2160">
        <v>-3.19</v>
      </c>
      <c r="P2160" t="s">
        <v>344</v>
      </c>
      <c r="Q2160">
        <v>-1.91</v>
      </c>
      <c r="R2160" t="s">
        <v>343</v>
      </c>
      <c r="S2160">
        <v>1</v>
      </c>
    </row>
    <row r="2161" spans="1:19" x14ac:dyDescent="0.25">
      <c r="A2161" t="s">
        <v>46</v>
      </c>
      <c r="B2161" t="s">
        <v>130</v>
      </c>
      <c r="C2161">
        <v>1440</v>
      </c>
      <c r="D2161" t="s">
        <v>342</v>
      </c>
      <c r="E2161">
        <v>24.15</v>
      </c>
      <c r="F2161">
        <v>17.93</v>
      </c>
      <c r="G2161">
        <v>17.600000000000001</v>
      </c>
      <c r="H2161">
        <v>35.53</v>
      </c>
      <c r="I2161" t="s">
        <v>344</v>
      </c>
      <c r="J2161">
        <v>89.89</v>
      </c>
      <c r="K2161">
        <v>2.68</v>
      </c>
      <c r="L2161" t="s">
        <v>346</v>
      </c>
      <c r="M2161" s="1">
        <v>2.6800000000000001E-2</v>
      </c>
      <c r="N2161" t="s">
        <v>350</v>
      </c>
      <c r="O2161">
        <v>5.21</v>
      </c>
      <c r="P2161" t="s">
        <v>343</v>
      </c>
      <c r="Q2161">
        <v>0.91</v>
      </c>
      <c r="R2161" t="s">
        <v>343</v>
      </c>
      <c r="S2161">
        <v>1</v>
      </c>
    </row>
    <row r="2162" spans="1:19" x14ac:dyDescent="0.25">
      <c r="A2162" t="s">
        <v>46</v>
      </c>
      <c r="B2162" t="s">
        <v>131</v>
      </c>
      <c r="C2162">
        <v>1460</v>
      </c>
      <c r="D2162" t="s">
        <v>342</v>
      </c>
      <c r="E2162">
        <v>24.15</v>
      </c>
      <c r="F2162">
        <v>20</v>
      </c>
      <c r="G2162">
        <v>17.600000000000001</v>
      </c>
      <c r="H2162">
        <v>37.6</v>
      </c>
      <c r="I2162" t="s">
        <v>344</v>
      </c>
      <c r="J2162">
        <v>90.13</v>
      </c>
      <c r="K2162">
        <v>1.18</v>
      </c>
      <c r="L2162" t="s">
        <v>346</v>
      </c>
      <c r="M2162" s="1">
        <v>1.18E-2</v>
      </c>
      <c r="N2162" t="s">
        <v>349</v>
      </c>
      <c r="O2162">
        <v>35.93</v>
      </c>
      <c r="P2162" t="s">
        <v>343</v>
      </c>
      <c r="Q2162">
        <v>-1.81</v>
      </c>
      <c r="R2162" t="s">
        <v>343</v>
      </c>
      <c r="S2162">
        <v>1</v>
      </c>
    </row>
    <row r="2163" spans="1:19" x14ac:dyDescent="0.25">
      <c r="A2163" t="s">
        <v>46</v>
      </c>
      <c r="B2163" t="s">
        <v>132</v>
      </c>
      <c r="C2163">
        <v>1480</v>
      </c>
      <c r="D2163" t="s">
        <v>342</v>
      </c>
      <c r="E2163">
        <v>24.15</v>
      </c>
      <c r="F2163">
        <v>20</v>
      </c>
      <c r="G2163">
        <v>20</v>
      </c>
      <c r="H2163">
        <v>40</v>
      </c>
      <c r="I2163" t="s">
        <v>344</v>
      </c>
      <c r="J2163">
        <v>90.94</v>
      </c>
      <c r="K2163">
        <v>4.0599999999999996</v>
      </c>
      <c r="L2163" t="s">
        <v>346</v>
      </c>
      <c r="M2163" s="1">
        <v>4.0599999999999997E-2</v>
      </c>
      <c r="N2163" t="s">
        <v>350</v>
      </c>
      <c r="O2163">
        <v>1.61</v>
      </c>
      <c r="P2163" t="s">
        <v>343</v>
      </c>
      <c r="Q2163">
        <v>-2.04</v>
      </c>
      <c r="R2163" t="s">
        <v>344</v>
      </c>
      <c r="S2163">
        <v>1</v>
      </c>
    </row>
    <row r="2164" spans="1:19" x14ac:dyDescent="0.25">
      <c r="A2164" t="s">
        <v>46</v>
      </c>
      <c r="B2164" t="s">
        <v>133</v>
      </c>
      <c r="C2164">
        <v>1500</v>
      </c>
      <c r="D2164" t="s">
        <v>342</v>
      </c>
      <c r="E2164">
        <v>24.15</v>
      </c>
      <c r="F2164">
        <v>18.29</v>
      </c>
      <c r="G2164">
        <v>20</v>
      </c>
      <c r="H2164">
        <v>38.29</v>
      </c>
      <c r="I2164" t="s">
        <v>344</v>
      </c>
      <c r="J2164">
        <v>91.7</v>
      </c>
      <c r="K2164">
        <v>3.79</v>
      </c>
      <c r="L2164" t="s">
        <v>346</v>
      </c>
      <c r="M2164" s="1">
        <v>3.7900000000000003E-2</v>
      </c>
      <c r="N2164" t="s">
        <v>350</v>
      </c>
      <c r="O2164">
        <v>3.28</v>
      </c>
      <c r="P2164" t="s">
        <v>344</v>
      </c>
      <c r="Q2164">
        <v>-2.68</v>
      </c>
      <c r="R2164" t="s">
        <v>344</v>
      </c>
      <c r="S2164">
        <v>1</v>
      </c>
    </row>
    <row r="2165" spans="1:19" x14ac:dyDescent="0.25">
      <c r="A2165" t="s">
        <v>46</v>
      </c>
      <c r="B2165" t="s">
        <v>134</v>
      </c>
      <c r="C2165">
        <v>1520</v>
      </c>
      <c r="D2165" t="s">
        <v>342</v>
      </c>
      <c r="E2165">
        <v>24.15</v>
      </c>
      <c r="F2165">
        <v>17.05</v>
      </c>
      <c r="G2165">
        <v>18.61</v>
      </c>
      <c r="H2165">
        <v>35.67</v>
      </c>
      <c r="I2165" t="s">
        <v>344</v>
      </c>
      <c r="J2165">
        <v>92.71</v>
      </c>
      <c r="K2165">
        <v>5.07</v>
      </c>
      <c r="L2165" t="s">
        <v>346</v>
      </c>
      <c r="M2165" s="1">
        <v>5.0700000000000002E-2</v>
      </c>
      <c r="N2165" t="s">
        <v>350</v>
      </c>
      <c r="O2165">
        <v>3.15</v>
      </c>
      <c r="P2165" t="s">
        <v>344</v>
      </c>
      <c r="Q2165">
        <v>-3.8</v>
      </c>
      <c r="R2165" t="s">
        <v>344</v>
      </c>
      <c r="S2165">
        <v>1</v>
      </c>
    </row>
    <row r="2166" spans="1:19" x14ac:dyDescent="0.25">
      <c r="A2166" t="s">
        <v>46</v>
      </c>
      <c r="B2166" t="s">
        <v>135</v>
      </c>
      <c r="C2166">
        <v>1540</v>
      </c>
      <c r="D2166" t="s">
        <v>342</v>
      </c>
      <c r="E2166">
        <v>24.15</v>
      </c>
      <c r="F2166">
        <v>20</v>
      </c>
      <c r="G2166">
        <v>18.59</v>
      </c>
      <c r="H2166">
        <v>38.590000000000003</v>
      </c>
      <c r="I2166" t="s">
        <v>344</v>
      </c>
      <c r="J2166">
        <v>94.15</v>
      </c>
      <c r="K2166">
        <v>7.19</v>
      </c>
      <c r="L2166" t="s">
        <v>346</v>
      </c>
      <c r="M2166" s="1">
        <v>7.1900000000000006E-2</v>
      </c>
      <c r="N2166" t="s">
        <v>350</v>
      </c>
      <c r="O2166">
        <v>2.34</v>
      </c>
      <c r="P2166" t="s">
        <v>344</v>
      </c>
      <c r="Q2166">
        <v>-1.63</v>
      </c>
      <c r="R2166" t="s">
        <v>343</v>
      </c>
      <c r="S2166">
        <v>1</v>
      </c>
    </row>
    <row r="2167" spans="1:19" x14ac:dyDescent="0.25">
      <c r="A2167" t="s">
        <v>46</v>
      </c>
      <c r="B2167" t="s">
        <v>328</v>
      </c>
      <c r="C2167">
        <v>1546.3209999999999</v>
      </c>
      <c r="D2167" t="s">
        <v>342</v>
      </c>
      <c r="E2167">
        <v>24.15</v>
      </c>
      <c r="F2167">
        <v>18.329999999999998</v>
      </c>
      <c r="G2167">
        <v>20</v>
      </c>
      <c r="H2167">
        <v>38.33</v>
      </c>
      <c r="I2167" t="s">
        <v>344</v>
      </c>
      <c r="J2167">
        <v>95.7</v>
      </c>
      <c r="K2167">
        <v>24.57</v>
      </c>
      <c r="L2167" t="s">
        <v>348</v>
      </c>
      <c r="M2167" s="1">
        <v>0.2457</v>
      </c>
      <c r="N2167" t="s">
        <v>350</v>
      </c>
      <c r="O2167">
        <v>1.79</v>
      </c>
      <c r="P2167" t="s">
        <v>343</v>
      </c>
      <c r="Q2167">
        <v>-1.03</v>
      </c>
      <c r="R2167" t="s">
        <v>343</v>
      </c>
      <c r="S2167">
        <v>0</v>
      </c>
    </row>
    <row r="2168" spans="1:19" x14ac:dyDescent="0.25">
      <c r="A2168" t="s">
        <v>47</v>
      </c>
      <c r="B2168" t="s">
        <v>56</v>
      </c>
      <c r="C2168">
        <v>0</v>
      </c>
      <c r="D2168" t="s">
        <v>342</v>
      </c>
      <c r="E2168">
        <v>24.15</v>
      </c>
      <c r="F2168">
        <v>18.329999999999998</v>
      </c>
      <c r="G2168">
        <v>20</v>
      </c>
      <c r="H2168">
        <v>38.33</v>
      </c>
      <c r="I2168" t="s">
        <v>344</v>
      </c>
      <c r="J2168">
        <v>96.99</v>
      </c>
      <c r="L2168" t="s">
        <v>345</v>
      </c>
      <c r="N2168" t="s">
        <v>345</v>
      </c>
      <c r="O2168">
        <v>2</v>
      </c>
      <c r="P2168" t="s">
        <v>344</v>
      </c>
      <c r="Q2168">
        <v>-1.06</v>
      </c>
      <c r="R2168" t="s">
        <v>343</v>
      </c>
      <c r="S2168">
        <v>1</v>
      </c>
    </row>
    <row r="2169" spans="1:19" x14ac:dyDescent="0.25">
      <c r="A2169" t="s">
        <v>47</v>
      </c>
      <c r="B2169" t="s">
        <v>57</v>
      </c>
      <c r="C2169">
        <v>20</v>
      </c>
      <c r="D2169" t="s">
        <v>342</v>
      </c>
      <c r="E2169">
        <v>24.15</v>
      </c>
      <c r="F2169">
        <v>18.329999999999998</v>
      </c>
      <c r="G2169">
        <v>20</v>
      </c>
      <c r="H2169">
        <v>38.33</v>
      </c>
      <c r="I2169" t="s">
        <v>344</v>
      </c>
      <c r="J2169">
        <v>97.28</v>
      </c>
      <c r="K2169">
        <v>1.45</v>
      </c>
      <c r="L2169" t="s">
        <v>346</v>
      </c>
      <c r="M2169" s="1">
        <v>1.4500000000000001E-2</v>
      </c>
      <c r="N2169" t="s">
        <v>349</v>
      </c>
      <c r="O2169">
        <v>4.45</v>
      </c>
      <c r="P2169" t="s">
        <v>343</v>
      </c>
      <c r="Q2169">
        <v>-1.83</v>
      </c>
      <c r="R2169" t="s">
        <v>343</v>
      </c>
      <c r="S2169">
        <v>1</v>
      </c>
    </row>
    <row r="2170" spans="1:19" x14ac:dyDescent="0.25">
      <c r="A2170" t="s">
        <v>47</v>
      </c>
      <c r="B2170" t="s">
        <v>58</v>
      </c>
      <c r="C2170">
        <v>40</v>
      </c>
      <c r="D2170" t="s">
        <v>342</v>
      </c>
      <c r="E2170">
        <v>24.15</v>
      </c>
      <c r="F2170">
        <v>16.87</v>
      </c>
      <c r="G2170">
        <v>20</v>
      </c>
      <c r="H2170">
        <v>36.869999999999997</v>
      </c>
      <c r="I2170" t="s">
        <v>344</v>
      </c>
      <c r="J2170">
        <v>97.44</v>
      </c>
      <c r="K2170">
        <v>0.8</v>
      </c>
      <c r="L2170" t="s">
        <v>346</v>
      </c>
      <c r="M2170" s="1">
        <v>8.0000000000000002E-3</v>
      </c>
      <c r="N2170" t="s">
        <v>349</v>
      </c>
      <c r="O2170">
        <v>4.16</v>
      </c>
      <c r="P2170" t="s">
        <v>343</v>
      </c>
      <c r="Q2170">
        <v>-1.33</v>
      </c>
      <c r="R2170" t="s">
        <v>343</v>
      </c>
      <c r="S2170">
        <v>1</v>
      </c>
    </row>
    <row r="2171" spans="1:19" x14ac:dyDescent="0.25">
      <c r="A2171" t="s">
        <v>47</v>
      </c>
      <c r="B2171" t="s">
        <v>59</v>
      </c>
      <c r="C2171">
        <v>60</v>
      </c>
      <c r="D2171" t="s">
        <v>342</v>
      </c>
      <c r="E2171">
        <v>24.15</v>
      </c>
      <c r="F2171">
        <v>17.04</v>
      </c>
      <c r="G2171">
        <v>14.92</v>
      </c>
      <c r="H2171">
        <v>31.96</v>
      </c>
      <c r="I2171" t="s">
        <v>344</v>
      </c>
      <c r="J2171">
        <v>97.64</v>
      </c>
      <c r="K2171">
        <v>0.99</v>
      </c>
      <c r="L2171" t="s">
        <v>346</v>
      </c>
      <c r="M2171" s="1">
        <v>9.8999999999999991E-3</v>
      </c>
      <c r="N2171" t="s">
        <v>349</v>
      </c>
      <c r="O2171">
        <v>4.3600000000000003</v>
      </c>
      <c r="P2171" t="s">
        <v>343</v>
      </c>
      <c r="Q2171">
        <v>-1.98</v>
      </c>
      <c r="R2171" t="s">
        <v>343</v>
      </c>
      <c r="S2171">
        <v>1</v>
      </c>
    </row>
    <row r="2172" spans="1:19" x14ac:dyDescent="0.25">
      <c r="A2172" t="s">
        <v>47</v>
      </c>
      <c r="B2172" t="s">
        <v>60</v>
      </c>
      <c r="C2172">
        <v>80</v>
      </c>
      <c r="D2172" t="s">
        <v>342</v>
      </c>
      <c r="E2172">
        <v>24.15</v>
      </c>
      <c r="F2172">
        <v>17.29</v>
      </c>
      <c r="G2172">
        <v>14.69</v>
      </c>
      <c r="H2172">
        <v>31.98</v>
      </c>
      <c r="I2172" t="s">
        <v>344</v>
      </c>
      <c r="J2172">
        <v>98.02</v>
      </c>
      <c r="K2172">
        <v>1.92</v>
      </c>
      <c r="L2172" t="s">
        <v>346</v>
      </c>
      <c r="M2172" s="1">
        <v>1.9199999999999998E-2</v>
      </c>
      <c r="N2172" t="s">
        <v>349</v>
      </c>
      <c r="O2172">
        <v>4.26</v>
      </c>
      <c r="P2172" t="s">
        <v>343</v>
      </c>
      <c r="Q2172">
        <v>-1.4</v>
      </c>
      <c r="R2172" t="s">
        <v>343</v>
      </c>
      <c r="S2172">
        <v>1</v>
      </c>
    </row>
    <row r="2173" spans="1:19" x14ac:dyDescent="0.25">
      <c r="A2173" t="s">
        <v>47</v>
      </c>
      <c r="B2173" t="s">
        <v>61</v>
      </c>
      <c r="C2173">
        <v>100</v>
      </c>
      <c r="D2173" t="s">
        <v>342</v>
      </c>
      <c r="E2173">
        <v>24.15</v>
      </c>
      <c r="F2173">
        <v>17.04</v>
      </c>
      <c r="G2173">
        <v>14.92</v>
      </c>
      <c r="H2173">
        <v>31.96</v>
      </c>
      <c r="I2173" t="s">
        <v>344</v>
      </c>
      <c r="J2173">
        <v>98.44</v>
      </c>
      <c r="K2173">
        <v>2.1</v>
      </c>
      <c r="L2173" t="s">
        <v>346</v>
      </c>
      <c r="M2173" s="1">
        <v>2.1000000000000001E-2</v>
      </c>
      <c r="N2173" t="s">
        <v>350</v>
      </c>
      <c r="O2173">
        <v>3.38</v>
      </c>
      <c r="P2173" t="s">
        <v>344</v>
      </c>
      <c r="Q2173">
        <v>-2.0099999999999998</v>
      </c>
      <c r="R2173" t="s">
        <v>344</v>
      </c>
      <c r="S2173">
        <v>1</v>
      </c>
    </row>
    <row r="2174" spans="1:19" x14ac:dyDescent="0.25">
      <c r="A2174" t="s">
        <v>47</v>
      </c>
      <c r="B2174" t="s">
        <v>62</v>
      </c>
      <c r="C2174">
        <v>120</v>
      </c>
      <c r="D2174" t="s">
        <v>342</v>
      </c>
      <c r="E2174">
        <v>24.15</v>
      </c>
      <c r="F2174">
        <v>17.02</v>
      </c>
      <c r="G2174">
        <v>16.260000000000002</v>
      </c>
      <c r="H2174">
        <v>33.29</v>
      </c>
      <c r="I2174" t="s">
        <v>344</v>
      </c>
      <c r="J2174">
        <v>98.89</v>
      </c>
      <c r="K2174">
        <v>2.21</v>
      </c>
      <c r="L2174" t="s">
        <v>346</v>
      </c>
      <c r="M2174" s="1">
        <v>2.2100000000000002E-2</v>
      </c>
      <c r="N2174" t="s">
        <v>350</v>
      </c>
      <c r="O2174">
        <v>3.03</v>
      </c>
      <c r="P2174" t="s">
        <v>344</v>
      </c>
      <c r="Q2174">
        <v>-1.44</v>
      </c>
      <c r="R2174" t="s">
        <v>343</v>
      </c>
      <c r="S2174">
        <v>1</v>
      </c>
    </row>
    <row r="2175" spans="1:19" x14ac:dyDescent="0.25">
      <c r="A2175" t="s">
        <v>47</v>
      </c>
      <c r="B2175" t="s">
        <v>63</v>
      </c>
      <c r="C2175">
        <v>140</v>
      </c>
      <c r="D2175" t="s">
        <v>342</v>
      </c>
      <c r="E2175">
        <v>24.15</v>
      </c>
      <c r="F2175">
        <v>16.350000000000001</v>
      </c>
      <c r="G2175">
        <v>16.920000000000002</v>
      </c>
      <c r="H2175">
        <v>33.270000000000003</v>
      </c>
      <c r="I2175" t="s">
        <v>344</v>
      </c>
      <c r="J2175">
        <v>99.41</v>
      </c>
      <c r="K2175">
        <v>2.63</v>
      </c>
      <c r="L2175" t="s">
        <v>346</v>
      </c>
      <c r="M2175" s="1">
        <v>2.63E-2</v>
      </c>
      <c r="N2175" t="s">
        <v>350</v>
      </c>
      <c r="O2175">
        <v>3.34</v>
      </c>
      <c r="P2175" t="s">
        <v>344</v>
      </c>
      <c r="Q2175">
        <v>-1.53</v>
      </c>
      <c r="R2175" t="s">
        <v>343</v>
      </c>
      <c r="S2175">
        <v>1</v>
      </c>
    </row>
    <row r="2176" spans="1:19" x14ac:dyDescent="0.25">
      <c r="A2176" t="s">
        <v>47</v>
      </c>
      <c r="B2176" t="s">
        <v>64</v>
      </c>
      <c r="C2176">
        <v>160</v>
      </c>
      <c r="D2176" t="s">
        <v>342</v>
      </c>
      <c r="E2176">
        <v>24.15</v>
      </c>
      <c r="F2176">
        <v>15.52</v>
      </c>
      <c r="G2176">
        <v>17.809999999999999</v>
      </c>
      <c r="H2176">
        <v>33.32</v>
      </c>
      <c r="I2176" t="s">
        <v>344</v>
      </c>
      <c r="J2176">
        <v>100.04</v>
      </c>
      <c r="K2176">
        <v>3.12</v>
      </c>
      <c r="L2176" t="s">
        <v>346</v>
      </c>
      <c r="M2176" s="1">
        <v>3.1199999999999999E-2</v>
      </c>
      <c r="N2176" t="s">
        <v>350</v>
      </c>
      <c r="O2176">
        <v>3.67</v>
      </c>
      <c r="P2176" t="s">
        <v>344</v>
      </c>
      <c r="Q2176">
        <v>-1.66</v>
      </c>
      <c r="R2176" t="s">
        <v>343</v>
      </c>
      <c r="S2176">
        <v>1</v>
      </c>
    </row>
    <row r="2177" spans="1:19" x14ac:dyDescent="0.25">
      <c r="A2177" t="s">
        <v>47</v>
      </c>
      <c r="B2177" t="s">
        <v>65</v>
      </c>
      <c r="C2177">
        <v>180</v>
      </c>
      <c r="D2177" t="s">
        <v>342</v>
      </c>
      <c r="E2177">
        <v>24.15</v>
      </c>
      <c r="F2177">
        <v>14.61</v>
      </c>
      <c r="G2177">
        <v>17.739999999999998</v>
      </c>
      <c r="H2177">
        <v>32.35</v>
      </c>
      <c r="I2177" t="s">
        <v>344</v>
      </c>
      <c r="J2177">
        <v>100.76</v>
      </c>
      <c r="K2177">
        <v>3.63</v>
      </c>
      <c r="L2177" t="s">
        <v>346</v>
      </c>
      <c r="M2177" s="1">
        <v>3.6299999999999999E-2</v>
      </c>
      <c r="N2177" t="s">
        <v>350</v>
      </c>
      <c r="O2177">
        <v>3.47</v>
      </c>
      <c r="P2177" t="s">
        <v>344</v>
      </c>
      <c r="Q2177">
        <v>-1.2</v>
      </c>
      <c r="R2177" t="s">
        <v>343</v>
      </c>
      <c r="S2177">
        <v>1</v>
      </c>
    </row>
    <row r="2178" spans="1:19" x14ac:dyDescent="0.25">
      <c r="A2178" t="s">
        <v>47</v>
      </c>
      <c r="B2178" t="s">
        <v>66</v>
      </c>
      <c r="C2178">
        <v>200</v>
      </c>
      <c r="D2178" t="s">
        <v>342</v>
      </c>
      <c r="E2178">
        <v>24.15</v>
      </c>
      <c r="F2178">
        <v>13.75</v>
      </c>
      <c r="G2178">
        <v>20</v>
      </c>
      <c r="H2178">
        <v>33.75</v>
      </c>
      <c r="I2178" t="s">
        <v>344</v>
      </c>
      <c r="J2178">
        <v>101.6</v>
      </c>
      <c r="K2178">
        <v>4.17</v>
      </c>
      <c r="L2178" t="s">
        <v>346</v>
      </c>
      <c r="M2178" s="1">
        <v>4.1700000000000001E-2</v>
      </c>
      <c r="N2178" t="s">
        <v>350</v>
      </c>
      <c r="O2178">
        <v>3.68</v>
      </c>
      <c r="P2178" t="s">
        <v>344</v>
      </c>
      <c r="Q2178">
        <v>-1.23</v>
      </c>
      <c r="R2178" t="s">
        <v>343</v>
      </c>
      <c r="S2178">
        <v>1</v>
      </c>
    </row>
    <row r="2179" spans="1:19" x14ac:dyDescent="0.25">
      <c r="A2179" t="s">
        <v>47</v>
      </c>
      <c r="B2179" t="s">
        <v>67</v>
      </c>
      <c r="C2179">
        <v>220</v>
      </c>
      <c r="D2179" t="s">
        <v>342</v>
      </c>
      <c r="E2179">
        <v>24.15</v>
      </c>
      <c r="F2179">
        <v>13.75</v>
      </c>
      <c r="G2179">
        <v>20</v>
      </c>
      <c r="H2179">
        <v>33.75</v>
      </c>
      <c r="I2179" t="s">
        <v>344</v>
      </c>
      <c r="J2179">
        <v>102.5</v>
      </c>
      <c r="K2179">
        <v>4.5199999999999996</v>
      </c>
      <c r="L2179" t="s">
        <v>346</v>
      </c>
      <c r="M2179" s="1">
        <v>4.5199999999999997E-2</v>
      </c>
      <c r="N2179" t="s">
        <v>350</v>
      </c>
      <c r="O2179">
        <v>4.0999999999999996</v>
      </c>
      <c r="P2179" t="s">
        <v>343</v>
      </c>
      <c r="Q2179">
        <v>-2.13</v>
      </c>
      <c r="R2179" t="s">
        <v>344</v>
      </c>
      <c r="S2179">
        <v>1</v>
      </c>
    </row>
    <row r="2180" spans="1:19" x14ac:dyDescent="0.25">
      <c r="A2180" t="s">
        <v>47</v>
      </c>
      <c r="B2180" t="s">
        <v>68</v>
      </c>
      <c r="C2180">
        <v>240</v>
      </c>
      <c r="D2180" t="s">
        <v>342</v>
      </c>
      <c r="E2180">
        <v>24.15</v>
      </c>
      <c r="F2180">
        <v>13.53</v>
      </c>
      <c r="G2180">
        <v>18.71</v>
      </c>
      <c r="H2180">
        <v>32.24</v>
      </c>
      <c r="I2180" t="s">
        <v>344</v>
      </c>
      <c r="J2180">
        <v>103.41</v>
      </c>
      <c r="K2180">
        <v>4.53</v>
      </c>
      <c r="L2180" t="s">
        <v>346</v>
      </c>
      <c r="M2180" s="1">
        <v>4.53E-2</v>
      </c>
      <c r="N2180" t="s">
        <v>350</v>
      </c>
      <c r="O2180">
        <v>4.97</v>
      </c>
      <c r="P2180" t="s">
        <v>343</v>
      </c>
      <c r="Q2180">
        <v>-3.1</v>
      </c>
      <c r="R2180" t="s">
        <v>344</v>
      </c>
      <c r="S2180">
        <v>1</v>
      </c>
    </row>
    <row r="2181" spans="1:19" x14ac:dyDescent="0.25">
      <c r="A2181" t="s">
        <v>47</v>
      </c>
      <c r="B2181" t="s">
        <v>69</v>
      </c>
      <c r="C2181">
        <v>260</v>
      </c>
      <c r="D2181" t="s">
        <v>342</v>
      </c>
      <c r="E2181">
        <v>24.15</v>
      </c>
      <c r="F2181">
        <v>13.53</v>
      </c>
      <c r="G2181">
        <v>20</v>
      </c>
      <c r="H2181">
        <v>33.53</v>
      </c>
      <c r="I2181" t="s">
        <v>344</v>
      </c>
      <c r="J2181">
        <v>104.07</v>
      </c>
      <c r="K2181">
        <v>3.3</v>
      </c>
      <c r="L2181" t="s">
        <v>346</v>
      </c>
      <c r="M2181" s="1">
        <v>3.3000000000000002E-2</v>
      </c>
      <c r="N2181" t="s">
        <v>350</v>
      </c>
      <c r="O2181">
        <v>5.21</v>
      </c>
      <c r="P2181" t="s">
        <v>343</v>
      </c>
      <c r="Q2181">
        <v>-3.09</v>
      </c>
      <c r="R2181" t="s">
        <v>344</v>
      </c>
      <c r="S2181">
        <v>1</v>
      </c>
    </row>
    <row r="2182" spans="1:19" x14ac:dyDescent="0.25">
      <c r="A2182" t="s">
        <v>47</v>
      </c>
      <c r="B2182" t="s">
        <v>70</v>
      </c>
      <c r="C2182">
        <v>280</v>
      </c>
      <c r="D2182" t="s">
        <v>342</v>
      </c>
      <c r="E2182">
        <v>24.15</v>
      </c>
      <c r="F2182">
        <v>13.2</v>
      </c>
      <c r="G2182">
        <v>20</v>
      </c>
      <c r="H2182">
        <v>33.200000000000003</v>
      </c>
      <c r="I2182" t="s">
        <v>344</v>
      </c>
      <c r="J2182">
        <v>104.7</v>
      </c>
      <c r="K2182">
        <v>3.19</v>
      </c>
      <c r="L2182" t="s">
        <v>346</v>
      </c>
      <c r="M2182" s="1">
        <v>3.1899999999999998E-2</v>
      </c>
      <c r="N2182" t="s">
        <v>350</v>
      </c>
      <c r="O2182">
        <v>5.78</v>
      </c>
      <c r="P2182" t="s">
        <v>343</v>
      </c>
      <c r="Q2182">
        <v>-3.14</v>
      </c>
      <c r="R2182" t="s">
        <v>344</v>
      </c>
      <c r="S2182">
        <v>1</v>
      </c>
    </row>
    <row r="2183" spans="1:19" x14ac:dyDescent="0.25">
      <c r="A2183" t="s">
        <v>47</v>
      </c>
      <c r="B2183" t="s">
        <v>71</v>
      </c>
      <c r="C2183">
        <v>300</v>
      </c>
      <c r="D2183" t="s">
        <v>342</v>
      </c>
      <c r="E2183">
        <v>24.15</v>
      </c>
      <c r="F2183">
        <v>13.53</v>
      </c>
      <c r="G2183">
        <v>14.48</v>
      </c>
      <c r="H2183">
        <v>28</v>
      </c>
      <c r="I2183" t="s">
        <v>344</v>
      </c>
      <c r="J2183">
        <v>105.33</v>
      </c>
      <c r="K2183">
        <v>3.13</v>
      </c>
      <c r="L2183" t="s">
        <v>346</v>
      </c>
      <c r="M2183" s="1">
        <v>3.1300000000000001E-2</v>
      </c>
      <c r="N2183" t="s">
        <v>350</v>
      </c>
      <c r="O2183">
        <v>6.02</v>
      </c>
      <c r="P2183" t="s">
        <v>343</v>
      </c>
      <c r="Q2183">
        <v>-2.38</v>
      </c>
      <c r="R2183" t="s">
        <v>344</v>
      </c>
      <c r="S2183">
        <v>1</v>
      </c>
    </row>
    <row r="2184" spans="1:19" x14ac:dyDescent="0.25">
      <c r="A2184" t="s">
        <v>47</v>
      </c>
      <c r="B2184" t="s">
        <v>72</v>
      </c>
      <c r="C2184">
        <v>320</v>
      </c>
      <c r="D2184" t="s">
        <v>342</v>
      </c>
      <c r="E2184">
        <v>24.15</v>
      </c>
      <c r="F2184">
        <v>14.41</v>
      </c>
      <c r="G2184">
        <v>14.32</v>
      </c>
      <c r="H2184">
        <v>28.73</v>
      </c>
      <c r="I2184" t="s">
        <v>344</v>
      </c>
      <c r="J2184">
        <v>105.71</v>
      </c>
      <c r="K2184">
        <v>1.88</v>
      </c>
      <c r="L2184" t="s">
        <v>346</v>
      </c>
      <c r="M2184" s="1">
        <v>1.8800000000000001E-2</v>
      </c>
      <c r="N2184" t="s">
        <v>349</v>
      </c>
      <c r="O2184">
        <v>3.15</v>
      </c>
      <c r="P2184" t="s">
        <v>344</v>
      </c>
      <c r="Q2184">
        <v>-1.45</v>
      </c>
      <c r="R2184" t="s">
        <v>343</v>
      </c>
      <c r="S2184">
        <v>1</v>
      </c>
    </row>
    <row r="2185" spans="1:19" x14ac:dyDescent="0.25">
      <c r="A2185" t="s">
        <v>47</v>
      </c>
      <c r="B2185" t="s">
        <v>73</v>
      </c>
      <c r="C2185">
        <v>340</v>
      </c>
      <c r="D2185" t="s">
        <v>342</v>
      </c>
      <c r="E2185">
        <v>24.15</v>
      </c>
      <c r="F2185">
        <v>15.29</v>
      </c>
      <c r="G2185">
        <v>14.43</v>
      </c>
      <c r="H2185">
        <v>29.73</v>
      </c>
      <c r="I2185" t="s">
        <v>344</v>
      </c>
      <c r="J2185">
        <v>106.21</v>
      </c>
      <c r="K2185">
        <v>2.5099999999999998</v>
      </c>
      <c r="L2185" t="s">
        <v>346</v>
      </c>
      <c r="M2185" s="1">
        <v>2.5100000000000001E-2</v>
      </c>
      <c r="N2185" t="s">
        <v>350</v>
      </c>
      <c r="O2185">
        <v>3.26</v>
      </c>
      <c r="P2185" t="s">
        <v>344</v>
      </c>
      <c r="Q2185">
        <v>-3.06</v>
      </c>
      <c r="R2185" t="s">
        <v>344</v>
      </c>
      <c r="S2185">
        <v>1</v>
      </c>
    </row>
    <row r="2186" spans="1:19" x14ac:dyDescent="0.25">
      <c r="A2186" t="s">
        <v>47</v>
      </c>
      <c r="B2186" t="s">
        <v>74</v>
      </c>
      <c r="C2186">
        <v>360</v>
      </c>
      <c r="D2186" t="s">
        <v>342</v>
      </c>
      <c r="E2186">
        <v>24.15</v>
      </c>
      <c r="F2186">
        <v>14.41</v>
      </c>
      <c r="G2186">
        <v>14.32</v>
      </c>
      <c r="H2186">
        <v>28.73</v>
      </c>
      <c r="I2186" t="s">
        <v>344</v>
      </c>
      <c r="J2186">
        <v>106.69</v>
      </c>
      <c r="K2186">
        <v>2.4300000000000002</v>
      </c>
      <c r="L2186" t="s">
        <v>346</v>
      </c>
      <c r="M2186" s="1">
        <v>2.4299999999999999E-2</v>
      </c>
      <c r="N2186" t="s">
        <v>350</v>
      </c>
      <c r="O2186">
        <v>2.84</v>
      </c>
      <c r="P2186" t="s">
        <v>344</v>
      </c>
      <c r="Q2186">
        <v>-2.62</v>
      </c>
      <c r="R2186" t="s">
        <v>344</v>
      </c>
      <c r="S2186">
        <v>1</v>
      </c>
    </row>
    <row r="2187" spans="1:19" x14ac:dyDescent="0.25">
      <c r="A2187" t="s">
        <v>47</v>
      </c>
      <c r="B2187" t="s">
        <v>75</v>
      </c>
      <c r="C2187">
        <v>380</v>
      </c>
      <c r="D2187" t="s">
        <v>342</v>
      </c>
      <c r="E2187">
        <v>24.15</v>
      </c>
      <c r="F2187">
        <v>14.11</v>
      </c>
      <c r="G2187">
        <v>13.53</v>
      </c>
      <c r="H2187">
        <v>27.64</v>
      </c>
      <c r="I2187" t="s">
        <v>344</v>
      </c>
      <c r="J2187">
        <v>107.22</v>
      </c>
      <c r="K2187">
        <v>2.65</v>
      </c>
      <c r="L2187" t="s">
        <v>346</v>
      </c>
      <c r="M2187" s="1">
        <v>2.6499999999999999E-2</v>
      </c>
      <c r="N2187" t="s">
        <v>350</v>
      </c>
      <c r="O2187">
        <v>4.71</v>
      </c>
      <c r="P2187" t="s">
        <v>343</v>
      </c>
      <c r="Q2187">
        <v>-1.18</v>
      </c>
      <c r="R2187" t="s">
        <v>343</v>
      </c>
      <c r="S2187">
        <v>1</v>
      </c>
    </row>
    <row r="2188" spans="1:19" x14ac:dyDescent="0.25">
      <c r="A2188" t="s">
        <v>47</v>
      </c>
      <c r="B2188" t="s">
        <v>76</v>
      </c>
      <c r="C2188">
        <v>400</v>
      </c>
      <c r="D2188" t="s">
        <v>342</v>
      </c>
      <c r="E2188">
        <v>24.15</v>
      </c>
      <c r="F2188">
        <v>13.61</v>
      </c>
      <c r="G2188">
        <v>13.53</v>
      </c>
      <c r="H2188">
        <v>27.14</v>
      </c>
      <c r="I2188" t="s">
        <v>344</v>
      </c>
      <c r="J2188">
        <v>107.45</v>
      </c>
      <c r="K2188">
        <v>1.1499999999999999</v>
      </c>
      <c r="L2188" t="s">
        <v>346</v>
      </c>
      <c r="M2188" s="1">
        <v>1.15E-2</v>
      </c>
      <c r="N2188" t="s">
        <v>349</v>
      </c>
      <c r="O2188">
        <v>5.64</v>
      </c>
      <c r="P2188" t="s">
        <v>343</v>
      </c>
      <c r="Q2188">
        <v>-1.06</v>
      </c>
      <c r="R2188" t="s">
        <v>343</v>
      </c>
      <c r="S2188">
        <v>1</v>
      </c>
    </row>
    <row r="2189" spans="1:19" x14ac:dyDescent="0.25">
      <c r="A2189" t="s">
        <v>47</v>
      </c>
      <c r="B2189" t="s">
        <v>77</v>
      </c>
      <c r="C2189">
        <v>420</v>
      </c>
      <c r="D2189" t="s">
        <v>342</v>
      </c>
      <c r="E2189">
        <v>24.15</v>
      </c>
      <c r="F2189">
        <v>12.74</v>
      </c>
      <c r="G2189">
        <v>13.3</v>
      </c>
      <c r="H2189">
        <v>26.04</v>
      </c>
      <c r="I2189" t="s">
        <v>344</v>
      </c>
      <c r="J2189">
        <v>107.69</v>
      </c>
      <c r="K2189">
        <v>1.19</v>
      </c>
      <c r="L2189" t="s">
        <v>346</v>
      </c>
      <c r="M2189" s="1">
        <v>1.1900000000000001E-2</v>
      </c>
      <c r="N2189" t="s">
        <v>349</v>
      </c>
      <c r="O2189">
        <v>5.58</v>
      </c>
      <c r="P2189" t="s">
        <v>343</v>
      </c>
      <c r="Q2189">
        <v>-0.9</v>
      </c>
      <c r="R2189" t="s">
        <v>343</v>
      </c>
      <c r="S2189">
        <v>1</v>
      </c>
    </row>
    <row r="2190" spans="1:19" x14ac:dyDescent="0.25">
      <c r="A2190" t="s">
        <v>47</v>
      </c>
      <c r="B2190" t="s">
        <v>78</v>
      </c>
      <c r="C2190">
        <v>440</v>
      </c>
      <c r="D2190" t="s">
        <v>342</v>
      </c>
      <c r="E2190">
        <v>24.15</v>
      </c>
      <c r="F2190">
        <v>12.11</v>
      </c>
      <c r="G2190">
        <v>13.53</v>
      </c>
      <c r="H2190">
        <v>25.64</v>
      </c>
      <c r="I2190" t="s">
        <v>344</v>
      </c>
      <c r="J2190">
        <v>107.86</v>
      </c>
      <c r="K2190">
        <v>0.83</v>
      </c>
      <c r="L2190" t="s">
        <v>346</v>
      </c>
      <c r="M2190" s="1">
        <v>8.3000000000000001E-3</v>
      </c>
      <c r="N2190" t="s">
        <v>349</v>
      </c>
      <c r="O2190">
        <v>4.1900000000000004</v>
      </c>
      <c r="P2190" t="s">
        <v>343</v>
      </c>
      <c r="Q2190">
        <v>0.81</v>
      </c>
      <c r="R2190" t="s">
        <v>343</v>
      </c>
      <c r="S2190">
        <v>1</v>
      </c>
    </row>
    <row r="2191" spans="1:19" x14ac:dyDescent="0.25">
      <c r="A2191" t="s">
        <v>47</v>
      </c>
      <c r="B2191" t="s">
        <v>79</v>
      </c>
      <c r="C2191">
        <v>460</v>
      </c>
      <c r="D2191" t="s">
        <v>342</v>
      </c>
      <c r="E2191">
        <v>24.15</v>
      </c>
      <c r="F2191">
        <v>12.52</v>
      </c>
      <c r="G2191">
        <v>12.95</v>
      </c>
      <c r="H2191">
        <v>25.47</v>
      </c>
      <c r="I2191" t="s">
        <v>344</v>
      </c>
      <c r="J2191">
        <v>108.07</v>
      </c>
      <c r="K2191">
        <v>1.07</v>
      </c>
      <c r="L2191" t="s">
        <v>346</v>
      </c>
      <c r="M2191" s="1">
        <v>1.0699999999999999E-2</v>
      </c>
      <c r="N2191" t="s">
        <v>349</v>
      </c>
      <c r="O2191">
        <v>3.25</v>
      </c>
      <c r="P2191" t="s">
        <v>344</v>
      </c>
      <c r="Q2191">
        <v>-0.42</v>
      </c>
      <c r="R2191" t="s">
        <v>343</v>
      </c>
      <c r="S2191">
        <v>1</v>
      </c>
    </row>
    <row r="2192" spans="1:19" x14ac:dyDescent="0.25">
      <c r="A2192" t="s">
        <v>47</v>
      </c>
      <c r="B2192" t="s">
        <v>80</v>
      </c>
      <c r="C2192">
        <v>480</v>
      </c>
      <c r="D2192" t="s">
        <v>342</v>
      </c>
      <c r="E2192">
        <v>24.15</v>
      </c>
      <c r="F2192">
        <v>12.72</v>
      </c>
      <c r="G2192">
        <v>13.8</v>
      </c>
      <c r="H2192">
        <v>26.52</v>
      </c>
      <c r="I2192" t="s">
        <v>344</v>
      </c>
      <c r="J2192">
        <v>108.31</v>
      </c>
      <c r="K2192">
        <v>1.19</v>
      </c>
      <c r="L2192" t="s">
        <v>346</v>
      </c>
      <c r="M2192" s="1">
        <v>1.1900000000000001E-2</v>
      </c>
      <c r="N2192" t="s">
        <v>349</v>
      </c>
      <c r="O2192">
        <v>2.94</v>
      </c>
      <c r="P2192" t="s">
        <v>344</v>
      </c>
      <c r="Q2192">
        <v>1.26</v>
      </c>
      <c r="R2192" t="s">
        <v>343</v>
      </c>
      <c r="S2192">
        <v>1</v>
      </c>
    </row>
    <row r="2193" spans="1:19" x14ac:dyDescent="0.25">
      <c r="A2193" t="s">
        <v>47</v>
      </c>
      <c r="B2193" t="s">
        <v>81</v>
      </c>
      <c r="C2193">
        <v>500</v>
      </c>
      <c r="D2193" t="s">
        <v>342</v>
      </c>
      <c r="E2193">
        <v>24.15</v>
      </c>
      <c r="F2193">
        <v>13.24</v>
      </c>
      <c r="G2193">
        <v>14.42</v>
      </c>
      <c r="H2193">
        <v>27.66</v>
      </c>
      <c r="I2193" t="s">
        <v>344</v>
      </c>
      <c r="J2193">
        <v>108.6</v>
      </c>
      <c r="K2193">
        <v>1.47</v>
      </c>
      <c r="L2193" t="s">
        <v>346</v>
      </c>
      <c r="M2193" s="1">
        <v>1.47E-2</v>
      </c>
      <c r="N2193" t="s">
        <v>349</v>
      </c>
      <c r="O2193">
        <v>2.23</v>
      </c>
      <c r="P2193" t="s">
        <v>344</v>
      </c>
      <c r="Q2193">
        <v>2.62</v>
      </c>
      <c r="R2193" t="s">
        <v>344</v>
      </c>
      <c r="S2193">
        <v>1</v>
      </c>
    </row>
    <row r="2194" spans="1:19" x14ac:dyDescent="0.25">
      <c r="A2194" t="s">
        <v>47</v>
      </c>
      <c r="B2194" t="s">
        <v>82</v>
      </c>
      <c r="C2194">
        <v>520</v>
      </c>
      <c r="D2194" t="s">
        <v>342</v>
      </c>
      <c r="E2194">
        <v>24.15</v>
      </c>
      <c r="F2194">
        <v>13.53</v>
      </c>
      <c r="G2194">
        <v>14.82</v>
      </c>
      <c r="H2194">
        <v>28.36</v>
      </c>
      <c r="I2194" t="s">
        <v>344</v>
      </c>
      <c r="J2194">
        <v>108.79</v>
      </c>
      <c r="K2194">
        <v>0.93</v>
      </c>
      <c r="L2194" t="s">
        <v>346</v>
      </c>
      <c r="M2194" s="1">
        <v>9.300000000000001E-3</v>
      </c>
      <c r="N2194" t="s">
        <v>349</v>
      </c>
      <c r="O2194">
        <v>2.42</v>
      </c>
      <c r="P2194" t="s">
        <v>344</v>
      </c>
      <c r="Q2194">
        <v>3.15</v>
      </c>
      <c r="R2194" t="s">
        <v>344</v>
      </c>
      <c r="S2194">
        <v>1</v>
      </c>
    </row>
    <row r="2195" spans="1:19" x14ac:dyDescent="0.25">
      <c r="A2195" t="s">
        <v>47</v>
      </c>
      <c r="B2195" t="s">
        <v>83</v>
      </c>
      <c r="C2195">
        <v>540</v>
      </c>
      <c r="D2195" t="s">
        <v>342</v>
      </c>
      <c r="E2195">
        <v>24.15</v>
      </c>
      <c r="F2195">
        <v>13.24</v>
      </c>
      <c r="G2195">
        <v>15.09</v>
      </c>
      <c r="H2195">
        <v>28.34</v>
      </c>
      <c r="I2195" t="s">
        <v>344</v>
      </c>
      <c r="J2195">
        <v>108.92</v>
      </c>
      <c r="K2195">
        <v>0.66</v>
      </c>
      <c r="L2195" t="s">
        <v>346</v>
      </c>
      <c r="M2195" s="1">
        <v>6.6E-3</v>
      </c>
      <c r="N2195" t="s">
        <v>349</v>
      </c>
      <c r="O2195">
        <v>0.93</v>
      </c>
      <c r="P2195" t="s">
        <v>343</v>
      </c>
      <c r="Q2195">
        <v>4.1399999999999997</v>
      </c>
      <c r="R2195" t="s">
        <v>343</v>
      </c>
      <c r="S2195">
        <v>1</v>
      </c>
    </row>
    <row r="2196" spans="1:19" x14ac:dyDescent="0.25">
      <c r="A2196" t="s">
        <v>47</v>
      </c>
      <c r="B2196" t="s">
        <v>84</v>
      </c>
      <c r="C2196">
        <v>560</v>
      </c>
      <c r="D2196" t="s">
        <v>342</v>
      </c>
      <c r="E2196">
        <v>24.15</v>
      </c>
      <c r="F2196">
        <v>13.23</v>
      </c>
      <c r="G2196">
        <v>14.61</v>
      </c>
      <c r="H2196">
        <v>27.85</v>
      </c>
      <c r="I2196" t="s">
        <v>344</v>
      </c>
      <c r="J2196">
        <v>109.02</v>
      </c>
      <c r="K2196">
        <v>0.49</v>
      </c>
      <c r="L2196" t="s">
        <v>346</v>
      </c>
      <c r="M2196" s="1">
        <v>4.8999999999999998E-3</v>
      </c>
      <c r="N2196" t="s">
        <v>349</v>
      </c>
      <c r="O2196">
        <v>-0.01</v>
      </c>
      <c r="P2196" t="s">
        <v>343</v>
      </c>
      <c r="Q2196">
        <v>2.38</v>
      </c>
      <c r="R2196" t="s">
        <v>344</v>
      </c>
      <c r="S2196">
        <v>1</v>
      </c>
    </row>
    <row r="2197" spans="1:19" x14ac:dyDescent="0.25">
      <c r="A2197" t="s">
        <v>47</v>
      </c>
      <c r="B2197" t="s">
        <v>85</v>
      </c>
      <c r="C2197">
        <v>580</v>
      </c>
      <c r="D2197" t="s">
        <v>342</v>
      </c>
      <c r="E2197">
        <v>24.15</v>
      </c>
      <c r="F2197">
        <v>13.14</v>
      </c>
      <c r="G2197">
        <v>13.74</v>
      </c>
      <c r="H2197">
        <v>26.88</v>
      </c>
      <c r="I2197" t="s">
        <v>344</v>
      </c>
      <c r="J2197">
        <v>109.28</v>
      </c>
      <c r="K2197">
        <v>1.32</v>
      </c>
      <c r="L2197" t="s">
        <v>346</v>
      </c>
      <c r="M2197" s="1">
        <v>1.32E-2</v>
      </c>
      <c r="N2197" t="s">
        <v>349</v>
      </c>
      <c r="O2197">
        <v>3.49</v>
      </c>
      <c r="P2197" t="s">
        <v>344</v>
      </c>
      <c r="Q2197">
        <v>3.6</v>
      </c>
      <c r="R2197" t="s">
        <v>344</v>
      </c>
      <c r="S2197">
        <v>1</v>
      </c>
    </row>
    <row r="2198" spans="1:19" x14ac:dyDescent="0.25">
      <c r="A2198" t="s">
        <v>47</v>
      </c>
      <c r="B2198" t="s">
        <v>86</v>
      </c>
      <c r="C2198">
        <v>600</v>
      </c>
      <c r="D2198" t="s">
        <v>342</v>
      </c>
      <c r="E2198">
        <v>24.15</v>
      </c>
      <c r="F2198">
        <v>13.54</v>
      </c>
      <c r="G2198">
        <v>13.36</v>
      </c>
      <c r="H2198">
        <v>26.9</v>
      </c>
      <c r="I2198" t="s">
        <v>344</v>
      </c>
      <c r="J2198">
        <v>109.31</v>
      </c>
      <c r="K2198">
        <v>0.12</v>
      </c>
      <c r="L2198" t="s">
        <v>346</v>
      </c>
      <c r="M2198" s="1">
        <v>1.1999999999999999E-3</v>
      </c>
      <c r="N2198" t="s">
        <v>349</v>
      </c>
      <c r="O2198">
        <v>-0.33</v>
      </c>
      <c r="P2198" t="s">
        <v>343</v>
      </c>
      <c r="Q2198">
        <v>1.51</v>
      </c>
      <c r="R2198" t="s">
        <v>343</v>
      </c>
      <c r="S2198">
        <v>1</v>
      </c>
    </row>
    <row r="2199" spans="1:19" x14ac:dyDescent="0.25">
      <c r="A2199" t="s">
        <v>47</v>
      </c>
      <c r="B2199" t="s">
        <v>87</v>
      </c>
      <c r="C2199">
        <v>620</v>
      </c>
      <c r="D2199" t="s">
        <v>342</v>
      </c>
      <c r="E2199">
        <v>24.15</v>
      </c>
      <c r="F2199">
        <v>13.06</v>
      </c>
      <c r="G2199">
        <v>13.22</v>
      </c>
      <c r="H2199">
        <v>26.27</v>
      </c>
      <c r="I2199" t="s">
        <v>344</v>
      </c>
      <c r="J2199">
        <v>109.42</v>
      </c>
      <c r="K2199">
        <v>0.56000000000000005</v>
      </c>
      <c r="L2199" t="s">
        <v>346</v>
      </c>
      <c r="M2199" s="1">
        <v>5.6000000000000008E-3</v>
      </c>
      <c r="N2199" t="s">
        <v>349</v>
      </c>
      <c r="O2199">
        <v>1.33</v>
      </c>
      <c r="P2199" t="s">
        <v>343</v>
      </c>
      <c r="Q2199">
        <v>2.35</v>
      </c>
      <c r="R2199" t="s">
        <v>344</v>
      </c>
      <c r="S2199">
        <v>1</v>
      </c>
    </row>
    <row r="2200" spans="1:19" x14ac:dyDescent="0.25">
      <c r="A2200" t="s">
        <v>47</v>
      </c>
      <c r="B2200" t="s">
        <v>88</v>
      </c>
      <c r="C2200">
        <v>640</v>
      </c>
      <c r="D2200" t="s">
        <v>342</v>
      </c>
      <c r="E2200">
        <v>24.15</v>
      </c>
      <c r="F2200">
        <v>13.06</v>
      </c>
      <c r="G2200">
        <v>13.22</v>
      </c>
      <c r="H2200">
        <v>26.27</v>
      </c>
      <c r="I2200" t="s">
        <v>344</v>
      </c>
      <c r="J2200">
        <v>109.4</v>
      </c>
      <c r="K2200">
        <v>-0.08</v>
      </c>
      <c r="L2200" t="s">
        <v>346</v>
      </c>
      <c r="M2200" s="1">
        <v>8.0000000000000004E-4</v>
      </c>
      <c r="N2200" t="s">
        <v>349</v>
      </c>
      <c r="O2200">
        <v>-0.97</v>
      </c>
      <c r="P2200" t="s">
        <v>343</v>
      </c>
      <c r="Q2200">
        <v>1.62</v>
      </c>
      <c r="R2200" t="s">
        <v>343</v>
      </c>
      <c r="S2200">
        <v>1</v>
      </c>
    </row>
    <row r="2201" spans="1:19" x14ac:dyDescent="0.25">
      <c r="A2201" t="s">
        <v>47</v>
      </c>
      <c r="B2201" t="s">
        <v>89</v>
      </c>
      <c r="C2201">
        <v>660</v>
      </c>
      <c r="D2201" t="s">
        <v>342</v>
      </c>
      <c r="E2201">
        <v>24.15</v>
      </c>
      <c r="F2201">
        <v>12.79</v>
      </c>
      <c r="G2201">
        <v>13.16</v>
      </c>
      <c r="H2201">
        <v>25.95</v>
      </c>
      <c r="I2201" t="s">
        <v>344</v>
      </c>
      <c r="J2201">
        <v>109.6</v>
      </c>
      <c r="K2201">
        <v>0.97</v>
      </c>
      <c r="L2201" t="s">
        <v>346</v>
      </c>
      <c r="M2201" s="1">
        <v>9.7000000000000003E-3</v>
      </c>
      <c r="N2201" t="s">
        <v>349</v>
      </c>
      <c r="O2201">
        <v>-0.95</v>
      </c>
      <c r="P2201" t="s">
        <v>343</v>
      </c>
      <c r="Q2201">
        <v>1.93</v>
      </c>
      <c r="R2201" t="s">
        <v>343</v>
      </c>
      <c r="S2201">
        <v>1</v>
      </c>
    </row>
    <row r="2202" spans="1:19" x14ac:dyDescent="0.25">
      <c r="A2202" t="s">
        <v>47</v>
      </c>
      <c r="B2202" t="s">
        <v>90</v>
      </c>
      <c r="C2202">
        <v>680</v>
      </c>
      <c r="D2202" t="s">
        <v>342</v>
      </c>
      <c r="E2202">
        <v>24.15</v>
      </c>
      <c r="F2202">
        <v>13.16</v>
      </c>
      <c r="G2202">
        <v>7.25</v>
      </c>
      <c r="H2202">
        <v>20.41</v>
      </c>
      <c r="I2202" t="s">
        <v>343</v>
      </c>
      <c r="J2202">
        <v>109.66</v>
      </c>
      <c r="K2202">
        <v>0.3</v>
      </c>
      <c r="L2202" t="s">
        <v>346</v>
      </c>
      <c r="M2202" s="1">
        <v>3.0000000000000001E-3</v>
      </c>
      <c r="N2202" t="s">
        <v>349</v>
      </c>
      <c r="O2202">
        <v>-0.72</v>
      </c>
      <c r="P2202" t="s">
        <v>343</v>
      </c>
      <c r="Q2202">
        <v>-2.48</v>
      </c>
      <c r="R2202" t="s">
        <v>344</v>
      </c>
      <c r="S2202">
        <v>1</v>
      </c>
    </row>
    <row r="2203" spans="1:19" x14ac:dyDescent="0.25">
      <c r="A2203" t="s">
        <v>47</v>
      </c>
      <c r="B2203" t="s">
        <v>91</v>
      </c>
      <c r="C2203">
        <v>700</v>
      </c>
      <c r="D2203" t="s">
        <v>342</v>
      </c>
      <c r="E2203">
        <v>24.15</v>
      </c>
      <c r="F2203">
        <v>13.35</v>
      </c>
      <c r="G2203">
        <v>13.16</v>
      </c>
      <c r="H2203">
        <v>26.51</v>
      </c>
      <c r="I2203" t="s">
        <v>344</v>
      </c>
      <c r="J2203">
        <v>109.72</v>
      </c>
      <c r="K2203">
        <v>0.33</v>
      </c>
      <c r="L2203" t="s">
        <v>346</v>
      </c>
      <c r="M2203" s="1">
        <v>3.3E-3</v>
      </c>
      <c r="N2203" t="s">
        <v>349</v>
      </c>
      <c r="O2203">
        <v>0.38</v>
      </c>
      <c r="P2203" t="s">
        <v>343</v>
      </c>
      <c r="Q2203">
        <v>2.4300000000000002</v>
      </c>
      <c r="R2203" t="s">
        <v>344</v>
      </c>
      <c r="S2203">
        <v>1</v>
      </c>
    </row>
    <row r="2204" spans="1:19" x14ac:dyDescent="0.25">
      <c r="A2204" t="s">
        <v>47</v>
      </c>
      <c r="B2204" t="s">
        <v>92</v>
      </c>
      <c r="C2204">
        <v>720</v>
      </c>
      <c r="D2204" t="s">
        <v>342</v>
      </c>
      <c r="E2204">
        <v>24.15</v>
      </c>
      <c r="F2204">
        <v>13.7</v>
      </c>
      <c r="G2204">
        <v>13.32</v>
      </c>
      <c r="H2204">
        <v>27.02</v>
      </c>
      <c r="I2204" t="s">
        <v>344</v>
      </c>
      <c r="J2204">
        <v>109.68</v>
      </c>
      <c r="K2204">
        <v>-0.23</v>
      </c>
      <c r="L2204" t="s">
        <v>346</v>
      </c>
      <c r="M2204" s="1">
        <v>2.3E-3</v>
      </c>
      <c r="N2204" t="s">
        <v>349</v>
      </c>
      <c r="O2204">
        <v>-0.75</v>
      </c>
      <c r="P2204" t="s">
        <v>343</v>
      </c>
      <c r="Q2204">
        <v>2.5299999999999998</v>
      </c>
      <c r="R2204" t="s">
        <v>344</v>
      </c>
      <c r="S2204">
        <v>1</v>
      </c>
    </row>
    <row r="2205" spans="1:19" x14ac:dyDescent="0.25">
      <c r="A2205" t="s">
        <v>47</v>
      </c>
      <c r="B2205" t="s">
        <v>93</v>
      </c>
      <c r="C2205">
        <v>740</v>
      </c>
      <c r="D2205" t="s">
        <v>342</v>
      </c>
      <c r="E2205">
        <v>24.15</v>
      </c>
      <c r="F2205">
        <v>13.64</v>
      </c>
      <c r="G2205">
        <v>7.5</v>
      </c>
      <c r="H2205">
        <v>21.14</v>
      </c>
      <c r="I2205" t="s">
        <v>343</v>
      </c>
      <c r="J2205">
        <v>109.44</v>
      </c>
      <c r="K2205">
        <v>-1.2</v>
      </c>
      <c r="L2205" t="s">
        <v>346</v>
      </c>
      <c r="M2205" s="1">
        <v>1.2E-2</v>
      </c>
      <c r="N2205" t="s">
        <v>349</v>
      </c>
      <c r="O2205">
        <v>-2.2799999999999998</v>
      </c>
      <c r="P2205" t="s">
        <v>344</v>
      </c>
      <c r="Q2205">
        <v>3.64</v>
      </c>
      <c r="R2205" t="s">
        <v>344</v>
      </c>
      <c r="S2205">
        <v>1</v>
      </c>
    </row>
    <row r="2206" spans="1:19" x14ac:dyDescent="0.25">
      <c r="A2206" t="s">
        <v>47</v>
      </c>
      <c r="B2206" t="s">
        <v>94</v>
      </c>
      <c r="C2206">
        <v>760</v>
      </c>
      <c r="D2206" t="s">
        <v>342</v>
      </c>
      <c r="E2206">
        <v>24.15</v>
      </c>
      <c r="F2206">
        <v>13.8</v>
      </c>
      <c r="G2206">
        <v>14.28</v>
      </c>
      <c r="H2206">
        <v>28.08</v>
      </c>
      <c r="I2206" t="s">
        <v>344</v>
      </c>
      <c r="J2206">
        <v>109.36</v>
      </c>
      <c r="K2206">
        <v>-0.38</v>
      </c>
      <c r="L2206" t="s">
        <v>346</v>
      </c>
      <c r="M2206" s="1">
        <v>3.8E-3</v>
      </c>
      <c r="N2206" t="s">
        <v>349</v>
      </c>
      <c r="O2206">
        <v>-4.3899999999999997</v>
      </c>
      <c r="P2206" t="s">
        <v>343</v>
      </c>
      <c r="Q2206">
        <v>2.83</v>
      </c>
      <c r="R2206" t="s">
        <v>344</v>
      </c>
      <c r="S2206">
        <v>1</v>
      </c>
    </row>
    <row r="2207" spans="1:19" x14ac:dyDescent="0.25">
      <c r="A2207" t="s">
        <v>47</v>
      </c>
      <c r="B2207" t="s">
        <v>95</v>
      </c>
      <c r="C2207">
        <v>780</v>
      </c>
      <c r="D2207" t="s">
        <v>342</v>
      </c>
      <c r="E2207">
        <v>24.15</v>
      </c>
      <c r="F2207">
        <v>13.64</v>
      </c>
      <c r="G2207">
        <v>14.28</v>
      </c>
      <c r="H2207">
        <v>27.92</v>
      </c>
      <c r="I2207" t="s">
        <v>344</v>
      </c>
      <c r="J2207">
        <v>109.4</v>
      </c>
      <c r="K2207">
        <v>0.2</v>
      </c>
      <c r="L2207" t="s">
        <v>346</v>
      </c>
      <c r="M2207" s="1">
        <v>2E-3</v>
      </c>
      <c r="N2207" t="s">
        <v>349</v>
      </c>
      <c r="O2207">
        <v>-2.0699999999999998</v>
      </c>
      <c r="P2207" t="s">
        <v>344</v>
      </c>
      <c r="Q2207">
        <v>2.25</v>
      </c>
      <c r="R2207" t="s">
        <v>344</v>
      </c>
      <c r="S2207">
        <v>1</v>
      </c>
    </row>
    <row r="2208" spans="1:19" x14ac:dyDescent="0.25">
      <c r="A2208" t="s">
        <v>47</v>
      </c>
      <c r="B2208" t="s">
        <v>96</v>
      </c>
      <c r="C2208">
        <v>800</v>
      </c>
      <c r="D2208" t="s">
        <v>342</v>
      </c>
      <c r="E2208">
        <v>24.15</v>
      </c>
      <c r="F2208">
        <v>13.58</v>
      </c>
      <c r="G2208">
        <v>14.66</v>
      </c>
      <c r="H2208">
        <v>28.24</v>
      </c>
      <c r="I2208" t="s">
        <v>344</v>
      </c>
      <c r="J2208">
        <v>109.43</v>
      </c>
      <c r="K2208">
        <v>0.16</v>
      </c>
      <c r="L2208" t="s">
        <v>346</v>
      </c>
      <c r="M2208" s="1">
        <v>1.6000000000000001E-3</v>
      </c>
      <c r="N2208" t="s">
        <v>349</v>
      </c>
      <c r="O2208">
        <v>-1.59</v>
      </c>
      <c r="P2208" t="s">
        <v>343</v>
      </c>
      <c r="Q2208">
        <v>1.85</v>
      </c>
      <c r="R2208" t="s">
        <v>343</v>
      </c>
      <c r="S2208">
        <v>1</v>
      </c>
    </row>
    <row r="2209" spans="1:19" x14ac:dyDescent="0.25">
      <c r="A2209" t="s">
        <v>47</v>
      </c>
      <c r="B2209" t="s">
        <v>97</v>
      </c>
      <c r="C2209">
        <v>820</v>
      </c>
      <c r="D2209" t="s">
        <v>342</v>
      </c>
      <c r="E2209">
        <v>24.15</v>
      </c>
      <c r="F2209">
        <v>13.59</v>
      </c>
      <c r="G2209">
        <v>14.32</v>
      </c>
      <c r="H2209">
        <v>27.9</v>
      </c>
      <c r="I2209" t="s">
        <v>344</v>
      </c>
      <c r="J2209">
        <v>109.57</v>
      </c>
      <c r="K2209">
        <v>0.69</v>
      </c>
      <c r="L2209" t="s">
        <v>346</v>
      </c>
      <c r="M2209" s="1">
        <v>6.8999999999999999E-3</v>
      </c>
      <c r="N2209" t="s">
        <v>349</v>
      </c>
      <c r="O2209">
        <v>-0.59</v>
      </c>
      <c r="P2209" t="s">
        <v>343</v>
      </c>
      <c r="Q2209">
        <v>2.34</v>
      </c>
      <c r="R2209" t="s">
        <v>344</v>
      </c>
      <c r="S2209">
        <v>1</v>
      </c>
    </row>
    <row r="2210" spans="1:19" x14ac:dyDescent="0.25">
      <c r="A2210" t="s">
        <v>47</v>
      </c>
      <c r="B2210" t="s">
        <v>98</v>
      </c>
      <c r="C2210">
        <v>840</v>
      </c>
      <c r="D2210" t="s">
        <v>342</v>
      </c>
      <c r="E2210">
        <v>24.15</v>
      </c>
      <c r="F2210">
        <v>13.94</v>
      </c>
      <c r="G2210">
        <v>13.94</v>
      </c>
      <c r="H2210">
        <v>27.88</v>
      </c>
      <c r="I2210" t="s">
        <v>344</v>
      </c>
      <c r="J2210">
        <v>109.43</v>
      </c>
      <c r="K2210">
        <v>-0.72</v>
      </c>
      <c r="L2210" t="s">
        <v>346</v>
      </c>
      <c r="M2210" s="1">
        <v>7.1999999999999998E-3</v>
      </c>
      <c r="N2210" t="s">
        <v>349</v>
      </c>
      <c r="O2210">
        <v>-1.85</v>
      </c>
      <c r="P2210" t="s">
        <v>343</v>
      </c>
      <c r="Q2210">
        <v>3.23</v>
      </c>
      <c r="R2210" t="s">
        <v>344</v>
      </c>
      <c r="S2210">
        <v>1</v>
      </c>
    </row>
    <row r="2211" spans="1:19" x14ac:dyDescent="0.25">
      <c r="A2211" t="s">
        <v>47</v>
      </c>
      <c r="B2211" t="s">
        <v>99</v>
      </c>
      <c r="C2211">
        <v>860</v>
      </c>
      <c r="D2211" t="s">
        <v>342</v>
      </c>
      <c r="E2211">
        <v>24.15</v>
      </c>
      <c r="F2211">
        <v>13.63</v>
      </c>
      <c r="G2211">
        <v>13.44</v>
      </c>
      <c r="H2211">
        <v>27.07</v>
      </c>
      <c r="I2211" t="s">
        <v>344</v>
      </c>
      <c r="J2211">
        <v>109.44</v>
      </c>
      <c r="K2211">
        <v>0.04</v>
      </c>
      <c r="L2211" t="s">
        <v>346</v>
      </c>
      <c r="M2211" s="1">
        <v>4.0000000000000002E-4</v>
      </c>
      <c r="N2211" t="s">
        <v>349</v>
      </c>
      <c r="O2211">
        <v>-1.68</v>
      </c>
      <c r="P2211" t="s">
        <v>343</v>
      </c>
      <c r="Q2211">
        <v>4.04</v>
      </c>
      <c r="R2211" t="s">
        <v>343</v>
      </c>
      <c r="S2211">
        <v>1</v>
      </c>
    </row>
    <row r="2212" spans="1:19" x14ac:dyDescent="0.25">
      <c r="A2212" t="s">
        <v>47</v>
      </c>
      <c r="B2212" t="s">
        <v>100</v>
      </c>
      <c r="C2212">
        <v>880</v>
      </c>
      <c r="D2212" t="s">
        <v>342</v>
      </c>
      <c r="E2212">
        <v>24.15</v>
      </c>
      <c r="F2212">
        <v>13.63</v>
      </c>
      <c r="G2212">
        <v>13.44</v>
      </c>
      <c r="H2212">
        <v>27.07</v>
      </c>
      <c r="I2212" t="s">
        <v>344</v>
      </c>
      <c r="J2212">
        <v>109.37</v>
      </c>
      <c r="K2212">
        <v>-0.34</v>
      </c>
      <c r="L2212" t="s">
        <v>346</v>
      </c>
      <c r="M2212" s="1">
        <v>3.3999999999999998E-3</v>
      </c>
      <c r="N2212" t="s">
        <v>349</v>
      </c>
      <c r="O2212">
        <v>-0.53</v>
      </c>
      <c r="P2212" t="s">
        <v>343</v>
      </c>
      <c r="Q2212">
        <v>2.81</v>
      </c>
      <c r="R2212" t="s">
        <v>344</v>
      </c>
      <c r="S2212">
        <v>1</v>
      </c>
    </row>
    <row r="2213" spans="1:19" x14ac:dyDescent="0.25">
      <c r="A2213" t="s">
        <v>47</v>
      </c>
      <c r="B2213" t="s">
        <v>101</v>
      </c>
      <c r="C2213">
        <v>900</v>
      </c>
      <c r="D2213" t="s">
        <v>342</v>
      </c>
      <c r="E2213">
        <v>24.15</v>
      </c>
      <c r="F2213">
        <v>13.93</v>
      </c>
      <c r="G2213">
        <v>13.04</v>
      </c>
      <c r="H2213">
        <v>26.97</v>
      </c>
      <c r="I2213" t="s">
        <v>344</v>
      </c>
      <c r="J2213">
        <v>109.4</v>
      </c>
      <c r="K2213">
        <v>0.15</v>
      </c>
      <c r="L2213" t="s">
        <v>346</v>
      </c>
      <c r="M2213" s="1">
        <v>1.5E-3</v>
      </c>
      <c r="N2213" t="s">
        <v>349</v>
      </c>
      <c r="O2213">
        <v>-0.27</v>
      </c>
      <c r="P2213" t="s">
        <v>343</v>
      </c>
      <c r="Q2213">
        <v>3.05</v>
      </c>
      <c r="R2213" t="s">
        <v>344</v>
      </c>
      <c r="S2213">
        <v>1</v>
      </c>
    </row>
    <row r="2214" spans="1:19" x14ac:dyDescent="0.25">
      <c r="A2214" t="s">
        <v>47</v>
      </c>
      <c r="B2214" t="s">
        <v>102</v>
      </c>
      <c r="C2214">
        <v>920</v>
      </c>
      <c r="D2214" t="s">
        <v>342</v>
      </c>
      <c r="E2214">
        <v>24.15</v>
      </c>
      <c r="F2214">
        <v>14.97</v>
      </c>
      <c r="G2214">
        <v>13.04</v>
      </c>
      <c r="H2214">
        <v>28.02</v>
      </c>
      <c r="I2214" t="s">
        <v>344</v>
      </c>
      <c r="J2214">
        <v>109.25</v>
      </c>
      <c r="K2214">
        <v>-0.76</v>
      </c>
      <c r="L2214" t="s">
        <v>346</v>
      </c>
      <c r="M2214" s="1">
        <v>7.6E-3</v>
      </c>
      <c r="N2214" t="s">
        <v>349</v>
      </c>
      <c r="O2214">
        <v>2.11</v>
      </c>
      <c r="P2214" t="s">
        <v>344</v>
      </c>
      <c r="Q2214">
        <v>2.2599999999999998</v>
      </c>
      <c r="R2214" t="s">
        <v>344</v>
      </c>
      <c r="S2214">
        <v>1</v>
      </c>
    </row>
    <row r="2215" spans="1:19" x14ac:dyDescent="0.25">
      <c r="A2215" t="s">
        <v>47</v>
      </c>
      <c r="B2215" t="s">
        <v>103</v>
      </c>
      <c r="C2215">
        <v>940</v>
      </c>
      <c r="D2215" t="s">
        <v>342</v>
      </c>
      <c r="E2215">
        <v>24.15</v>
      </c>
      <c r="F2215">
        <v>15.75</v>
      </c>
      <c r="G2215">
        <v>13.42</v>
      </c>
      <c r="H2215">
        <v>29.17</v>
      </c>
      <c r="I2215" t="s">
        <v>344</v>
      </c>
      <c r="J2215">
        <v>109.18</v>
      </c>
      <c r="K2215">
        <v>-0.35</v>
      </c>
      <c r="L2215" t="s">
        <v>346</v>
      </c>
      <c r="M2215" s="1">
        <v>3.5000000000000001E-3</v>
      </c>
      <c r="N2215" t="s">
        <v>349</v>
      </c>
      <c r="O2215">
        <v>-1.08</v>
      </c>
      <c r="P2215" t="s">
        <v>343</v>
      </c>
      <c r="Q2215">
        <v>1.17</v>
      </c>
      <c r="R2215" t="s">
        <v>343</v>
      </c>
      <c r="S2215">
        <v>1</v>
      </c>
    </row>
    <row r="2216" spans="1:19" x14ac:dyDescent="0.25">
      <c r="A2216" t="s">
        <v>47</v>
      </c>
      <c r="B2216" t="s">
        <v>104</v>
      </c>
      <c r="C2216">
        <v>960</v>
      </c>
      <c r="D2216" t="s">
        <v>342</v>
      </c>
      <c r="E2216">
        <v>24.15</v>
      </c>
      <c r="F2216">
        <v>15.65</v>
      </c>
      <c r="G2216">
        <v>13.79</v>
      </c>
      <c r="H2216">
        <v>29.44</v>
      </c>
      <c r="I2216" t="s">
        <v>344</v>
      </c>
      <c r="J2216">
        <v>109.01</v>
      </c>
      <c r="K2216">
        <v>-0.84</v>
      </c>
      <c r="L2216" t="s">
        <v>346</v>
      </c>
      <c r="M2216" s="1">
        <v>8.3999999999999995E-3</v>
      </c>
      <c r="N2216" t="s">
        <v>349</v>
      </c>
      <c r="O2216">
        <v>-0.51</v>
      </c>
      <c r="P2216" t="s">
        <v>343</v>
      </c>
      <c r="Q2216">
        <v>3.27</v>
      </c>
      <c r="R2216" t="s">
        <v>344</v>
      </c>
      <c r="S2216">
        <v>1</v>
      </c>
    </row>
    <row r="2217" spans="1:19" x14ac:dyDescent="0.25">
      <c r="A2217" t="s">
        <v>47</v>
      </c>
      <c r="B2217" t="s">
        <v>105</v>
      </c>
      <c r="C2217">
        <v>980</v>
      </c>
      <c r="D2217" t="s">
        <v>342</v>
      </c>
      <c r="E2217">
        <v>24.15</v>
      </c>
      <c r="F2217">
        <v>15.75</v>
      </c>
      <c r="G2217">
        <v>14.3</v>
      </c>
      <c r="H2217">
        <v>30.05</v>
      </c>
      <c r="I2217" t="s">
        <v>344</v>
      </c>
      <c r="J2217">
        <v>109.03</v>
      </c>
      <c r="K2217">
        <v>0.09</v>
      </c>
      <c r="L2217" t="s">
        <v>346</v>
      </c>
      <c r="M2217" s="1">
        <v>8.9999999999999998E-4</v>
      </c>
      <c r="N2217" t="s">
        <v>349</v>
      </c>
      <c r="O2217">
        <v>-1.37</v>
      </c>
      <c r="P2217" t="s">
        <v>343</v>
      </c>
      <c r="Q2217">
        <v>2.64</v>
      </c>
      <c r="R2217" t="s">
        <v>344</v>
      </c>
      <c r="S2217">
        <v>1</v>
      </c>
    </row>
    <row r="2218" spans="1:19" x14ac:dyDescent="0.25">
      <c r="A2218" t="s">
        <v>47</v>
      </c>
      <c r="B2218" t="s">
        <v>106</v>
      </c>
      <c r="C2218">
        <v>1000</v>
      </c>
      <c r="D2218" t="s">
        <v>342</v>
      </c>
      <c r="E2218">
        <v>24.15</v>
      </c>
      <c r="F2218">
        <v>15.78</v>
      </c>
      <c r="G2218">
        <v>14.46</v>
      </c>
      <c r="H2218">
        <v>30.25</v>
      </c>
      <c r="I2218" t="s">
        <v>344</v>
      </c>
      <c r="J2218">
        <v>109.04</v>
      </c>
      <c r="K2218">
        <v>0.08</v>
      </c>
      <c r="L2218" t="s">
        <v>346</v>
      </c>
      <c r="M2218" s="1">
        <v>8.0000000000000004E-4</v>
      </c>
      <c r="N2218" t="s">
        <v>349</v>
      </c>
      <c r="O2218">
        <v>-0.66</v>
      </c>
      <c r="P2218" t="s">
        <v>343</v>
      </c>
      <c r="Q2218">
        <v>3</v>
      </c>
      <c r="R2218" t="s">
        <v>344</v>
      </c>
      <c r="S2218">
        <v>1</v>
      </c>
    </row>
    <row r="2219" spans="1:19" x14ac:dyDescent="0.25">
      <c r="A2219" t="s">
        <v>47</v>
      </c>
      <c r="B2219" t="s">
        <v>108</v>
      </c>
      <c r="C2219">
        <v>1020</v>
      </c>
      <c r="D2219" t="s">
        <v>342</v>
      </c>
      <c r="E2219">
        <v>24.15</v>
      </c>
      <c r="F2219">
        <v>16.03</v>
      </c>
      <c r="G2219">
        <v>14.7</v>
      </c>
      <c r="H2219">
        <v>30.73</v>
      </c>
      <c r="I2219" t="s">
        <v>344</v>
      </c>
      <c r="J2219">
        <v>108.88</v>
      </c>
      <c r="K2219">
        <v>-0.8</v>
      </c>
      <c r="L2219" t="s">
        <v>346</v>
      </c>
      <c r="M2219" s="1">
        <v>8.0000000000000002E-3</v>
      </c>
      <c r="N2219" t="s">
        <v>349</v>
      </c>
      <c r="O2219">
        <v>0.74</v>
      </c>
      <c r="P2219" t="s">
        <v>343</v>
      </c>
      <c r="Q2219">
        <v>2.2200000000000002</v>
      </c>
      <c r="R2219" t="s">
        <v>344</v>
      </c>
      <c r="S2219">
        <v>1</v>
      </c>
    </row>
    <row r="2220" spans="1:19" x14ac:dyDescent="0.25">
      <c r="A2220" t="s">
        <v>47</v>
      </c>
      <c r="B2220" t="s">
        <v>109</v>
      </c>
      <c r="C2220">
        <v>1040</v>
      </c>
      <c r="D2220" t="s">
        <v>342</v>
      </c>
      <c r="E2220">
        <v>24.15</v>
      </c>
      <c r="F2220">
        <v>15.98</v>
      </c>
      <c r="G2220">
        <v>14.31</v>
      </c>
      <c r="H2220">
        <v>30.29</v>
      </c>
      <c r="I2220" t="s">
        <v>344</v>
      </c>
      <c r="J2220">
        <v>108.68</v>
      </c>
      <c r="K2220">
        <v>-0.99</v>
      </c>
      <c r="L2220" t="s">
        <v>346</v>
      </c>
      <c r="M2220" s="1">
        <v>9.8999999999999991E-3</v>
      </c>
      <c r="N2220" t="s">
        <v>349</v>
      </c>
      <c r="O2220">
        <v>0.64</v>
      </c>
      <c r="P2220" t="s">
        <v>343</v>
      </c>
      <c r="Q2220">
        <v>2.0699999999999998</v>
      </c>
      <c r="R2220" t="s">
        <v>344</v>
      </c>
      <c r="S2220">
        <v>1</v>
      </c>
    </row>
    <row r="2221" spans="1:19" x14ac:dyDescent="0.25">
      <c r="A2221" t="s">
        <v>47</v>
      </c>
      <c r="B2221" t="s">
        <v>110</v>
      </c>
      <c r="C2221">
        <v>1060</v>
      </c>
      <c r="D2221" t="s">
        <v>342</v>
      </c>
      <c r="E2221">
        <v>24.15</v>
      </c>
      <c r="F2221">
        <v>15.85</v>
      </c>
      <c r="G2221">
        <v>14.65</v>
      </c>
      <c r="H2221">
        <v>30.51</v>
      </c>
      <c r="I2221" t="s">
        <v>344</v>
      </c>
      <c r="J2221">
        <v>108.6</v>
      </c>
      <c r="K2221">
        <v>-0.43</v>
      </c>
      <c r="L2221" t="s">
        <v>346</v>
      </c>
      <c r="M2221" s="1">
        <v>4.3E-3</v>
      </c>
      <c r="N2221" t="s">
        <v>349</v>
      </c>
      <c r="O2221">
        <v>0.94</v>
      </c>
      <c r="P2221" t="s">
        <v>343</v>
      </c>
      <c r="Q2221">
        <v>2.04</v>
      </c>
      <c r="R2221" t="s">
        <v>344</v>
      </c>
      <c r="S2221">
        <v>1</v>
      </c>
    </row>
    <row r="2222" spans="1:19" x14ac:dyDescent="0.25">
      <c r="A2222" t="s">
        <v>47</v>
      </c>
      <c r="B2222" t="s">
        <v>111</v>
      </c>
      <c r="C2222">
        <v>1080</v>
      </c>
      <c r="D2222" t="s">
        <v>342</v>
      </c>
      <c r="E2222">
        <v>24.15</v>
      </c>
      <c r="F2222">
        <v>15.98</v>
      </c>
      <c r="G2222">
        <v>15.11</v>
      </c>
      <c r="H2222">
        <v>31.09</v>
      </c>
      <c r="I2222" t="s">
        <v>344</v>
      </c>
      <c r="J2222">
        <v>108.37</v>
      </c>
      <c r="K2222">
        <v>-1.1499999999999999</v>
      </c>
      <c r="L2222" t="s">
        <v>346</v>
      </c>
      <c r="M2222" s="1">
        <v>1.15E-2</v>
      </c>
      <c r="N2222" t="s">
        <v>349</v>
      </c>
      <c r="O2222">
        <v>-5.89</v>
      </c>
      <c r="P2222" t="s">
        <v>343</v>
      </c>
      <c r="Q2222">
        <v>1.25</v>
      </c>
      <c r="R2222" t="s">
        <v>343</v>
      </c>
      <c r="S2222">
        <v>1</v>
      </c>
    </row>
    <row r="2223" spans="1:19" x14ac:dyDescent="0.25">
      <c r="A2223" t="s">
        <v>47</v>
      </c>
      <c r="B2223" t="s">
        <v>112</v>
      </c>
      <c r="C2223">
        <v>1100</v>
      </c>
      <c r="D2223" t="s">
        <v>342</v>
      </c>
      <c r="E2223">
        <v>24.15</v>
      </c>
      <c r="F2223">
        <v>17.71</v>
      </c>
      <c r="G2223">
        <v>14.65</v>
      </c>
      <c r="H2223">
        <v>32.36</v>
      </c>
      <c r="I2223" t="s">
        <v>344</v>
      </c>
      <c r="J2223">
        <v>108.79</v>
      </c>
      <c r="K2223">
        <v>2.12</v>
      </c>
      <c r="L2223" t="s">
        <v>346</v>
      </c>
      <c r="M2223" s="1">
        <v>2.12E-2</v>
      </c>
      <c r="N2223" t="s">
        <v>350</v>
      </c>
      <c r="O2223">
        <v>-0.91</v>
      </c>
      <c r="P2223" t="s">
        <v>343</v>
      </c>
      <c r="Q2223">
        <v>6.26</v>
      </c>
      <c r="R2223" t="s">
        <v>343</v>
      </c>
      <c r="S2223">
        <v>1</v>
      </c>
    </row>
    <row r="2224" spans="1:19" x14ac:dyDescent="0.25">
      <c r="A2224" t="s">
        <v>47</v>
      </c>
      <c r="B2224" t="s">
        <v>113</v>
      </c>
      <c r="C2224">
        <v>1120</v>
      </c>
      <c r="D2224" t="s">
        <v>342</v>
      </c>
      <c r="E2224">
        <v>24.15</v>
      </c>
      <c r="F2224">
        <v>17.72</v>
      </c>
      <c r="G2224">
        <v>13.7</v>
      </c>
      <c r="H2224">
        <v>31.42</v>
      </c>
      <c r="I2224" t="s">
        <v>344</v>
      </c>
      <c r="J2224">
        <v>108.61</v>
      </c>
      <c r="K2224">
        <v>-0.92</v>
      </c>
      <c r="L2224" t="s">
        <v>346</v>
      </c>
      <c r="M2224" s="1">
        <v>9.1999999999999998E-3</v>
      </c>
      <c r="N2224" t="s">
        <v>349</v>
      </c>
      <c r="O2224">
        <v>-0.53</v>
      </c>
      <c r="P2224" t="s">
        <v>343</v>
      </c>
      <c r="Q2224">
        <v>1.07</v>
      </c>
      <c r="R2224" t="s">
        <v>343</v>
      </c>
      <c r="S2224">
        <v>1</v>
      </c>
    </row>
    <row r="2225" spans="1:19" x14ac:dyDescent="0.25">
      <c r="A2225" t="s">
        <v>47</v>
      </c>
      <c r="B2225" t="s">
        <v>114</v>
      </c>
      <c r="C2225">
        <v>1140</v>
      </c>
      <c r="D2225" t="s">
        <v>342</v>
      </c>
      <c r="E2225">
        <v>24.15</v>
      </c>
      <c r="F2225">
        <v>17.3</v>
      </c>
      <c r="G2225">
        <v>12.68</v>
      </c>
      <c r="H2225">
        <v>29.98</v>
      </c>
      <c r="I2225" t="s">
        <v>344</v>
      </c>
      <c r="J2225">
        <v>108.47</v>
      </c>
      <c r="K2225">
        <v>-0.68</v>
      </c>
      <c r="L2225" t="s">
        <v>346</v>
      </c>
      <c r="M2225" s="1">
        <v>6.7999999999999996E-3</v>
      </c>
      <c r="N2225" t="s">
        <v>349</v>
      </c>
      <c r="O2225">
        <v>-1.1499999999999999</v>
      </c>
      <c r="P2225" t="s">
        <v>343</v>
      </c>
      <c r="Q2225">
        <v>0.17</v>
      </c>
      <c r="R2225" t="s">
        <v>343</v>
      </c>
      <c r="S2225">
        <v>1</v>
      </c>
    </row>
    <row r="2226" spans="1:19" x14ac:dyDescent="0.25">
      <c r="A2226" t="s">
        <v>47</v>
      </c>
      <c r="B2226" t="s">
        <v>115</v>
      </c>
      <c r="C2226">
        <v>1160</v>
      </c>
      <c r="D2226" t="s">
        <v>342</v>
      </c>
      <c r="E2226">
        <v>24.15</v>
      </c>
      <c r="F2226">
        <v>16.239999999999998</v>
      </c>
      <c r="G2226">
        <v>10.62</v>
      </c>
      <c r="H2226">
        <v>26.86</v>
      </c>
      <c r="I2226" t="s">
        <v>344</v>
      </c>
      <c r="J2226">
        <v>108.46</v>
      </c>
      <c r="K2226">
        <v>-0.04</v>
      </c>
      <c r="L2226" t="s">
        <v>346</v>
      </c>
      <c r="M2226" s="1">
        <v>4.0000000000000002E-4</v>
      </c>
      <c r="N2226" t="s">
        <v>349</v>
      </c>
      <c r="O2226">
        <v>-0.82</v>
      </c>
      <c r="P2226" t="s">
        <v>343</v>
      </c>
      <c r="Q2226">
        <v>-0.63</v>
      </c>
      <c r="R2226" t="s">
        <v>343</v>
      </c>
      <c r="S2226">
        <v>1</v>
      </c>
    </row>
    <row r="2227" spans="1:19" x14ac:dyDescent="0.25">
      <c r="A2227" t="s">
        <v>47</v>
      </c>
      <c r="B2227" t="s">
        <v>116</v>
      </c>
      <c r="C2227">
        <v>1180</v>
      </c>
      <c r="D2227" t="s">
        <v>342</v>
      </c>
      <c r="E2227">
        <v>24.15</v>
      </c>
      <c r="F2227">
        <v>15.4</v>
      </c>
      <c r="G2227">
        <v>11.01</v>
      </c>
      <c r="H2227">
        <v>26.41</v>
      </c>
      <c r="I2227" t="s">
        <v>344</v>
      </c>
      <c r="J2227">
        <v>108.42</v>
      </c>
      <c r="K2227">
        <v>-0.2</v>
      </c>
      <c r="L2227" t="s">
        <v>346</v>
      </c>
      <c r="M2227" s="1">
        <v>2E-3</v>
      </c>
      <c r="N2227" t="s">
        <v>349</v>
      </c>
      <c r="O2227">
        <v>0.68</v>
      </c>
      <c r="P2227" t="s">
        <v>343</v>
      </c>
      <c r="Q2227">
        <v>-1.02</v>
      </c>
      <c r="R2227" t="s">
        <v>343</v>
      </c>
      <c r="S2227">
        <v>1</v>
      </c>
    </row>
    <row r="2228" spans="1:19" x14ac:dyDescent="0.25">
      <c r="A2228" t="s">
        <v>47</v>
      </c>
      <c r="B2228" t="s">
        <v>117</v>
      </c>
      <c r="C2228">
        <v>1200</v>
      </c>
      <c r="D2228" t="s">
        <v>342</v>
      </c>
      <c r="E2228">
        <v>24.15</v>
      </c>
      <c r="F2228">
        <v>15.08</v>
      </c>
      <c r="G2228">
        <v>11.72</v>
      </c>
      <c r="H2228">
        <v>26.81</v>
      </c>
      <c r="I2228" t="s">
        <v>344</v>
      </c>
      <c r="J2228">
        <v>108.22</v>
      </c>
      <c r="K2228">
        <v>-1.01</v>
      </c>
      <c r="L2228" t="s">
        <v>346</v>
      </c>
      <c r="M2228" s="1">
        <v>1.01E-2</v>
      </c>
      <c r="N2228" t="s">
        <v>349</v>
      </c>
      <c r="O2228">
        <v>2.0699999999999998</v>
      </c>
      <c r="P2228" t="s">
        <v>344</v>
      </c>
      <c r="Q2228">
        <v>-0.57999999999999996</v>
      </c>
      <c r="R2228" t="s">
        <v>343</v>
      </c>
      <c r="S2228">
        <v>1</v>
      </c>
    </row>
    <row r="2229" spans="1:19" x14ac:dyDescent="0.25">
      <c r="A2229" t="s">
        <v>47</v>
      </c>
      <c r="B2229" t="s">
        <v>118</v>
      </c>
      <c r="C2229">
        <v>1220</v>
      </c>
      <c r="D2229" t="s">
        <v>342</v>
      </c>
      <c r="E2229">
        <v>24.15</v>
      </c>
      <c r="F2229">
        <v>14.58</v>
      </c>
      <c r="G2229">
        <v>12.74</v>
      </c>
      <c r="H2229">
        <v>27.32</v>
      </c>
      <c r="I2229" t="s">
        <v>344</v>
      </c>
      <c r="J2229">
        <v>107.84</v>
      </c>
      <c r="K2229">
        <v>-1.93</v>
      </c>
      <c r="L2229" t="s">
        <v>346</v>
      </c>
      <c r="M2229" s="1">
        <v>1.9300000000000001E-2</v>
      </c>
      <c r="N2229" t="s">
        <v>349</v>
      </c>
      <c r="O2229">
        <v>2.2999999999999998</v>
      </c>
      <c r="P2229" t="s">
        <v>344</v>
      </c>
      <c r="Q2229">
        <v>-1.25</v>
      </c>
      <c r="R2229" t="s">
        <v>343</v>
      </c>
      <c r="S2229">
        <v>1</v>
      </c>
    </row>
    <row r="2230" spans="1:19" x14ac:dyDescent="0.25">
      <c r="A2230" t="s">
        <v>47</v>
      </c>
      <c r="B2230" t="s">
        <v>119</v>
      </c>
      <c r="C2230">
        <v>1240</v>
      </c>
      <c r="D2230" t="s">
        <v>342</v>
      </c>
      <c r="E2230">
        <v>24.15</v>
      </c>
      <c r="F2230">
        <v>14.32</v>
      </c>
      <c r="G2230">
        <v>12.74</v>
      </c>
      <c r="H2230">
        <v>27.06</v>
      </c>
      <c r="I2230" t="s">
        <v>344</v>
      </c>
      <c r="J2230">
        <v>107.55</v>
      </c>
      <c r="K2230">
        <v>-1.43</v>
      </c>
      <c r="L2230" t="s">
        <v>346</v>
      </c>
      <c r="M2230" s="1">
        <v>1.43E-2</v>
      </c>
      <c r="N2230" t="s">
        <v>349</v>
      </c>
      <c r="O2230">
        <v>1.46</v>
      </c>
      <c r="P2230" t="s">
        <v>343</v>
      </c>
      <c r="Q2230">
        <v>2.65</v>
      </c>
      <c r="R2230" t="s">
        <v>344</v>
      </c>
      <c r="S2230">
        <v>1</v>
      </c>
    </row>
    <row r="2231" spans="1:19" x14ac:dyDescent="0.25">
      <c r="A2231" t="s">
        <v>47</v>
      </c>
      <c r="B2231" t="s">
        <v>120</v>
      </c>
      <c r="C2231">
        <v>1260</v>
      </c>
      <c r="D2231" t="s">
        <v>342</v>
      </c>
      <c r="E2231">
        <v>24.15</v>
      </c>
      <c r="F2231">
        <v>13.5</v>
      </c>
      <c r="G2231">
        <v>13.46</v>
      </c>
      <c r="H2231">
        <v>26.96</v>
      </c>
      <c r="I2231" t="s">
        <v>344</v>
      </c>
      <c r="J2231">
        <v>107.28</v>
      </c>
      <c r="K2231">
        <v>-1.33</v>
      </c>
      <c r="L2231" t="s">
        <v>346</v>
      </c>
      <c r="M2231" s="1">
        <v>1.3299999999999999E-2</v>
      </c>
      <c r="N2231" t="s">
        <v>349</v>
      </c>
      <c r="O2231">
        <v>2.42</v>
      </c>
      <c r="P2231" t="s">
        <v>344</v>
      </c>
      <c r="Q2231">
        <v>1.19</v>
      </c>
      <c r="R2231" t="s">
        <v>343</v>
      </c>
      <c r="S2231">
        <v>1</v>
      </c>
    </row>
    <row r="2232" spans="1:19" x14ac:dyDescent="0.25">
      <c r="A2232" t="s">
        <v>47</v>
      </c>
      <c r="B2232" t="s">
        <v>121</v>
      </c>
      <c r="C2232">
        <v>1280</v>
      </c>
      <c r="D2232" t="s">
        <v>342</v>
      </c>
      <c r="E2232">
        <v>24.15</v>
      </c>
      <c r="F2232">
        <v>13.59</v>
      </c>
      <c r="G2232">
        <v>14.03</v>
      </c>
      <c r="H2232">
        <v>27.61</v>
      </c>
      <c r="I2232" t="s">
        <v>344</v>
      </c>
      <c r="J2232">
        <v>107.17</v>
      </c>
      <c r="K2232">
        <v>-0.56999999999999995</v>
      </c>
      <c r="L2232" t="s">
        <v>346</v>
      </c>
      <c r="M2232" s="1">
        <v>5.6999999999999993E-3</v>
      </c>
      <c r="N2232" t="s">
        <v>349</v>
      </c>
      <c r="O2232">
        <v>3.25</v>
      </c>
      <c r="P2232" t="s">
        <v>344</v>
      </c>
      <c r="Q2232">
        <v>-0.56000000000000005</v>
      </c>
      <c r="R2232" t="s">
        <v>343</v>
      </c>
      <c r="S2232">
        <v>1</v>
      </c>
    </row>
    <row r="2233" spans="1:19" x14ac:dyDescent="0.25">
      <c r="A2233" t="s">
        <v>47</v>
      </c>
      <c r="B2233" t="s">
        <v>123</v>
      </c>
      <c r="C2233">
        <v>1300</v>
      </c>
      <c r="D2233" t="s">
        <v>342</v>
      </c>
      <c r="E2233">
        <v>24.15</v>
      </c>
      <c r="F2233">
        <v>14.52</v>
      </c>
      <c r="G2233">
        <v>14.03</v>
      </c>
      <c r="H2233">
        <v>28.54</v>
      </c>
      <c r="I2233" t="s">
        <v>344</v>
      </c>
      <c r="J2233">
        <v>107.58</v>
      </c>
      <c r="K2233">
        <v>2.04</v>
      </c>
      <c r="L2233" t="s">
        <v>346</v>
      </c>
      <c r="M2233" s="1">
        <v>2.0400000000000001E-2</v>
      </c>
      <c r="N2233" t="s">
        <v>350</v>
      </c>
      <c r="O2233">
        <v>2.2400000000000002</v>
      </c>
      <c r="P2233" t="s">
        <v>344</v>
      </c>
      <c r="Q2233">
        <v>-1.95</v>
      </c>
      <c r="R2233" t="s">
        <v>343</v>
      </c>
      <c r="S2233">
        <v>1</v>
      </c>
    </row>
    <row r="2234" spans="1:19" x14ac:dyDescent="0.25">
      <c r="A2234" t="s">
        <v>47</v>
      </c>
      <c r="B2234" t="s">
        <v>124</v>
      </c>
      <c r="C2234">
        <v>1320</v>
      </c>
      <c r="D2234" t="s">
        <v>342</v>
      </c>
      <c r="E2234">
        <v>24.15</v>
      </c>
      <c r="F2234">
        <v>13.19</v>
      </c>
      <c r="G2234">
        <v>20</v>
      </c>
      <c r="H2234">
        <v>33.19</v>
      </c>
      <c r="I2234" t="s">
        <v>344</v>
      </c>
      <c r="J2234">
        <v>106.5</v>
      </c>
      <c r="K2234">
        <v>-5.36</v>
      </c>
      <c r="L2234" t="s">
        <v>346</v>
      </c>
      <c r="M2234" s="1">
        <v>5.3600000000000002E-2</v>
      </c>
      <c r="N2234" t="s">
        <v>350</v>
      </c>
      <c r="O2234">
        <v>1.18</v>
      </c>
      <c r="P2234" t="s">
        <v>343</v>
      </c>
      <c r="Q2234">
        <v>-2.5099999999999998</v>
      </c>
      <c r="R2234" t="s">
        <v>344</v>
      </c>
      <c r="S2234">
        <v>1</v>
      </c>
    </row>
    <row r="2235" spans="1:19" x14ac:dyDescent="0.25">
      <c r="A2235" t="s">
        <v>47</v>
      </c>
      <c r="B2235" t="s">
        <v>125</v>
      </c>
      <c r="C2235">
        <v>1340</v>
      </c>
      <c r="D2235" t="s">
        <v>342</v>
      </c>
      <c r="E2235">
        <v>24.15</v>
      </c>
      <c r="F2235">
        <v>13.6</v>
      </c>
      <c r="G2235">
        <v>20</v>
      </c>
      <c r="H2235">
        <v>33.6</v>
      </c>
      <c r="I2235" t="s">
        <v>344</v>
      </c>
      <c r="J2235">
        <v>106.19</v>
      </c>
      <c r="K2235">
        <v>-1.56</v>
      </c>
      <c r="L2235" t="s">
        <v>346</v>
      </c>
      <c r="M2235" s="1">
        <v>1.5599999999999999E-2</v>
      </c>
      <c r="N2235" t="s">
        <v>349</v>
      </c>
      <c r="O2235">
        <v>3.32</v>
      </c>
      <c r="P2235" t="s">
        <v>344</v>
      </c>
      <c r="Q2235">
        <v>-1.96</v>
      </c>
      <c r="R2235" t="s">
        <v>343</v>
      </c>
      <c r="S2235">
        <v>1</v>
      </c>
    </row>
    <row r="2236" spans="1:19" x14ac:dyDescent="0.25">
      <c r="A2236" t="s">
        <v>47</v>
      </c>
      <c r="B2236" t="s">
        <v>126</v>
      </c>
      <c r="C2236">
        <v>1360</v>
      </c>
      <c r="D2236" t="s">
        <v>342</v>
      </c>
      <c r="E2236">
        <v>24.15</v>
      </c>
      <c r="F2236">
        <v>16.64</v>
      </c>
      <c r="G2236">
        <v>20</v>
      </c>
      <c r="H2236">
        <v>36.64</v>
      </c>
      <c r="I2236" t="s">
        <v>344</v>
      </c>
      <c r="J2236">
        <v>105.67</v>
      </c>
      <c r="K2236">
        <v>-2.59</v>
      </c>
      <c r="L2236" t="s">
        <v>346</v>
      </c>
      <c r="M2236" s="1">
        <v>2.5899999999999999E-2</v>
      </c>
      <c r="N2236" t="s">
        <v>350</v>
      </c>
      <c r="O2236">
        <v>5.37</v>
      </c>
      <c r="P2236" t="s">
        <v>343</v>
      </c>
      <c r="Q2236">
        <v>-3.98</v>
      </c>
      <c r="R2236" t="s">
        <v>344</v>
      </c>
      <c r="S2236">
        <v>1</v>
      </c>
    </row>
    <row r="2237" spans="1:19" x14ac:dyDescent="0.25">
      <c r="A2237" t="s">
        <v>47</v>
      </c>
      <c r="B2237" t="s">
        <v>127</v>
      </c>
      <c r="C2237">
        <v>1380</v>
      </c>
      <c r="D2237" t="s">
        <v>342</v>
      </c>
      <c r="E2237">
        <v>24.15</v>
      </c>
      <c r="F2237">
        <v>18.37</v>
      </c>
      <c r="G2237">
        <v>15.46</v>
      </c>
      <c r="H2237">
        <v>33.83</v>
      </c>
      <c r="I2237" t="s">
        <v>344</v>
      </c>
      <c r="J2237">
        <v>104.94</v>
      </c>
      <c r="K2237">
        <v>-3.68</v>
      </c>
      <c r="L2237" t="s">
        <v>346</v>
      </c>
      <c r="M2237" s="1">
        <v>3.6799999999999999E-2</v>
      </c>
      <c r="N2237" t="s">
        <v>350</v>
      </c>
      <c r="O2237">
        <v>5.5</v>
      </c>
      <c r="P2237" t="s">
        <v>343</v>
      </c>
      <c r="Q2237">
        <v>0.57999999999999996</v>
      </c>
      <c r="R2237" t="s">
        <v>343</v>
      </c>
      <c r="S2237">
        <v>1</v>
      </c>
    </row>
    <row r="2238" spans="1:19" x14ac:dyDescent="0.25">
      <c r="A2238" t="s">
        <v>47</v>
      </c>
      <c r="B2238" t="s">
        <v>128</v>
      </c>
      <c r="C2238">
        <v>1400</v>
      </c>
      <c r="D2238" t="s">
        <v>342</v>
      </c>
      <c r="E2238">
        <v>24.15</v>
      </c>
      <c r="F2238">
        <v>20</v>
      </c>
      <c r="G2238">
        <v>15.2</v>
      </c>
      <c r="H2238">
        <v>35.200000000000003</v>
      </c>
      <c r="I2238" t="s">
        <v>344</v>
      </c>
      <c r="J2238">
        <v>103.96</v>
      </c>
      <c r="K2238">
        <v>-4.91</v>
      </c>
      <c r="L2238" t="s">
        <v>346</v>
      </c>
      <c r="M2238" s="1">
        <v>4.9099999999999998E-2</v>
      </c>
      <c r="N2238" t="s">
        <v>350</v>
      </c>
      <c r="O2238">
        <v>4.9800000000000004</v>
      </c>
      <c r="P2238" t="s">
        <v>343</v>
      </c>
      <c r="Q2238">
        <v>-3.88</v>
      </c>
      <c r="R2238" t="s">
        <v>344</v>
      </c>
      <c r="S2238">
        <v>1</v>
      </c>
    </row>
    <row r="2239" spans="1:19" x14ac:dyDescent="0.25">
      <c r="A2239" t="s">
        <v>47</v>
      </c>
      <c r="B2239" t="s">
        <v>129</v>
      </c>
      <c r="C2239">
        <v>1420</v>
      </c>
      <c r="D2239" t="s">
        <v>342</v>
      </c>
      <c r="E2239">
        <v>24.15</v>
      </c>
      <c r="F2239">
        <v>20</v>
      </c>
      <c r="G2239">
        <v>16.670000000000002</v>
      </c>
      <c r="H2239">
        <v>36.67</v>
      </c>
      <c r="I2239" t="s">
        <v>344</v>
      </c>
      <c r="J2239">
        <v>102.88</v>
      </c>
      <c r="K2239">
        <v>-5.39</v>
      </c>
      <c r="L2239" t="s">
        <v>346</v>
      </c>
      <c r="M2239" s="1">
        <v>5.3900000000000003E-2</v>
      </c>
      <c r="N2239" t="s">
        <v>350</v>
      </c>
      <c r="O2239">
        <v>4.38</v>
      </c>
      <c r="P2239" t="s">
        <v>343</v>
      </c>
      <c r="Q2239">
        <v>-3.59</v>
      </c>
      <c r="R2239" t="s">
        <v>344</v>
      </c>
      <c r="S2239">
        <v>1</v>
      </c>
    </row>
    <row r="2240" spans="1:19" x14ac:dyDescent="0.25">
      <c r="A2240" t="s">
        <v>47</v>
      </c>
      <c r="B2240" t="s">
        <v>130</v>
      </c>
      <c r="C2240">
        <v>1440</v>
      </c>
      <c r="D2240" t="s">
        <v>342</v>
      </c>
      <c r="E2240">
        <v>24.15</v>
      </c>
      <c r="F2240">
        <v>20</v>
      </c>
      <c r="G2240">
        <v>18.350000000000001</v>
      </c>
      <c r="H2240">
        <v>38.35</v>
      </c>
      <c r="I2240" t="s">
        <v>344</v>
      </c>
      <c r="J2240">
        <v>102.14</v>
      </c>
      <c r="K2240">
        <v>-3.67</v>
      </c>
      <c r="L2240" t="s">
        <v>346</v>
      </c>
      <c r="M2240" s="1">
        <v>3.6700000000000003E-2</v>
      </c>
      <c r="N2240" t="s">
        <v>350</v>
      </c>
      <c r="O2240">
        <v>4.3499999999999996</v>
      </c>
      <c r="P2240" t="s">
        <v>343</v>
      </c>
      <c r="Q2240">
        <v>-3.7</v>
      </c>
      <c r="R2240" t="s">
        <v>344</v>
      </c>
      <c r="S2240">
        <v>1</v>
      </c>
    </row>
    <row r="2241" spans="1:19" x14ac:dyDescent="0.25">
      <c r="A2241" t="s">
        <v>47</v>
      </c>
      <c r="B2241" t="s">
        <v>131</v>
      </c>
      <c r="C2241">
        <v>1460</v>
      </c>
      <c r="D2241" t="s">
        <v>342</v>
      </c>
      <c r="E2241">
        <v>24.15</v>
      </c>
      <c r="F2241">
        <v>20</v>
      </c>
      <c r="G2241">
        <v>20</v>
      </c>
      <c r="H2241">
        <v>40</v>
      </c>
      <c r="I2241" t="s">
        <v>344</v>
      </c>
      <c r="J2241">
        <v>101.71</v>
      </c>
      <c r="K2241">
        <v>-2.17</v>
      </c>
      <c r="L2241" t="s">
        <v>346</v>
      </c>
      <c r="M2241" s="1">
        <v>2.1700000000000001E-2</v>
      </c>
      <c r="N2241" t="s">
        <v>350</v>
      </c>
      <c r="O2241">
        <v>2.7</v>
      </c>
      <c r="P2241" t="s">
        <v>344</v>
      </c>
      <c r="Q2241">
        <v>-4.3</v>
      </c>
      <c r="R2241" t="s">
        <v>343</v>
      </c>
      <c r="S2241">
        <v>1</v>
      </c>
    </row>
    <row r="2242" spans="1:19" x14ac:dyDescent="0.25">
      <c r="A2242" t="s">
        <v>47</v>
      </c>
      <c r="B2242" t="s">
        <v>132</v>
      </c>
      <c r="C2242">
        <v>1480</v>
      </c>
      <c r="D2242" t="s">
        <v>342</v>
      </c>
      <c r="E2242">
        <v>24.15</v>
      </c>
      <c r="F2242">
        <v>20</v>
      </c>
      <c r="G2242">
        <v>20</v>
      </c>
      <c r="H2242">
        <v>40</v>
      </c>
      <c r="I2242" t="s">
        <v>344</v>
      </c>
      <c r="J2242">
        <v>102.36</v>
      </c>
      <c r="K2242">
        <v>3.26</v>
      </c>
      <c r="L2242" t="s">
        <v>346</v>
      </c>
      <c r="M2242" s="1">
        <v>3.2599999999999997E-2</v>
      </c>
      <c r="N2242" t="s">
        <v>350</v>
      </c>
      <c r="O2242">
        <v>0.41</v>
      </c>
      <c r="P2242" t="s">
        <v>343</v>
      </c>
      <c r="Q2242">
        <v>-2.19</v>
      </c>
      <c r="R2242" t="s">
        <v>344</v>
      </c>
      <c r="S2242">
        <v>1</v>
      </c>
    </row>
    <row r="2243" spans="1:19" x14ac:dyDescent="0.25">
      <c r="A2243" t="s">
        <v>47</v>
      </c>
      <c r="B2243" t="s">
        <v>329</v>
      </c>
      <c r="C2243">
        <v>1487.885</v>
      </c>
      <c r="D2243" t="s">
        <v>342</v>
      </c>
      <c r="E2243">
        <v>24.15</v>
      </c>
      <c r="F2243">
        <v>20</v>
      </c>
      <c r="G2243">
        <v>20</v>
      </c>
      <c r="H2243">
        <v>40</v>
      </c>
      <c r="I2243" t="s">
        <v>344</v>
      </c>
      <c r="J2243">
        <v>102.84</v>
      </c>
      <c r="K2243">
        <v>6.06</v>
      </c>
      <c r="L2243" t="s">
        <v>346</v>
      </c>
      <c r="M2243" s="1">
        <v>6.0599999999999987E-2</v>
      </c>
      <c r="N2243" t="s">
        <v>350</v>
      </c>
      <c r="O2243">
        <v>2.1800000000000002</v>
      </c>
      <c r="P2243" t="s">
        <v>344</v>
      </c>
      <c r="Q2243">
        <v>-1.95</v>
      </c>
      <c r="R2243" t="s">
        <v>343</v>
      </c>
      <c r="S2243">
        <v>0</v>
      </c>
    </row>
    <row r="2244" spans="1:19" x14ac:dyDescent="0.25">
      <c r="A2244" t="s">
        <v>48</v>
      </c>
      <c r="B2244" t="s">
        <v>56</v>
      </c>
      <c r="C2244">
        <v>0</v>
      </c>
      <c r="D2244" t="s">
        <v>342</v>
      </c>
      <c r="E2244">
        <v>24.15</v>
      </c>
      <c r="F2244">
        <v>20</v>
      </c>
      <c r="G2244">
        <v>20</v>
      </c>
      <c r="H2244">
        <v>40</v>
      </c>
      <c r="I2244" t="s">
        <v>344</v>
      </c>
      <c r="J2244">
        <v>130.97</v>
      </c>
      <c r="L2244" t="s">
        <v>345</v>
      </c>
      <c r="N2244" t="s">
        <v>345</v>
      </c>
      <c r="O2244">
        <v>0.12</v>
      </c>
      <c r="P2244" t="s">
        <v>343</v>
      </c>
      <c r="Q2244">
        <v>-1.65</v>
      </c>
      <c r="R2244" t="s">
        <v>343</v>
      </c>
      <c r="S2244">
        <v>1</v>
      </c>
    </row>
    <row r="2245" spans="1:19" x14ac:dyDescent="0.25">
      <c r="A2245" t="s">
        <v>48</v>
      </c>
      <c r="B2245" t="s">
        <v>57</v>
      </c>
      <c r="C2245">
        <v>20</v>
      </c>
      <c r="D2245" t="s">
        <v>342</v>
      </c>
      <c r="E2245">
        <v>24.15</v>
      </c>
      <c r="F2245">
        <v>20</v>
      </c>
      <c r="G2245">
        <v>15.27</v>
      </c>
      <c r="H2245">
        <v>35.270000000000003</v>
      </c>
      <c r="I2245" t="s">
        <v>344</v>
      </c>
      <c r="J2245">
        <v>129.97</v>
      </c>
      <c r="K2245">
        <v>-5.01</v>
      </c>
      <c r="L2245" t="s">
        <v>346</v>
      </c>
      <c r="M2245" s="1">
        <v>5.0099999999999999E-2</v>
      </c>
      <c r="N2245" t="s">
        <v>350</v>
      </c>
      <c r="O2245">
        <v>-5.74</v>
      </c>
      <c r="P2245" t="s">
        <v>343</v>
      </c>
      <c r="Q2245">
        <v>2.65</v>
      </c>
      <c r="R2245" t="s">
        <v>344</v>
      </c>
      <c r="S2245">
        <v>1</v>
      </c>
    </row>
    <row r="2246" spans="1:19" x14ac:dyDescent="0.25">
      <c r="A2246" t="s">
        <v>48</v>
      </c>
      <c r="B2246" t="s">
        <v>58</v>
      </c>
      <c r="C2246">
        <v>40</v>
      </c>
      <c r="D2246" t="s">
        <v>342</v>
      </c>
      <c r="E2246">
        <v>24.15</v>
      </c>
      <c r="F2246">
        <v>14.87</v>
      </c>
      <c r="G2246">
        <v>13.95</v>
      </c>
      <c r="H2246">
        <v>28.82</v>
      </c>
      <c r="I2246" t="s">
        <v>344</v>
      </c>
      <c r="J2246">
        <v>128.93</v>
      </c>
      <c r="K2246">
        <v>-5.17</v>
      </c>
      <c r="L2246" t="s">
        <v>346</v>
      </c>
      <c r="M2246" s="1">
        <v>5.1700000000000003E-2</v>
      </c>
      <c r="N2246" t="s">
        <v>350</v>
      </c>
      <c r="O2246">
        <v>-3.51</v>
      </c>
      <c r="P2246" t="s">
        <v>344</v>
      </c>
      <c r="Q2246">
        <v>1.92</v>
      </c>
      <c r="R2246" t="s">
        <v>343</v>
      </c>
      <c r="S2246">
        <v>1</v>
      </c>
    </row>
    <row r="2247" spans="1:19" x14ac:dyDescent="0.25">
      <c r="A2247" t="s">
        <v>48</v>
      </c>
      <c r="B2247" t="s">
        <v>59</v>
      </c>
      <c r="C2247">
        <v>60</v>
      </c>
      <c r="D2247" t="s">
        <v>342</v>
      </c>
      <c r="E2247">
        <v>24.15</v>
      </c>
      <c r="F2247">
        <v>13.4</v>
      </c>
      <c r="G2247">
        <v>13.59</v>
      </c>
      <c r="H2247">
        <v>27</v>
      </c>
      <c r="I2247" t="s">
        <v>344</v>
      </c>
      <c r="J2247">
        <v>128.29</v>
      </c>
      <c r="K2247">
        <v>-3.22</v>
      </c>
      <c r="L2247" t="s">
        <v>346</v>
      </c>
      <c r="M2247" s="1">
        <v>3.2199999999999999E-2</v>
      </c>
      <c r="N2247" t="s">
        <v>350</v>
      </c>
      <c r="O2247">
        <v>-2.7</v>
      </c>
      <c r="P2247" t="s">
        <v>344</v>
      </c>
      <c r="Q2247">
        <v>2.0699999999999998</v>
      </c>
      <c r="R2247" t="s">
        <v>344</v>
      </c>
      <c r="S2247">
        <v>1</v>
      </c>
    </row>
    <row r="2248" spans="1:19" x14ac:dyDescent="0.25">
      <c r="A2248" t="s">
        <v>48</v>
      </c>
      <c r="B2248" t="s">
        <v>60</v>
      </c>
      <c r="C2248">
        <v>80</v>
      </c>
      <c r="D2248" t="s">
        <v>342</v>
      </c>
      <c r="E2248">
        <v>24.15</v>
      </c>
      <c r="F2248">
        <v>14.33</v>
      </c>
      <c r="G2248">
        <v>12.79</v>
      </c>
      <c r="H2248">
        <v>27.12</v>
      </c>
      <c r="I2248" t="s">
        <v>344</v>
      </c>
      <c r="J2248">
        <v>127.95</v>
      </c>
      <c r="K2248">
        <v>-1.68</v>
      </c>
      <c r="L2248" t="s">
        <v>346</v>
      </c>
      <c r="M2248" s="1">
        <v>1.6799999999999999E-2</v>
      </c>
      <c r="N2248" t="s">
        <v>349</v>
      </c>
      <c r="O2248">
        <v>-3.08</v>
      </c>
      <c r="P2248" t="s">
        <v>344</v>
      </c>
      <c r="Q2248">
        <v>3.12</v>
      </c>
      <c r="R2248" t="s">
        <v>344</v>
      </c>
      <c r="S2248">
        <v>1</v>
      </c>
    </row>
    <row r="2249" spans="1:19" x14ac:dyDescent="0.25">
      <c r="A2249" t="s">
        <v>48</v>
      </c>
      <c r="B2249" t="s">
        <v>61</v>
      </c>
      <c r="C2249">
        <v>100</v>
      </c>
      <c r="D2249" t="s">
        <v>342</v>
      </c>
      <c r="E2249">
        <v>24.15</v>
      </c>
      <c r="F2249">
        <v>15.91</v>
      </c>
      <c r="G2249">
        <v>12.4</v>
      </c>
      <c r="H2249">
        <v>28.31</v>
      </c>
      <c r="I2249" t="s">
        <v>344</v>
      </c>
      <c r="J2249">
        <v>127.71</v>
      </c>
      <c r="K2249">
        <v>-1.24</v>
      </c>
      <c r="L2249" t="s">
        <v>346</v>
      </c>
      <c r="M2249" s="1">
        <v>1.24E-2</v>
      </c>
      <c r="N2249" t="s">
        <v>349</v>
      </c>
      <c r="O2249">
        <v>-2.96</v>
      </c>
      <c r="P2249" t="s">
        <v>344</v>
      </c>
      <c r="Q2249">
        <v>2.9</v>
      </c>
      <c r="R2249" t="s">
        <v>344</v>
      </c>
      <c r="S2249">
        <v>1</v>
      </c>
    </row>
    <row r="2250" spans="1:19" x14ac:dyDescent="0.25">
      <c r="A2250" t="s">
        <v>48</v>
      </c>
      <c r="B2250" t="s">
        <v>62</v>
      </c>
      <c r="C2250">
        <v>120</v>
      </c>
      <c r="D2250" t="s">
        <v>342</v>
      </c>
      <c r="E2250">
        <v>24.15</v>
      </c>
      <c r="F2250">
        <v>16.86</v>
      </c>
      <c r="G2250">
        <v>12.59</v>
      </c>
      <c r="H2250">
        <v>29.45</v>
      </c>
      <c r="I2250" t="s">
        <v>344</v>
      </c>
      <c r="J2250">
        <v>127.6</v>
      </c>
      <c r="K2250">
        <v>-0.55000000000000004</v>
      </c>
      <c r="L2250" t="s">
        <v>346</v>
      </c>
      <c r="M2250" s="1">
        <v>5.5000000000000014E-3</v>
      </c>
      <c r="N2250" t="s">
        <v>349</v>
      </c>
      <c r="O2250">
        <v>-2.37</v>
      </c>
      <c r="P2250" t="s">
        <v>344</v>
      </c>
      <c r="Q2250">
        <v>3.73</v>
      </c>
      <c r="R2250" t="s">
        <v>344</v>
      </c>
      <c r="S2250">
        <v>1</v>
      </c>
    </row>
    <row r="2251" spans="1:19" x14ac:dyDescent="0.25">
      <c r="A2251" t="s">
        <v>48</v>
      </c>
      <c r="B2251" t="s">
        <v>63</v>
      </c>
      <c r="C2251">
        <v>140</v>
      </c>
      <c r="D2251" t="s">
        <v>342</v>
      </c>
      <c r="E2251">
        <v>24.15</v>
      </c>
      <c r="F2251">
        <v>16.91</v>
      </c>
      <c r="G2251">
        <v>12.59</v>
      </c>
      <c r="H2251">
        <v>29.5</v>
      </c>
      <c r="I2251" t="s">
        <v>344</v>
      </c>
      <c r="J2251">
        <v>127.47</v>
      </c>
      <c r="K2251">
        <v>-0.64</v>
      </c>
      <c r="L2251" t="s">
        <v>346</v>
      </c>
      <c r="M2251" s="1">
        <v>6.4000000000000003E-3</v>
      </c>
      <c r="N2251" t="s">
        <v>349</v>
      </c>
      <c r="O2251">
        <v>-2.58</v>
      </c>
      <c r="P2251" t="s">
        <v>344</v>
      </c>
      <c r="Q2251">
        <v>4.87</v>
      </c>
      <c r="R2251" t="s">
        <v>343</v>
      </c>
      <c r="S2251">
        <v>1</v>
      </c>
    </row>
    <row r="2252" spans="1:19" x14ac:dyDescent="0.25">
      <c r="A2252" t="s">
        <v>48</v>
      </c>
      <c r="B2252" t="s">
        <v>64</v>
      </c>
      <c r="C2252">
        <v>160</v>
      </c>
      <c r="D2252" t="s">
        <v>342</v>
      </c>
      <c r="E2252">
        <v>24.15</v>
      </c>
      <c r="F2252">
        <v>17.079999999999998</v>
      </c>
      <c r="G2252">
        <v>11.49</v>
      </c>
      <c r="H2252">
        <v>28.57</v>
      </c>
      <c r="I2252" t="s">
        <v>344</v>
      </c>
      <c r="J2252">
        <v>127.16</v>
      </c>
      <c r="K2252">
        <v>-1.54</v>
      </c>
      <c r="L2252" t="s">
        <v>346</v>
      </c>
      <c r="M2252" s="1">
        <v>1.54E-2</v>
      </c>
      <c r="N2252" t="s">
        <v>349</v>
      </c>
      <c r="O2252">
        <v>-3.98</v>
      </c>
      <c r="P2252" t="s">
        <v>344</v>
      </c>
      <c r="Q2252">
        <v>2.41</v>
      </c>
      <c r="R2252" t="s">
        <v>344</v>
      </c>
      <c r="S2252">
        <v>1</v>
      </c>
    </row>
    <row r="2253" spans="1:19" x14ac:dyDescent="0.25">
      <c r="A2253" t="s">
        <v>48</v>
      </c>
      <c r="B2253" t="s">
        <v>65</v>
      </c>
      <c r="C2253">
        <v>180</v>
      </c>
      <c r="D2253" t="s">
        <v>342</v>
      </c>
      <c r="E2253">
        <v>24.15</v>
      </c>
      <c r="F2253">
        <v>17.25</v>
      </c>
      <c r="G2253">
        <v>11.75</v>
      </c>
      <c r="H2253">
        <v>29</v>
      </c>
      <c r="I2253" t="s">
        <v>344</v>
      </c>
      <c r="J2253">
        <v>127.15</v>
      </c>
      <c r="K2253">
        <v>-0.06</v>
      </c>
      <c r="L2253" t="s">
        <v>346</v>
      </c>
      <c r="M2253" s="1">
        <v>5.9999999999999995E-4</v>
      </c>
      <c r="N2253" t="s">
        <v>349</v>
      </c>
      <c r="O2253">
        <v>-2.99</v>
      </c>
      <c r="P2253" t="s">
        <v>344</v>
      </c>
      <c r="Q2253">
        <v>3.76</v>
      </c>
      <c r="R2253" t="s">
        <v>344</v>
      </c>
      <c r="S2253">
        <v>1</v>
      </c>
    </row>
    <row r="2254" spans="1:19" x14ac:dyDescent="0.25">
      <c r="A2254" t="s">
        <v>48</v>
      </c>
      <c r="B2254" t="s">
        <v>66</v>
      </c>
      <c r="C2254">
        <v>200</v>
      </c>
      <c r="D2254" t="s">
        <v>342</v>
      </c>
      <c r="E2254">
        <v>24.15</v>
      </c>
      <c r="F2254">
        <v>17.05</v>
      </c>
      <c r="G2254">
        <v>11.32</v>
      </c>
      <c r="H2254">
        <v>28.37</v>
      </c>
      <c r="I2254" t="s">
        <v>344</v>
      </c>
      <c r="J2254">
        <v>127.27</v>
      </c>
      <c r="K2254">
        <v>0.62</v>
      </c>
      <c r="L2254" t="s">
        <v>346</v>
      </c>
      <c r="M2254" s="1">
        <v>6.1999999999999998E-3</v>
      </c>
      <c r="N2254" t="s">
        <v>349</v>
      </c>
      <c r="O2254">
        <v>-12.09</v>
      </c>
      <c r="P2254" t="s">
        <v>343</v>
      </c>
      <c r="Q2254">
        <v>4.87</v>
      </c>
      <c r="R2254" t="s">
        <v>343</v>
      </c>
      <c r="S2254">
        <v>1</v>
      </c>
    </row>
    <row r="2255" spans="1:19" x14ac:dyDescent="0.25">
      <c r="A2255" t="s">
        <v>48</v>
      </c>
      <c r="B2255" t="s">
        <v>67</v>
      </c>
      <c r="C2255">
        <v>220</v>
      </c>
      <c r="D2255" t="s">
        <v>342</v>
      </c>
      <c r="E2255">
        <v>24.15</v>
      </c>
      <c r="F2255">
        <v>17.05</v>
      </c>
      <c r="G2255">
        <v>12.24</v>
      </c>
      <c r="H2255">
        <v>29.29</v>
      </c>
      <c r="I2255" t="s">
        <v>344</v>
      </c>
      <c r="J2255">
        <v>127.4</v>
      </c>
      <c r="K2255">
        <v>0.61</v>
      </c>
      <c r="L2255" t="s">
        <v>346</v>
      </c>
      <c r="M2255" s="1">
        <v>6.1000000000000004E-3</v>
      </c>
      <c r="N2255" t="s">
        <v>349</v>
      </c>
      <c r="O2255">
        <v>-6.5</v>
      </c>
      <c r="P2255" t="s">
        <v>343</v>
      </c>
      <c r="Q2255">
        <v>4.74</v>
      </c>
      <c r="R2255" t="s">
        <v>343</v>
      </c>
      <c r="S2255">
        <v>1</v>
      </c>
    </row>
    <row r="2256" spans="1:19" x14ac:dyDescent="0.25">
      <c r="A2256" t="s">
        <v>48</v>
      </c>
      <c r="B2256" t="s">
        <v>68</v>
      </c>
      <c r="C2256">
        <v>240</v>
      </c>
      <c r="D2256" t="s">
        <v>342</v>
      </c>
      <c r="E2256">
        <v>24.15</v>
      </c>
      <c r="F2256">
        <v>17.05</v>
      </c>
      <c r="G2256">
        <v>12.61</v>
      </c>
      <c r="H2256">
        <v>29.66</v>
      </c>
      <c r="I2256" t="s">
        <v>344</v>
      </c>
      <c r="J2256">
        <v>127.48</v>
      </c>
      <c r="K2256">
        <v>0.42</v>
      </c>
      <c r="L2256" t="s">
        <v>346</v>
      </c>
      <c r="M2256" s="1">
        <v>4.1999999999999997E-3</v>
      </c>
      <c r="N2256" t="s">
        <v>349</v>
      </c>
      <c r="O2256">
        <v>-2.84</v>
      </c>
      <c r="P2256" t="s">
        <v>344</v>
      </c>
      <c r="Q2256">
        <v>5.16</v>
      </c>
      <c r="R2256" t="s">
        <v>343</v>
      </c>
      <c r="S2256">
        <v>1</v>
      </c>
    </row>
    <row r="2257" spans="1:19" x14ac:dyDescent="0.25">
      <c r="A2257" t="s">
        <v>48</v>
      </c>
      <c r="B2257" t="s">
        <v>69</v>
      </c>
      <c r="C2257">
        <v>260</v>
      </c>
      <c r="D2257" t="s">
        <v>342</v>
      </c>
      <c r="E2257">
        <v>24.15</v>
      </c>
      <c r="F2257">
        <v>17.97</v>
      </c>
      <c r="G2257">
        <v>12.95</v>
      </c>
      <c r="H2257">
        <v>30.91</v>
      </c>
      <c r="I2257" t="s">
        <v>344</v>
      </c>
      <c r="J2257">
        <v>127.71</v>
      </c>
      <c r="K2257">
        <v>1.17</v>
      </c>
      <c r="L2257" t="s">
        <v>346</v>
      </c>
      <c r="M2257" s="1">
        <v>1.17E-2</v>
      </c>
      <c r="N2257" t="s">
        <v>349</v>
      </c>
      <c r="O2257">
        <v>-1.78</v>
      </c>
      <c r="P2257" t="s">
        <v>343</v>
      </c>
      <c r="Q2257">
        <v>4.8099999999999996</v>
      </c>
      <c r="R2257" t="s">
        <v>343</v>
      </c>
      <c r="S2257">
        <v>1</v>
      </c>
    </row>
    <row r="2258" spans="1:19" x14ac:dyDescent="0.25">
      <c r="A2258" t="s">
        <v>48</v>
      </c>
      <c r="B2258" t="s">
        <v>70</v>
      </c>
      <c r="C2258">
        <v>280</v>
      </c>
      <c r="D2258" t="s">
        <v>342</v>
      </c>
      <c r="E2258">
        <v>24.15</v>
      </c>
      <c r="F2258">
        <v>17.52</v>
      </c>
      <c r="G2258">
        <v>12.22</v>
      </c>
      <c r="H2258">
        <v>29.74</v>
      </c>
      <c r="I2258" t="s">
        <v>344</v>
      </c>
      <c r="J2258">
        <v>127.97</v>
      </c>
      <c r="K2258">
        <v>1.3</v>
      </c>
      <c r="L2258" t="s">
        <v>346</v>
      </c>
      <c r="M2258" s="1">
        <v>1.2999999999999999E-2</v>
      </c>
      <c r="N2258" t="s">
        <v>349</v>
      </c>
      <c r="O2258">
        <v>-1.91</v>
      </c>
      <c r="P2258" t="s">
        <v>343</v>
      </c>
      <c r="Q2258">
        <v>3.83</v>
      </c>
      <c r="R2258" t="s">
        <v>344</v>
      </c>
      <c r="S2258">
        <v>1</v>
      </c>
    </row>
    <row r="2259" spans="1:19" x14ac:dyDescent="0.25">
      <c r="A2259" t="s">
        <v>48</v>
      </c>
      <c r="B2259" t="s">
        <v>71</v>
      </c>
      <c r="C2259">
        <v>300</v>
      </c>
      <c r="D2259" t="s">
        <v>342</v>
      </c>
      <c r="E2259">
        <v>24.15</v>
      </c>
      <c r="F2259">
        <v>17.62</v>
      </c>
      <c r="G2259">
        <v>12.1</v>
      </c>
      <c r="H2259">
        <v>29.72</v>
      </c>
      <c r="I2259" t="s">
        <v>344</v>
      </c>
      <c r="J2259">
        <v>128.18</v>
      </c>
      <c r="K2259">
        <v>1.05</v>
      </c>
      <c r="L2259" t="s">
        <v>346</v>
      </c>
      <c r="M2259" s="1">
        <v>1.0500000000000001E-2</v>
      </c>
      <c r="N2259" t="s">
        <v>349</v>
      </c>
      <c r="O2259">
        <v>-1.6</v>
      </c>
      <c r="P2259" t="s">
        <v>343</v>
      </c>
      <c r="Q2259">
        <v>2.65</v>
      </c>
      <c r="R2259" t="s">
        <v>344</v>
      </c>
      <c r="S2259">
        <v>1</v>
      </c>
    </row>
    <row r="2260" spans="1:19" x14ac:dyDescent="0.25">
      <c r="A2260" t="s">
        <v>48</v>
      </c>
      <c r="B2260" t="s">
        <v>72</v>
      </c>
      <c r="C2260">
        <v>320</v>
      </c>
      <c r="D2260" t="s">
        <v>342</v>
      </c>
      <c r="E2260">
        <v>24.15</v>
      </c>
      <c r="F2260">
        <v>18.41</v>
      </c>
      <c r="G2260">
        <v>11.74</v>
      </c>
      <c r="H2260">
        <v>30.16</v>
      </c>
      <c r="I2260" t="s">
        <v>344</v>
      </c>
      <c r="J2260">
        <v>128.43</v>
      </c>
      <c r="K2260">
        <v>1.23</v>
      </c>
      <c r="L2260" t="s">
        <v>346</v>
      </c>
      <c r="M2260" s="1">
        <v>1.23E-2</v>
      </c>
      <c r="N2260" t="s">
        <v>349</v>
      </c>
      <c r="O2260">
        <v>-1.18</v>
      </c>
      <c r="P2260" t="s">
        <v>343</v>
      </c>
      <c r="Q2260">
        <v>3.97</v>
      </c>
      <c r="R2260" t="s">
        <v>344</v>
      </c>
      <c r="S2260">
        <v>1</v>
      </c>
    </row>
    <row r="2261" spans="1:19" x14ac:dyDescent="0.25">
      <c r="A2261" t="s">
        <v>48</v>
      </c>
      <c r="B2261" t="s">
        <v>73</v>
      </c>
      <c r="C2261">
        <v>340</v>
      </c>
      <c r="D2261" t="s">
        <v>342</v>
      </c>
      <c r="E2261">
        <v>24.15</v>
      </c>
      <c r="F2261">
        <v>18.350000000000001</v>
      </c>
      <c r="G2261">
        <v>13.28</v>
      </c>
      <c r="H2261">
        <v>31.63</v>
      </c>
      <c r="I2261" t="s">
        <v>344</v>
      </c>
      <c r="J2261">
        <v>128.59</v>
      </c>
      <c r="K2261">
        <v>0.79</v>
      </c>
      <c r="L2261" t="s">
        <v>346</v>
      </c>
      <c r="M2261" s="1">
        <v>7.9000000000000008E-3</v>
      </c>
      <c r="N2261" t="s">
        <v>349</v>
      </c>
      <c r="O2261">
        <v>-1.77</v>
      </c>
      <c r="P2261" t="s">
        <v>343</v>
      </c>
      <c r="Q2261">
        <v>4.37</v>
      </c>
      <c r="R2261" t="s">
        <v>343</v>
      </c>
      <c r="S2261">
        <v>1</v>
      </c>
    </row>
    <row r="2262" spans="1:19" x14ac:dyDescent="0.25">
      <c r="A2262" t="s">
        <v>48</v>
      </c>
      <c r="B2262" t="s">
        <v>74</v>
      </c>
      <c r="C2262">
        <v>360</v>
      </c>
      <c r="D2262" t="s">
        <v>342</v>
      </c>
      <c r="E2262">
        <v>24.15</v>
      </c>
      <c r="F2262">
        <v>18.350000000000001</v>
      </c>
      <c r="G2262">
        <v>15.18</v>
      </c>
      <c r="H2262">
        <v>33.53</v>
      </c>
      <c r="I2262" t="s">
        <v>344</v>
      </c>
      <c r="J2262">
        <v>128.6</v>
      </c>
      <c r="K2262">
        <v>0.04</v>
      </c>
      <c r="L2262" t="s">
        <v>346</v>
      </c>
      <c r="M2262" s="1">
        <v>4.0000000000000002E-4</v>
      </c>
      <c r="N2262" t="s">
        <v>349</v>
      </c>
      <c r="O2262">
        <v>-5.39</v>
      </c>
      <c r="P2262" t="s">
        <v>343</v>
      </c>
      <c r="Q2262">
        <v>2.66</v>
      </c>
      <c r="R2262" t="s">
        <v>344</v>
      </c>
      <c r="S2262">
        <v>1</v>
      </c>
    </row>
    <row r="2263" spans="1:19" x14ac:dyDescent="0.25">
      <c r="A2263" t="s">
        <v>48</v>
      </c>
      <c r="B2263" t="s">
        <v>75</v>
      </c>
      <c r="C2263">
        <v>380</v>
      </c>
      <c r="D2263" t="s">
        <v>342</v>
      </c>
      <c r="E2263">
        <v>24.15</v>
      </c>
      <c r="F2263">
        <v>17.079999999999998</v>
      </c>
      <c r="G2263">
        <v>16.239999999999998</v>
      </c>
      <c r="H2263">
        <v>33.32</v>
      </c>
      <c r="I2263" t="s">
        <v>344</v>
      </c>
      <c r="J2263">
        <v>128.91</v>
      </c>
      <c r="K2263">
        <v>1.57</v>
      </c>
      <c r="L2263" t="s">
        <v>346</v>
      </c>
      <c r="M2263" s="1">
        <v>1.5699999999999999E-2</v>
      </c>
      <c r="N2263" t="s">
        <v>349</v>
      </c>
      <c r="O2263">
        <v>-4.1100000000000003</v>
      </c>
      <c r="P2263" t="s">
        <v>343</v>
      </c>
      <c r="Q2263">
        <v>1.48</v>
      </c>
      <c r="R2263" t="s">
        <v>343</v>
      </c>
      <c r="S2263">
        <v>1</v>
      </c>
    </row>
    <row r="2264" spans="1:19" x14ac:dyDescent="0.25">
      <c r="A2264" t="s">
        <v>48</v>
      </c>
      <c r="B2264" t="s">
        <v>76</v>
      </c>
      <c r="C2264">
        <v>400</v>
      </c>
      <c r="D2264" t="s">
        <v>342</v>
      </c>
      <c r="E2264">
        <v>24.15</v>
      </c>
      <c r="F2264">
        <v>16.100000000000001</v>
      </c>
      <c r="G2264">
        <v>15.84</v>
      </c>
      <c r="H2264">
        <v>31.94</v>
      </c>
      <c r="I2264" t="s">
        <v>344</v>
      </c>
      <c r="J2264">
        <v>128.97</v>
      </c>
      <c r="K2264">
        <v>0.31</v>
      </c>
      <c r="L2264" t="s">
        <v>346</v>
      </c>
      <c r="M2264" s="1">
        <v>3.0999999999999999E-3</v>
      </c>
      <c r="N2264" t="s">
        <v>349</v>
      </c>
      <c r="O2264">
        <v>-4.03</v>
      </c>
      <c r="P2264" t="s">
        <v>343</v>
      </c>
      <c r="Q2264">
        <v>2.65</v>
      </c>
      <c r="R2264" t="s">
        <v>344</v>
      </c>
      <c r="S2264">
        <v>1</v>
      </c>
    </row>
    <row r="2265" spans="1:19" x14ac:dyDescent="0.25">
      <c r="A2265" t="s">
        <v>48</v>
      </c>
      <c r="B2265" t="s">
        <v>77</v>
      </c>
      <c r="C2265">
        <v>420</v>
      </c>
      <c r="D2265" t="s">
        <v>342</v>
      </c>
      <c r="E2265">
        <v>24.15</v>
      </c>
      <c r="F2265">
        <v>16.5</v>
      </c>
      <c r="G2265">
        <v>15.84</v>
      </c>
      <c r="H2265">
        <v>32.340000000000003</v>
      </c>
      <c r="I2265" t="s">
        <v>344</v>
      </c>
      <c r="J2265">
        <v>129</v>
      </c>
      <c r="K2265">
        <v>0.12</v>
      </c>
      <c r="L2265" t="s">
        <v>346</v>
      </c>
      <c r="M2265" s="1">
        <v>1.1999999999999999E-3</v>
      </c>
      <c r="N2265" t="s">
        <v>349</v>
      </c>
      <c r="O2265">
        <v>-4.1500000000000004</v>
      </c>
      <c r="P2265" t="s">
        <v>343</v>
      </c>
      <c r="Q2265">
        <v>3.34</v>
      </c>
      <c r="R2265" t="s">
        <v>344</v>
      </c>
      <c r="S2265">
        <v>1</v>
      </c>
    </row>
    <row r="2266" spans="1:19" x14ac:dyDescent="0.25">
      <c r="A2266" t="s">
        <v>48</v>
      </c>
      <c r="B2266" t="s">
        <v>78</v>
      </c>
      <c r="C2266">
        <v>440</v>
      </c>
      <c r="D2266" t="s">
        <v>342</v>
      </c>
      <c r="E2266">
        <v>24.15</v>
      </c>
      <c r="F2266">
        <v>17.3</v>
      </c>
      <c r="G2266">
        <v>15.16</v>
      </c>
      <c r="H2266">
        <v>32.450000000000003</v>
      </c>
      <c r="I2266" t="s">
        <v>344</v>
      </c>
      <c r="J2266">
        <v>128.76</v>
      </c>
      <c r="K2266">
        <v>-1.19</v>
      </c>
      <c r="L2266" t="s">
        <v>346</v>
      </c>
      <c r="M2266" s="1">
        <v>1.1900000000000001E-2</v>
      </c>
      <c r="N2266" t="s">
        <v>349</v>
      </c>
      <c r="O2266">
        <v>-3.77</v>
      </c>
      <c r="P2266" t="s">
        <v>344</v>
      </c>
      <c r="Q2266">
        <v>3.59</v>
      </c>
      <c r="R2266" t="s">
        <v>344</v>
      </c>
      <c r="S2266">
        <v>1</v>
      </c>
    </row>
    <row r="2267" spans="1:19" x14ac:dyDescent="0.25">
      <c r="A2267" t="s">
        <v>48</v>
      </c>
      <c r="B2267" t="s">
        <v>79</v>
      </c>
      <c r="C2267">
        <v>460</v>
      </c>
      <c r="D2267" t="s">
        <v>342</v>
      </c>
      <c r="E2267">
        <v>24.15</v>
      </c>
      <c r="F2267">
        <v>16.22</v>
      </c>
      <c r="G2267">
        <v>13.76</v>
      </c>
      <c r="H2267">
        <v>29.99</v>
      </c>
      <c r="I2267" t="s">
        <v>344</v>
      </c>
      <c r="J2267">
        <v>128.69</v>
      </c>
      <c r="K2267">
        <v>-0.33</v>
      </c>
      <c r="L2267" t="s">
        <v>346</v>
      </c>
      <c r="M2267" s="1">
        <v>3.3E-3</v>
      </c>
      <c r="N2267" t="s">
        <v>349</v>
      </c>
      <c r="O2267">
        <v>-2.64</v>
      </c>
      <c r="P2267" t="s">
        <v>344</v>
      </c>
      <c r="Q2267">
        <v>5.17</v>
      </c>
      <c r="R2267" t="s">
        <v>343</v>
      </c>
      <c r="S2267">
        <v>1</v>
      </c>
    </row>
    <row r="2268" spans="1:19" x14ac:dyDescent="0.25">
      <c r="A2268" t="s">
        <v>48</v>
      </c>
      <c r="B2268" t="s">
        <v>80</v>
      </c>
      <c r="C2268">
        <v>480</v>
      </c>
      <c r="D2268" t="s">
        <v>342</v>
      </c>
      <c r="E2268">
        <v>24.15</v>
      </c>
      <c r="F2268">
        <v>14.61</v>
      </c>
      <c r="G2268">
        <v>12.47</v>
      </c>
      <c r="H2268">
        <v>27.08</v>
      </c>
      <c r="I2268" t="s">
        <v>344</v>
      </c>
      <c r="J2268">
        <v>128.36000000000001</v>
      </c>
      <c r="K2268">
        <v>-1.65</v>
      </c>
      <c r="L2268" t="s">
        <v>346</v>
      </c>
      <c r="M2268" s="1">
        <v>1.6500000000000001E-2</v>
      </c>
      <c r="N2268" t="s">
        <v>349</v>
      </c>
      <c r="O2268">
        <v>-2.0299999999999998</v>
      </c>
      <c r="P2268" t="s">
        <v>344</v>
      </c>
      <c r="Q2268">
        <v>2.96</v>
      </c>
      <c r="R2268" t="s">
        <v>344</v>
      </c>
      <c r="S2268">
        <v>1</v>
      </c>
    </row>
    <row r="2269" spans="1:19" x14ac:dyDescent="0.25">
      <c r="A2269" t="s">
        <v>48</v>
      </c>
      <c r="B2269" t="s">
        <v>81</v>
      </c>
      <c r="C2269">
        <v>500</v>
      </c>
      <c r="D2269" t="s">
        <v>342</v>
      </c>
      <c r="E2269">
        <v>24.15</v>
      </c>
      <c r="F2269">
        <v>12.86</v>
      </c>
      <c r="G2269">
        <v>10.48</v>
      </c>
      <c r="H2269">
        <v>23.34</v>
      </c>
      <c r="I2269" t="s">
        <v>343</v>
      </c>
      <c r="J2269">
        <v>128.09</v>
      </c>
      <c r="K2269">
        <v>-1.38</v>
      </c>
      <c r="L2269" t="s">
        <v>346</v>
      </c>
      <c r="M2269" s="1">
        <v>1.38E-2</v>
      </c>
      <c r="N2269" t="s">
        <v>349</v>
      </c>
      <c r="O2269">
        <v>-2.2200000000000002</v>
      </c>
      <c r="P2269" t="s">
        <v>344</v>
      </c>
      <c r="Q2269">
        <v>5.24</v>
      </c>
      <c r="R2269" t="s">
        <v>343</v>
      </c>
      <c r="S2269">
        <v>1</v>
      </c>
    </row>
    <row r="2270" spans="1:19" x14ac:dyDescent="0.25">
      <c r="A2270" t="s">
        <v>48</v>
      </c>
      <c r="B2270" t="s">
        <v>82</v>
      </c>
      <c r="C2270">
        <v>520</v>
      </c>
      <c r="D2270" t="s">
        <v>342</v>
      </c>
      <c r="E2270">
        <v>24.15</v>
      </c>
      <c r="F2270">
        <v>12.2</v>
      </c>
      <c r="G2270">
        <v>9.83</v>
      </c>
      <c r="H2270">
        <v>22.03</v>
      </c>
      <c r="I2270" t="s">
        <v>343</v>
      </c>
      <c r="J2270">
        <v>127.72</v>
      </c>
      <c r="K2270">
        <v>-1.85</v>
      </c>
      <c r="L2270" t="s">
        <v>346</v>
      </c>
      <c r="M2270" s="1">
        <v>1.8499999999999999E-2</v>
      </c>
      <c r="N2270" t="s">
        <v>349</v>
      </c>
      <c r="O2270">
        <v>-2.88</v>
      </c>
      <c r="P2270" t="s">
        <v>344</v>
      </c>
      <c r="Q2270">
        <v>5.18</v>
      </c>
      <c r="R2270" t="s">
        <v>343</v>
      </c>
      <c r="S2270">
        <v>1</v>
      </c>
    </row>
    <row r="2271" spans="1:19" x14ac:dyDescent="0.25">
      <c r="A2271" t="s">
        <v>48</v>
      </c>
      <c r="B2271" t="s">
        <v>83</v>
      </c>
      <c r="C2271">
        <v>540</v>
      </c>
      <c r="D2271" t="s">
        <v>342</v>
      </c>
      <c r="E2271">
        <v>24.15</v>
      </c>
      <c r="F2271">
        <v>11.64</v>
      </c>
      <c r="G2271">
        <v>10.18</v>
      </c>
      <c r="H2271">
        <v>21.82</v>
      </c>
      <c r="I2271" t="s">
        <v>343</v>
      </c>
      <c r="J2271">
        <v>127.33</v>
      </c>
      <c r="K2271">
        <v>-1.93</v>
      </c>
      <c r="L2271" t="s">
        <v>346</v>
      </c>
      <c r="M2271" s="1">
        <v>1.9300000000000001E-2</v>
      </c>
      <c r="N2271" t="s">
        <v>349</v>
      </c>
      <c r="O2271">
        <v>-1.23</v>
      </c>
      <c r="P2271" t="s">
        <v>343</v>
      </c>
      <c r="Q2271">
        <v>5.2</v>
      </c>
      <c r="R2271" t="s">
        <v>343</v>
      </c>
      <c r="S2271">
        <v>1</v>
      </c>
    </row>
    <row r="2272" spans="1:19" x14ac:dyDescent="0.25">
      <c r="A2272" t="s">
        <v>48</v>
      </c>
      <c r="B2272" t="s">
        <v>84</v>
      </c>
      <c r="C2272">
        <v>560</v>
      </c>
      <c r="D2272" t="s">
        <v>342</v>
      </c>
      <c r="E2272">
        <v>24.15</v>
      </c>
      <c r="F2272">
        <v>11.81</v>
      </c>
      <c r="G2272">
        <v>10.5</v>
      </c>
      <c r="H2272">
        <v>22.32</v>
      </c>
      <c r="I2272" t="s">
        <v>343</v>
      </c>
      <c r="J2272">
        <v>126.94</v>
      </c>
      <c r="K2272">
        <v>-1.95</v>
      </c>
      <c r="L2272" t="s">
        <v>346</v>
      </c>
      <c r="M2272" s="1">
        <v>1.95E-2</v>
      </c>
      <c r="N2272" t="s">
        <v>349</v>
      </c>
      <c r="O2272">
        <v>0.63</v>
      </c>
      <c r="P2272" t="s">
        <v>343</v>
      </c>
      <c r="Q2272">
        <v>5.05</v>
      </c>
      <c r="R2272" t="s">
        <v>343</v>
      </c>
      <c r="S2272">
        <v>1</v>
      </c>
    </row>
    <row r="2273" spans="1:19" x14ac:dyDescent="0.25">
      <c r="A2273" t="s">
        <v>48</v>
      </c>
      <c r="B2273" t="s">
        <v>85</v>
      </c>
      <c r="C2273">
        <v>580</v>
      </c>
      <c r="D2273" t="s">
        <v>342</v>
      </c>
      <c r="E2273">
        <v>24.15</v>
      </c>
      <c r="F2273">
        <v>12.1</v>
      </c>
      <c r="G2273">
        <v>10.9</v>
      </c>
      <c r="H2273">
        <v>23</v>
      </c>
      <c r="I2273" t="s">
        <v>343</v>
      </c>
      <c r="J2273">
        <v>126.53</v>
      </c>
      <c r="K2273">
        <v>-2.04</v>
      </c>
      <c r="L2273" t="s">
        <v>346</v>
      </c>
      <c r="M2273" s="1">
        <v>2.0400000000000001E-2</v>
      </c>
      <c r="N2273" t="s">
        <v>350</v>
      </c>
      <c r="O2273">
        <v>0.04</v>
      </c>
      <c r="P2273" t="s">
        <v>343</v>
      </c>
      <c r="Q2273">
        <v>4.84</v>
      </c>
      <c r="R2273" t="s">
        <v>343</v>
      </c>
      <c r="S2273">
        <v>1</v>
      </c>
    </row>
    <row r="2274" spans="1:19" x14ac:dyDescent="0.25">
      <c r="A2274" t="s">
        <v>48</v>
      </c>
      <c r="B2274" t="s">
        <v>86</v>
      </c>
      <c r="C2274">
        <v>600</v>
      </c>
      <c r="D2274" t="s">
        <v>342</v>
      </c>
      <c r="E2274">
        <v>24.15</v>
      </c>
      <c r="F2274">
        <v>11.73</v>
      </c>
      <c r="G2274">
        <v>11.42</v>
      </c>
      <c r="H2274">
        <v>23.15</v>
      </c>
      <c r="I2274" t="s">
        <v>343</v>
      </c>
      <c r="J2274">
        <v>126</v>
      </c>
      <c r="K2274">
        <v>-2.66</v>
      </c>
      <c r="L2274" t="s">
        <v>346</v>
      </c>
      <c r="M2274" s="1">
        <v>2.6599999999999999E-2</v>
      </c>
      <c r="N2274" t="s">
        <v>350</v>
      </c>
      <c r="O2274">
        <v>-0.72</v>
      </c>
      <c r="P2274" t="s">
        <v>343</v>
      </c>
      <c r="Q2274">
        <v>2.5499999999999998</v>
      </c>
      <c r="R2274" t="s">
        <v>344</v>
      </c>
      <c r="S2274">
        <v>1</v>
      </c>
    </row>
    <row r="2275" spans="1:19" x14ac:dyDescent="0.25">
      <c r="A2275" t="s">
        <v>48</v>
      </c>
      <c r="B2275" t="s">
        <v>87</v>
      </c>
      <c r="C2275">
        <v>620</v>
      </c>
      <c r="D2275" t="s">
        <v>342</v>
      </c>
      <c r="E2275">
        <v>24.15</v>
      </c>
      <c r="F2275">
        <v>11.04</v>
      </c>
      <c r="G2275">
        <v>12.5</v>
      </c>
      <c r="H2275">
        <v>23.54</v>
      </c>
      <c r="I2275" t="s">
        <v>343</v>
      </c>
      <c r="J2275">
        <v>125.51</v>
      </c>
      <c r="K2275">
        <v>-2.4300000000000002</v>
      </c>
      <c r="L2275" t="s">
        <v>346</v>
      </c>
      <c r="M2275" s="1">
        <v>2.4299999999999999E-2</v>
      </c>
      <c r="N2275" t="s">
        <v>350</v>
      </c>
      <c r="O2275">
        <v>-0.8</v>
      </c>
      <c r="P2275" t="s">
        <v>343</v>
      </c>
      <c r="Q2275">
        <v>3.62</v>
      </c>
      <c r="R2275" t="s">
        <v>344</v>
      </c>
      <c r="S2275">
        <v>1</v>
      </c>
    </row>
    <row r="2276" spans="1:19" x14ac:dyDescent="0.25">
      <c r="A2276" t="s">
        <v>48</v>
      </c>
      <c r="B2276" t="s">
        <v>88</v>
      </c>
      <c r="C2276">
        <v>640</v>
      </c>
      <c r="D2276" t="s">
        <v>342</v>
      </c>
      <c r="E2276">
        <v>24.15</v>
      </c>
      <c r="F2276">
        <v>12.92</v>
      </c>
      <c r="G2276">
        <v>12.93</v>
      </c>
      <c r="H2276">
        <v>25.86</v>
      </c>
      <c r="I2276" t="s">
        <v>344</v>
      </c>
      <c r="J2276">
        <v>124.9</v>
      </c>
      <c r="K2276">
        <v>-3.08</v>
      </c>
      <c r="L2276" t="s">
        <v>346</v>
      </c>
      <c r="M2276" s="1">
        <v>3.0800000000000001E-2</v>
      </c>
      <c r="N2276" t="s">
        <v>350</v>
      </c>
      <c r="O2276">
        <v>-1.93</v>
      </c>
      <c r="P2276" t="s">
        <v>343</v>
      </c>
      <c r="Q2276">
        <v>3.2</v>
      </c>
      <c r="R2276" t="s">
        <v>344</v>
      </c>
      <c r="S2276">
        <v>1</v>
      </c>
    </row>
    <row r="2277" spans="1:19" x14ac:dyDescent="0.25">
      <c r="A2277" t="s">
        <v>48</v>
      </c>
      <c r="B2277" t="s">
        <v>89</v>
      </c>
      <c r="C2277">
        <v>660</v>
      </c>
      <c r="D2277" t="s">
        <v>342</v>
      </c>
      <c r="E2277">
        <v>24.15</v>
      </c>
      <c r="F2277">
        <v>13.38</v>
      </c>
      <c r="G2277">
        <v>13.21</v>
      </c>
      <c r="H2277">
        <v>26.59</v>
      </c>
      <c r="I2277" t="s">
        <v>344</v>
      </c>
      <c r="J2277">
        <v>124.31</v>
      </c>
      <c r="K2277">
        <v>-2.95</v>
      </c>
      <c r="L2277" t="s">
        <v>346</v>
      </c>
      <c r="M2277" s="1">
        <v>2.9499999999999998E-2</v>
      </c>
      <c r="N2277" t="s">
        <v>350</v>
      </c>
      <c r="O2277">
        <v>-1.93</v>
      </c>
      <c r="P2277" t="s">
        <v>343</v>
      </c>
      <c r="Q2277">
        <v>3.88</v>
      </c>
      <c r="R2277" t="s">
        <v>344</v>
      </c>
      <c r="S2277">
        <v>1</v>
      </c>
    </row>
    <row r="2278" spans="1:19" x14ac:dyDescent="0.25">
      <c r="A2278" t="s">
        <v>48</v>
      </c>
      <c r="B2278" t="s">
        <v>90</v>
      </c>
      <c r="C2278">
        <v>680</v>
      </c>
      <c r="D2278" t="s">
        <v>342</v>
      </c>
      <c r="E2278">
        <v>24.15</v>
      </c>
      <c r="F2278">
        <v>14.2</v>
      </c>
      <c r="G2278">
        <v>13.25</v>
      </c>
      <c r="H2278">
        <v>27.45</v>
      </c>
      <c r="I2278" t="s">
        <v>344</v>
      </c>
      <c r="J2278">
        <v>123.7</v>
      </c>
      <c r="K2278">
        <v>-3.04</v>
      </c>
      <c r="L2278" t="s">
        <v>346</v>
      </c>
      <c r="M2278" s="1">
        <v>3.04E-2</v>
      </c>
      <c r="N2278" t="s">
        <v>350</v>
      </c>
      <c r="O2278">
        <v>-1.72</v>
      </c>
      <c r="P2278" t="s">
        <v>343</v>
      </c>
      <c r="Q2278">
        <v>3.19</v>
      </c>
      <c r="R2278" t="s">
        <v>344</v>
      </c>
      <c r="S2278">
        <v>1</v>
      </c>
    </row>
    <row r="2279" spans="1:19" x14ac:dyDescent="0.25">
      <c r="A2279" t="s">
        <v>48</v>
      </c>
      <c r="B2279" t="s">
        <v>91</v>
      </c>
      <c r="C2279">
        <v>700</v>
      </c>
      <c r="D2279" t="s">
        <v>342</v>
      </c>
      <c r="E2279">
        <v>24.15</v>
      </c>
      <c r="F2279">
        <v>15.02</v>
      </c>
      <c r="G2279">
        <v>12.8</v>
      </c>
      <c r="H2279">
        <v>27.83</v>
      </c>
      <c r="I2279" t="s">
        <v>344</v>
      </c>
      <c r="J2279">
        <v>123.28</v>
      </c>
      <c r="K2279">
        <v>-2.12</v>
      </c>
      <c r="L2279" t="s">
        <v>346</v>
      </c>
      <c r="M2279" s="1">
        <v>2.12E-2</v>
      </c>
      <c r="N2279" t="s">
        <v>350</v>
      </c>
      <c r="O2279">
        <v>-1.1200000000000001</v>
      </c>
      <c r="P2279" t="s">
        <v>343</v>
      </c>
      <c r="Q2279">
        <v>2.91</v>
      </c>
      <c r="R2279" t="s">
        <v>344</v>
      </c>
      <c r="S2279">
        <v>1</v>
      </c>
    </row>
    <row r="2280" spans="1:19" x14ac:dyDescent="0.25">
      <c r="A2280" t="s">
        <v>48</v>
      </c>
      <c r="B2280" t="s">
        <v>92</v>
      </c>
      <c r="C2280">
        <v>720</v>
      </c>
      <c r="D2280" t="s">
        <v>342</v>
      </c>
      <c r="E2280">
        <v>24.15</v>
      </c>
      <c r="F2280">
        <v>15.96</v>
      </c>
      <c r="G2280">
        <v>12.88</v>
      </c>
      <c r="H2280">
        <v>28.84</v>
      </c>
      <c r="I2280" t="s">
        <v>344</v>
      </c>
      <c r="J2280">
        <v>122.78</v>
      </c>
      <c r="K2280">
        <v>-2.46</v>
      </c>
      <c r="L2280" t="s">
        <v>346</v>
      </c>
      <c r="M2280" s="1">
        <v>2.46E-2</v>
      </c>
      <c r="N2280" t="s">
        <v>350</v>
      </c>
      <c r="O2280">
        <v>-2.44</v>
      </c>
      <c r="P2280" t="s">
        <v>344</v>
      </c>
      <c r="Q2280">
        <v>4.12</v>
      </c>
      <c r="R2280" t="s">
        <v>343</v>
      </c>
      <c r="S2280">
        <v>1</v>
      </c>
    </row>
    <row r="2281" spans="1:19" x14ac:dyDescent="0.25">
      <c r="A2281" t="s">
        <v>48</v>
      </c>
      <c r="B2281" t="s">
        <v>93</v>
      </c>
      <c r="C2281">
        <v>740</v>
      </c>
      <c r="D2281" t="s">
        <v>342</v>
      </c>
      <c r="E2281">
        <v>24.15</v>
      </c>
      <c r="F2281">
        <v>15.66</v>
      </c>
      <c r="G2281">
        <v>11.44</v>
      </c>
      <c r="H2281">
        <v>27.1</v>
      </c>
      <c r="I2281" t="s">
        <v>344</v>
      </c>
      <c r="J2281">
        <v>122.27</v>
      </c>
      <c r="K2281">
        <v>-2.58</v>
      </c>
      <c r="L2281" t="s">
        <v>346</v>
      </c>
      <c r="M2281" s="1">
        <v>2.58E-2</v>
      </c>
      <c r="N2281" t="s">
        <v>350</v>
      </c>
      <c r="O2281">
        <v>-4.1500000000000004</v>
      </c>
      <c r="P2281" t="s">
        <v>343</v>
      </c>
      <c r="Q2281">
        <v>4.2300000000000004</v>
      </c>
      <c r="R2281" t="s">
        <v>343</v>
      </c>
      <c r="S2281">
        <v>1</v>
      </c>
    </row>
    <row r="2282" spans="1:19" x14ac:dyDescent="0.25">
      <c r="A2282" t="s">
        <v>48</v>
      </c>
      <c r="B2282" t="s">
        <v>94</v>
      </c>
      <c r="C2282">
        <v>760</v>
      </c>
      <c r="D2282" t="s">
        <v>342</v>
      </c>
      <c r="E2282">
        <v>24.15</v>
      </c>
      <c r="F2282">
        <v>14.62</v>
      </c>
      <c r="G2282">
        <v>12.51</v>
      </c>
      <c r="H2282">
        <v>27.13</v>
      </c>
      <c r="I2282" t="s">
        <v>344</v>
      </c>
      <c r="J2282">
        <v>121.79</v>
      </c>
      <c r="K2282">
        <v>-2.39</v>
      </c>
      <c r="L2282" t="s">
        <v>346</v>
      </c>
      <c r="M2282" s="1">
        <v>2.3900000000000001E-2</v>
      </c>
      <c r="N2282" t="s">
        <v>350</v>
      </c>
      <c r="O2282">
        <v>-3.89</v>
      </c>
      <c r="P2282" t="s">
        <v>344</v>
      </c>
      <c r="Q2282">
        <v>3.74</v>
      </c>
      <c r="R2282" t="s">
        <v>344</v>
      </c>
      <c r="S2282">
        <v>1</v>
      </c>
    </row>
    <row r="2283" spans="1:19" x14ac:dyDescent="0.25">
      <c r="A2283" t="s">
        <v>48</v>
      </c>
      <c r="B2283" t="s">
        <v>95</v>
      </c>
      <c r="C2283">
        <v>780</v>
      </c>
      <c r="D2283" t="s">
        <v>342</v>
      </c>
      <c r="E2283">
        <v>24.15</v>
      </c>
      <c r="F2283">
        <v>14.74</v>
      </c>
      <c r="G2283">
        <v>12.51</v>
      </c>
      <c r="H2283">
        <v>27.25</v>
      </c>
      <c r="I2283" t="s">
        <v>344</v>
      </c>
      <c r="J2283">
        <v>121.3</v>
      </c>
      <c r="K2283">
        <v>-2.44</v>
      </c>
      <c r="L2283" t="s">
        <v>346</v>
      </c>
      <c r="M2283" s="1">
        <v>2.4400000000000002E-2</v>
      </c>
      <c r="N2283" t="s">
        <v>350</v>
      </c>
      <c r="O2283">
        <v>-1.96</v>
      </c>
      <c r="P2283" t="s">
        <v>343</v>
      </c>
      <c r="Q2283">
        <v>2.94</v>
      </c>
      <c r="R2283" t="s">
        <v>344</v>
      </c>
      <c r="S2283">
        <v>1</v>
      </c>
    </row>
    <row r="2284" spans="1:19" x14ac:dyDescent="0.25">
      <c r="A2284" t="s">
        <v>48</v>
      </c>
      <c r="B2284" t="s">
        <v>96</v>
      </c>
      <c r="C2284">
        <v>800</v>
      </c>
      <c r="D2284" t="s">
        <v>342</v>
      </c>
      <c r="E2284">
        <v>24.15</v>
      </c>
      <c r="F2284">
        <v>14.74</v>
      </c>
      <c r="G2284">
        <v>13.19</v>
      </c>
      <c r="H2284">
        <v>27.93</v>
      </c>
      <c r="I2284" t="s">
        <v>344</v>
      </c>
      <c r="J2284">
        <v>120.66</v>
      </c>
      <c r="K2284">
        <v>-3.2</v>
      </c>
      <c r="L2284" t="s">
        <v>346</v>
      </c>
      <c r="M2284" s="1">
        <v>3.2000000000000001E-2</v>
      </c>
      <c r="N2284" t="s">
        <v>350</v>
      </c>
      <c r="O2284">
        <v>0.03</v>
      </c>
      <c r="P2284" t="s">
        <v>343</v>
      </c>
      <c r="Q2284">
        <v>2.0699999999999998</v>
      </c>
      <c r="R2284" t="s">
        <v>344</v>
      </c>
      <c r="S2284">
        <v>1</v>
      </c>
    </row>
    <row r="2285" spans="1:19" x14ac:dyDescent="0.25">
      <c r="A2285" t="s">
        <v>48</v>
      </c>
      <c r="B2285" t="s">
        <v>97</v>
      </c>
      <c r="C2285">
        <v>820</v>
      </c>
      <c r="D2285" t="s">
        <v>342</v>
      </c>
      <c r="E2285">
        <v>24.15</v>
      </c>
      <c r="F2285">
        <v>15.03</v>
      </c>
      <c r="G2285">
        <v>12.4</v>
      </c>
      <c r="H2285">
        <v>27.43</v>
      </c>
      <c r="I2285" t="s">
        <v>344</v>
      </c>
      <c r="J2285">
        <v>119.99</v>
      </c>
      <c r="K2285">
        <v>-3.35</v>
      </c>
      <c r="L2285" t="s">
        <v>346</v>
      </c>
      <c r="M2285" s="1">
        <v>3.3500000000000002E-2</v>
      </c>
      <c r="N2285" t="s">
        <v>350</v>
      </c>
      <c r="O2285">
        <v>-0.78</v>
      </c>
      <c r="P2285" t="s">
        <v>343</v>
      </c>
      <c r="Q2285">
        <v>1.75</v>
      </c>
      <c r="R2285" t="s">
        <v>343</v>
      </c>
      <c r="S2285">
        <v>1</v>
      </c>
    </row>
    <row r="2286" spans="1:19" x14ac:dyDescent="0.25">
      <c r="A2286" t="s">
        <v>48</v>
      </c>
      <c r="B2286" t="s">
        <v>98</v>
      </c>
      <c r="C2286">
        <v>840</v>
      </c>
      <c r="D2286" t="s">
        <v>342</v>
      </c>
      <c r="E2286">
        <v>24.15</v>
      </c>
      <c r="F2286">
        <v>15.41</v>
      </c>
      <c r="G2286">
        <v>9.91</v>
      </c>
      <c r="H2286">
        <v>25.32</v>
      </c>
      <c r="I2286" t="s">
        <v>344</v>
      </c>
      <c r="J2286">
        <v>119.45</v>
      </c>
      <c r="K2286">
        <v>-2.72</v>
      </c>
      <c r="L2286" t="s">
        <v>346</v>
      </c>
      <c r="M2286" s="1">
        <v>2.7199999999999998E-2</v>
      </c>
      <c r="N2286" t="s">
        <v>350</v>
      </c>
      <c r="O2286">
        <v>0.34</v>
      </c>
      <c r="P2286" t="s">
        <v>343</v>
      </c>
      <c r="Q2286">
        <v>1.84</v>
      </c>
      <c r="R2286" t="s">
        <v>343</v>
      </c>
      <c r="S2286">
        <v>1</v>
      </c>
    </row>
    <row r="2287" spans="1:19" x14ac:dyDescent="0.25">
      <c r="A2287" t="s">
        <v>48</v>
      </c>
      <c r="B2287" t="s">
        <v>99</v>
      </c>
      <c r="C2287">
        <v>860</v>
      </c>
      <c r="D2287" t="s">
        <v>342</v>
      </c>
      <c r="E2287">
        <v>24.15</v>
      </c>
      <c r="F2287">
        <v>15.9</v>
      </c>
      <c r="G2287">
        <v>8.61</v>
      </c>
      <c r="H2287">
        <v>24.51</v>
      </c>
      <c r="I2287" t="s">
        <v>344</v>
      </c>
      <c r="J2287">
        <v>118.65</v>
      </c>
      <c r="K2287">
        <v>-4</v>
      </c>
      <c r="L2287" t="s">
        <v>346</v>
      </c>
      <c r="M2287" s="1">
        <v>0.04</v>
      </c>
      <c r="N2287" t="s">
        <v>350</v>
      </c>
      <c r="O2287">
        <v>7.0000000000000007E-2</v>
      </c>
      <c r="P2287" t="s">
        <v>343</v>
      </c>
      <c r="Q2287">
        <v>3.07</v>
      </c>
      <c r="R2287" t="s">
        <v>344</v>
      </c>
      <c r="S2287">
        <v>1</v>
      </c>
    </row>
    <row r="2288" spans="1:19" x14ac:dyDescent="0.25">
      <c r="A2288" t="s">
        <v>48</v>
      </c>
      <c r="B2288" t="s">
        <v>100</v>
      </c>
      <c r="C2288">
        <v>880</v>
      </c>
      <c r="D2288" t="s">
        <v>342</v>
      </c>
      <c r="E2288">
        <v>24.15</v>
      </c>
      <c r="F2288">
        <v>15.41</v>
      </c>
      <c r="G2288">
        <v>8.86</v>
      </c>
      <c r="H2288">
        <v>24.26</v>
      </c>
      <c r="I2288" t="s">
        <v>344</v>
      </c>
      <c r="J2288">
        <v>117.75</v>
      </c>
      <c r="K2288">
        <v>-4.49</v>
      </c>
      <c r="L2288" t="s">
        <v>346</v>
      </c>
      <c r="M2288" s="1">
        <v>4.4900000000000002E-2</v>
      </c>
      <c r="N2288" t="s">
        <v>350</v>
      </c>
      <c r="O2288">
        <v>-0.5</v>
      </c>
      <c r="P2288" t="s">
        <v>343</v>
      </c>
      <c r="Q2288">
        <v>1.98</v>
      </c>
      <c r="R2288" t="s">
        <v>343</v>
      </c>
      <c r="S2288">
        <v>1</v>
      </c>
    </row>
    <row r="2289" spans="1:19" x14ac:dyDescent="0.25">
      <c r="A2289" t="s">
        <v>48</v>
      </c>
      <c r="B2289" t="s">
        <v>101</v>
      </c>
      <c r="C2289">
        <v>900</v>
      </c>
      <c r="D2289" t="s">
        <v>342</v>
      </c>
      <c r="E2289">
        <v>24.15</v>
      </c>
      <c r="F2289">
        <v>15.64</v>
      </c>
      <c r="G2289">
        <v>9.4700000000000006</v>
      </c>
      <c r="H2289">
        <v>25.11</v>
      </c>
      <c r="I2289" t="s">
        <v>344</v>
      </c>
      <c r="J2289">
        <v>116.74</v>
      </c>
      <c r="K2289">
        <v>-5.05</v>
      </c>
      <c r="L2289" t="s">
        <v>346</v>
      </c>
      <c r="M2289" s="1">
        <v>5.0500000000000003E-2</v>
      </c>
      <c r="N2289" t="s">
        <v>350</v>
      </c>
      <c r="O2289">
        <v>-1.27</v>
      </c>
      <c r="P2289" t="s">
        <v>343</v>
      </c>
      <c r="Q2289">
        <v>4.47</v>
      </c>
      <c r="R2289" t="s">
        <v>343</v>
      </c>
      <c r="S2289">
        <v>1</v>
      </c>
    </row>
    <row r="2290" spans="1:19" x14ac:dyDescent="0.25">
      <c r="A2290" t="s">
        <v>48</v>
      </c>
      <c r="B2290" t="s">
        <v>102</v>
      </c>
      <c r="C2290">
        <v>920</v>
      </c>
      <c r="D2290" t="s">
        <v>342</v>
      </c>
      <c r="E2290">
        <v>24.15</v>
      </c>
      <c r="F2290">
        <v>15.07</v>
      </c>
      <c r="G2290">
        <v>11.23</v>
      </c>
      <c r="H2290">
        <v>26.3</v>
      </c>
      <c r="I2290" t="s">
        <v>344</v>
      </c>
      <c r="J2290">
        <v>115.49</v>
      </c>
      <c r="K2290">
        <v>-6.28</v>
      </c>
      <c r="L2290" t="s">
        <v>346</v>
      </c>
      <c r="M2290" s="1">
        <v>6.2800000000000009E-2</v>
      </c>
      <c r="N2290" t="s">
        <v>350</v>
      </c>
      <c r="O2290">
        <v>-3.14</v>
      </c>
      <c r="P2290" t="s">
        <v>344</v>
      </c>
      <c r="Q2290">
        <v>5.35</v>
      </c>
      <c r="R2290" t="s">
        <v>343</v>
      </c>
      <c r="S2290">
        <v>1</v>
      </c>
    </row>
    <row r="2291" spans="1:19" x14ac:dyDescent="0.25">
      <c r="A2291" t="s">
        <v>48</v>
      </c>
      <c r="B2291" t="s">
        <v>103</v>
      </c>
      <c r="C2291">
        <v>940</v>
      </c>
      <c r="D2291" t="s">
        <v>342</v>
      </c>
      <c r="E2291">
        <v>24.15</v>
      </c>
      <c r="F2291">
        <v>16.2</v>
      </c>
      <c r="G2291">
        <v>12.49</v>
      </c>
      <c r="H2291">
        <v>28.69</v>
      </c>
      <c r="I2291" t="s">
        <v>344</v>
      </c>
      <c r="J2291">
        <v>114.11</v>
      </c>
      <c r="K2291">
        <v>-6.89</v>
      </c>
      <c r="L2291" t="s">
        <v>346</v>
      </c>
      <c r="M2291" s="1">
        <v>6.8900000000000003E-2</v>
      </c>
      <c r="N2291" t="s">
        <v>350</v>
      </c>
      <c r="O2291">
        <v>-4.5199999999999996</v>
      </c>
      <c r="P2291" t="s">
        <v>343</v>
      </c>
      <c r="Q2291">
        <v>5.2</v>
      </c>
      <c r="R2291" t="s">
        <v>343</v>
      </c>
      <c r="S2291">
        <v>1</v>
      </c>
    </row>
    <row r="2292" spans="1:19" x14ac:dyDescent="0.25">
      <c r="A2292" t="s">
        <v>48</v>
      </c>
      <c r="B2292" t="s">
        <v>104</v>
      </c>
      <c r="C2292">
        <v>960</v>
      </c>
      <c r="D2292" t="s">
        <v>342</v>
      </c>
      <c r="E2292">
        <v>24.15</v>
      </c>
      <c r="F2292">
        <v>16.16</v>
      </c>
      <c r="G2292">
        <v>12.26</v>
      </c>
      <c r="H2292">
        <v>28.41</v>
      </c>
      <c r="I2292" t="s">
        <v>344</v>
      </c>
      <c r="J2292">
        <v>112.81</v>
      </c>
      <c r="K2292">
        <v>-6.5</v>
      </c>
      <c r="L2292" t="s">
        <v>346</v>
      </c>
      <c r="M2292" s="1">
        <v>6.5000000000000002E-2</v>
      </c>
      <c r="N2292" t="s">
        <v>350</v>
      </c>
      <c r="O2292">
        <v>-2.97</v>
      </c>
      <c r="P2292" t="s">
        <v>344</v>
      </c>
      <c r="Q2292">
        <v>4.95</v>
      </c>
      <c r="R2292" t="s">
        <v>343</v>
      </c>
      <c r="S2292">
        <v>1</v>
      </c>
    </row>
    <row r="2293" spans="1:19" x14ac:dyDescent="0.25">
      <c r="A2293" t="s">
        <v>48</v>
      </c>
      <c r="B2293" t="s">
        <v>105</v>
      </c>
      <c r="C2293">
        <v>980</v>
      </c>
      <c r="D2293" t="s">
        <v>342</v>
      </c>
      <c r="E2293">
        <v>24.15</v>
      </c>
      <c r="F2293">
        <v>15.02</v>
      </c>
      <c r="G2293">
        <v>12.62</v>
      </c>
      <c r="H2293">
        <v>27.64</v>
      </c>
      <c r="I2293" t="s">
        <v>344</v>
      </c>
      <c r="J2293">
        <v>111.54</v>
      </c>
      <c r="K2293">
        <v>-6.34</v>
      </c>
      <c r="L2293" t="s">
        <v>346</v>
      </c>
      <c r="M2293" s="1">
        <v>6.3399999999999998E-2</v>
      </c>
      <c r="N2293" t="s">
        <v>350</v>
      </c>
      <c r="O2293">
        <v>-1.73</v>
      </c>
      <c r="P2293" t="s">
        <v>343</v>
      </c>
      <c r="Q2293">
        <v>4.17</v>
      </c>
      <c r="R2293" t="s">
        <v>343</v>
      </c>
      <c r="S2293">
        <v>1</v>
      </c>
    </row>
    <row r="2294" spans="1:19" x14ac:dyDescent="0.25">
      <c r="A2294" t="s">
        <v>48</v>
      </c>
      <c r="B2294" t="s">
        <v>106</v>
      </c>
      <c r="C2294">
        <v>1000</v>
      </c>
      <c r="D2294" t="s">
        <v>342</v>
      </c>
      <c r="E2294">
        <v>24.15</v>
      </c>
      <c r="F2294">
        <v>14.57</v>
      </c>
      <c r="G2294">
        <v>12.64</v>
      </c>
      <c r="H2294">
        <v>27.21</v>
      </c>
      <c r="I2294" t="s">
        <v>344</v>
      </c>
      <c r="J2294">
        <v>110.35</v>
      </c>
      <c r="K2294">
        <v>-5.93</v>
      </c>
      <c r="L2294" t="s">
        <v>346</v>
      </c>
      <c r="M2294" s="1">
        <v>5.9299999999999999E-2</v>
      </c>
      <c r="N2294" t="s">
        <v>350</v>
      </c>
      <c r="O2294">
        <v>-0.17</v>
      </c>
      <c r="P2294" t="s">
        <v>343</v>
      </c>
      <c r="Q2294">
        <v>3.65</v>
      </c>
      <c r="R2294" t="s">
        <v>344</v>
      </c>
      <c r="S2294">
        <v>1</v>
      </c>
    </row>
    <row r="2295" spans="1:19" x14ac:dyDescent="0.25">
      <c r="A2295" t="s">
        <v>48</v>
      </c>
      <c r="B2295" t="s">
        <v>108</v>
      </c>
      <c r="C2295">
        <v>1020</v>
      </c>
      <c r="D2295" t="s">
        <v>342</v>
      </c>
      <c r="E2295">
        <v>24.15</v>
      </c>
      <c r="F2295">
        <v>13.78</v>
      </c>
      <c r="G2295">
        <v>12.56</v>
      </c>
      <c r="H2295">
        <v>26.34</v>
      </c>
      <c r="I2295" t="s">
        <v>344</v>
      </c>
      <c r="J2295">
        <v>109.07</v>
      </c>
      <c r="K2295">
        <v>-6.42</v>
      </c>
      <c r="L2295" t="s">
        <v>346</v>
      </c>
      <c r="M2295" s="1">
        <v>6.4199999999999993E-2</v>
      </c>
      <c r="N2295" t="s">
        <v>350</v>
      </c>
      <c r="O2295">
        <v>-0.13</v>
      </c>
      <c r="P2295" t="s">
        <v>343</v>
      </c>
      <c r="Q2295">
        <v>3.2</v>
      </c>
      <c r="R2295" t="s">
        <v>344</v>
      </c>
      <c r="S2295">
        <v>1</v>
      </c>
    </row>
    <row r="2296" spans="1:19" x14ac:dyDescent="0.25">
      <c r="A2296" t="s">
        <v>48</v>
      </c>
      <c r="B2296" t="s">
        <v>109</v>
      </c>
      <c r="C2296">
        <v>1040</v>
      </c>
      <c r="D2296" t="s">
        <v>342</v>
      </c>
      <c r="E2296">
        <v>24.15</v>
      </c>
      <c r="F2296">
        <v>13.49</v>
      </c>
      <c r="G2296">
        <v>13.19</v>
      </c>
      <c r="H2296">
        <v>26.68</v>
      </c>
      <c r="I2296" t="s">
        <v>344</v>
      </c>
      <c r="J2296">
        <v>107.71</v>
      </c>
      <c r="K2296">
        <v>-6.81</v>
      </c>
      <c r="L2296" t="s">
        <v>346</v>
      </c>
      <c r="M2296" s="1">
        <v>6.8099999999999994E-2</v>
      </c>
      <c r="N2296" t="s">
        <v>350</v>
      </c>
      <c r="O2296">
        <v>-0.88</v>
      </c>
      <c r="P2296" t="s">
        <v>343</v>
      </c>
      <c r="Q2296">
        <v>2.4900000000000002</v>
      </c>
      <c r="R2296" t="s">
        <v>344</v>
      </c>
      <c r="S2296">
        <v>1</v>
      </c>
    </row>
    <row r="2297" spans="1:19" x14ac:dyDescent="0.25">
      <c r="A2297" t="s">
        <v>48</v>
      </c>
      <c r="B2297" t="s">
        <v>110</v>
      </c>
      <c r="C2297">
        <v>1060</v>
      </c>
      <c r="D2297" t="s">
        <v>342</v>
      </c>
      <c r="E2297">
        <v>24.15</v>
      </c>
      <c r="F2297">
        <v>14.12</v>
      </c>
      <c r="G2297">
        <v>13.33</v>
      </c>
      <c r="H2297">
        <v>27.46</v>
      </c>
      <c r="I2297" t="s">
        <v>344</v>
      </c>
      <c r="J2297">
        <v>106.3</v>
      </c>
      <c r="K2297">
        <v>-7.03</v>
      </c>
      <c r="L2297" t="s">
        <v>346</v>
      </c>
      <c r="M2297" s="1">
        <v>7.0300000000000001E-2</v>
      </c>
      <c r="N2297" t="s">
        <v>350</v>
      </c>
      <c r="O2297">
        <v>-1.3</v>
      </c>
      <c r="P2297" t="s">
        <v>343</v>
      </c>
      <c r="Q2297">
        <v>1.55</v>
      </c>
      <c r="R2297" t="s">
        <v>343</v>
      </c>
      <c r="S2297">
        <v>1</v>
      </c>
    </row>
    <row r="2298" spans="1:19" x14ac:dyDescent="0.25">
      <c r="A2298" t="s">
        <v>48</v>
      </c>
      <c r="B2298" t="s">
        <v>111</v>
      </c>
      <c r="C2298">
        <v>1080</v>
      </c>
      <c r="D2298" t="s">
        <v>342</v>
      </c>
      <c r="E2298">
        <v>24.15</v>
      </c>
      <c r="F2298">
        <v>15.29</v>
      </c>
      <c r="G2298">
        <v>13.5</v>
      </c>
      <c r="H2298">
        <v>28.78</v>
      </c>
      <c r="I2298" t="s">
        <v>344</v>
      </c>
      <c r="J2298">
        <v>105.06</v>
      </c>
      <c r="K2298">
        <v>-6.21</v>
      </c>
      <c r="L2298" t="s">
        <v>346</v>
      </c>
      <c r="M2298" s="1">
        <v>6.2100000000000002E-2</v>
      </c>
      <c r="N2298" t="s">
        <v>350</v>
      </c>
      <c r="O2298">
        <v>-1.1299999999999999</v>
      </c>
      <c r="P2298" t="s">
        <v>343</v>
      </c>
      <c r="Q2298">
        <v>2.4300000000000002</v>
      </c>
      <c r="R2298" t="s">
        <v>344</v>
      </c>
      <c r="S2298">
        <v>1</v>
      </c>
    </row>
    <row r="2299" spans="1:19" x14ac:dyDescent="0.25">
      <c r="A2299" t="s">
        <v>48</v>
      </c>
      <c r="B2299" t="s">
        <v>112</v>
      </c>
      <c r="C2299">
        <v>1100</v>
      </c>
      <c r="D2299" t="s">
        <v>342</v>
      </c>
      <c r="E2299">
        <v>24.15</v>
      </c>
      <c r="F2299">
        <v>15.27</v>
      </c>
      <c r="G2299">
        <v>13.3</v>
      </c>
      <c r="H2299">
        <v>28.58</v>
      </c>
      <c r="I2299" t="s">
        <v>344</v>
      </c>
      <c r="J2299">
        <v>104.05</v>
      </c>
      <c r="K2299">
        <v>-5.07</v>
      </c>
      <c r="L2299" t="s">
        <v>346</v>
      </c>
      <c r="M2299" s="1">
        <v>5.0700000000000002E-2</v>
      </c>
      <c r="N2299" t="s">
        <v>350</v>
      </c>
      <c r="O2299">
        <v>-2.5499999999999998</v>
      </c>
      <c r="P2299" t="s">
        <v>344</v>
      </c>
      <c r="Q2299">
        <v>3.21</v>
      </c>
      <c r="R2299" t="s">
        <v>344</v>
      </c>
      <c r="S2299">
        <v>1</v>
      </c>
    </row>
    <row r="2300" spans="1:19" x14ac:dyDescent="0.25">
      <c r="A2300" t="s">
        <v>48</v>
      </c>
      <c r="B2300" t="s">
        <v>113</v>
      </c>
      <c r="C2300">
        <v>1120</v>
      </c>
      <c r="D2300" t="s">
        <v>342</v>
      </c>
      <c r="E2300">
        <v>24.15</v>
      </c>
      <c r="F2300">
        <v>14.49</v>
      </c>
      <c r="G2300">
        <v>14.73</v>
      </c>
      <c r="H2300">
        <v>29.22</v>
      </c>
      <c r="I2300" t="s">
        <v>344</v>
      </c>
      <c r="J2300">
        <v>103.13</v>
      </c>
      <c r="K2300">
        <v>-4.6100000000000003</v>
      </c>
      <c r="L2300" t="s">
        <v>346</v>
      </c>
      <c r="M2300" s="1">
        <v>4.6100000000000002E-2</v>
      </c>
      <c r="N2300" t="s">
        <v>350</v>
      </c>
      <c r="O2300">
        <v>-1.72</v>
      </c>
      <c r="P2300" t="s">
        <v>343</v>
      </c>
      <c r="Q2300">
        <v>4.4400000000000004</v>
      </c>
      <c r="R2300" t="s">
        <v>343</v>
      </c>
      <c r="S2300">
        <v>1</v>
      </c>
    </row>
    <row r="2301" spans="1:19" x14ac:dyDescent="0.25">
      <c r="A2301" t="s">
        <v>48</v>
      </c>
      <c r="B2301" t="s">
        <v>114</v>
      </c>
      <c r="C2301">
        <v>1140</v>
      </c>
      <c r="D2301" t="s">
        <v>342</v>
      </c>
      <c r="E2301">
        <v>24.15</v>
      </c>
      <c r="F2301">
        <v>14.49</v>
      </c>
      <c r="G2301">
        <v>14.28</v>
      </c>
      <c r="H2301">
        <v>28.77</v>
      </c>
      <c r="I2301" t="s">
        <v>344</v>
      </c>
      <c r="J2301">
        <v>102.31</v>
      </c>
      <c r="K2301">
        <v>-4.09</v>
      </c>
      <c r="L2301" t="s">
        <v>346</v>
      </c>
      <c r="M2301" s="1">
        <v>4.0899999999999999E-2</v>
      </c>
      <c r="N2301" t="s">
        <v>350</v>
      </c>
      <c r="O2301">
        <v>-1.5</v>
      </c>
      <c r="P2301" t="s">
        <v>343</v>
      </c>
      <c r="Q2301">
        <v>4.25</v>
      </c>
      <c r="R2301" t="s">
        <v>343</v>
      </c>
      <c r="S2301">
        <v>1</v>
      </c>
    </row>
    <row r="2302" spans="1:19" x14ac:dyDescent="0.25">
      <c r="A2302" t="s">
        <v>48</v>
      </c>
      <c r="B2302" t="s">
        <v>115</v>
      </c>
      <c r="C2302">
        <v>1160</v>
      </c>
      <c r="D2302" t="s">
        <v>342</v>
      </c>
      <c r="E2302">
        <v>24.15</v>
      </c>
      <c r="F2302">
        <v>11.36</v>
      </c>
      <c r="G2302">
        <v>14.21</v>
      </c>
      <c r="H2302">
        <v>25.57</v>
      </c>
      <c r="I2302" t="s">
        <v>344</v>
      </c>
      <c r="J2302">
        <v>101.71</v>
      </c>
      <c r="K2302">
        <v>-3.02</v>
      </c>
      <c r="L2302" t="s">
        <v>346</v>
      </c>
      <c r="M2302" s="1">
        <v>3.0200000000000001E-2</v>
      </c>
      <c r="N2302" t="s">
        <v>350</v>
      </c>
      <c r="O2302">
        <v>-2.23</v>
      </c>
      <c r="P2302" t="s">
        <v>344</v>
      </c>
      <c r="Q2302">
        <v>4.0199999999999996</v>
      </c>
      <c r="R2302" t="s">
        <v>343</v>
      </c>
      <c r="S2302">
        <v>1</v>
      </c>
    </row>
    <row r="2303" spans="1:19" x14ac:dyDescent="0.25">
      <c r="A2303" t="s">
        <v>48</v>
      </c>
      <c r="B2303" t="s">
        <v>116</v>
      </c>
      <c r="C2303">
        <v>1180</v>
      </c>
      <c r="D2303" t="s">
        <v>342</v>
      </c>
      <c r="E2303">
        <v>24.15</v>
      </c>
      <c r="F2303">
        <v>10.94</v>
      </c>
      <c r="G2303">
        <v>11.5</v>
      </c>
      <c r="H2303">
        <v>22.44</v>
      </c>
      <c r="I2303" t="s">
        <v>343</v>
      </c>
      <c r="J2303">
        <v>101.28</v>
      </c>
      <c r="K2303">
        <v>-2.13</v>
      </c>
      <c r="L2303" t="s">
        <v>346</v>
      </c>
      <c r="M2303" s="1">
        <v>2.1299999999999999E-2</v>
      </c>
      <c r="N2303" t="s">
        <v>350</v>
      </c>
      <c r="O2303">
        <v>-2.4700000000000002</v>
      </c>
      <c r="P2303" t="s">
        <v>344</v>
      </c>
      <c r="Q2303">
        <v>3.86</v>
      </c>
      <c r="R2303" t="s">
        <v>344</v>
      </c>
      <c r="S2303">
        <v>1</v>
      </c>
    </row>
    <row r="2304" spans="1:19" x14ac:dyDescent="0.25">
      <c r="A2304" t="s">
        <v>48</v>
      </c>
      <c r="B2304" t="s">
        <v>117</v>
      </c>
      <c r="C2304">
        <v>1200</v>
      </c>
      <c r="D2304" t="s">
        <v>342</v>
      </c>
      <c r="E2304">
        <v>24.15</v>
      </c>
      <c r="F2304">
        <v>11.31</v>
      </c>
      <c r="G2304">
        <v>11.55</v>
      </c>
      <c r="H2304">
        <v>22.86</v>
      </c>
      <c r="I2304" t="s">
        <v>343</v>
      </c>
      <c r="J2304">
        <v>101.07</v>
      </c>
      <c r="K2304">
        <v>-1.07</v>
      </c>
      <c r="L2304" t="s">
        <v>346</v>
      </c>
      <c r="M2304" s="1">
        <v>1.0699999999999999E-2</v>
      </c>
      <c r="N2304" t="s">
        <v>349</v>
      </c>
      <c r="O2304">
        <v>-3.58</v>
      </c>
      <c r="P2304" t="s">
        <v>344</v>
      </c>
      <c r="Q2304">
        <v>0.53</v>
      </c>
      <c r="R2304" t="s">
        <v>343</v>
      </c>
      <c r="S2304">
        <v>1</v>
      </c>
    </row>
    <row r="2305" spans="1:19" x14ac:dyDescent="0.25">
      <c r="A2305" t="s">
        <v>48</v>
      </c>
      <c r="B2305" t="s">
        <v>118</v>
      </c>
      <c r="C2305">
        <v>1220</v>
      </c>
      <c r="D2305" t="s">
        <v>342</v>
      </c>
      <c r="E2305">
        <v>24.15</v>
      </c>
      <c r="F2305">
        <v>12.25</v>
      </c>
      <c r="G2305">
        <v>11.55</v>
      </c>
      <c r="H2305">
        <v>23.8</v>
      </c>
      <c r="I2305" t="s">
        <v>343</v>
      </c>
      <c r="J2305">
        <v>101.18</v>
      </c>
      <c r="K2305">
        <v>0.56999999999999995</v>
      </c>
      <c r="L2305" t="s">
        <v>346</v>
      </c>
      <c r="M2305" s="1">
        <v>5.6999999999999993E-3</v>
      </c>
      <c r="N2305" t="s">
        <v>349</v>
      </c>
      <c r="O2305">
        <v>0.17</v>
      </c>
      <c r="P2305" t="s">
        <v>343</v>
      </c>
      <c r="Q2305">
        <v>3.88</v>
      </c>
      <c r="R2305" t="s">
        <v>344</v>
      </c>
      <c r="S2305">
        <v>1</v>
      </c>
    </row>
    <row r="2306" spans="1:19" x14ac:dyDescent="0.25">
      <c r="A2306" t="s">
        <v>48</v>
      </c>
      <c r="B2306" t="s">
        <v>119</v>
      </c>
      <c r="C2306">
        <v>1240</v>
      </c>
      <c r="D2306" t="s">
        <v>342</v>
      </c>
      <c r="E2306">
        <v>24.15</v>
      </c>
      <c r="F2306">
        <v>12.71</v>
      </c>
      <c r="G2306">
        <v>14.19</v>
      </c>
      <c r="H2306">
        <v>26.9</v>
      </c>
      <c r="I2306" t="s">
        <v>344</v>
      </c>
      <c r="J2306">
        <v>102.02</v>
      </c>
      <c r="K2306">
        <v>4.18</v>
      </c>
      <c r="L2306" t="s">
        <v>346</v>
      </c>
      <c r="M2306" s="1">
        <v>4.1799999999999997E-2</v>
      </c>
      <c r="N2306" t="s">
        <v>350</v>
      </c>
      <c r="O2306">
        <v>1.29</v>
      </c>
      <c r="P2306" t="s">
        <v>343</v>
      </c>
      <c r="Q2306">
        <v>2.5499999999999998</v>
      </c>
      <c r="R2306" t="s">
        <v>344</v>
      </c>
      <c r="S2306">
        <v>1</v>
      </c>
    </row>
    <row r="2307" spans="1:19" x14ac:dyDescent="0.25">
      <c r="A2307" t="s">
        <v>48</v>
      </c>
      <c r="B2307" t="s">
        <v>330</v>
      </c>
      <c r="C2307">
        <v>1242.4839999999999</v>
      </c>
      <c r="D2307" t="s">
        <v>342</v>
      </c>
      <c r="E2307">
        <v>24.15</v>
      </c>
      <c r="F2307">
        <v>13.5</v>
      </c>
      <c r="G2307">
        <v>14.76</v>
      </c>
      <c r="H2307">
        <v>28.26</v>
      </c>
      <c r="I2307" t="s">
        <v>344</v>
      </c>
      <c r="J2307">
        <v>100.87</v>
      </c>
      <c r="K2307">
        <v>-46.2</v>
      </c>
      <c r="L2307" t="s">
        <v>348</v>
      </c>
      <c r="M2307" s="1">
        <v>0.46200000000000002</v>
      </c>
      <c r="N2307" t="s">
        <v>350</v>
      </c>
      <c r="O2307">
        <v>0.4</v>
      </c>
      <c r="P2307" t="s">
        <v>343</v>
      </c>
      <c r="Q2307">
        <v>2.0699999999999998</v>
      </c>
      <c r="R2307" t="s">
        <v>344</v>
      </c>
      <c r="S2307">
        <v>0</v>
      </c>
    </row>
    <row r="2308" spans="1:19" x14ac:dyDescent="0.25">
      <c r="A2308" t="s">
        <v>49</v>
      </c>
      <c r="B2308" t="s">
        <v>56</v>
      </c>
      <c r="C2308">
        <v>0</v>
      </c>
      <c r="D2308" t="s">
        <v>342</v>
      </c>
      <c r="E2308">
        <v>24.15</v>
      </c>
      <c r="F2308">
        <v>16.82</v>
      </c>
      <c r="G2308">
        <v>15.8</v>
      </c>
      <c r="H2308">
        <v>32.619999999999997</v>
      </c>
      <c r="I2308" t="s">
        <v>344</v>
      </c>
      <c r="J2308">
        <v>141.65</v>
      </c>
      <c r="L2308" t="s">
        <v>345</v>
      </c>
      <c r="N2308" t="s">
        <v>345</v>
      </c>
      <c r="O2308">
        <v>1.59</v>
      </c>
      <c r="P2308" t="s">
        <v>343</v>
      </c>
      <c r="Q2308">
        <v>1.52</v>
      </c>
      <c r="R2308" t="s">
        <v>343</v>
      </c>
      <c r="S2308">
        <v>1</v>
      </c>
    </row>
    <row r="2309" spans="1:19" x14ac:dyDescent="0.25">
      <c r="A2309" t="s">
        <v>49</v>
      </c>
      <c r="B2309" t="s">
        <v>57</v>
      </c>
      <c r="C2309">
        <v>20</v>
      </c>
      <c r="D2309" t="s">
        <v>342</v>
      </c>
      <c r="E2309">
        <v>24.15</v>
      </c>
      <c r="F2309">
        <v>15.88</v>
      </c>
      <c r="G2309">
        <v>15.5</v>
      </c>
      <c r="H2309">
        <v>31.39</v>
      </c>
      <c r="I2309" t="s">
        <v>344</v>
      </c>
      <c r="J2309">
        <v>140.41</v>
      </c>
      <c r="K2309">
        <v>-6.22</v>
      </c>
      <c r="L2309" t="s">
        <v>346</v>
      </c>
      <c r="M2309" s="1">
        <v>6.2199999999999998E-2</v>
      </c>
      <c r="N2309" t="s">
        <v>350</v>
      </c>
      <c r="O2309">
        <v>0.51</v>
      </c>
      <c r="P2309" t="s">
        <v>343</v>
      </c>
      <c r="Q2309">
        <v>0.83</v>
      </c>
      <c r="R2309" t="s">
        <v>343</v>
      </c>
      <c r="S2309">
        <v>1</v>
      </c>
    </row>
    <row r="2310" spans="1:19" x14ac:dyDescent="0.25">
      <c r="A2310" t="s">
        <v>49</v>
      </c>
      <c r="B2310" t="s">
        <v>58</v>
      </c>
      <c r="C2310">
        <v>40</v>
      </c>
      <c r="D2310" t="s">
        <v>342</v>
      </c>
      <c r="E2310">
        <v>24.15</v>
      </c>
      <c r="F2310">
        <v>15.54</v>
      </c>
      <c r="G2310">
        <v>14.25</v>
      </c>
      <c r="H2310">
        <v>29.79</v>
      </c>
      <c r="I2310" t="s">
        <v>344</v>
      </c>
      <c r="J2310">
        <v>139.9</v>
      </c>
      <c r="K2310">
        <v>-2.54</v>
      </c>
      <c r="L2310" t="s">
        <v>346</v>
      </c>
      <c r="M2310" s="1">
        <v>2.5399999999999999E-2</v>
      </c>
      <c r="N2310" t="s">
        <v>350</v>
      </c>
      <c r="O2310">
        <v>0.44</v>
      </c>
      <c r="P2310" t="s">
        <v>343</v>
      </c>
      <c r="Q2310">
        <v>2.82</v>
      </c>
      <c r="R2310" t="s">
        <v>344</v>
      </c>
      <c r="S2310">
        <v>1</v>
      </c>
    </row>
    <row r="2311" spans="1:19" x14ac:dyDescent="0.25">
      <c r="A2311" t="s">
        <v>49</v>
      </c>
      <c r="B2311" t="s">
        <v>59</v>
      </c>
      <c r="C2311">
        <v>60</v>
      </c>
      <c r="D2311" t="s">
        <v>342</v>
      </c>
      <c r="E2311">
        <v>24.15</v>
      </c>
      <c r="F2311">
        <v>15.27</v>
      </c>
      <c r="G2311">
        <v>13.48</v>
      </c>
      <c r="H2311">
        <v>28.75</v>
      </c>
      <c r="I2311" t="s">
        <v>344</v>
      </c>
      <c r="J2311">
        <v>139.28</v>
      </c>
      <c r="K2311">
        <v>-3.14</v>
      </c>
      <c r="L2311" t="s">
        <v>346</v>
      </c>
      <c r="M2311" s="1">
        <v>3.1399999999999997E-2</v>
      </c>
      <c r="N2311" t="s">
        <v>350</v>
      </c>
      <c r="O2311">
        <v>-0.79</v>
      </c>
      <c r="P2311" t="s">
        <v>343</v>
      </c>
      <c r="Q2311">
        <v>1.71</v>
      </c>
      <c r="R2311" t="s">
        <v>343</v>
      </c>
      <c r="S2311">
        <v>1</v>
      </c>
    </row>
    <row r="2312" spans="1:19" x14ac:dyDescent="0.25">
      <c r="A2312" t="s">
        <v>49</v>
      </c>
      <c r="B2312" t="s">
        <v>60</v>
      </c>
      <c r="C2312">
        <v>80</v>
      </c>
      <c r="D2312" t="s">
        <v>342</v>
      </c>
      <c r="E2312">
        <v>24.15</v>
      </c>
      <c r="F2312">
        <v>14.92</v>
      </c>
      <c r="G2312">
        <v>14.61</v>
      </c>
      <c r="H2312">
        <v>29.54</v>
      </c>
      <c r="I2312" t="s">
        <v>344</v>
      </c>
      <c r="J2312">
        <v>138.83000000000001</v>
      </c>
      <c r="K2312">
        <v>-2.21</v>
      </c>
      <c r="L2312" t="s">
        <v>346</v>
      </c>
      <c r="M2312" s="1">
        <v>2.2100000000000002E-2</v>
      </c>
      <c r="N2312" t="s">
        <v>350</v>
      </c>
      <c r="O2312">
        <v>-1.26</v>
      </c>
      <c r="P2312" t="s">
        <v>343</v>
      </c>
      <c r="Q2312">
        <v>1.57</v>
      </c>
      <c r="R2312" t="s">
        <v>343</v>
      </c>
      <c r="S2312">
        <v>1</v>
      </c>
    </row>
    <row r="2313" spans="1:19" x14ac:dyDescent="0.25">
      <c r="A2313" t="s">
        <v>49</v>
      </c>
      <c r="B2313" t="s">
        <v>61</v>
      </c>
      <c r="C2313">
        <v>100</v>
      </c>
      <c r="D2313" t="s">
        <v>342</v>
      </c>
      <c r="E2313">
        <v>24.15</v>
      </c>
      <c r="F2313">
        <v>14.55</v>
      </c>
      <c r="G2313">
        <v>14.97</v>
      </c>
      <c r="H2313">
        <v>29.52</v>
      </c>
      <c r="I2313" t="s">
        <v>344</v>
      </c>
      <c r="J2313">
        <v>138.41999999999999</v>
      </c>
      <c r="K2313">
        <v>-2.0699999999999998</v>
      </c>
      <c r="L2313" t="s">
        <v>346</v>
      </c>
      <c r="M2313" s="1">
        <v>2.07E-2</v>
      </c>
      <c r="N2313" t="s">
        <v>350</v>
      </c>
      <c r="O2313">
        <v>-1.72</v>
      </c>
      <c r="P2313" t="s">
        <v>343</v>
      </c>
      <c r="Q2313">
        <v>2.42</v>
      </c>
      <c r="R2313" t="s">
        <v>344</v>
      </c>
      <c r="S2313">
        <v>1</v>
      </c>
    </row>
    <row r="2314" spans="1:19" x14ac:dyDescent="0.25">
      <c r="A2314" t="s">
        <v>49</v>
      </c>
      <c r="B2314" t="s">
        <v>62</v>
      </c>
      <c r="C2314">
        <v>120</v>
      </c>
      <c r="D2314" t="s">
        <v>342</v>
      </c>
      <c r="E2314">
        <v>24.15</v>
      </c>
      <c r="F2314">
        <v>13.44</v>
      </c>
      <c r="G2314">
        <v>15.85</v>
      </c>
      <c r="H2314">
        <v>29.29</v>
      </c>
      <c r="I2314" t="s">
        <v>344</v>
      </c>
      <c r="J2314">
        <v>138.08000000000001</v>
      </c>
      <c r="K2314">
        <v>-1.73</v>
      </c>
      <c r="L2314" t="s">
        <v>346</v>
      </c>
      <c r="M2314" s="1">
        <v>1.7299999999999999E-2</v>
      </c>
      <c r="N2314" t="s">
        <v>349</v>
      </c>
      <c r="O2314">
        <v>-0.33</v>
      </c>
      <c r="P2314" t="s">
        <v>343</v>
      </c>
      <c r="Q2314">
        <v>2.6</v>
      </c>
      <c r="R2314" t="s">
        <v>344</v>
      </c>
      <c r="S2314">
        <v>1</v>
      </c>
    </row>
    <row r="2315" spans="1:19" x14ac:dyDescent="0.25">
      <c r="A2315" t="s">
        <v>49</v>
      </c>
      <c r="B2315" t="s">
        <v>63</v>
      </c>
      <c r="C2315">
        <v>140</v>
      </c>
      <c r="D2315" t="s">
        <v>342</v>
      </c>
      <c r="E2315">
        <v>24.15</v>
      </c>
      <c r="F2315">
        <v>13.01</v>
      </c>
      <c r="G2315">
        <v>16.75</v>
      </c>
      <c r="H2315">
        <v>29.76</v>
      </c>
      <c r="I2315" t="s">
        <v>344</v>
      </c>
      <c r="J2315">
        <v>137.66</v>
      </c>
      <c r="K2315">
        <v>-2.09</v>
      </c>
      <c r="L2315" t="s">
        <v>346</v>
      </c>
      <c r="M2315" s="1">
        <v>2.0899999999999998E-2</v>
      </c>
      <c r="N2315" t="s">
        <v>350</v>
      </c>
      <c r="O2315">
        <v>-1.35</v>
      </c>
      <c r="P2315" t="s">
        <v>343</v>
      </c>
      <c r="Q2315">
        <v>3.03</v>
      </c>
      <c r="R2315" t="s">
        <v>344</v>
      </c>
      <c r="S2315">
        <v>1</v>
      </c>
    </row>
    <row r="2316" spans="1:19" x14ac:dyDescent="0.25">
      <c r="A2316" t="s">
        <v>49</v>
      </c>
      <c r="B2316" t="s">
        <v>64</v>
      </c>
      <c r="C2316">
        <v>160</v>
      </c>
      <c r="D2316" t="s">
        <v>342</v>
      </c>
      <c r="E2316">
        <v>24.15</v>
      </c>
      <c r="F2316">
        <v>12.45</v>
      </c>
      <c r="G2316">
        <v>16.170000000000002</v>
      </c>
      <c r="H2316">
        <v>28.62</v>
      </c>
      <c r="I2316" t="s">
        <v>344</v>
      </c>
      <c r="J2316">
        <v>137.33000000000001</v>
      </c>
      <c r="K2316">
        <v>-1.62</v>
      </c>
      <c r="L2316" t="s">
        <v>346</v>
      </c>
      <c r="M2316" s="1">
        <v>1.6199999999999999E-2</v>
      </c>
      <c r="N2316" t="s">
        <v>349</v>
      </c>
      <c r="O2316">
        <v>-1.51</v>
      </c>
      <c r="P2316" t="s">
        <v>343</v>
      </c>
      <c r="Q2316">
        <v>4.8</v>
      </c>
      <c r="R2316" t="s">
        <v>343</v>
      </c>
      <c r="S2316">
        <v>1</v>
      </c>
    </row>
    <row r="2317" spans="1:19" x14ac:dyDescent="0.25">
      <c r="A2317" t="s">
        <v>49</v>
      </c>
      <c r="B2317" t="s">
        <v>65</v>
      </c>
      <c r="C2317">
        <v>180</v>
      </c>
      <c r="D2317" t="s">
        <v>342</v>
      </c>
      <c r="E2317">
        <v>24.15</v>
      </c>
      <c r="F2317">
        <v>13.5</v>
      </c>
      <c r="G2317">
        <v>15.6</v>
      </c>
      <c r="H2317">
        <v>29.1</v>
      </c>
      <c r="I2317" t="s">
        <v>344</v>
      </c>
      <c r="J2317">
        <v>136.97999999999999</v>
      </c>
      <c r="K2317">
        <v>-1.78</v>
      </c>
      <c r="L2317" t="s">
        <v>346</v>
      </c>
      <c r="M2317" s="1">
        <v>1.78E-2</v>
      </c>
      <c r="N2317" t="s">
        <v>349</v>
      </c>
      <c r="O2317">
        <v>-1.26</v>
      </c>
      <c r="P2317" t="s">
        <v>343</v>
      </c>
      <c r="Q2317">
        <v>5.8</v>
      </c>
      <c r="R2317" t="s">
        <v>343</v>
      </c>
      <c r="S2317">
        <v>1</v>
      </c>
    </row>
    <row r="2318" spans="1:19" x14ac:dyDescent="0.25">
      <c r="A2318" t="s">
        <v>49</v>
      </c>
      <c r="B2318" t="s">
        <v>66</v>
      </c>
      <c r="C2318">
        <v>200</v>
      </c>
      <c r="D2318" t="s">
        <v>342</v>
      </c>
      <c r="E2318">
        <v>24.15</v>
      </c>
      <c r="F2318">
        <v>14.2</v>
      </c>
      <c r="G2318">
        <v>17.41</v>
      </c>
      <c r="H2318">
        <v>31.61</v>
      </c>
      <c r="I2318" t="s">
        <v>344</v>
      </c>
      <c r="J2318">
        <v>137.83000000000001</v>
      </c>
      <c r="K2318">
        <v>4.25</v>
      </c>
      <c r="L2318" t="s">
        <v>346</v>
      </c>
      <c r="M2318" s="1">
        <v>4.2500000000000003E-2</v>
      </c>
      <c r="N2318" t="s">
        <v>350</v>
      </c>
      <c r="O2318">
        <v>0.17</v>
      </c>
      <c r="P2318" t="s">
        <v>343</v>
      </c>
      <c r="Q2318">
        <v>4.17</v>
      </c>
      <c r="R2318" t="s">
        <v>343</v>
      </c>
      <c r="S2318">
        <v>1</v>
      </c>
    </row>
    <row r="2319" spans="1:19" x14ac:dyDescent="0.25">
      <c r="A2319" t="s">
        <v>49</v>
      </c>
      <c r="B2319" t="s">
        <v>67</v>
      </c>
      <c r="C2319">
        <v>220</v>
      </c>
      <c r="D2319" t="s">
        <v>342</v>
      </c>
      <c r="E2319">
        <v>24.15</v>
      </c>
      <c r="F2319">
        <v>14.56</v>
      </c>
      <c r="G2319">
        <v>17.09</v>
      </c>
      <c r="H2319">
        <v>31.65</v>
      </c>
      <c r="I2319" t="s">
        <v>344</v>
      </c>
      <c r="J2319">
        <v>137.47999999999999</v>
      </c>
      <c r="K2319">
        <v>-1.76</v>
      </c>
      <c r="L2319" t="s">
        <v>346</v>
      </c>
      <c r="M2319" s="1">
        <v>1.7600000000000001E-2</v>
      </c>
      <c r="N2319" t="s">
        <v>349</v>
      </c>
      <c r="O2319">
        <v>-0.72</v>
      </c>
      <c r="P2319" t="s">
        <v>343</v>
      </c>
      <c r="Q2319">
        <v>4.87</v>
      </c>
      <c r="R2319" t="s">
        <v>343</v>
      </c>
      <c r="S2319">
        <v>1</v>
      </c>
    </row>
    <row r="2320" spans="1:19" x14ac:dyDescent="0.25">
      <c r="A2320" t="s">
        <v>49</v>
      </c>
      <c r="B2320" t="s">
        <v>68</v>
      </c>
      <c r="C2320">
        <v>240</v>
      </c>
      <c r="D2320" t="s">
        <v>342</v>
      </c>
      <c r="E2320">
        <v>24.15</v>
      </c>
      <c r="F2320">
        <v>13.73</v>
      </c>
      <c r="G2320">
        <v>17.100000000000001</v>
      </c>
      <c r="H2320">
        <v>30.83</v>
      </c>
      <c r="I2320" t="s">
        <v>344</v>
      </c>
      <c r="J2320">
        <v>135.9</v>
      </c>
      <c r="K2320">
        <v>-7.87</v>
      </c>
      <c r="L2320" t="s">
        <v>346</v>
      </c>
      <c r="M2320" s="1">
        <v>7.8700000000000006E-2</v>
      </c>
      <c r="N2320" t="s">
        <v>350</v>
      </c>
      <c r="O2320">
        <v>-3.71</v>
      </c>
      <c r="P2320" t="s">
        <v>344</v>
      </c>
      <c r="Q2320">
        <v>4.5999999999999996</v>
      </c>
      <c r="R2320" t="s">
        <v>343</v>
      </c>
      <c r="S2320">
        <v>1</v>
      </c>
    </row>
    <row r="2321" spans="1:19" x14ac:dyDescent="0.25">
      <c r="A2321" t="s">
        <v>49</v>
      </c>
      <c r="B2321" t="s">
        <v>69</v>
      </c>
      <c r="C2321">
        <v>260</v>
      </c>
      <c r="D2321" t="s">
        <v>342</v>
      </c>
      <c r="E2321">
        <v>24.15</v>
      </c>
      <c r="F2321">
        <v>13.73</v>
      </c>
      <c r="G2321">
        <v>15.86</v>
      </c>
      <c r="H2321">
        <v>29.59</v>
      </c>
      <c r="I2321" t="s">
        <v>344</v>
      </c>
      <c r="J2321">
        <v>135.69</v>
      </c>
      <c r="K2321">
        <v>-1.04</v>
      </c>
      <c r="L2321" t="s">
        <v>346</v>
      </c>
      <c r="M2321" s="1">
        <v>1.04E-2</v>
      </c>
      <c r="N2321" t="s">
        <v>349</v>
      </c>
      <c r="O2321">
        <v>-2.5299999999999998</v>
      </c>
      <c r="P2321" t="s">
        <v>344</v>
      </c>
      <c r="Q2321">
        <v>5.05</v>
      </c>
      <c r="R2321" t="s">
        <v>343</v>
      </c>
      <c r="S2321">
        <v>1</v>
      </c>
    </row>
    <row r="2322" spans="1:19" x14ac:dyDescent="0.25">
      <c r="A2322" t="s">
        <v>49</v>
      </c>
      <c r="B2322" t="s">
        <v>70</v>
      </c>
      <c r="C2322">
        <v>280</v>
      </c>
      <c r="D2322" t="s">
        <v>342</v>
      </c>
      <c r="E2322">
        <v>24.15</v>
      </c>
      <c r="F2322">
        <v>13.7</v>
      </c>
      <c r="G2322">
        <v>13.9</v>
      </c>
      <c r="H2322">
        <v>27.6</v>
      </c>
      <c r="I2322" t="s">
        <v>344</v>
      </c>
      <c r="J2322">
        <v>135.47999999999999</v>
      </c>
      <c r="K2322">
        <v>-1.08</v>
      </c>
      <c r="L2322" t="s">
        <v>346</v>
      </c>
      <c r="M2322" s="1">
        <v>1.0800000000000001E-2</v>
      </c>
      <c r="N2322" t="s">
        <v>349</v>
      </c>
      <c r="O2322">
        <v>-1.2</v>
      </c>
      <c r="P2322" t="s">
        <v>343</v>
      </c>
      <c r="Q2322">
        <v>5.44</v>
      </c>
      <c r="R2322" t="s">
        <v>343</v>
      </c>
      <c r="S2322">
        <v>1</v>
      </c>
    </row>
    <row r="2323" spans="1:19" x14ac:dyDescent="0.25">
      <c r="A2323" t="s">
        <v>49</v>
      </c>
      <c r="B2323" t="s">
        <v>71</v>
      </c>
      <c r="C2323">
        <v>300</v>
      </c>
      <c r="D2323" t="s">
        <v>342</v>
      </c>
      <c r="E2323">
        <v>24.15</v>
      </c>
      <c r="F2323">
        <v>13.33</v>
      </c>
      <c r="G2323">
        <v>13.61</v>
      </c>
      <c r="H2323">
        <v>26.94</v>
      </c>
      <c r="I2323" t="s">
        <v>344</v>
      </c>
      <c r="J2323">
        <v>136.24</v>
      </c>
      <c r="K2323">
        <v>3.8</v>
      </c>
      <c r="L2323" t="s">
        <v>346</v>
      </c>
      <c r="M2323" s="1">
        <v>3.7999999999999999E-2</v>
      </c>
      <c r="N2323" t="s">
        <v>350</v>
      </c>
      <c r="O2323">
        <v>1.27</v>
      </c>
      <c r="P2323" t="s">
        <v>343</v>
      </c>
      <c r="Q2323">
        <v>4.6399999999999997</v>
      </c>
      <c r="R2323" t="s">
        <v>343</v>
      </c>
      <c r="S2323">
        <v>1</v>
      </c>
    </row>
    <row r="2324" spans="1:19" x14ac:dyDescent="0.25">
      <c r="A2324" t="s">
        <v>49</v>
      </c>
      <c r="B2324" t="s">
        <v>72</v>
      </c>
      <c r="C2324">
        <v>320</v>
      </c>
      <c r="D2324" t="s">
        <v>342</v>
      </c>
      <c r="E2324">
        <v>24.15</v>
      </c>
      <c r="F2324">
        <v>13.08</v>
      </c>
      <c r="G2324">
        <v>13.25</v>
      </c>
      <c r="H2324">
        <v>26.33</v>
      </c>
      <c r="I2324" t="s">
        <v>344</v>
      </c>
      <c r="J2324">
        <v>134.62</v>
      </c>
      <c r="K2324">
        <v>-8.1</v>
      </c>
      <c r="L2324" t="s">
        <v>347</v>
      </c>
      <c r="M2324" s="1">
        <v>8.1000000000000003E-2</v>
      </c>
      <c r="N2324" t="s">
        <v>350</v>
      </c>
      <c r="O2324">
        <v>-2.34</v>
      </c>
      <c r="P2324" t="s">
        <v>344</v>
      </c>
      <c r="Q2324">
        <v>3.2</v>
      </c>
      <c r="R2324" t="s">
        <v>344</v>
      </c>
      <c r="S2324">
        <v>1</v>
      </c>
    </row>
    <row r="2325" spans="1:19" x14ac:dyDescent="0.25">
      <c r="A2325" t="s">
        <v>49</v>
      </c>
      <c r="B2325" t="s">
        <v>73</v>
      </c>
      <c r="C2325">
        <v>340</v>
      </c>
      <c r="D2325" t="s">
        <v>342</v>
      </c>
      <c r="E2325">
        <v>24.15</v>
      </c>
      <c r="F2325">
        <v>12.83</v>
      </c>
      <c r="G2325">
        <v>12.67</v>
      </c>
      <c r="H2325">
        <v>25.5</v>
      </c>
      <c r="I2325" t="s">
        <v>344</v>
      </c>
      <c r="J2325">
        <v>134.22</v>
      </c>
      <c r="K2325">
        <v>-1.97</v>
      </c>
      <c r="L2325" t="s">
        <v>346</v>
      </c>
      <c r="M2325" s="1">
        <v>1.9699999999999999E-2</v>
      </c>
      <c r="N2325" t="s">
        <v>349</v>
      </c>
      <c r="O2325">
        <v>-3.21</v>
      </c>
      <c r="P2325" t="s">
        <v>344</v>
      </c>
      <c r="Q2325">
        <v>3.74</v>
      </c>
      <c r="R2325" t="s">
        <v>344</v>
      </c>
      <c r="S2325">
        <v>1</v>
      </c>
    </row>
    <row r="2326" spans="1:19" x14ac:dyDescent="0.25">
      <c r="A2326" t="s">
        <v>49</v>
      </c>
      <c r="B2326" t="s">
        <v>74</v>
      </c>
      <c r="C2326">
        <v>360</v>
      </c>
      <c r="D2326" t="s">
        <v>342</v>
      </c>
      <c r="E2326">
        <v>24.15</v>
      </c>
      <c r="F2326">
        <v>12.21</v>
      </c>
      <c r="G2326">
        <v>13.22</v>
      </c>
      <c r="H2326">
        <v>25.44</v>
      </c>
      <c r="I2326" t="s">
        <v>344</v>
      </c>
      <c r="J2326">
        <v>133.97999999999999</v>
      </c>
      <c r="K2326">
        <v>-1.2</v>
      </c>
      <c r="L2326" t="s">
        <v>346</v>
      </c>
      <c r="M2326" s="1">
        <v>1.2E-2</v>
      </c>
      <c r="N2326" t="s">
        <v>349</v>
      </c>
      <c r="O2326">
        <v>-3.61</v>
      </c>
      <c r="P2326" t="s">
        <v>344</v>
      </c>
      <c r="Q2326">
        <v>5.56</v>
      </c>
      <c r="R2326" t="s">
        <v>343</v>
      </c>
      <c r="S2326">
        <v>1</v>
      </c>
    </row>
    <row r="2327" spans="1:19" x14ac:dyDescent="0.25">
      <c r="A2327" t="s">
        <v>49</v>
      </c>
      <c r="B2327" t="s">
        <v>75</v>
      </c>
      <c r="C2327">
        <v>380</v>
      </c>
      <c r="D2327" t="s">
        <v>342</v>
      </c>
      <c r="E2327">
        <v>24.15</v>
      </c>
      <c r="F2327">
        <v>11.6</v>
      </c>
      <c r="G2327">
        <v>15.04</v>
      </c>
      <c r="H2327">
        <v>26.64</v>
      </c>
      <c r="I2327" t="s">
        <v>344</v>
      </c>
      <c r="J2327">
        <v>133.76</v>
      </c>
      <c r="K2327">
        <v>-1.1299999999999999</v>
      </c>
      <c r="L2327" t="s">
        <v>346</v>
      </c>
      <c r="M2327" s="1">
        <v>1.1299999999999999E-2</v>
      </c>
      <c r="N2327" t="s">
        <v>349</v>
      </c>
      <c r="O2327">
        <v>-2.06</v>
      </c>
      <c r="P2327" t="s">
        <v>344</v>
      </c>
      <c r="Q2327">
        <v>4.3099999999999996</v>
      </c>
      <c r="R2327" t="s">
        <v>343</v>
      </c>
      <c r="S2327">
        <v>1</v>
      </c>
    </row>
    <row r="2328" spans="1:19" x14ac:dyDescent="0.25">
      <c r="A2328" t="s">
        <v>49</v>
      </c>
      <c r="B2328" t="s">
        <v>76</v>
      </c>
      <c r="C2328">
        <v>400</v>
      </c>
      <c r="D2328" t="s">
        <v>342</v>
      </c>
      <c r="E2328">
        <v>24.15</v>
      </c>
      <c r="F2328">
        <v>11.36</v>
      </c>
      <c r="G2328">
        <v>20</v>
      </c>
      <c r="H2328">
        <v>31.36</v>
      </c>
      <c r="I2328" t="s">
        <v>344</v>
      </c>
      <c r="J2328">
        <v>133.76</v>
      </c>
      <c r="K2328">
        <v>0.02</v>
      </c>
      <c r="L2328" t="s">
        <v>346</v>
      </c>
      <c r="M2328" s="1">
        <v>2.0000000000000001E-4</v>
      </c>
      <c r="N2328" t="s">
        <v>349</v>
      </c>
      <c r="O2328">
        <v>-0.24</v>
      </c>
      <c r="P2328" t="s">
        <v>343</v>
      </c>
      <c r="Q2328">
        <v>5.39</v>
      </c>
      <c r="R2328" t="s">
        <v>343</v>
      </c>
      <c r="S2328">
        <v>1</v>
      </c>
    </row>
    <row r="2329" spans="1:19" x14ac:dyDescent="0.25">
      <c r="A2329" t="s">
        <v>49</v>
      </c>
      <c r="B2329" t="s">
        <v>77</v>
      </c>
      <c r="C2329">
        <v>420</v>
      </c>
      <c r="D2329" t="s">
        <v>342</v>
      </c>
      <c r="E2329">
        <v>24.15</v>
      </c>
      <c r="F2329">
        <v>11.1</v>
      </c>
      <c r="G2329">
        <v>20</v>
      </c>
      <c r="H2329">
        <v>31.1</v>
      </c>
      <c r="I2329" t="s">
        <v>344</v>
      </c>
      <c r="J2329">
        <v>135.16</v>
      </c>
      <c r="K2329">
        <v>7</v>
      </c>
      <c r="L2329" t="s">
        <v>346</v>
      </c>
      <c r="M2329" s="1">
        <v>7.0000000000000007E-2</v>
      </c>
      <c r="N2329" t="s">
        <v>350</v>
      </c>
      <c r="O2329">
        <v>0.35</v>
      </c>
      <c r="P2329" t="s">
        <v>343</v>
      </c>
      <c r="Q2329">
        <v>-4.04</v>
      </c>
      <c r="R2329" t="s">
        <v>343</v>
      </c>
      <c r="S2329">
        <v>1</v>
      </c>
    </row>
    <row r="2330" spans="1:19" x14ac:dyDescent="0.25">
      <c r="A2330" t="s">
        <v>49</v>
      </c>
      <c r="B2330" t="s">
        <v>78</v>
      </c>
      <c r="C2330">
        <v>440</v>
      </c>
      <c r="D2330" t="s">
        <v>342</v>
      </c>
      <c r="E2330">
        <v>24.15</v>
      </c>
      <c r="F2330">
        <v>12.17</v>
      </c>
      <c r="G2330">
        <v>20</v>
      </c>
      <c r="H2330">
        <v>32.17</v>
      </c>
      <c r="I2330" t="s">
        <v>344</v>
      </c>
      <c r="J2330">
        <v>133.78</v>
      </c>
      <c r="K2330">
        <v>-6.92</v>
      </c>
      <c r="L2330" t="s">
        <v>346</v>
      </c>
      <c r="M2330" s="1">
        <v>6.9199999999999998E-2</v>
      </c>
      <c r="N2330" t="s">
        <v>350</v>
      </c>
      <c r="O2330">
        <v>-2.5499999999999998</v>
      </c>
      <c r="P2330" t="s">
        <v>344</v>
      </c>
      <c r="Q2330">
        <v>5.83</v>
      </c>
      <c r="R2330" t="s">
        <v>343</v>
      </c>
      <c r="S2330">
        <v>1</v>
      </c>
    </row>
    <row r="2331" spans="1:19" x14ac:dyDescent="0.25">
      <c r="A2331" t="s">
        <v>49</v>
      </c>
      <c r="B2331" t="s">
        <v>79</v>
      </c>
      <c r="C2331">
        <v>460</v>
      </c>
      <c r="D2331" t="s">
        <v>342</v>
      </c>
      <c r="E2331">
        <v>24.15</v>
      </c>
      <c r="F2331">
        <v>12.76</v>
      </c>
      <c r="G2331">
        <v>15.19</v>
      </c>
      <c r="H2331">
        <v>27.95</v>
      </c>
      <c r="I2331" t="s">
        <v>344</v>
      </c>
      <c r="J2331">
        <v>133.87</v>
      </c>
      <c r="K2331">
        <v>0.45</v>
      </c>
      <c r="L2331" t="s">
        <v>346</v>
      </c>
      <c r="M2331" s="1">
        <v>4.5000000000000014E-3</v>
      </c>
      <c r="N2331" t="s">
        <v>349</v>
      </c>
      <c r="O2331">
        <v>-0.09</v>
      </c>
      <c r="P2331" t="s">
        <v>343</v>
      </c>
      <c r="Q2331">
        <v>5.72</v>
      </c>
      <c r="R2331" t="s">
        <v>343</v>
      </c>
      <c r="S2331">
        <v>1</v>
      </c>
    </row>
    <row r="2332" spans="1:19" x14ac:dyDescent="0.25">
      <c r="A2332" t="s">
        <v>49</v>
      </c>
      <c r="B2332" t="s">
        <v>80</v>
      </c>
      <c r="C2332">
        <v>480</v>
      </c>
      <c r="D2332" t="s">
        <v>342</v>
      </c>
      <c r="E2332">
        <v>24.15</v>
      </c>
      <c r="F2332">
        <v>12.84</v>
      </c>
      <c r="G2332">
        <v>15.19</v>
      </c>
      <c r="H2332">
        <v>28.03</v>
      </c>
      <c r="I2332" t="s">
        <v>344</v>
      </c>
      <c r="J2332">
        <v>133.54</v>
      </c>
      <c r="K2332">
        <v>-1.62</v>
      </c>
      <c r="L2332" t="s">
        <v>346</v>
      </c>
      <c r="M2332" s="1">
        <v>1.6199999999999999E-2</v>
      </c>
      <c r="N2332" t="s">
        <v>349</v>
      </c>
      <c r="O2332">
        <v>-1.2</v>
      </c>
      <c r="P2332" t="s">
        <v>343</v>
      </c>
      <c r="Q2332">
        <v>4.6399999999999997</v>
      </c>
      <c r="R2332" t="s">
        <v>343</v>
      </c>
      <c r="S2332">
        <v>1</v>
      </c>
    </row>
    <row r="2333" spans="1:19" x14ac:dyDescent="0.25">
      <c r="A2333" t="s">
        <v>49</v>
      </c>
      <c r="B2333" t="s">
        <v>81</v>
      </c>
      <c r="C2333">
        <v>500</v>
      </c>
      <c r="D2333" t="s">
        <v>342</v>
      </c>
      <c r="E2333">
        <v>24.15</v>
      </c>
      <c r="F2333">
        <v>13.39</v>
      </c>
      <c r="G2333">
        <v>13.53</v>
      </c>
      <c r="H2333">
        <v>26.91</v>
      </c>
      <c r="I2333" t="s">
        <v>344</v>
      </c>
      <c r="J2333">
        <v>133.68</v>
      </c>
      <c r="K2333">
        <v>0.69</v>
      </c>
      <c r="L2333" t="s">
        <v>346</v>
      </c>
      <c r="M2333" s="1">
        <v>6.8999999999999999E-3</v>
      </c>
      <c r="N2333" t="s">
        <v>349</v>
      </c>
      <c r="O2333">
        <v>-0.9</v>
      </c>
      <c r="P2333" t="s">
        <v>343</v>
      </c>
      <c r="Q2333">
        <v>4.67</v>
      </c>
      <c r="R2333" t="s">
        <v>343</v>
      </c>
      <c r="S2333">
        <v>1</v>
      </c>
    </row>
    <row r="2334" spans="1:19" x14ac:dyDescent="0.25">
      <c r="A2334" t="s">
        <v>49</v>
      </c>
      <c r="B2334" t="s">
        <v>82</v>
      </c>
      <c r="C2334">
        <v>520</v>
      </c>
      <c r="D2334" t="s">
        <v>342</v>
      </c>
      <c r="E2334">
        <v>24.15</v>
      </c>
      <c r="F2334">
        <v>13.65</v>
      </c>
      <c r="G2334">
        <v>12.99</v>
      </c>
      <c r="H2334">
        <v>26.64</v>
      </c>
      <c r="I2334" t="s">
        <v>344</v>
      </c>
      <c r="J2334">
        <v>133.22</v>
      </c>
      <c r="K2334">
        <v>-2.3199999999999998</v>
      </c>
      <c r="L2334" t="s">
        <v>346</v>
      </c>
      <c r="M2334" s="1">
        <v>2.3199999999999998E-2</v>
      </c>
      <c r="N2334" t="s">
        <v>350</v>
      </c>
      <c r="O2334">
        <v>-2.1</v>
      </c>
      <c r="P2334" t="s">
        <v>344</v>
      </c>
      <c r="Q2334">
        <v>2.1800000000000002</v>
      </c>
      <c r="R2334" t="s">
        <v>344</v>
      </c>
      <c r="S2334">
        <v>1</v>
      </c>
    </row>
    <row r="2335" spans="1:19" x14ac:dyDescent="0.25">
      <c r="A2335" t="s">
        <v>49</v>
      </c>
      <c r="B2335" t="s">
        <v>83</v>
      </c>
      <c r="C2335">
        <v>540</v>
      </c>
      <c r="D2335" t="s">
        <v>342</v>
      </c>
      <c r="E2335">
        <v>24.15</v>
      </c>
      <c r="F2335">
        <v>13.75</v>
      </c>
      <c r="G2335">
        <v>13.53</v>
      </c>
      <c r="H2335">
        <v>27.28</v>
      </c>
      <c r="I2335" t="s">
        <v>344</v>
      </c>
      <c r="J2335">
        <v>133.08000000000001</v>
      </c>
      <c r="K2335">
        <v>-0.7</v>
      </c>
      <c r="L2335" t="s">
        <v>346</v>
      </c>
      <c r="M2335" s="1">
        <v>6.9999999999999993E-3</v>
      </c>
      <c r="N2335" t="s">
        <v>349</v>
      </c>
      <c r="O2335">
        <v>-0.67</v>
      </c>
      <c r="P2335" t="s">
        <v>343</v>
      </c>
      <c r="Q2335">
        <v>3.11</v>
      </c>
      <c r="R2335" t="s">
        <v>344</v>
      </c>
      <c r="S2335">
        <v>1</v>
      </c>
    </row>
    <row r="2336" spans="1:19" x14ac:dyDescent="0.25">
      <c r="A2336" t="s">
        <v>49</v>
      </c>
      <c r="B2336" t="s">
        <v>84</v>
      </c>
      <c r="C2336">
        <v>560</v>
      </c>
      <c r="D2336" t="s">
        <v>342</v>
      </c>
      <c r="E2336">
        <v>24.15</v>
      </c>
      <c r="F2336">
        <v>13.63</v>
      </c>
      <c r="G2336">
        <v>12.99</v>
      </c>
      <c r="H2336">
        <v>26.62</v>
      </c>
      <c r="I2336" t="s">
        <v>344</v>
      </c>
      <c r="J2336">
        <v>133.03</v>
      </c>
      <c r="K2336">
        <v>-0.25</v>
      </c>
      <c r="L2336" t="s">
        <v>346</v>
      </c>
      <c r="M2336" s="1">
        <v>2.5000000000000001E-3</v>
      </c>
      <c r="N2336" t="s">
        <v>349</v>
      </c>
      <c r="O2336">
        <v>0.44</v>
      </c>
      <c r="P2336" t="s">
        <v>343</v>
      </c>
      <c r="Q2336">
        <v>3.88</v>
      </c>
      <c r="R2336" t="s">
        <v>344</v>
      </c>
      <c r="S2336">
        <v>1</v>
      </c>
    </row>
    <row r="2337" spans="1:19" x14ac:dyDescent="0.25">
      <c r="A2337" t="s">
        <v>49</v>
      </c>
      <c r="B2337" t="s">
        <v>85</v>
      </c>
      <c r="C2337">
        <v>580</v>
      </c>
      <c r="D2337" t="s">
        <v>342</v>
      </c>
      <c r="E2337">
        <v>24.15</v>
      </c>
      <c r="F2337">
        <v>13.75</v>
      </c>
      <c r="G2337">
        <v>13.44</v>
      </c>
      <c r="H2337">
        <v>27.2</v>
      </c>
      <c r="I2337" t="s">
        <v>344</v>
      </c>
      <c r="J2337">
        <v>132.88</v>
      </c>
      <c r="K2337">
        <v>-0.74</v>
      </c>
      <c r="L2337" t="s">
        <v>346</v>
      </c>
      <c r="M2337" s="1">
        <v>7.4000000000000003E-3</v>
      </c>
      <c r="N2337" t="s">
        <v>349</v>
      </c>
      <c r="O2337">
        <v>0.69</v>
      </c>
      <c r="P2337" t="s">
        <v>343</v>
      </c>
      <c r="Q2337">
        <v>2.0499999999999998</v>
      </c>
      <c r="R2337" t="s">
        <v>344</v>
      </c>
      <c r="S2337">
        <v>1</v>
      </c>
    </row>
    <row r="2338" spans="1:19" x14ac:dyDescent="0.25">
      <c r="A2338" t="s">
        <v>49</v>
      </c>
      <c r="B2338" t="s">
        <v>86</v>
      </c>
      <c r="C2338">
        <v>600</v>
      </c>
      <c r="D2338" t="s">
        <v>342</v>
      </c>
      <c r="E2338">
        <v>24.15</v>
      </c>
      <c r="F2338">
        <v>13.63</v>
      </c>
      <c r="G2338">
        <v>20</v>
      </c>
      <c r="H2338">
        <v>33.630000000000003</v>
      </c>
      <c r="I2338" t="s">
        <v>344</v>
      </c>
      <c r="J2338">
        <v>132.63999999999999</v>
      </c>
      <c r="K2338">
        <v>-1.22</v>
      </c>
      <c r="L2338" t="s">
        <v>346</v>
      </c>
      <c r="M2338" s="1">
        <v>1.2200000000000001E-2</v>
      </c>
      <c r="N2338" t="s">
        <v>349</v>
      </c>
      <c r="O2338">
        <v>2.13</v>
      </c>
      <c r="P2338" t="s">
        <v>344</v>
      </c>
      <c r="Q2338">
        <v>2.64</v>
      </c>
      <c r="R2338" t="s">
        <v>344</v>
      </c>
      <c r="S2338">
        <v>1</v>
      </c>
    </row>
    <row r="2339" spans="1:19" x14ac:dyDescent="0.25">
      <c r="A2339" t="s">
        <v>49</v>
      </c>
      <c r="B2339" t="s">
        <v>87</v>
      </c>
      <c r="C2339">
        <v>620</v>
      </c>
      <c r="D2339" t="s">
        <v>342</v>
      </c>
      <c r="E2339">
        <v>24.15</v>
      </c>
      <c r="F2339">
        <v>10.77</v>
      </c>
      <c r="G2339">
        <v>20</v>
      </c>
      <c r="H2339">
        <v>30.77</v>
      </c>
      <c r="I2339" t="s">
        <v>344</v>
      </c>
      <c r="J2339">
        <v>132.55000000000001</v>
      </c>
      <c r="K2339">
        <v>-0.42</v>
      </c>
      <c r="L2339" t="s">
        <v>346</v>
      </c>
      <c r="M2339" s="1">
        <v>4.1999999999999997E-3</v>
      </c>
      <c r="N2339" t="s">
        <v>349</v>
      </c>
      <c r="O2339">
        <v>1.59</v>
      </c>
      <c r="P2339" t="s">
        <v>343</v>
      </c>
      <c r="Q2339">
        <v>4.7</v>
      </c>
      <c r="R2339" t="s">
        <v>343</v>
      </c>
      <c r="S2339">
        <v>1</v>
      </c>
    </row>
    <row r="2340" spans="1:19" x14ac:dyDescent="0.25">
      <c r="A2340" t="s">
        <v>49</v>
      </c>
      <c r="B2340" t="s">
        <v>88</v>
      </c>
      <c r="C2340">
        <v>640</v>
      </c>
      <c r="D2340" t="s">
        <v>342</v>
      </c>
      <c r="E2340">
        <v>24.15</v>
      </c>
      <c r="F2340">
        <v>11.87</v>
      </c>
      <c r="G2340">
        <v>20</v>
      </c>
      <c r="H2340">
        <v>31.87</v>
      </c>
      <c r="I2340" t="s">
        <v>344</v>
      </c>
      <c r="J2340">
        <v>132.4</v>
      </c>
      <c r="K2340">
        <v>-0.78</v>
      </c>
      <c r="L2340" t="s">
        <v>346</v>
      </c>
      <c r="M2340" s="1">
        <v>7.8000000000000014E-3</v>
      </c>
      <c r="N2340" t="s">
        <v>349</v>
      </c>
      <c r="O2340">
        <v>1.39</v>
      </c>
      <c r="P2340" t="s">
        <v>343</v>
      </c>
      <c r="Q2340">
        <v>4.0999999999999996</v>
      </c>
      <c r="R2340" t="s">
        <v>343</v>
      </c>
      <c r="S2340">
        <v>1</v>
      </c>
    </row>
    <row r="2341" spans="1:19" x14ac:dyDescent="0.25">
      <c r="A2341" t="s">
        <v>49</v>
      </c>
      <c r="B2341" t="s">
        <v>89</v>
      </c>
      <c r="C2341">
        <v>660</v>
      </c>
      <c r="D2341" t="s">
        <v>342</v>
      </c>
      <c r="E2341">
        <v>24.15</v>
      </c>
      <c r="F2341">
        <v>11.87</v>
      </c>
      <c r="G2341">
        <v>20</v>
      </c>
      <c r="H2341">
        <v>31.87</v>
      </c>
      <c r="I2341" t="s">
        <v>344</v>
      </c>
      <c r="J2341">
        <v>132.49</v>
      </c>
      <c r="K2341">
        <v>0.48</v>
      </c>
      <c r="L2341" t="s">
        <v>346</v>
      </c>
      <c r="M2341" s="1">
        <v>4.7999999999999996E-3</v>
      </c>
      <c r="N2341" t="s">
        <v>349</v>
      </c>
      <c r="O2341">
        <v>0.41</v>
      </c>
      <c r="P2341" t="s">
        <v>343</v>
      </c>
      <c r="Q2341">
        <v>4.78</v>
      </c>
      <c r="R2341" t="s">
        <v>343</v>
      </c>
      <c r="S2341">
        <v>1</v>
      </c>
    </row>
    <row r="2342" spans="1:19" x14ac:dyDescent="0.25">
      <c r="A2342" t="s">
        <v>49</v>
      </c>
      <c r="B2342" t="s">
        <v>90</v>
      </c>
      <c r="C2342">
        <v>680</v>
      </c>
      <c r="D2342" t="s">
        <v>342</v>
      </c>
      <c r="E2342">
        <v>24.15</v>
      </c>
      <c r="F2342">
        <v>13.29</v>
      </c>
      <c r="G2342">
        <v>13.1</v>
      </c>
      <c r="H2342">
        <v>26.39</v>
      </c>
      <c r="I2342" t="s">
        <v>344</v>
      </c>
      <c r="J2342">
        <v>132.82</v>
      </c>
      <c r="K2342">
        <v>1.62</v>
      </c>
      <c r="L2342" t="s">
        <v>346</v>
      </c>
      <c r="M2342" s="1">
        <v>1.6199999999999999E-2</v>
      </c>
      <c r="N2342" t="s">
        <v>349</v>
      </c>
      <c r="O2342">
        <v>-1.38</v>
      </c>
      <c r="P2342" t="s">
        <v>343</v>
      </c>
      <c r="Q2342">
        <v>3.99</v>
      </c>
      <c r="R2342" t="s">
        <v>344</v>
      </c>
      <c r="S2342">
        <v>1</v>
      </c>
    </row>
    <row r="2343" spans="1:19" x14ac:dyDescent="0.25">
      <c r="A2343" t="s">
        <v>49</v>
      </c>
      <c r="B2343" t="s">
        <v>91</v>
      </c>
      <c r="C2343">
        <v>700</v>
      </c>
      <c r="D2343" t="s">
        <v>342</v>
      </c>
      <c r="E2343">
        <v>24.15</v>
      </c>
      <c r="F2343">
        <v>14.58</v>
      </c>
      <c r="G2343">
        <v>14.32</v>
      </c>
      <c r="H2343">
        <v>28.9</v>
      </c>
      <c r="I2343" t="s">
        <v>344</v>
      </c>
      <c r="J2343">
        <v>133.61000000000001</v>
      </c>
      <c r="K2343">
        <v>3.98</v>
      </c>
      <c r="L2343" t="s">
        <v>346</v>
      </c>
      <c r="M2343" s="1">
        <v>3.9800000000000002E-2</v>
      </c>
      <c r="N2343" t="s">
        <v>350</v>
      </c>
      <c r="O2343">
        <v>0.36</v>
      </c>
      <c r="P2343" t="s">
        <v>343</v>
      </c>
      <c r="Q2343">
        <v>5.74</v>
      </c>
      <c r="R2343" t="s">
        <v>343</v>
      </c>
      <c r="S2343">
        <v>1</v>
      </c>
    </row>
    <row r="2344" spans="1:19" x14ac:dyDescent="0.25">
      <c r="A2344" t="s">
        <v>49</v>
      </c>
      <c r="B2344" t="s">
        <v>92</v>
      </c>
      <c r="C2344">
        <v>720</v>
      </c>
      <c r="D2344" t="s">
        <v>342</v>
      </c>
      <c r="E2344">
        <v>24.15</v>
      </c>
      <c r="F2344">
        <v>15.83</v>
      </c>
      <c r="G2344">
        <v>13.2</v>
      </c>
      <c r="H2344">
        <v>29.03</v>
      </c>
      <c r="I2344" t="s">
        <v>344</v>
      </c>
      <c r="J2344">
        <v>134</v>
      </c>
      <c r="K2344">
        <v>1.95</v>
      </c>
      <c r="L2344" t="s">
        <v>346</v>
      </c>
      <c r="M2344" s="1">
        <v>1.95E-2</v>
      </c>
      <c r="N2344" t="s">
        <v>349</v>
      </c>
      <c r="O2344">
        <v>-1.2</v>
      </c>
      <c r="P2344" t="s">
        <v>343</v>
      </c>
      <c r="Q2344">
        <v>5.31</v>
      </c>
      <c r="R2344" t="s">
        <v>343</v>
      </c>
      <c r="S2344">
        <v>1</v>
      </c>
    </row>
    <row r="2345" spans="1:19" x14ac:dyDescent="0.25">
      <c r="A2345" t="s">
        <v>49</v>
      </c>
      <c r="B2345" t="s">
        <v>93</v>
      </c>
      <c r="C2345">
        <v>740</v>
      </c>
      <c r="D2345" t="s">
        <v>342</v>
      </c>
      <c r="E2345">
        <v>24.15</v>
      </c>
      <c r="F2345">
        <v>14.58</v>
      </c>
      <c r="G2345">
        <v>11.84</v>
      </c>
      <c r="H2345">
        <v>26.42</v>
      </c>
      <c r="I2345" t="s">
        <v>344</v>
      </c>
      <c r="J2345">
        <v>134.44</v>
      </c>
      <c r="K2345">
        <v>2.15</v>
      </c>
      <c r="L2345" t="s">
        <v>346</v>
      </c>
      <c r="M2345" s="1">
        <v>2.1499999999999998E-2</v>
      </c>
      <c r="N2345" t="s">
        <v>350</v>
      </c>
      <c r="O2345">
        <v>-2.77</v>
      </c>
      <c r="P2345" t="s">
        <v>344</v>
      </c>
      <c r="Q2345">
        <v>5.54</v>
      </c>
      <c r="R2345" t="s">
        <v>343</v>
      </c>
      <c r="S2345">
        <v>1</v>
      </c>
    </row>
    <row r="2346" spans="1:19" x14ac:dyDescent="0.25">
      <c r="A2346" t="s">
        <v>49</v>
      </c>
      <c r="B2346" t="s">
        <v>94</v>
      </c>
      <c r="C2346">
        <v>760</v>
      </c>
      <c r="D2346" t="s">
        <v>342</v>
      </c>
      <c r="E2346">
        <v>24.15</v>
      </c>
      <c r="F2346">
        <v>15.83</v>
      </c>
      <c r="G2346">
        <v>10.58</v>
      </c>
      <c r="H2346">
        <v>26.41</v>
      </c>
      <c r="I2346" t="s">
        <v>344</v>
      </c>
      <c r="J2346">
        <v>135</v>
      </c>
      <c r="K2346">
        <v>2.82</v>
      </c>
      <c r="L2346" t="s">
        <v>346</v>
      </c>
      <c r="M2346" s="1">
        <v>2.8199999999999999E-2</v>
      </c>
      <c r="N2346" t="s">
        <v>350</v>
      </c>
      <c r="O2346">
        <v>-1.56</v>
      </c>
      <c r="P2346" t="s">
        <v>343</v>
      </c>
      <c r="Q2346">
        <v>4.92</v>
      </c>
      <c r="R2346" t="s">
        <v>343</v>
      </c>
      <c r="S2346">
        <v>1</v>
      </c>
    </row>
    <row r="2347" spans="1:19" x14ac:dyDescent="0.25">
      <c r="A2347" t="s">
        <v>49</v>
      </c>
      <c r="B2347" t="s">
        <v>95</v>
      </c>
      <c r="C2347">
        <v>780</v>
      </c>
      <c r="D2347" t="s">
        <v>342</v>
      </c>
      <c r="E2347">
        <v>24.15</v>
      </c>
      <c r="F2347">
        <v>16.899999999999999</v>
      </c>
      <c r="G2347">
        <v>11.06</v>
      </c>
      <c r="H2347">
        <v>27.96</v>
      </c>
      <c r="I2347" t="s">
        <v>344</v>
      </c>
      <c r="J2347">
        <v>135.56</v>
      </c>
      <c r="K2347">
        <v>2.83</v>
      </c>
      <c r="L2347" t="s">
        <v>346</v>
      </c>
      <c r="M2347" s="1">
        <v>2.8299999999999999E-2</v>
      </c>
      <c r="N2347" t="s">
        <v>350</v>
      </c>
      <c r="O2347">
        <v>-1.55</v>
      </c>
      <c r="P2347" t="s">
        <v>343</v>
      </c>
      <c r="Q2347">
        <v>4.68</v>
      </c>
      <c r="R2347" t="s">
        <v>343</v>
      </c>
      <c r="S2347">
        <v>1</v>
      </c>
    </row>
    <row r="2348" spans="1:19" x14ac:dyDescent="0.25">
      <c r="A2348" t="s">
        <v>49</v>
      </c>
      <c r="B2348" t="s">
        <v>96</v>
      </c>
      <c r="C2348">
        <v>800</v>
      </c>
      <c r="D2348" t="s">
        <v>342</v>
      </c>
      <c r="E2348">
        <v>24.15</v>
      </c>
      <c r="F2348">
        <v>17.34</v>
      </c>
      <c r="G2348">
        <v>12.13</v>
      </c>
      <c r="H2348">
        <v>29.47</v>
      </c>
      <c r="I2348" t="s">
        <v>344</v>
      </c>
      <c r="J2348">
        <v>136.12</v>
      </c>
      <c r="K2348">
        <v>2.78</v>
      </c>
      <c r="L2348" t="s">
        <v>346</v>
      </c>
      <c r="M2348" s="1">
        <v>2.7799999999999998E-2</v>
      </c>
      <c r="N2348" t="s">
        <v>350</v>
      </c>
      <c r="O2348">
        <v>-0.56000000000000005</v>
      </c>
      <c r="P2348" t="s">
        <v>343</v>
      </c>
      <c r="Q2348">
        <v>3.97</v>
      </c>
      <c r="R2348" t="s">
        <v>344</v>
      </c>
      <c r="S2348">
        <v>1</v>
      </c>
    </row>
    <row r="2349" spans="1:19" x14ac:dyDescent="0.25">
      <c r="A2349" t="s">
        <v>49</v>
      </c>
      <c r="B2349" t="s">
        <v>97</v>
      </c>
      <c r="C2349">
        <v>820</v>
      </c>
      <c r="D2349" t="s">
        <v>342</v>
      </c>
      <c r="E2349">
        <v>24.15</v>
      </c>
      <c r="F2349">
        <v>17.48</v>
      </c>
      <c r="G2349">
        <v>12.28</v>
      </c>
      <c r="H2349">
        <v>29.76</v>
      </c>
      <c r="I2349" t="s">
        <v>344</v>
      </c>
      <c r="J2349">
        <v>136.54</v>
      </c>
      <c r="K2349">
        <v>2.1</v>
      </c>
      <c r="L2349" t="s">
        <v>346</v>
      </c>
      <c r="M2349" s="1">
        <v>2.1000000000000001E-2</v>
      </c>
      <c r="N2349" t="s">
        <v>350</v>
      </c>
      <c r="O2349">
        <v>-0.82</v>
      </c>
      <c r="P2349" t="s">
        <v>343</v>
      </c>
      <c r="Q2349">
        <v>3.78</v>
      </c>
      <c r="R2349" t="s">
        <v>344</v>
      </c>
      <c r="S2349">
        <v>1</v>
      </c>
    </row>
    <row r="2350" spans="1:19" x14ac:dyDescent="0.25">
      <c r="A2350" t="s">
        <v>49</v>
      </c>
      <c r="B2350" t="s">
        <v>98</v>
      </c>
      <c r="C2350">
        <v>840</v>
      </c>
      <c r="D2350" t="s">
        <v>342</v>
      </c>
      <c r="E2350">
        <v>24.15</v>
      </c>
      <c r="F2350">
        <v>16.93</v>
      </c>
      <c r="G2350">
        <v>12.72</v>
      </c>
      <c r="H2350">
        <v>29.66</v>
      </c>
      <c r="I2350" t="s">
        <v>344</v>
      </c>
      <c r="J2350">
        <v>137.04</v>
      </c>
      <c r="K2350">
        <v>2.52</v>
      </c>
      <c r="L2350" t="s">
        <v>346</v>
      </c>
      <c r="M2350" s="1">
        <v>2.52E-2</v>
      </c>
      <c r="N2350" t="s">
        <v>350</v>
      </c>
      <c r="O2350">
        <v>-0.19</v>
      </c>
      <c r="P2350" t="s">
        <v>343</v>
      </c>
      <c r="Q2350">
        <v>4.26</v>
      </c>
      <c r="R2350" t="s">
        <v>343</v>
      </c>
      <c r="S2350">
        <v>1</v>
      </c>
    </row>
    <row r="2351" spans="1:19" x14ac:dyDescent="0.25">
      <c r="A2351" t="s">
        <v>49</v>
      </c>
      <c r="B2351" t="s">
        <v>99</v>
      </c>
      <c r="C2351">
        <v>860</v>
      </c>
      <c r="D2351" t="s">
        <v>342</v>
      </c>
      <c r="E2351">
        <v>24.15</v>
      </c>
      <c r="F2351">
        <v>16.93</v>
      </c>
      <c r="G2351">
        <v>13.61</v>
      </c>
      <c r="H2351">
        <v>30.54</v>
      </c>
      <c r="I2351" t="s">
        <v>344</v>
      </c>
      <c r="J2351">
        <v>137.63</v>
      </c>
      <c r="K2351">
        <v>2.94</v>
      </c>
      <c r="L2351" t="s">
        <v>346</v>
      </c>
      <c r="M2351" s="1">
        <v>2.9399999999999999E-2</v>
      </c>
      <c r="N2351" t="s">
        <v>350</v>
      </c>
      <c r="O2351">
        <v>0.35</v>
      </c>
      <c r="P2351" t="s">
        <v>343</v>
      </c>
      <c r="Q2351">
        <v>4.58</v>
      </c>
      <c r="R2351" t="s">
        <v>343</v>
      </c>
      <c r="S2351">
        <v>1</v>
      </c>
    </row>
    <row r="2352" spans="1:19" x14ac:dyDescent="0.25">
      <c r="A2352" t="s">
        <v>49</v>
      </c>
      <c r="B2352" t="s">
        <v>100</v>
      </c>
      <c r="C2352">
        <v>880</v>
      </c>
      <c r="D2352" t="s">
        <v>342</v>
      </c>
      <c r="E2352">
        <v>24.15</v>
      </c>
      <c r="F2352">
        <v>14.56</v>
      </c>
      <c r="G2352">
        <v>12.51</v>
      </c>
      <c r="H2352">
        <v>27.07</v>
      </c>
      <c r="I2352" t="s">
        <v>344</v>
      </c>
      <c r="J2352">
        <v>138.22</v>
      </c>
      <c r="K2352">
        <v>2.94</v>
      </c>
      <c r="L2352" t="s">
        <v>346</v>
      </c>
      <c r="M2352" s="1">
        <v>2.9399999999999999E-2</v>
      </c>
      <c r="N2352" t="s">
        <v>350</v>
      </c>
      <c r="O2352">
        <v>2.2799999999999998</v>
      </c>
      <c r="P2352" t="s">
        <v>344</v>
      </c>
      <c r="Q2352">
        <v>4.21</v>
      </c>
      <c r="R2352" t="s">
        <v>343</v>
      </c>
      <c r="S2352">
        <v>1</v>
      </c>
    </row>
    <row r="2353" spans="1:19" x14ac:dyDescent="0.25">
      <c r="A2353" t="s">
        <v>49</v>
      </c>
      <c r="B2353" t="s">
        <v>101</v>
      </c>
      <c r="C2353">
        <v>900</v>
      </c>
      <c r="D2353" t="s">
        <v>342</v>
      </c>
      <c r="E2353">
        <v>24.15</v>
      </c>
      <c r="F2353">
        <v>14.49</v>
      </c>
      <c r="G2353">
        <v>11.89</v>
      </c>
      <c r="H2353">
        <v>26.37</v>
      </c>
      <c r="I2353" t="s">
        <v>344</v>
      </c>
      <c r="J2353">
        <v>138.66</v>
      </c>
      <c r="K2353">
        <v>2.2200000000000002</v>
      </c>
      <c r="L2353" t="s">
        <v>346</v>
      </c>
      <c r="M2353" s="1">
        <v>2.2200000000000001E-2</v>
      </c>
      <c r="N2353" t="s">
        <v>350</v>
      </c>
      <c r="O2353">
        <v>1.55</v>
      </c>
      <c r="P2353" t="s">
        <v>343</v>
      </c>
      <c r="Q2353">
        <v>2.5099999999999998</v>
      </c>
      <c r="R2353" t="s">
        <v>344</v>
      </c>
      <c r="S2353">
        <v>1</v>
      </c>
    </row>
    <row r="2354" spans="1:19" x14ac:dyDescent="0.25">
      <c r="A2354" t="s">
        <v>49</v>
      </c>
      <c r="B2354" t="s">
        <v>102</v>
      </c>
      <c r="C2354">
        <v>920</v>
      </c>
      <c r="D2354" t="s">
        <v>342</v>
      </c>
      <c r="E2354">
        <v>24.15</v>
      </c>
      <c r="F2354">
        <v>15.73</v>
      </c>
      <c r="G2354">
        <v>12.09</v>
      </c>
      <c r="H2354">
        <v>27.82</v>
      </c>
      <c r="I2354" t="s">
        <v>344</v>
      </c>
      <c r="J2354">
        <v>139.19999999999999</v>
      </c>
      <c r="K2354">
        <v>2.71</v>
      </c>
      <c r="L2354" t="s">
        <v>346</v>
      </c>
      <c r="M2354" s="1">
        <v>2.7099999999999999E-2</v>
      </c>
      <c r="N2354" t="s">
        <v>350</v>
      </c>
      <c r="O2354">
        <v>0.65</v>
      </c>
      <c r="P2354" t="s">
        <v>343</v>
      </c>
      <c r="Q2354">
        <v>2.88</v>
      </c>
      <c r="R2354" t="s">
        <v>344</v>
      </c>
      <c r="S2354">
        <v>1</v>
      </c>
    </row>
    <row r="2355" spans="1:19" x14ac:dyDescent="0.25">
      <c r="A2355" t="s">
        <v>49</v>
      </c>
      <c r="B2355" t="s">
        <v>103</v>
      </c>
      <c r="C2355">
        <v>940</v>
      </c>
      <c r="D2355" t="s">
        <v>342</v>
      </c>
      <c r="E2355">
        <v>24.15</v>
      </c>
      <c r="F2355">
        <v>15.16</v>
      </c>
      <c r="G2355">
        <v>12.75</v>
      </c>
      <c r="H2355">
        <v>27.91</v>
      </c>
      <c r="I2355" t="s">
        <v>344</v>
      </c>
      <c r="J2355">
        <v>139.84</v>
      </c>
      <c r="K2355">
        <v>3.17</v>
      </c>
      <c r="L2355" t="s">
        <v>346</v>
      </c>
      <c r="M2355" s="1">
        <v>3.1699999999999999E-2</v>
      </c>
      <c r="N2355" t="s">
        <v>350</v>
      </c>
      <c r="O2355">
        <v>0.59</v>
      </c>
      <c r="P2355" t="s">
        <v>343</v>
      </c>
      <c r="Q2355">
        <v>3.62</v>
      </c>
      <c r="R2355" t="s">
        <v>344</v>
      </c>
      <c r="S2355">
        <v>1</v>
      </c>
    </row>
    <row r="2356" spans="1:19" x14ac:dyDescent="0.25">
      <c r="A2356" t="s">
        <v>49</v>
      </c>
      <c r="B2356" t="s">
        <v>104</v>
      </c>
      <c r="C2356">
        <v>960</v>
      </c>
      <c r="D2356" t="s">
        <v>342</v>
      </c>
      <c r="E2356">
        <v>24.15</v>
      </c>
      <c r="F2356">
        <v>16.32</v>
      </c>
      <c r="G2356">
        <v>14.38</v>
      </c>
      <c r="H2356">
        <v>30.7</v>
      </c>
      <c r="I2356" t="s">
        <v>344</v>
      </c>
      <c r="J2356">
        <v>140.44</v>
      </c>
      <c r="K2356">
        <v>2.99</v>
      </c>
      <c r="L2356" t="s">
        <v>346</v>
      </c>
      <c r="M2356" s="1">
        <v>2.9899999999999999E-2</v>
      </c>
      <c r="N2356" t="s">
        <v>350</v>
      </c>
      <c r="O2356">
        <v>-0.52</v>
      </c>
      <c r="P2356" t="s">
        <v>343</v>
      </c>
      <c r="Q2356">
        <v>2.0299999999999998</v>
      </c>
      <c r="R2356" t="s">
        <v>344</v>
      </c>
      <c r="S2356">
        <v>1</v>
      </c>
    </row>
    <row r="2357" spans="1:19" x14ac:dyDescent="0.25">
      <c r="A2357" t="s">
        <v>49</v>
      </c>
      <c r="B2357" t="s">
        <v>105</v>
      </c>
      <c r="C2357">
        <v>980</v>
      </c>
      <c r="D2357" t="s">
        <v>342</v>
      </c>
      <c r="E2357">
        <v>24.15</v>
      </c>
      <c r="F2357">
        <v>15.66</v>
      </c>
      <c r="G2357">
        <v>14.13</v>
      </c>
      <c r="H2357">
        <v>29.78</v>
      </c>
      <c r="I2357" t="s">
        <v>344</v>
      </c>
      <c r="J2357">
        <v>141.22999999999999</v>
      </c>
      <c r="K2357">
        <v>3.96</v>
      </c>
      <c r="L2357" t="s">
        <v>346</v>
      </c>
      <c r="M2357" s="1">
        <v>3.9600000000000003E-2</v>
      </c>
      <c r="N2357" t="s">
        <v>350</v>
      </c>
      <c r="O2357">
        <v>0.35</v>
      </c>
      <c r="P2357" t="s">
        <v>343</v>
      </c>
      <c r="Q2357">
        <v>2.8</v>
      </c>
      <c r="R2357" t="s">
        <v>344</v>
      </c>
      <c r="S2357">
        <v>1</v>
      </c>
    </row>
    <row r="2358" spans="1:19" x14ac:dyDescent="0.25">
      <c r="A2358" t="s">
        <v>49</v>
      </c>
      <c r="B2358" t="s">
        <v>106</v>
      </c>
      <c r="C2358">
        <v>1000</v>
      </c>
      <c r="D2358" t="s">
        <v>342</v>
      </c>
      <c r="E2358">
        <v>24.15</v>
      </c>
      <c r="F2358">
        <v>15.66</v>
      </c>
      <c r="G2358">
        <v>15.41</v>
      </c>
      <c r="H2358">
        <v>31.06</v>
      </c>
      <c r="I2358" t="s">
        <v>344</v>
      </c>
      <c r="J2358">
        <v>142.16</v>
      </c>
      <c r="K2358">
        <v>4.67</v>
      </c>
      <c r="L2358" t="s">
        <v>346</v>
      </c>
      <c r="M2358" s="1">
        <v>4.6699999999999998E-2</v>
      </c>
      <c r="N2358" t="s">
        <v>350</v>
      </c>
      <c r="O2358">
        <v>2.92</v>
      </c>
      <c r="P2358" t="s">
        <v>344</v>
      </c>
      <c r="Q2358">
        <v>2.2599999999999998</v>
      </c>
      <c r="R2358" t="s">
        <v>344</v>
      </c>
      <c r="S2358">
        <v>1</v>
      </c>
    </row>
    <row r="2359" spans="1:19" x14ac:dyDescent="0.25">
      <c r="A2359" t="s">
        <v>49</v>
      </c>
      <c r="B2359" t="s">
        <v>108</v>
      </c>
      <c r="C2359">
        <v>1020</v>
      </c>
      <c r="D2359" t="s">
        <v>342</v>
      </c>
      <c r="E2359">
        <v>24.15</v>
      </c>
      <c r="F2359">
        <v>16.59</v>
      </c>
      <c r="G2359">
        <v>15.41</v>
      </c>
      <c r="H2359">
        <v>32</v>
      </c>
      <c r="I2359" t="s">
        <v>344</v>
      </c>
      <c r="J2359">
        <v>143.05000000000001</v>
      </c>
      <c r="K2359">
        <v>4.45</v>
      </c>
      <c r="L2359" t="s">
        <v>346</v>
      </c>
      <c r="M2359" s="1">
        <v>4.4499999999999998E-2</v>
      </c>
      <c r="N2359" t="s">
        <v>350</v>
      </c>
      <c r="O2359">
        <v>-0.28000000000000003</v>
      </c>
      <c r="P2359" t="s">
        <v>343</v>
      </c>
      <c r="Q2359">
        <v>5.82</v>
      </c>
      <c r="R2359" t="s">
        <v>343</v>
      </c>
      <c r="S2359">
        <v>1</v>
      </c>
    </row>
    <row r="2360" spans="1:19" x14ac:dyDescent="0.25">
      <c r="A2360" t="s">
        <v>49</v>
      </c>
      <c r="B2360" t="s">
        <v>109</v>
      </c>
      <c r="C2360">
        <v>1040</v>
      </c>
      <c r="D2360" t="s">
        <v>342</v>
      </c>
      <c r="E2360">
        <v>24.15</v>
      </c>
      <c r="F2360">
        <v>16.989999999999998</v>
      </c>
      <c r="G2360">
        <v>15.52</v>
      </c>
      <c r="H2360">
        <v>32.51</v>
      </c>
      <c r="I2360" t="s">
        <v>344</v>
      </c>
      <c r="J2360">
        <v>143.85</v>
      </c>
      <c r="K2360">
        <v>3.99</v>
      </c>
      <c r="L2360" t="s">
        <v>346</v>
      </c>
      <c r="M2360" s="1">
        <v>3.9899999999999998E-2</v>
      </c>
      <c r="N2360" t="s">
        <v>350</v>
      </c>
      <c r="O2360">
        <v>1.1299999999999999</v>
      </c>
      <c r="P2360" t="s">
        <v>343</v>
      </c>
      <c r="Q2360">
        <v>3.87</v>
      </c>
      <c r="R2360" t="s">
        <v>344</v>
      </c>
      <c r="S2360">
        <v>1</v>
      </c>
    </row>
    <row r="2361" spans="1:19" x14ac:dyDescent="0.25">
      <c r="A2361" t="s">
        <v>49</v>
      </c>
      <c r="B2361" t="s">
        <v>110</v>
      </c>
      <c r="C2361">
        <v>1060</v>
      </c>
      <c r="D2361" t="s">
        <v>342</v>
      </c>
      <c r="E2361">
        <v>24.15</v>
      </c>
      <c r="F2361">
        <v>16.59</v>
      </c>
      <c r="G2361">
        <v>20</v>
      </c>
      <c r="H2361">
        <v>36.590000000000003</v>
      </c>
      <c r="I2361" t="s">
        <v>344</v>
      </c>
      <c r="J2361">
        <v>144.74</v>
      </c>
      <c r="K2361">
        <v>4.45</v>
      </c>
      <c r="L2361" t="s">
        <v>346</v>
      </c>
      <c r="M2361" s="1">
        <v>4.4499999999999998E-2</v>
      </c>
      <c r="N2361" t="s">
        <v>350</v>
      </c>
      <c r="O2361">
        <v>1.61</v>
      </c>
      <c r="P2361" t="s">
        <v>343</v>
      </c>
      <c r="Q2361">
        <v>4.05</v>
      </c>
      <c r="R2361" t="s">
        <v>343</v>
      </c>
      <c r="S2361">
        <v>1</v>
      </c>
    </row>
    <row r="2362" spans="1:19" x14ac:dyDescent="0.25">
      <c r="A2362" t="s">
        <v>49</v>
      </c>
      <c r="B2362" t="s">
        <v>111</v>
      </c>
      <c r="C2362">
        <v>1080</v>
      </c>
      <c r="D2362" t="s">
        <v>342</v>
      </c>
      <c r="E2362">
        <v>24.15</v>
      </c>
      <c r="F2362">
        <v>16.64</v>
      </c>
      <c r="G2362">
        <v>20</v>
      </c>
      <c r="H2362">
        <v>36.64</v>
      </c>
      <c r="I2362" t="s">
        <v>344</v>
      </c>
      <c r="J2362">
        <v>145.38</v>
      </c>
      <c r="K2362">
        <v>3.2</v>
      </c>
      <c r="L2362" t="s">
        <v>346</v>
      </c>
      <c r="M2362" s="1">
        <v>3.2000000000000001E-2</v>
      </c>
      <c r="N2362" t="s">
        <v>350</v>
      </c>
      <c r="O2362">
        <v>0.05</v>
      </c>
      <c r="P2362" t="s">
        <v>343</v>
      </c>
      <c r="Q2362">
        <v>4.79</v>
      </c>
      <c r="R2362" t="s">
        <v>343</v>
      </c>
      <c r="S2362">
        <v>1</v>
      </c>
    </row>
    <row r="2363" spans="1:19" x14ac:dyDescent="0.25">
      <c r="A2363" t="s">
        <v>49</v>
      </c>
      <c r="B2363" t="s">
        <v>112</v>
      </c>
      <c r="C2363">
        <v>1100</v>
      </c>
      <c r="D2363" t="s">
        <v>342</v>
      </c>
      <c r="E2363">
        <v>24.15</v>
      </c>
      <c r="F2363">
        <v>17.98</v>
      </c>
      <c r="G2363">
        <v>20</v>
      </c>
      <c r="H2363">
        <v>37.979999999999997</v>
      </c>
      <c r="I2363" t="s">
        <v>344</v>
      </c>
      <c r="J2363">
        <v>145.83000000000001</v>
      </c>
      <c r="K2363">
        <v>2.23</v>
      </c>
      <c r="L2363" t="s">
        <v>346</v>
      </c>
      <c r="M2363" s="1">
        <v>2.23E-2</v>
      </c>
      <c r="N2363" t="s">
        <v>350</v>
      </c>
      <c r="O2363">
        <v>0.08</v>
      </c>
      <c r="P2363" t="s">
        <v>343</v>
      </c>
      <c r="Q2363">
        <v>3.46</v>
      </c>
      <c r="R2363" t="s">
        <v>344</v>
      </c>
      <c r="S2363">
        <v>1</v>
      </c>
    </row>
    <row r="2364" spans="1:19" x14ac:dyDescent="0.25">
      <c r="A2364" t="s">
        <v>49</v>
      </c>
      <c r="B2364" t="s">
        <v>113</v>
      </c>
      <c r="C2364">
        <v>1120</v>
      </c>
      <c r="D2364" t="s">
        <v>342</v>
      </c>
      <c r="E2364">
        <v>24.15</v>
      </c>
      <c r="F2364">
        <v>17.98</v>
      </c>
      <c r="G2364">
        <v>20</v>
      </c>
      <c r="H2364">
        <v>37.979999999999997</v>
      </c>
      <c r="I2364" t="s">
        <v>344</v>
      </c>
      <c r="J2364">
        <v>146.28</v>
      </c>
      <c r="K2364">
        <v>2.2799999999999998</v>
      </c>
      <c r="L2364" t="s">
        <v>346</v>
      </c>
      <c r="M2364" s="1">
        <v>2.2800000000000001E-2</v>
      </c>
      <c r="N2364" t="s">
        <v>350</v>
      </c>
      <c r="O2364">
        <v>-0.76</v>
      </c>
      <c r="P2364" t="s">
        <v>343</v>
      </c>
      <c r="Q2364">
        <v>2.61</v>
      </c>
      <c r="R2364" t="s">
        <v>344</v>
      </c>
      <c r="S2364">
        <v>1</v>
      </c>
    </row>
    <row r="2365" spans="1:19" x14ac:dyDescent="0.25">
      <c r="A2365" t="s">
        <v>49</v>
      </c>
      <c r="B2365" t="s">
        <v>114</v>
      </c>
      <c r="C2365">
        <v>1140</v>
      </c>
      <c r="D2365" t="s">
        <v>342</v>
      </c>
      <c r="E2365">
        <v>24.15</v>
      </c>
      <c r="F2365">
        <v>17.98</v>
      </c>
      <c r="G2365">
        <v>17</v>
      </c>
      <c r="H2365">
        <v>34.979999999999997</v>
      </c>
      <c r="I2365" t="s">
        <v>344</v>
      </c>
      <c r="J2365">
        <v>146.66</v>
      </c>
      <c r="K2365">
        <v>1.89</v>
      </c>
      <c r="L2365" t="s">
        <v>346</v>
      </c>
      <c r="M2365" s="1">
        <v>1.89E-2</v>
      </c>
      <c r="N2365" t="s">
        <v>349</v>
      </c>
      <c r="O2365">
        <v>-1.32</v>
      </c>
      <c r="P2365" t="s">
        <v>343</v>
      </c>
      <c r="Q2365">
        <v>3.37</v>
      </c>
      <c r="R2365" t="s">
        <v>344</v>
      </c>
      <c r="S2365">
        <v>1</v>
      </c>
    </row>
    <row r="2366" spans="1:19" x14ac:dyDescent="0.25">
      <c r="A2366" t="s">
        <v>49</v>
      </c>
      <c r="B2366" t="s">
        <v>115</v>
      </c>
      <c r="C2366">
        <v>1160</v>
      </c>
      <c r="D2366" t="s">
        <v>342</v>
      </c>
      <c r="E2366">
        <v>24.15</v>
      </c>
      <c r="F2366">
        <v>17.41</v>
      </c>
      <c r="G2366">
        <v>16.260000000000002</v>
      </c>
      <c r="H2366">
        <v>33.659999999999997</v>
      </c>
      <c r="I2366" t="s">
        <v>344</v>
      </c>
      <c r="J2366">
        <v>147.11000000000001</v>
      </c>
      <c r="K2366">
        <v>2.2599999999999998</v>
      </c>
      <c r="L2366" t="s">
        <v>346</v>
      </c>
      <c r="M2366" s="1">
        <v>2.2599999999999999E-2</v>
      </c>
      <c r="N2366" t="s">
        <v>350</v>
      </c>
      <c r="O2366">
        <v>-0.42</v>
      </c>
      <c r="P2366" t="s">
        <v>343</v>
      </c>
      <c r="Q2366">
        <v>4.1900000000000004</v>
      </c>
      <c r="R2366" t="s">
        <v>343</v>
      </c>
      <c r="S2366">
        <v>1</v>
      </c>
    </row>
    <row r="2367" spans="1:19" x14ac:dyDescent="0.25">
      <c r="A2367" t="s">
        <v>49</v>
      </c>
      <c r="B2367" t="s">
        <v>116</v>
      </c>
      <c r="C2367">
        <v>1180</v>
      </c>
      <c r="D2367" t="s">
        <v>342</v>
      </c>
      <c r="E2367">
        <v>24.15</v>
      </c>
      <c r="F2367">
        <v>16.36</v>
      </c>
      <c r="G2367">
        <v>16.7</v>
      </c>
      <c r="H2367">
        <v>33.06</v>
      </c>
      <c r="I2367" t="s">
        <v>344</v>
      </c>
      <c r="J2367">
        <v>147.51</v>
      </c>
      <c r="K2367">
        <v>2.0099999999999998</v>
      </c>
      <c r="L2367" t="s">
        <v>346</v>
      </c>
      <c r="M2367" s="1">
        <v>2.01E-2</v>
      </c>
      <c r="N2367" t="s">
        <v>350</v>
      </c>
      <c r="O2367">
        <v>-0.66</v>
      </c>
      <c r="P2367" t="s">
        <v>343</v>
      </c>
      <c r="Q2367">
        <v>3.96</v>
      </c>
      <c r="R2367" t="s">
        <v>344</v>
      </c>
      <c r="S2367">
        <v>1</v>
      </c>
    </row>
    <row r="2368" spans="1:19" x14ac:dyDescent="0.25">
      <c r="A2368" t="s">
        <v>49</v>
      </c>
      <c r="B2368" t="s">
        <v>117</v>
      </c>
      <c r="C2368">
        <v>1200</v>
      </c>
      <c r="D2368" t="s">
        <v>342</v>
      </c>
      <c r="E2368">
        <v>24.15</v>
      </c>
      <c r="F2368">
        <v>17.46</v>
      </c>
      <c r="G2368">
        <v>16.7</v>
      </c>
      <c r="H2368">
        <v>34.15</v>
      </c>
      <c r="I2368" t="s">
        <v>344</v>
      </c>
      <c r="J2368">
        <v>147.99</v>
      </c>
      <c r="K2368">
        <v>2.37</v>
      </c>
      <c r="L2368" t="s">
        <v>346</v>
      </c>
      <c r="M2368" s="1">
        <v>2.3699999999999999E-2</v>
      </c>
      <c r="N2368" t="s">
        <v>350</v>
      </c>
      <c r="O2368">
        <v>-0.61</v>
      </c>
      <c r="P2368" t="s">
        <v>343</v>
      </c>
      <c r="Q2368">
        <v>1.45</v>
      </c>
      <c r="R2368" t="s">
        <v>343</v>
      </c>
      <c r="S2368">
        <v>1</v>
      </c>
    </row>
    <row r="2369" spans="1:19" x14ac:dyDescent="0.25">
      <c r="A2369" t="s">
        <v>49</v>
      </c>
      <c r="B2369" t="s">
        <v>118</v>
      </c>
      <c r="C2369">
        <v>1220</v>
      </c>
      <c r="D2369" t="s">
        <v>342</v>
      </c>
      <c r="E2369">
        <v>24.15</v>
      </c>
      <c r="F2369">
        <v>17.329999999999998</v>
      </c>
      <c r="G2369">
        <v>16.7</v>
      </c>
      <c r="H2369">
        <v>34.03</v>
      </c>
      <c r="I2369" t="s">
        <v>344</v>
      </c>
      <c r="J2369">
        <v>148.29</v>
      </c>
      <c r="K2369">
        <v>1.52</v>
      </c>
      <c r="L2369" t="s">
        <v>346</v>
      </c>
      <c r="M2369" s="1">
        <v>1.52E-2</v>
      </c>
      <c r="N2369" t="s">
        <v>349</v>
      </c>
      <c r="O2369">
        <v>-1.92</v>
      </c>
      <c r="P2369" t="s">
        <v>343</v>
      </c>
      <c r="Q2369">
        <v>2.91</v>
      </c>
      <c r="R2369" t="s">
        <v>344</v>
      </c>
      <c r="S2369">
        <v>1</v>
      </c>
    </row>
    <row r="2370" spans="1:19" x14ac:dyDescent="0.25">
      <c r="A2370" t="s">
        <v>49</v>
      </c>
      <c r="B2370" t="s">
        <v>119</v>
      </c>
      <c r="C2370">
        <v>1240</v>
      </c>
      <c r="D2370" t="s">
        <v>342</v>
      </c>
      <c r="E2370">
        <v>24.15</v>
      </c>
      <c r="F2370">
        <v>17.329999999999998</v>
      </c>
      <c r="G2370">
        <v>20</v>
      </c>
      <c r="H2370">
        <v>37.33</v>
      </c>
      <c r="I2370" t="s">
        <v>344</v>
      </c>
      <c r="J2370">
        <v>148.52000000000001</v>
      </c>
      <c r="K2370">
        <v>1.1399999999999999</v>
      </c>
      <c r="L2370" t="s">
        <v>346</v>
      </c>
      <c r="M2370" s="1">
        <v>1.14E-2</v>
      </c>
      <c r="N2370" t="s">
        <v>349</v>
      </c>
      <c r="O2370">
        <v>-2.4700000000000002</v>
      </c>
      <c r="P2370" t="s">
        <v>344</v>
      </c>
      <c r="Q2370">
        <v>3.23</v>
      </c>
      <c r="R2370" t="s">
        <v>344</v>
      </c>
      <c r="S2370">
        <v>1</v>
      </c>
    </row>
    <row r="2371" spans="1:19" x14ac:dyDescent="0.25">
      <c r="A2371" t="s">
        <v>49</v>
      </c>
      <c r="B2371" t="s">
        <v>331</v>
      </c>
      <c r="C2371">
        <v>1251.9570000000001</v>
      </c>
      <c r="D2371" t="s">
        <v>342</v>
      </c>
      <c r="E2371">
        <v>24.15</v>
      </c>
      <c r="F2371">
        <v>20</v>
      </c>
      <c r="G2371">
        <v>20</v>
      </c>
      <c r="H2371">
        <v>40</v>
      </c>
      <c r="I2371" t="s">
        <v>344</v>
      </c>
      <c r="J2371">
        <v>148.75</v>
      </c>
      <c r="K2371">
        <v>1.88</v>
      </c>
      <c r="L2371" t="s">
        <v>346</v>
      </c>
      <c r="M2371" s="1">
        <v>1.8800000000000001E-2</v>
      </c>
      <c r="N2371" t="s">
        <v>349</v>
      </c>
      <c r="O2371">
        <v>-7.89</v>
      </c>
      <c r="P2371" t="s">
        <v>343</v>
      </c>
      <c r="Q2371">
        <v>-6.92</v>
      </c>
      <c r="R2371" t="s">
        <v>343</v>
      </c>
      <c r="S2371">
        <v>0</v>
      </c>
    </row>
    <row r="2372" spans="1:19" x14ac:dyDescent="0.25">
      <c r="A2372" t="s">
        <v>50</v>
      </c>
      <c r="B2372" t="s">
        <v>56</v>
      </c>
      <c r="C2372">
        <v>0</v>
      </c>
      <c r="D2372" t="s">
        <v>342</v>
      </c>
      <c r="E2372">
        <v>24.15</v>
      </c>
      <c r="F2372">
        <v>20</v>
      </c>
      <c r="G2372">
        <v>17.940000000000001</v>
      </c>
      <c r="H2372">
        <v>37.94</v>
      </c>
      <c r="I2372" t="s">
        <v>344</v>
      </c>
      <c r="J2372">
        <v>-23.7</v>
      </c>
      <c r="L2372" t="s">
        <v>345</v>
      </c>
      <c r="N2372" t="s">
        <v>345</v>
      </c>
      <c r="O2372">
        <v>3.53</v>
      </c>
      <c r="P2372" t="s">
        <v>344</v>
      </c>
      <c r="Q2372">
        <v>-3</v>
      </c>
      <c r="R2372" t="s">
        <v>344</v>
      </c>
      <c r="S2372">
        <v>1</v>
      </c>
    </row>
    <row r="2373" spans="1:19" x14ac:dyDescent="0.25">
      <c r="A2373" t="s">
        <v>50</v>
      </c>
      <c r="B2373" t="s">
        <v>57</v>
      </c>
      <c r="C2373">
        <v>20</v>
      </c>
      <c r="D2373" t="s">
        <v>342</v>
      </c>
      <c r="E2373">
        <v>24.15</v>
      </c>
      <c r="F2373">
        <v>20</v>
      </c>
      <c r="G2373">
        <v>17.940000000000001</v>
      </c>
      <c r="H2373">
        <v>37.94</v>
      </c>
      <c r="I2373" t="s">
        <v>344</v>
      </c>
      <c r="J2373">
        <v>-24.21</v>
      </c>
      <c r="K2373">
        <v>-2.5099999999999998</v>
      </c>
      <c r="L2373" t="s">
        <v>346</v>
      </c>
      <c r="M2373" s="1">
        <v>2.5100000000000001E-2</v>
      </c>
      <c r="N2373" t="s">
        <v>350</v>
      </c>
      <c r="O2373">
        <v>3.2</v>
      </c>
      <c r="P2373" t="s">
        <v>344</v>
      </c>
      <c r="Q2373">
        <v>-4.1900000000000004</v>
      </c>
      <c r="R2373" t="s">
        <v>343</v>
      </c>
      <c r="S2373">
        <v>1</v>
      </c>
    </row>
    <row r="2374" spans="1:19" x14ac:dyDescent="0.25">
      <c r="A2374" t="s">
        <v>50</v>
      </c>
      <c r="B2374" t="s">
        <v>58</v>
      </c>
      <c r="C2374">
        <v>40</v>
      </c>
      <c r="D2374" t="s">
        <v>342</v>
      </c>
      <c r="E2374">
        <v>24.15</v>
      </c>
      <c r="F2374">
        <v>20</v>
      </c>
      <c r="G2374">
        <v>17.13</v>
      </c>
      <c r="H2374">
        <v>37.130000000000003</v>
      </c>
      <c r="I2374" t="s">
        <v>344</v>
      </c>
      <c r="J2374">
        <v>-24.38</v>
      </c>
      <c r="K2374">
        <v>-0.89</v>
      </c>
      <c r="L2374" t="s">
        <v>346</v>
      </c>
      <c r="M2374" s="1">
        <v>8.8999999999999999E-3</v>
      </c>
      <c r="N2374" t="s">
        <v>349</v>
      </c>
      <c r="O2374">
        <v>4.6399999999999997</v>
      </c>
      <c r="P2374" t="s">
        <v>343</v>
      </c>
      <c r="Q2374">
        <v>-3.34</v>
      </c>
      <c r="R2374" t="s">
        <v>344</v>
      </c>
      <c r="S2374">
        <v>1</v>
      </c>
    </row>
    <row r="2375" spans="1:19" x14ac:dyDescent="0.25">
      <c r="A2375" t="s">
        <v>50</v>
      </c>
      <c r="B2375" t="s">
        <v>59</v>
      </c>
      <c r="C2375">
        <v>60</v>
      </c>
      <c r="D2375" t="s">
        <v>342</v>
      </c>
      <c r="E2375">
        <v>24.15</v>
      </c>
      <c r="F2375">
        <v>20</v>
      </c>
      <c r="G2375">
        <v>16.02</v>
      </c>
      <c r="H2375">
        <v>36.020000000000003</v>
      </c>
      <c r="I2375" t="s">
        <v>344</v>
      </c>
      <c r="J2375">
        <v>-24.54</v>
      </c>
      <c r="K2375">
        <v>-0.76</v>
      </c>
      <c r="L2375" t="s">
        <v>346</v>
      </c>
      <c r="M2375" s="1">
        <v>7.6E-3</v>
      </c>
      <c r="N2375" t="s">
        <v>349</v>
      </c>
      <c r="O2375">
        <v>6.14</v>
      </c>
      <c r="P2375" t="s">
        <v>343</v>
      </c>
      <c r="Q2375">
        <v>-3.02</v>
      </c>
      <c r="R2375" t="s">
        <v>344</v>
      </c>
      <c r="S2375">
        <v>1</v>
      </c>
    </row>
    <row r="2376" spans="1:19" x14ac:dyDescent="0.25">
      <c r="A2376" t="s">
        <v>50</v>
      </c>
      <c r="B2376" t="s">
        <v>60</v>
      </c>
      <c r="C2376">
        <v>80</v>
      </c>
      <c r="D2376" t="s">
        <v>342</v>
      </c>
      <c r="E2376">
        <v>24.15</v>
      </c>
      <c r="F2376">
        <v>16.45</v>
      </c>
      <c r="G2376">
        <v>15.16</v>
      </c>
      <c r="H2376">
        <v>31.61</v>
      </c>
      <c r="I2376" t="s">
        <v>344</v>
      </c>
      <c r="J2376">
        <v>-24.63</v>
      </c>
      <c r="K2376">
        <v>-0.48</v>
      </c>
      <c r="L2376" t="s">
        <v>346</v>
      </c>
      <c r="M2376" s="1">
        <v>4.7999999999999996E-3</v>
      </c>
      <c r="N2376" t="s">
        <v>349</v>
      </c>
      <c r="O2376">
        <v>6.1</v>
      </c>
      <c r="P2376" t="s">
        <v>343</v>
      </c>
      <c r="Q2376">
        <v>-2.6</v>
      </c>
      <c r="R2376" t="s">
        <v>344</v>
      </c>
      <c r="S2376">
        <v>1</v>
      </c>
    </row>
    <row r="2377" spans="1:19" x14ac:dyDescent="0.25">
      <c r="A2377" t="s">
        <v>50</v>
      </c>
      <c r="B2377" t="s">
        <v>61</v>
      </c>
      <c r="C2377">
        <v>100</v>
      </c>
      <c r="D2377" t="s">
        <v>342</v>
      </c>
      <c r="E2377">
        <v>24.15</v>
      </c>
      <c r="F2377">
        <v>17.190000000000001</v>
      </c>
      <c r="G2377">
        <v>14.99</v>
      </c>
      <c r="H2377">
        <v>32.18</v>
      </c>
      <c r="I2377" t="s">
        <v>344</v>
      </c>
      <c r="J2377">
        <v>-24.81</v>
      </c>
      <c r="K2377">
        <v>-0.89</v>
      </c>
      <c r="L2377" t="s">
        <v>346</v>
      </c>
      <c r="M2377" s="1">
        <v>8.8999999999999999E-3</v>
      </c>
      <c r="N2377" t="s">
        <v>349</v>
      </c>
      <c r="O2377">
        <v>5.76</v>
      </c>
      <c r="P2377" t="s">
        <v>343</v>
      </c>
      <c r="Q2377">
        <v>-1.85</v>
      </c>
      <c r="R2377" t="s">
        <v>343</v>
      </c>
      <c r="S2377">
        <v>1</v>
      </c>
    </row>
    <row r="2378" spans="1:19" x14ac:dyDescent="0.25">
      <c r="A2378" t="s">
        <v>50</v>
      </c>
      <c r="B2378" t="s">
        <v>62</v>
      </c>
      <c r="C2378">
        <v>120</v>
      </c>
      <c r="D2378" t="s">
        <v>342</v>
      </c>
      <c r="E2378">
        <v>24.15</v>
      </c>
      <c r="F2378">
        <v>15.7</v>
      </c>
      <c r="G2378">
        <v>14.99</v>
      </c>
      <c r="H2378">
        <v>30.69</v>
      </c>
      <c r="I2378" t="s">
        <v>344</v>
      </c>
      <c r="J2378">
        <v>-24.99</v>
      </c>
      <c r="K2378">
        <v>-0.88</v>
      </c>
      <c r="L2378" t="s">
        <v>346</v>
      </c>
      <c r="M2378" s="1">
        <v>8.8000000000000005E-3</v>
      </c>
      <c r="N2378" t="s">
        <v>349</v>
      </c>
      <c r="O2378">
        <v>6.15</v>
      </c>
      <c r="P2378" t="s">
        <v>343</v>
      </c>
      <c r="Q2378">
        <v>-1.01</v>
      </c>
      <c r="R2378" t="s">
        <v>343</v>
      </c>
      <c r="S2378">
        <v>1</v>
      </c>
    </row>
    <row r="2379" spans="1:19" x14ac:dyDescent="0.25">
      <c r="A2379" t="s">
        <v>50</v>
      </c>
      <c r="B2379" t="s">
        <v>63</v>
      </c>
      <c r="C2379">
        <v>140</v>
      </c>
      <c r="D2379" t="s">
        <v>342</v>
      </c>
      <c r="E2379">
        <v>24.15</v>
      </c>
      <c r="F2379">
        <v>15</v>
      </c>
      <c r="G2379">
        <v>14.15</v>
      </c>
      <c r="H2379">
        <v>29.16</v>
      </c>
      <c r="I2379" t="s">
        <v>344</v>
      </c>
      <c r="J2379">
        <v>-25.16</v>
      </c>
      <c r="K2379">
        <v>-0.89</v>
      </c>
      <c r="L2379" t="s">
        <v>346</v>
      </c>
      <c r="M2379" s="1">
        <v>8.8999999999999999E-3</v>
      </c>
      <c r="N2379" t="s">
        <v>349</v>
      </c>
      <c r="O2379">
        <v>6.45</v>
      </c>
      <c r="P2379" t="s">
        <v>343</v>
      </c>
      <c r="Q2379">
        <v>-1.76</v>
      </c>
      <c r="R2379" t="s">
        <v>343</v>
      </c>
      <c r="S2379">
        <v>1</v>
      </c>
    </row>
    <row r="2380" spans="1:19" x14ac:dyDescent="0.25">
      <c r="A2380" t="s">
        <v>50</v>
      </c>
      <c r="B2380" t="s">
        <v>64</v>
      </c>
      <c r="C2380">
        <v>160</v>
      </c>
      <c r="D2380" t="s">
        <v>342</v>
      </c>
      <c r="E2380">
        <v>24.15</v>
      </c>
      <c r="F2380">
        <v>13.87</v>
      </c>
      <c r="G2380">
        <v>15.47</v>
      </c>
      <c r="H2380">
        <v>29.35</v>
      </c>
      <c r="I2380" t="s">
        <v>344</v>
      </c>
      <c r="J2380">
        <v>-25.39</v>
      </c>
      <c r="K2380">
        <v>-1.1499999999999999</v>
      </c>
      <c r="L2380" t="s">
        <v>346</v>
      </c>
      <c r="M2380" s="1">
        <v>1.15E-2</v>
      </c>
      <c r="N2380" t="s">
        <v>349</v>
      </c>
      <c r="O2380">
        <v>6.71</v>
      </c>
      <c r="P2380" t="s">
        <v>343</v>
      </c>
      <c r="Q2380">
        <v>-1.62</v>
      </c>
      <c r="R2380" t="s">
        <v>343</v>
      </c>
      <c r="S2380">
        <v>1</v>
      </c>
    </row>
    <row r="2381" spans="1:19" x14ac:dyDescent="0.25">
      <c r="A2381" t="s">
        <v>50</v>
      </c>
      <c r="B2381" t="s">
        <v>65</v>
      </c>
      <c r="C2381">
        <v>180</v>
      </c>
      <c r="D2381" t="s">
        <v>342</v>
      </c>
      <c r="E2381">
        <v>24.15</v>
      </c>
      <c r="F2381">
        <v>12.74</v>
      </c>
      <c r="G2381">
        <v>18.38</v>
      </c>
      <c r="H2381">
        <v>31.11</v>
      </c>
      <c r="I2381" t="s">
        <v>344</v>
      </c>
      <c r="J2381">
        <v>-25.64</v>
      </c>
      <c r="K2381">
        <v>-1.21</v>
      </c>
      <c r="L2381" t="s">
        <v>346</v>
      </c>
      <c r="M2381" s="1">
        <v>1.21E-2</v>
      </c>
      <c r="N2381" t="s">
        <v>349</v>
      </c>
      <c r="O2381">
        <v>5.38</v>
      </c>
      <c r="P2381" t="s">
        <v>343</v>
      </c>
      <c r="Q2381">
        <v>-1.78</v>
      </c>
      <c r="R2381" t="s">
        <v>343</v>
      </c>
      <c r="S2381">
        <v>1</v>
      </c>
    </row>
    <row r="2382" spans="1:19" x14ac:dyDescent="0.25">
      <c r="A2382" t="s">
        <v>50</v>
      </c>
      <c r="B2382" t="s">
        <v>66</v>
      </c>
      <c r="C2382">
        <v>200</v>
      </c>
      <c r="D2382" t="s">
        <v>342</v>
      </c>
      <c r="E2382">
        <v>24.15</v>
      </c>
      <c r="F2382">
        <v>11.82</v>
      </c>
      <c r="G2382">
        <v>20</v>
      </c>
      <c r="H2382">
        <v>31.82</v>
      </c>
      <c r="I2382" t="s">
        <v>344</v>
      </c>
      <c r="J2382">
        <v>-25.96</v>
      </c>
      <c r="K2382">
        <v>-1.59</v>
      </c>
      <c r="L2382" t="s">
        <v>346</v>
      </c>
      <c r="M2382" s="1">
        <v>1.5900000000000001E-2</v>
      </c>
      <c r="N2382" t="s">
        <v>349</v>
      </c>
      <c r="O2382">
        <v>4.67</v>
      </c>
      <c r="P2382" t="s">
        <v>343</v>
      </c>
      <c r="Q2382">
        <v>-1.38</v>
      </c>
      <c r="R2382" t="s">
        <v>343</v>
      </c>
      <c r="S2382">
        <v>1</v>
      </c>
    </row>
    <row r="2383" spans="1:19" x14ac:dyDescent="0.25">
      <c r="A2383" t="s">
        <v>50</v>
      </c>
      <c r="B2383" t="s">
        <v>67</v>
      </c>
      <c r="C2383">
        <v>220</v>
      </c>
      <c r="D2383" t="s">
        <v>342</v>
      </c>
      <c r="E2383">
        <v>24.15</v>
      </c>
      <c r="F2383">
        <v>12.01</v>
      </c>
      <c r="G2383">
        <v>20</v>
      </c>
      <c r="H2383">
        <v>32.01</v>
      </c>
      <c r="I2383" t="s">
        <v>344</v>
      </c>
      <c r="J2383">
        <v>-26.18</v>
      </c>
      <c r="K2383">
        <v>-1.1200000000000001</v>
      </c>
      <c r="L2383" t="s">
        <v>346</v>
      </c>
      <c r="M2383" s="1">
        <v>1.12E-2</v>
      </c>
      <c r="N2383" t="s">
        <v>349</v>
      </c>
      <c r="O2383">
        <v>5.59</v>
      </c>
      <c r="P2383" t="s">
        <v>343</v>
      </c>
      <c r="Q2383">
        <v>-1.34</v>
      </c>
      <c r="R2383" t="s">
        <v>343</v>
      </c>
      <c r="S2383">
        <v>1</v>
      </c>
    </row>
    <row r="2384" spans="1:19" x14ac:dyDescent="0.25">
      <c r="A2384" t="s">
        <v>50</v>
      </c>
      <c r="B2384" t="s">
        <v>68</v>
      </c>
      <c r="C2384">
        <v>240</v>
      </c>
      <c r="D2384" t="s">
        <v>342</v>
      </c>
      <c r="E2384">
        <v>24.15</v>
      </c>
      <c r="F2384">
        <v>12.51</v>
      </c>
      <c r="G2384">
        <v>20</v>
      </c>
      <c r="H2384">
        <v>32.51</v>
      </c>
      <c r="I2384" t="s">
        <v>344</v>
      </c>
      <c r="J2384">
        <v>-26.59</v>
      </c>
      <c r="K2384">
        <v>-2.0299999999999998</v>
      </c>
      <c r="L2384" t="s">
        <v>346</v>
      </c>
      <c r="M2384" s="1">
        <v>2.0299999999999999E-2</v>
      </c>
      <c r="N2384" t="s">
        <v>350</v>
      </c>
      <c r="O2384">
        <v>4.84</v>
      </c>
      <c r="P2384" t="s">
        <v>343</v>
      </c>
      <c r="Q2384">
        <v>-1.89</v>
      </c>
      <c r="R2384" t="s">
        <v>343</v>
      </c>
      <c r="S2384">
        <v>1</v>
      </c>
    </row>
    <row r="2385" spans="1:19" x14ac:dyDescent="0.25">
      <c r="A2385" t="s">
        <v>50</v>
      </c>
      <c r="B2385" t="s">
        <v>69</v>
      </c>
      <c r="C2385">
        <v>260</v>
      </c>
      <c r="D2385" t="s">
        <v>342</v>
      </c>
      <c r="E2385">
        <v>24.15</v>
      </c>
      <c r="F2385">
        <v>12.88</v>
      </c>
      <c r="G2385">
        <v>20</v>
      </c>
      <c r="H2385">
        <v>32.880000000000003</v>
      </c>
      <c r="I2385" t="s">
        <v>344</v>
      </c>
      <c r="J2385">
        <v>-27.17</v>
      </c>
      <c r="K2385">
        <v>-2.91</v>
      </c>
      <c r="L2385" t="s">
        <v>346</v>
      </c>
      <c r="M2385" s="1">
        <v>2.9100000000000001E-2</v>
      </c>
      <c r="N2385" t="s">
        <v>350</v>
      </c>
      <c r="O2385">
        <v>4.67</v>
      </c>
      <c r="P2385" t="s">
        <v>343</v>
      </c>
      <c r="Q2385">
        <v>-1.6</v>
      </c>
      <c r="R2385" t="s">
        <v>343</v>
      </c>
      <c r="S2385">
        <v>1</v>
      </c>
    </row>
    <row r="2386" spans="1:19" x14ac:dyDescent="0.25">
      <c r="A2386" t="s">
        <v>50</v>
      </c>
      <c r="B2386" t="s">
        <v>70</v>
      </c>
      <c r="C2386">
        <v>280</v>
      </c>
      <c r="D2386" t="s">
        <v>342</v>
      </c>
      <c r="E2386">
        <v>24.15</v>
      </c>
      <c r="F2386">
        <v>13.72</v>
      </c>
      <c r="G2386">
        <v>20</v>
      </c>
      <c r="H2386">
        <v>33.72</v>
      </c>
      <c r="I2386" t="s">
        <v>344</v>
      </c>
      <c r="J2386">
        <v>-27.83</v>
      </c>
      <c r="K2386">
        <v>-3.33</v>
      </c>
      <c r="L2386" t="s">
        <v>346</v>
      </c>
      <c r="M2386" s="1">
        <v>3.3300000000000003E-2</v>
      </c>
      <c r="N2386" t="s">
        <v>350</v>
      </c>
      <c r="O2386">
        <v>4.71</v>
      </c>
      <c r="P2386" t="s">
        <v>343</v>
      </c>
      <c r="Q2386">
        <v>-1.45</v>
      </c>
      <c r="R2386" t="s">
        <v>343</v>
      </c>
      <c r="S2386">
        <v>1</v>
      </c>
    </row>
    <row r="2387" spans="1:19" x14ac:dyDescent="0.25">
      <c r="A2387" t="s">
        <v>50</v>
      </c>
      <c r="B2387" t="s">
        <v>71</v>
      </c>
      <c r="C2387">
        <v>300</v>
      </c>
      <c r="D2387" t="s">
        <v>342</v>
      </c>
      <c r="E2387">
        <v>24.15</v>
      </c>
      <c r="F2387">
        <v>13.69</v>
      </c>
      <c r="G2387">
        <v>17.940000000000001</v>
      </c>
      <c r="H2387">
        <v>31.64</v>
      </c>
      <c r="I2387" t="s">
        <v>344</v>
      </c>
      <c r="J2387">
        <v>-28.52</v>
      </c>
      <c r="K2387">
        <v>-3.43</v>
      </c>
      <c r="L2387" t="s">
        <v>346</v>
      </c>
      <c r="M2387" s="1">
        <v>3.4299999999999997E-2</v>
      </c>
      <c r="N2387" t="s">
        <v>350</v>
      </c>
      <c r="O2387">
        <v>5.0999999999999996</v>
      </c>
      <c r="P2387" t="s">
        <v>343</v>
      </c>
      <c r="Q2387">
        <v>-1.81</v>
      </c>
      <c r="R2387" t="s">
        <v>343</v>
      </c>
      <c r="S2387">
        <v>1</v>
      </c>
    </row>
    <row r="2388" spans="1:19" x14ac:dyDescent="0.25">
      <c r="A2388" t="s">
        <v>50</v>
      </c>
      <c r="B2388" t="s">
        <v>72</v>
      </c>
      <c r="C2388">
        <v>320</v>
      </c>
      <c r="D2388" t="s">
        <v>342</v>
      </c>
      <c r="E2388">
        <v>24.15</v>
      </c>
      <c r="F2388">
        <v>14.53</v>
      </c>
      <c r="G2388">
        <v>17.72</v>
      </c>
      <c r="H2388">
        <v>32.25</v>
      </c>
      <c r="I2388" t="s">
        <v>344</v>
      </c>
      <c r="J2388">
        <v>-29.08</v>
      </c>
      <c r="K2388">
        <v>-2.79</v>
      </c>
      <c r="L2388" t="s">
        <v>346</v>
      </c>
      <c r="M2388" s="1">
        <v>2.7900000000000001E-2</v>
      </c>
      <c r="N2388" t="s">
        <v>350</v>
      </c>
      <c r="O2388">
        <v>4.07</v>
      </c>
      <c r="P2388" t="s">
        <v>343</v>
      </c>
      <c r="Q2388">
        <v>-1.61</v>
      </c>
      <c r="R2388" t="s">
        <v>343</v>
      </c>
      <c r="S2388">
        <v>1</v>
      </c>
    </row>
    <row r="2389" spans="1:19" x14ac:dyDescent="0.25">
      <c r="A2389" t="s">
        <v>50</v>
      </c>
      <c r="B2389" t="s">
        <v>73</v>
      </c>
      <c r="C2389">
        <v>340</v>
      </c>
      <c r="D2389" t="s">
        <v>342</v>
      </c>
      <c r="E2389">
        <v>24.15</v>
      </c>
      <c r="F2389">
        <v>15.21</v>
      </c>
      <c r="G2389">
        <v>17.47</v>
      </c>
      <c r="H2389">
        <v>32.69</v>
      </c>
      <c r="I2389" t="s">
        <v>344</v>
      </c>
      <c r="J2389">
        <v>-29.73</v>
      </c>
      <c r="K2389">
        <v>-3.27</v>
      </c>
      <c r="L2389" t="s">
        <v>346</v>
      </c>
      <c r="M2389" s="1">
        <v>3.27E-2</v>
      </c>
      <c r="N2389" t="s">
        <v>350</v>
      </c>
      <c r="O2389">
        <v>4.3099999999999996</v>
      </c>
      <c r="P2389" t="s">
        <v>343</v>
      </c>
      <c r="Q2389">
        <v>-2.2999999999999998</v>
      </c>
      <c r="R2389" t="s">
        <v>344</v>
      </c>
      <c r="S2389">
        <v>1</v>
      </c>
    </row>
    <row r="2390" spans="1:19" x14ac:dyDescent="0.25">
      <c r="A2390" t="s">
        <v>50</v>
      </c>
      <c r="B2390" t="s">
        <v>74</v>
      </c>
      <c r="C2390">
        <v>360</v>
      </c>
      <c r="D2390" t="s">
        <v>342</v>
      </c>
      <c r="E2390">
        <v>24.15</v>
      </c>
      <c r="F2390">
        <v>16.04</v>
      </c>
      <c r="G2390">
        <v>16.28</v>
      </c>
      <c r="H2390">
        <v>32.32</v>
      </c>
      <c r="I2390" t="s">
        <v>344</v>
      </c>
      <c r="J2390">
        <v>-30.22</v>
      </c>
      <c r="K2390">
        <v>-2.42</v>
      </c>
      <c r="L2390" t="s">
        <v>346</v>
      </c>
      <c r="M2390" s="1">
        <v>2.4199999999999999E-2</v>
      </c>
      <c r="N2390" t="s">
        <v>350</v>
      </c>
      <c r="O2390">
        <v>4.7699999999999996</v>
      </c>
      <c r="P2390" t="s">
        <v>343</v>
      </c>
      <c r="Q2390">
        <v>-2.14</v>
      </c>
      <c r="R2390" t="s">
        <v>344</v>
      </c>
      <c r="S2390">
        <v>1</v>
      </c>
    </row>
    <row r="2391" spans="1:19" x14ac:dyDescent="0.25">
      <c r="A2391" t="s">
        <v>50</v>
      </c>
      <c r="B2391" t="s">
        <v>75</v>
      </c>
      <c r="C2391">
        <v>380</v>
      </c>
      <c r="D2391" t="s">
        <v>342</v>
      </c>
      <c r="E2391">
        <v>24.15</v>
      </c>
      <c r="F2391">
        <v>16.54</v>
      </c>
      <c r="G2391">
        <v>15.62</v>
      </c>
      <c r="H2391">
        <v>32.159999999999997</v>
      </c>
      <c r="I2391" t="s">
        <v>344</v>
      </c>
      <c r="J2391">
        <v>-30.51</v>
      </c>
      <c r="K2391">
        <v>-1.46</v>
      </c>
      <c r="L2391" t="s">
        <v>346</v>
      </c>
      <c r="M2391" s="1">
        <v>1.46E-2</v>
      </c>
      <c r="N2391" t="s">
        <v>349</v>
      </c>
      <c r="O2391">
        <v>5.09</v>
      </c>
      <c r="P2391" t="s">
        <v>343</v>
      </c>
      <c r="Q2391">
        <v>-2.54</v>
      </c>
      <c r="R2391" t="s">
        <v>344</v>
      </c>
      <c r="S2391">
        <v>1</v>
      </c>
    </row>
    <row r="2392" spans="1:19" x14ac:dyDescent="0.25">
      <c r="A2392" t="s">
        <v>50</v>
      </c>
      <c r="B2392" t="s">
        <v>76</v>
      </c>
      <c r="C2392">
        <v>400</v>
      </c>
      <c r="D2392" t="s">
        <v>342</v>
      </c>
      <c r="E2392">
        <v>24.15</v>
      </c>
      <c r="F2392">
        <v>20</v>
      </c>
      <c r="G2392">
        <v>16.399999999999999</v>
      </c>
      <c r="H2392">
        <v>36.4</v>
      </c>
      <c r="I2392" t="s">
        <v>344</v>
      </c>
      <c r="J2392">
        <v>-30.58</v>
      </c>
      <c r="K2392">
        <v>-0.37</v>
      </c>
      <c r="L2392" t="s">
        <v>346</v>
      </c>
      <c r="M2392" s="1">
        <v>3.7000000000000002E-3</v>
      </c>
      <c r="N2392" t="s">
        <v>349</v>
      </c>
      <c r="O2392">
        <v>3.21</v>
      </c>
      <c r="P2392" t="s">
        <v>344</v>
      </c>
      <c r="Q2392">
        <v>-1.69</v>
      </c>
      <c r="R2392" t="s">
        <v>343</v>
      </c>
      <c r="S2392">
        <v>1</v>
      </c>
    </row>
    <row r="2393" spans="1:19" x14ac:dyDescent="0.25">
      <c r="A2393" t="s">
        <v>50</v>
      </c>
      <c r="B2393" t="s">
        <v>77</v>
      </c>
      <c r="C2393">
        <v>420</v>
      </c>
      <c r="D2393" t="s">
        <v>342</v>
      </c>
      <c r="E2393">
        <v>24.15</v>
      </c>
      <c r="F2393">
        <v>20</v>
      </c>
      <c r="G2393">
        <v>15.33</v>
      </c>
      <c r="H2393">
        <v>35.33</v>
      </c>
      <c r="I2393" t="s">
        <v>344</v>
      </c>
      <c r="J2393">
        <v>-30.85</v>
      </c>
      <c r="K2393">
        <v>-1.36</v>
      </c>
      <c r="L2393" t="s">
        <v>346</v>
      </c>
      <c r="M2393" s="1">
        <v>1.3599999999999999E-2</v>
      </c>
      <c r="N2393" t="s">
        <v>349</v>
      </c>
      <c r="O2393">
        <v>5.05</v>
      </c>
      <c r="P2393" t="s">
        <v>343</v>
      </c>
      <c r="Q2393">
        <v>-4.33</v>
      </c>
      <c r="R2393" t="s">
        <v>343</v>
      </c>
      <c r="S2393">
        <v>1</v>
      </c>
    </row>
    <row r="2394" spans="1:19" x14ac:dyDescent="0.25">
      <c r="A2394" t="s">
        <v>50</v>
      </c>
      <c r="B2394" t="s">
        <v>78</v>
      </c>
      <c r="C2394">
        <v>440</v>
      </c>
      <c r="D2394" t="s">
        <v>342</v>
      </c>
      <c r="E2394">
        <v>24.15</v>
      </c>
      <c r="F2394">
        <v>20</v>
      </c>
      <c r="G2394">
        <v>15.46</v>
      </c>
      <c r="H2394">
        <v>35.46</v>
      </c>
      <c r="I2394" t="s">
        <v>344</v>
      </c>
      <c r="J2394">
        <v>-30.68</v>
      </c>
      <c r="K2394">
        <v>0.89</v>
      </c>
      <c r="L2394" t="s">
        <v>346</v>
      </c>
      <c r="M2394" s="1">
        <v>8.8999999999999999E-3</v>
      </c>
      <c r="N2394" t="s">
        <v>349</v>
      </c>
      <c r="O2394">
        <v>6.2</v>
      </c>
      <c r="P2394" t="s">
        <v>343</v>
      </c>
      <c r="Q2394">
        <v>-0.32</v>
      </c>
      <c r="R2394" t="s">
        <v>343</v>
      </c>
      <c r="S2394">
        <v>1</v>
      </c>
    </row>
    <row r="2395" spans="1:19" x14ac:dyDescent="0.25">
      <c r="A2395" t="s">
        <v>50</v>
      </c>
      <c r="B2395" t="s">
        <v>79</v>
      </c>
      <c r="C2395">
        <v>460</v>
      </c>
      <c r="D2395" t="s">
        <v>342</v>
      </c>
      <c r="E2395">
        <v>24.15</v>
      </c>
      <c r="F2395">
        <v>20</v>
      </c>
      <c r="G2395">
        <v>14.98</v>
      </c>
      <c r="H2395">
        <v>34.979999999999997</v>
      </c>
      <c r="I2395" t="s">
        <v>344</v>
      </c>
      <c r="J2395">
        <v>-30.73</v>
      </c>
      <c r="K2395">
        <v>-0.27</v>
      </c>
      <c r="L2395" t="s">
        <v>346</v>
      </c>
      <c r="M2395" s="1">
        <v>2.7000000000000001E-3</v>
      </c>
      <c r="N2395" t="s">
        <v>349</v>
      </c>
      <c r="O2395">
        <v>7.06</v>
      </c>
      <c r="P2395" t="s">
        <v>343</v>
      </c>
      <c r="Q2395">
        <v>1.06</v>
      </c>
      <c r="R2395" t="s">
        <v>343</v>
      </c>
      <c r="S2395">
        <v>1</v>
      </c>
    </row>
    <row r="2396" spans="1:19" x14ac:dyDescent="0.25">
      <c r="A2396" t="s">
        <v>50</v>
      </c>
      <c r="B2396" t="s">
        <v>80</v>
      </c>
      <c r="C2396">
        <v>480</v>
      </c>
      <c r="D2396" t="s">
        <v>342</v>
      </c>
      <c r="E2396">
        <v>24.15</v>
      </c>
      <c r="F2396">
        <v>20</v>
      </c>
      <c r="G2396">
        <v>15.77</v>
      </c>
      <c r="H2396">
        <v>35.770000000000003</v>
      </c>
      <c r="I2396" t="s">
        <v>344</v>
      </c>
      <c r="J2396">
        <v>-31.18</v>
      </c>
      <c r="K2396">
        <v>-2.25</v>
      </c>
      <c r="L2396" t="s">
        <v>346</v>
      </c>
      <c r="M2396" s="1">
        <v>2.2499999999999999E-2</v>
      </c>
      <c r="N2396" t="s">
        <v>350</v>
      </c>
      <c r="O2396">
        <v>3.8</v>
      </c>
      <c r="P2396" t="s">
        <v>344</v>
      </c>
      <c r="Q2396">
        <v>-1.47</v>
      </c>
      <c r="R2396" t="s">
        <v>343</v>
      </c>
      <c r="S2396">
        <v>1</v>
      </c>
    </row>
    <row r="2397" spans="1:19" x14ac:dyDescent="0.25">
      <c r="A2397" t="s">
        <v>50</v>
      </c>
      <c r="B2397" t="s">
        <v>81</v>
      </c>
      <c r="C2397">
        <v>500</v>
      </c>
      <c r="D2397" t="s">
        <v>342</v>
      </c>
      <c r="E2397">
        <v>24.15</v>
      </c>
      <c r="F2397">
        <v>20</v>
      </c>
      <c r="G2397">
        <v>15.34</v>
      </c>
      <c r="H2397">
        <v>35.340000000000003</v>
      </c>
      <c r="I2397" t="s">
        <v>344</v>
      </c>
      <c r="J2397">
        <v>-30.79</v>
      </c>
      <c r="K2397">
        <v>1.93</v>
      </c>
      <c r="L2397" t="s">
        <v>346</v>
      </c>
      <c r="M2397" s="1">
        <v>1.9300000000000001E-2</v>
      </c>
      <c r="N2397" t="s">
        <v>349</v>
      </c>
      <c r="O2397">
        <v>5.58</v>
      </c>
      <c r="P2397" t="s">
        <v>343</v>
      </c>
      <c r="Q2397">
        <v>-0.71</v>
      </c>
      <c r="R2397" t="s">
        <v>343</v>
      </c>
      <c r="S2397">
        <v>1</v>
      </c>
    </row>
    <row r="2398" spans="1:19" x14ac:dyDescent="0.25">
      <c r="A2398" t="s">
        <v>50</v>
      </c>
      <c r="B2398" t="s">
        <v>82</v>
      </c>
      <c r="C2398">
        <v>520</v>
      </c>
      <c r="D2398" t="s">
        <v>342</v>
      </c>
      <c r="E2398">
        <v>24.15</v>
      </c>
      <c r="F2398">
        <v>20</v>
      </c>
      <c r="G2398">
        <v>15.34</v>
      </c>
      <c r="H2398">
        <v>35.340000000000003</v>
      </c>
      <c r="I2398" t="s">
        <v>344</v>
      </c>
      <c r="J2398">
        <v>-31.53</v>
      </c>
      <c r="K2398">
        <v>-3.69</v>
      </c>
      <c r="L2398" t="s">
        <v>346</v>
      </c>
      <c r="M2398" s="1">
        <v>3.6900000000000002E-2</v>
      </c>
      <c r="N2398" t="s">
        <v>350</v>
      </c>
      <c r="O2398">
        <v>0.05</v>
      </c>
      <c r="P2398" t="s">
        <v>343</v>
      </c>
      <c r="Q2398">
        <v>-5.22</v>
      </c>
      <c r="R2398" t="s">
        <v>343</v>
      </c>
      <c r="S2398">
        <v>1</v>
      </c>
    </row>
    <row r="2399" spans="1:19" x14ac:dyDescent="0.25">
      <c r="A2399" t="s">
        <v>50</v>
      </c>
      <c r="B2399" t="s">
        <v>83</v>
      </c>
      <c r="C2399">
        <v>540</v>
      </c>
      <c r="D2399" t="s">
        <v>342</v>
      </c>
      <c r="E2399">
        <v>24.15</v>
      </c>
      <c r="F2399">
        <v>20</v>
      </c>
      <c r="G2399">
        <v>13.66</v>
      </c>
      <c r="H2399">
        <v>33.659999999999997</v>
      </c>
      <c r="I2399" t="s">
        <v>344</v>
      </c>
      <c r="J2399">
        <v>-31.4</v>
      </c>
      <c r="K2399">
        <v>0.64</v>
      </c>
      <c r="L2399" t="s">
        <v>346</v>
      </c>
      <c r="M2399" s="1">
        <v>6.4000000000000003E-3</v>
      </c>
      <c r="N2399" t="s">
        <v>349</v>
      </c>
      <c r="O2399">
        <v>3.25</v>
      </c>
      <c r="P2399" t="s">
        <v>344</v>
      </c>
      <c r="Q2399">
        <v>-4.24</v>
      </c>
      <c r="R2399" t="s">
        <v>343</v>
      </c>
      <c r="S2399">
        <v>1</v>
      </c>
    </row>
    <row r="2400" spans="1:19" x14ac:dyDescent="0.25">
      <c r="A2400" t="s">
        <v>50</v>
      </c>
      <c r="B2400" t="s">
        <v>84</v>
      </c>
      <c r="C2400">
        <v>560</v>
      </c>
      <c r="D2400" t="s">
        <v>342</v>
      </c>
      <c r="E2400">
        <v>24.15</v>
      </c>
      <c r="F2400">
        <v>20</v>
      </c>
      <c r="G2400">
        <v>11.37</v>
      </c>
      <c r="H2400">
        <v>31.37</v>
      </c>
      <c r="I2400" t="s">
        <v>344</v>
      </c>
      <c r="J2400">
        <v>-31.35</v>
      </c>
      <c r="K2400">
        <v>0.26</v>
      </c>
      <c r="L2400" t="s">
        <v>346</v>
      </c>
      <c r="M2400" s="1">
        <v>2.5999999999999999E-3</v>
      </c>
      <c r="N2400" t="s">
        <v>349</v>
      </c>
      <c r="O2400">
        <v>5.72</v>
      </c>
      <c r="P2400" t="s">
        <v>343</v>
      </c>
      <c r="Q2400">
        <v>-4.71</v>
      </c>
      <c r="R2400" t="s">
        <v>343</v>
      </c>
      <c r="S2400">
        <v>1</v>
      </c>
    </row>
    <row r="2401" spans="1:19" x14ac:dyDescent="0.25">
      <c r="A2401" t="s">
        <v>50</v>
      </c>
      <c r="B2401" t="s">
        <v>85</v>
      </c>
      <c r="C2401">
        <v>580</v>
      </c>
      <c r="D2401" t="s">
        <v>342</v>
      </c>
      <c r="E2401">
        <v>24.15</v>
      </c>
      <c r="F2401">
        <v>20</v>
      </c>
      <c r="G2401">
        <v>10.38</v>
      </c>
      <c r="H2401">
        <v>30.38</v>
      </c>
      <c r="I2401" t="s">
        <v>344</v>
      </c>
      <c r="J2401">
        <v>-31.41</v>
      </c>
      <c r="K2401">
        <v>-0.27</v>
      </c>
      <c r="L2401" t="s">
        <v>346</v>
      </c>
      <c r="M2401" s="1">
        <v>2.7000000000000001E-3</v>
      </c>
      <c r="N2401" t="s">
        <v>349</v>
      </c>
      <c r="O2401">
        <v>5.6</v>
      </c>
      <c r="P2401" t="s">
        <v>343</v>
      </c>
      <c r="Q2401">
        <v>-0.4</v>
      </c>
      <c r="R2401" t="s">
        <v>343</v>
      </c>
      <c r="S2401">
        <v>1</v>
      </c>
    </row>
    <row r="2402" spans="1:19" x14ac:dyDescent="0.25">
      <c r="A2402" t="s">
        <v>50</v>
      </c>
      <c r="B2402" t="s">
        <v>86</v>
      </c>
      <c r="C2402">
        <v>600</v>
      </c>
      <c r="D2402" t="s">
        <v>342</v>
      </c>
      <c r="E2402">
        <v>24.15</v>
      </c>
      <c r="F2402">
        <v>20</v>
      </c>
      <c r="G2402">
        <v>11.37</v>
      </c>
      <c r="H2402">
        <v>31.37</v>
      </c>
      <c r="I2402" t="s">
        <v>344</v>
      </c>
      <c r="J2402">
        <v>-31.39</v>
      </c>
      <c r="K2402">
        <v>0.11</v>
      </c>
      <c r="L2402" t="s">
        <v>346</v>
      </c>
      <c r="M2402" s="1">
        <v>1.1000000000000001E-3</v>
      </c>
      <c r="N2402" t="s">
        <v>349</v>
      </c>
      <c r="O2402">
        <v>6.35</v>
      </c>
      <c r="P2402" t="s">
        <v>343</v>
      </c>
      <c r="Q2402">
        <v>-1.48</v>
      </c>
      <c r="R2402" t="s">
        <v>343</v>
      </c>
      <c r="S2402">
        <v>1</v>
      </c>
    </row>
    <row r="2403" spans="1:19" x14ac:dyDescent="0.25">
      <c r="A2403" t="s">
        <v>50</v>
      </c>
      <c r="B2403" t="s">
        <v>87</v>
      </c>
      <c r="C2403">
        <v>620</v>
      </c>
      <c r="D2403" t="s">
        <v>342</v>
      </c>
      <c r="E2403">
        <v>24.15</v>
      </c>
      <c r="F2403">
        <v>20</v>
      </c>
      <c r="G2403">
        <v>11.25</v>
      </c>
      <c r="H2403">
        <v>31.25</v>
      </c>
      <c r="I2403" t="s">
        <v>344</v>
      </c>
      <c r="J2403">
        <v>-31.34</v>
      </c>
      <c r="K2403">
        <v>0.22</v>
      </c>
      <c r="L2403" t="s">
        <v>346</v>
      </c>
      <c r="M2403" s="1">
        <v>2.2000000000000001E-3</v>
      </c>
      <c r="N2403" t="s">
        <v>349</v>
      </c>
      <c r="O2403">
        <v>3.41</v>
      </c>
      <c r="P2403" t="s">
        <v>344</v>
      </c>
      <c r="Q2403">
        <v>-3.06</v>
      </c>
      <c r="R2403" t="s">
        <v>344</v>
      </c>
      <c r="S2403">
        <v>1</v>
      </c>
    </row>
    <row r="2404" spans="1:19" x14ac:dyDescent="0.25">
      <c r="A2404" t="s">
        <v>50</v>
      </c>
      <c r="B2404" t="s">
        <v>88</v>
      </c>
      <c r="C2404">
        <v>640</v>
      </c>
      <c r="D2404" t="s">
        <v>342</v>
      </c>
      <c r="E2404">
        <v>24.15</v>
      </c>
      <c r="F2404">
        <v>17.420000000000002</v>
      </c>
      <c r="G2404">
        <v>11.7</v>
      </c>
      <c r="H2404">
        <v>29.12</v>
      </c>
      <c r="I2404" t="s">
        <v>344</v>
      </c>
      <c r="J2404">
        <v>-30.98</v>
      </c>
      <c r="K2404">
        <v>1.78</v>
      </c>
      <c r="L2404" t="s">
        <v>346</v>
      </c>
      <c r="M2404" s="1">
        <v>1.78E-2</v>
      </c>
      <c r="N2404" t="s">
        <v>349</v>
      </c>
      <c r="O2404">
        <v>3.87</v>
      </c>
      <c r="P2404" t="s">
        <v>344</v>
      </c>
      <c r="Q2404">
        <v>-0.66</v>
      </c>
      <c r="R2404" t="s">
        <v>343</v>
      </c>
      <c r="S2404">
        <v>1</v>
      </c>
    </row>
    <row r="2405" spans="1:19" x14ac:dyDescent="0.25">
      <c r="A2405" t="s">
        <v>50</v>
      </c>
      <c r="B2405" t="s">
        <v>89</v>
      </c>
      <c r="C2405">
        <v>660</v>
      </c>
      <c r="D2405" t="s">
        <v>342</v>
      </c>
      <c r="E2405">
        <v>24.15</v>
      </c>
      <c r="F2405">
        <v>17.420000000000002</v>
      </c>
      <c r="G2405">
        <v>10.91</v>
      </c>
      <c r="H2405">
        <v>28.33</v>
      </c>
      <c r="I2405" t="s">
        <v>344</v>
      </c>
      <c r="J2405">
        <v>-30.65</v>
      </c>
      <c r="K2405">
        <v>1.67</v>
      </c>
      <c r="L2405" t="s">
        <v>346</v>
      </c>
      <c r="M2405" s="1">
        <v>1.67E-2</v>
      </c>
      <c r="N2405" t="s">
        <v>349</v>
      </c>
      <c r="O2405">
        <v>2.74</v>
      </c>
      <c r="P2405" t="s">
        <v>344</v>
      </c>
      <c r="Q2405">
        <v>-0.68</v>
      </c>
      <c r="R2405" t="s">
        <v>343</v>
      </c>
      <c r="S2405">
        <v>1</v>
      </c>
    </row>
    <row r="2406" spans="1:19" x14ac:dyDescent="0.25">
      <c r="A2406" t="s">
        <v>50</v>
      </c>
      <c r="B2406" t="s">
        <v>90</v>
      </c>
      <c r="C2406">
        <v>680</v>
      </c>
      <c r="D2406" t="s">
        <v>342</v>
      </c>
      <c r="E2406">
        <v>24.15</v>
      </c>
      <c r="F2406">
        <v>15.43</v>
      </c>
      <c r="G2406">
        <v>12.57</v>
      </c>
      <c r="H2406">
        <v>28.01</v>
      </c>
      <c r="I2406" t="s">
        <v>344</v>
      </c>
      <c r="J2406">
        <v>-30.42</v>
      </c>
      <c r="K2406">
        <v>1.1499999999999999</v>
      </c>
      <c r="L2406" t="s">
        <v>346</v>
      </c>
      <c r="M2406" s="1">
        <v>1.15E-2</v>
      </c>
      <c r="N2406" t="s">
        <v>349</v>
      </c>
      <c r="O2406">
        <v>3.66</v>
      </c>
      <c r="P2406" t="s">
        <v>344</v>
      </c>
      <c r="Q2406">
        <v>-1.07</v>
      </c>
      <c r="R2406" t="s">
        <v>343</v>
      </c>
      <c r="S2406">
        <v>1</v>
      </c>
    </row>
    <row r="2407" spans="1:19" x14ac:dyDescent="0.25">
      <c r="A2407" t="s">
        <v>50</v>
      </c>
      <c r="B2407" t="s">
        <v>91</v>
      </c>
      <c r="C2407">
        <v>700</v>
      </c>
      <c r="D2407" t="s">
        <v>342</v>
      </c>
      <c r="E2407">
        <v>24.15</v>
      </c>
      <c r="F2407">
        <v>13.13</v>
      </c>
      <c r="G2407">
        <v>13.55</v>
      </c>
      <c r="H2407">
        <v>26.67</v>
      </c>
      <c r="I2407" t="s">
        <v>344</v>
      </c>
      <c r="J2407">
        <v>-30.28</v>
      </c>
      <c r="K2407">
        <v>0.69</v>
      </c>
      <c r="L2407" t="s">
        <v>346</v>
      </c>
      <c r="M2407" s="1">
        <v>6.8999999999999999E-3</v>
      </c>
      <c r="N2407" t="s">
        <v>349</v>
      </c>
      <c r="O2407">
        <v>6.18</v>
      </c>
      <c r="P2407" t="s">
        <v>343</v>
      </c>
      <c r="Q2407">
        <v>-1.44</v>
      </c>
      <c r="R2407" t="s">
        <v>343</v>
      </c>
      <c r="S2407">
        <v>1</v>
      </c>
    </row>
    <row r="2408" spans="1:19" x14ac:dyDescent="0.25">
      <c r="A2408" t="s">
        <v>50</v>
      </c>
      <c r="B2408" t="s">
        <v>92</v>
      </c>
      <c r="C2408">
        <v>720</v>
      </c>
      <c r="D2408" t="s">
        <v>342</v>
      </c>
      <c r="E2408">
        <v>24.15</v>
      </c>
      <c r="F2408">
        <v>11.7</v>
      </c>
      <c r="G2408">
        <v>15.23</v>
      </c>
      <c r="H2408">
        <v>26.93</v>
      </c>
      <c r="I2408" t="s">
        <v>344</v>
      </c>
      <c r="J2408">
        <v>-30.11</v>
      </c>
      <c r="K2408">
        <v>0.86</v>
      </c>
      <c r="L2408" t="s">
        <v>346</v>
      </c>
      <c r="M2408" s="1">
        <v>8.6E-3</v>
      </c>
      <c r="N2408" t="s">
        <v>349</v>
      </c>
      <c r="O2408">
        <v>5.09</v>
      </c>
      <c r="P2408" t="s">
        <v>343</v>
      </c>
      <c r="Q2408">
        <v>-3.37</v>
      </c>
      <c r="R2408" t="s">
        <v>344</v>
      </c>
      <c r="S2408">
        <v>1</v>
      </c>
    </row>
    <row r="2409" spans="1:19" x14ac:dyDescent="0.25">
      <c r="A2409" t="s">
        <v>50</v>
      </c>
      <c r="B2409" t="s">
        <v>93</v>
      </c>
      <c r="C2409">
        <v>740</v>
      </c>
      <c r="D2409" t="s">
        <v>342</v>
      </c>
      <c r="E2409">
        <v>24.15</v>
      </c>
      <c r="F2409">
        <v>12.23</v>
      </c>
      <c r="G2409">
        <v>14.1</v>
      </c>
      <c r="H2409">
        <v>26.33</v>
      </c>
      <c r="I2409" t="s">
        <v>344</v>
      </c>
      <c r="J2409">
        <v>-30.03</v>
      </c>
      <c r="K2409">
        <v>0.41</v>
      </c>
      <c r="L2409" t="s">
        <v>346</v>
      </c>
      <c r="M2409" s="1">
        <v>4.0999999999999986E-3</v>
      </c>
      <c r="N2409" t="s">
        <v>349</v>
      </c>
      <c r="O2409">
        <v>2.96</v>
      </c>
      <c r="P2409" t="s">
        <v>344</v>
      </c>
      <c r="Q2409">
        <v>-0.88</v>
      </c>
      <c r="R2409" t="s">
        <v>343</v>
      </c>
      <c r="S2409">
        <v>1</v>
      </c>
    </row>
    <row r="2410" spans="1:19" x14ac:dyDescent="0.25">
      <c r="A2410" t="s">
        <v>50</v>
      </c>
      <c r="B2410" t="s">
        <v>94</v>
      </c>
      <c r="C2410">
        <v>760</v>
      </c>
      <c r="D2410" t="s">
        <v>342</v>
      </c>
      <c r="E2410">
        <v>24.15</v>
      </c>
      <c r="F2410">
        <v>12.3</v>
      </c>
      <c r="G2410">
        <v>14.64</v>
      </c>
      <c r="H2410">
        <v>26.94</v>
      </c>
      <c r="I2410" t="s">
        <v>344</v>
      </c>
      <c r="J2410">
        <v>-29.75</v>
      </c>
      <c r="K2410">
        <v>1.42</v>
      </c>
      <c r="L2410" t="s">
        <v>346</v>
      </c>
      <c r="M2410" s="1">
        <v>1.4200000000000001E-2</v>
      </c>
      <c r="N2410" t="s">
        <v>349</v>
      </c>
      <c r="O2410">
        <v>2.0499999999999998</v>
      </c>
      <c r="P2410" t="s">
        <v>344</v>
      </c>
      <c r="Q2410">
        <v>-0.4</v>
      </c>
      <c r="R2410" t="s">
        <v>343</v>
      </c>
      <c r="S2410">
        <v>1</v>
      </c>
    </row>
    <row r="2411" spans="1:19" x14ac:dyDescent="0.25">
      <c r="A2411" t="s">
        <v>50</v>
      </c>
      <c r="B2411" t="s">
        <v>95</v>
      </c>
      <c r="C2411">
        <v>780</v>
      </c>
      <c r="D2411" t="s">
        <v>342</v>
      </c>
      <c r="E2411">
        <v>24.15</v>
      </c>
      <c r="F2411">
        <v>11.47</v>
      </c>
      <c r="G2411">
        <v>13.71</v>
      </c>
      <c r="H2411">
        <v>25.18</v>
      </c>
      <c r="I2411" t="s">
        <v>344</v>
      </c>
      <c r="J2411">
        <v>-29.6</v>
      </c>
      <c r="K2411">
        <v>0.75</v>
      </c>
      <c r="L2411" t="s">
        <v>346</v>
      </c>
      <c r="M2411" s="1">
        <v>7.4999999999999997E-3</v>
      </c>
      <c r="N2411" t="s">
        <v>349</v>
      </c>
      <c r="O2411">
        <v>2.52</v>
      </c>
      <c r="P2411" t="s">
        <v>344</v>
      </c>
      <c r="Q2411">
        <v>-2.2999999999999998</v>
      </c>
      <c r="R2411" t="s">
        <v>344</v>
      </c>
      <c r="S2411">
        <v>1</v>
      </c>
    </row>
    <row r="2412" spans="1:19" x14ac:dyDescent="0.25">
      <c r="A2412" t="s">
        <v>50</v>
      </c>
      <c r="B2412" t="s">
        <v>96</v>
      </c>
      <c r="C2412">
        <v>800</v>
      </c>
      <c r="D2412" t="s">
        <v>342</v>
      </c>
      <c r="E2412">
        <v>24.15</v>
      </c>
      <c r="F2412">
        <v>13.19</v>
      </c>
      <c r="G2412">
        <v>13.09</v>
      </c>
      <c r="H2412">
        <v>26.28</v>
      </c>
      <c r="I2412" t="s">
        <v>344</v>
      </c>
      <c r="J2412">
        <v>-29.26</v>
      </c>
      <c r="K2412">
        <v>1.69</v>
      </c>
      <c r="L2412" t="s">
        <v>346</v>
      </c>
      <c r="M2412" s="1">
        <v>1.6899999999999998E-2</v>
      </c>
      <c r="N2412" t="s">
        <v>349</v>
      </c>
      <c r="O2412">
        <v>5.33</v>
      </c>
      <c r="P2412" t="s">
        <v>343</v>
      </c>
      <c r="Q2412">
        <v>-0.96</v>
      </c>
      <c r="R2412" t="s">
        <v>343</v>
      </c>
      <c r="S2412">
        <v>1</v>
      </c>
    </row>
    <row r="2413" spans="1:19" x14ac:dyDescent="0.25">
      <c r="A2413" t="s">
        <v>50</v>
      </c>
      <c r="B2413" t="s">
        <v>97</v>
      </c>
      <c r="C2413">
        <v>820</v>
      </c>
      <c r="D2413" t="s">
        <v>342</v>
      </c>
      <c r="E2413">
        <v>24.15</v>
      </c>
      <c r="F2413">
        <v>15.53</v>
      </c>
      <c r="G2413">
        <v>13.59</v>
      </c>
      <c r="H2413">
        <v>29.11</v>
      </c>
      <c r="I2413" t="s">
        <v>344</v>
      </c>
      <c r="J2413">
        <v>-28.96</v>
      </c>
      <c r="K2413">
        <v>1.51</v>
      </c>
      <c r="L2413" t="s">
        <v>346</v>
      </c>
      <c r="M2413" s="1">
        <v>1.5100000000000001E-2</v>
      </c>
      <c r="N2413" t="s">
        <v>349</v>
      </c>
      <c r="O2413">
        <v>5.29</v>
      </c>
      <c r="P2413" t="s">
        <v>343</v>
      </c>
      <c r="Q2413">
        <v>-1.87</v>
      </c>
      <c r="R2413" t="s">
        <v>343</v>
      </c>
      <c r="S2413">
        <v>1</v>
      </c>
    </row>
    <row r="2414" spans="1:19" x14ac:dyDescent="0.25">
      <c r="A2414" t="s">
        <v>50</v>
      </c>
      <c r="B2414" t="s">
        <v>98</v>
      </c>
      <c r="C2414">
        <v>840</v>
      </c>
      <c r="D2414" t="s">
        <v>342</v>
      </c>
      <c r="E2414">
        <v>24.15</v>
      </c>
      <c r="F2414">
        <v>16.920000000000002</v>
      </c>
      <c r="G2414">
        <v>11.99</v>
      </c>
      <c r="H2414">
        <v>28.91</v>
      </c>
      <c r="I2414" t="s">
        <v>344</v>
      </c>
      <c r="J2414">
        <v>-28.66</v>
      </c>
      <c r="K2414">
        <v>1.46</v>
      </c>
      <c r="L2414" t="s">
        <v>346</v>
      </c>
      <c r="M2414" s="1">
        <v>1.46E-2</v>
      </c>
      <c r="N2414" t="s">
        <v>349</v>
      </c>
      <c r="O2414">
        <v>5.29</v>
      </c>
      <c r="P2414" t="s">
        <v>343</v>
      </c>
      <c r="Q2414">
        <v>-0.63</v>
      </c>
      <c r="R2414" t="s">
        <v>343</v>
      </c>
      <c r="S2414">
        <v>1</v>
      </c>
    </row>
    <row r="2415" spans="1:19" x14ac:dyDescent="0.25">
      <c r="A2415" t="s">
        <v>50</v>
      </c>
      <c r="B2415" t="s">
        <v>99</v>
      </c>
      <c r="C2415">
        <v>860</v>
      </c>
      <c r="D2415" t="s">
        <v>342</v>
      </c>
      <c r="E2415">
        <v>24.15</v>
      </c>
      <c r="F2415">
        <v>16.920000000000002</v>
      </c>
      <c r="G2415">
        <v>10.98</v>
      </c>
      <c r="H2415">
        <v>27.89</v>
      </c>
      <c r="I2415" t="s">
        <v>344</v>
      </c>
      <c r="J2415">
        <v>-28.4</v>
      </c>
      <c r="K2415">
        <v>1.31</v>
      </c>
      <c r="L2415" t="s">
        <v>346</v>
      </c>
      <c r="M2415" s="1">
        <v>1.3100000000000001E-2</v>
      </c>
      <c r="N2415" t="s">
        <v>349</v>
      </c>
      <c r="O2415">
        <v>4.6399999999999997</v>
      </c>
      <c r="P2415" t="s">
        <v>343</v>
      </c>
      <c r="Q2415">
        <v>-1.64</v>
      </c>
      <c r="R2415" t="s">
        <v>343</v>
      </c>
      <c r="S2415">
        <v>1</v>
      </c>
    </row>
    <row r="2416" spans="1:19" x14ac:dyDescent="0.25">
      <c r="A2416" t="s">
        <v>50</v>
      </c>
      <c r="B2416" t="s">
        <v>100</v>
      </c>
      <c r="C2416">
        <v>880</v>
      </c>
      <c r="D2416" t="s">
        <v>342</v>
      </c>
      <c r="E2416">
        <v>24.15</v>
      </c>
      <c r="F2416">
        <v>16.920000000000002</v>
      </c>
      <c r="G2416">
        <v>10.51</v>
      </c>
      <c r="H2416">
        <v>27.43</v>
      </c>
      <c r="I2416" t="s">
        <v>344</v>
      </c>
      <c r="J2416">
        <v>-28.08</v>
      </c>
      <c r="K2416">
        <v>1.63</v>
      </c>
      <c r="L2416" t="s">
        <v>346</v>
      </c>
      <c r="M2416" s="1">
        <v>1.6299999999999999E-2</v>
      </c>
      <c r="N2416" t="s">
        <v>349</v>
      </c>
      <c r="O2416">
        <v>4.09</v>
      </c>
      <c r="P2416" t="s">
        <v>343</v>
      </c>
      <c r="Q2416">
        <v>-0.65</v>
      </c>
      <c r="R2416" t="s">
        <v>343</v>
      </c>
      <c r="S2416">
        <v>1</v>
      </c>
    </row>
    <row r="2417" spans="1:19" x14ac:dyDescent="0.25">
      <c r="A2417" t="s">
        <v>50</v>
      </c>
      <c r="B2417" t="s">
        <v>101</v>
      </c>
      <c r="C2417">
        <v>900</v>
      </c>
      <c r="D2417" t="s">
        <v>342</v>
      </c>
      <c r="E2417">
        <v>24.15</v>
      </c>
      <c r="F2417">
        <v>14.55</v>
      </c>
      <c r="G2417">
        <v>10.44</v>
      </c>
      <c r="H2417">
        <v>24.99</v>
      </c>
      <c r="I2417" t="s">
        <v>344</v>
      </c>
      <c r="J2417">
        <v>-27.57</v>
      </c>
      <c r="K2417">
        <v>2.5499999999999998</v>
      </c>
      <c r="L2417" t="s">
        <v>346</v>
      </c>
      <c r="M2417" s="1">
        <v>2.5499999999999998E-2</v>
      </c>
      <c r="N2417" t="s">
        <v>350</v>
      </c>
      <c r="O2417">
        <v>4.28</v>
      </c>
      <c r="P2417" t="s">
        <v>343</v>
      </c>
      <c r="Q2417">
        <v>0.82</v>
      </c>
      <c r="R2417" t="s">
        <v>343</v>
      </c>
      <c r="S2417">
        <v>1</v>
      </c>
    </row>
    <row r="2418" spans="1:19" x14ac:dyDescent="0.25">
      <c r="A2418" t="s">
        <v>50</v>
      </c>
      <c r="B2418" t="s">
        <v>332</v>
      </c>
      <c r="C2418">
        <v>919.51400000000001</v>
      </c>
      <c r="D2418" t="s">
        <v>342</v>
      </c>
      <c r="E2418">
        <v>24.15</v>
      </c>
      <c r="F2418">
        <v>14.33</v>
      </c>
      <c r="G2418">
        <v>10.029999999999999</v>
      </c>
      <c r="H2418">
        <v>24.35</v>
      </c>
      <c r="I2418" t="s">
        <v>344</v>
      </c>
      <c r="J2418">
        <v>-27.15</v>
      </c>
      <c r="K2418">
        <v>2.12</v>
      </c>
      <c r="L2418" t="s">
        <v>346</v>
      </c>
      <c r="M2418" s="1">
        <v>2.12E-2</v>
      </c>
      <c r="N2418" t="s">
        <v>350</v>
      </c>
      <c r="O2418">
        <v>3.82</v>
      </c>
      <c r="P2418" t="s">
        <v>344</v>
      </c>
      <c r="Q2418">
        <v>-0.86</v>
      </c>
      <c r="R2418" t="s">
        <v>343</v>
      </c>
      <c r="S2418">
        <v>0</v>
      </c>
    </row>
    <row r="2419" spans="1:19" x14ac:dyDescent="0.25">
      <c r="A2419" t="s">
        <v>51</v>
      </c>
      <c r="B2419" t="s">
        <v>56</v>
      </c>
      <c r="C2419">
        <v>0</v>
      </c>
      <c r="D2419" t="s">
        <v>342</v>
      </c>
      <c r="E2419">
        <v>24.15</v>
      </c>
      <c r="F2419">
        <v>15.37</v>
      </c>
      <c r="G2419">
        <v>13.1</v>
      </c>
      <c r="H2419">
        <v>28.47</v>
      </c>
      <c r="I2419" t="s">
        <v>344</v>
      </c>
      <c r="J2419">
        <v>-20.13</v>
      </c>
      <c r="L2419" t="s">
        <v>345</v>
      </c>
      <c r="N2419" t="s">
        <v>345</v>
      </c>
      <c r="O2419">
        <v>0.27</v>
      </c>
      <c r="P2419" t="s">
        <v>343</v>
      </c>
      <c r="Q2419">
        <v>2.16</v>
      </c>
      <c r="R2419" t="s">
        <v>344</v>
      </c>
      <c r="S2419">
        <v>1</v>
      </c>
    </row>
    <row r="2420" spans="1:19" x14ac:dyDescent="0.25">
      <c r="A2420" t="s">
        <v>51</v>
      </c>
      <c r="B2420" t="s">
        <v>57</v>
      </c>
      <c r="C2420">
        <v>20</v>
      </c>
      <c r="D2420" t="s">
        <v>342</v>
      </c>
      <c r="E2420">
        <v>24.15</v>
      </c>
      <c r="F2420">
        <v>15.74</v>
      </c>
      <c r="G2420">
        <v>11.61</v>
      </c>
      <c r="H2420">
        <v>27.35</v>
      </c>
      <c r="I2420" t="s">
        <v>344</v>
      </c>
      <c r="J2420">
        <v>-19.18</v>
      </c>
      <c r="K2420">
        <v>4.74</v>
      </c>
      <c r="L2420" t="s">
        <v>346</v>
      </c>
      <c r="M2420" s="1">
        <v>4.7399999999999998E-2</v>
      </c>
      <c r="N2420" t="s">
        <v>350</v>
      </c>
      <c r="O2420">
        <v>0.79</v>
      </c>
      <c r="P2420" t="s">
        <v>343</v>
      </c>
      <c r="Q2420">
        <v>1.55</v>
      </c>
      <c r="R2420" t="s">
        <v>343</v>
      </c>
      <c r="S2420">
        <v>1</v>
      </c>
    </row>
    <row r="2421" spans="1:19" x14ac:dyDescent="0.25">
      <c r="A2421" t="s">
        <v>51</v>
      </c>
      <c r="B2421" t="s">
        <v>58</v>
      </c>
      <c r="C2421">
        <v>40</v>
      </c>
      <c r="D2421" t="s">
        <v>342</v>
      </c>
      <c r="E2421">
        <v>24.15</v>
      </c>
      <c r="F2421">
        <v>16.149999999999999</v>
      </c>
      <c r="G2421">
        <v>12.19</v>
      </c>
      <c r="H2421">
        <v>28.33</v>
      </c>
      <c r="I2421" t="s">
        <v>344</v>
      </c>
      <c r="J2421">
        <v>-18.21</v>
      </c>
      <c r="K2421">
        <v>4.8499999999999996</v>
      </c>
      <c r="L2421" t="s">
        <v>346</v>
      </c>
      <c r="M2421" s="1">
        <v>4.8499999999999988E-2</v>
      </c>
      <c r="N2421" t="s">
        <v>350</v>
      </c>
      <c r="O2421">
        <v>-7.0000000000000007E-2</v>
      </c>
      <c r="P2421" t="s">
        <v>343</v>
      </c>
      <c r="Q2421">
        <v>2.0299999999999998</v>
      </c>
      <c r="R2421" t="s">
        <v>344</v>
      </c>
      <c r="S2421">
        <v>1</v>
      </c>
    </row>
    <row r="2422" spans="1:19" x14ac:dyDescent="0.25">
      <c r="A2422" t="s">
        <v>51</v>
      </c>
      <c r="B2422" t="s">
        <v>59</v>
      </c>
      <c r="C2422">
        <v>60</v>
      </c>
      <c r="D2422" t="s">
        <v>342</v>
      </c>
      <c r="E2422">
        <v>24.15</v>
      </c>
      <c r="F2422">
        <v>15.5</v>
      </c>
      <c r="G2422">
        <v>14.37</v>
      </c>
      <c r="H2422">
        <v>29.86</v>
      </c>
      <c r="I2422" t="s">
        <v>344</v>
      </c>
      <c r="J2422">
        <v>-17.190000000000001</v>
      </c>
      <c r="K2422">
        <v>5.0999999999999996</v>
      </c>
      <c r="L2422" t="s">
        <v>346</v>
      </c>
      <c r="M2422" s="1">
        <v>5.0999999999999997E-2</v>
      </c>
      <c r="N2422" t="s">
        <v>350</v>
      </c>
      <c r="O2422">
        <v>-0.21</v>
      </c>
      <c r="P2422" t="s">
        <v>343</v>
      </c>
      <c r="Q2422">
        <v>1.06</v>
      </c>
      <c r="R2422" t="s">
        <v>343</v>
      </c>
      <c r="S2422">
        <v>1</v>
      </c>
    </row>
    <row r="2423" spans="1:19" x14ac:dyDescent="0.25">
      <c r="A2423" t="s">
        <v>51</v>
      </c>
      <c r="B2423" t="s">
        <v>60</v>
      </c>
      <c r="C2423">
        <v>80</v>
      </c>
      <c r="D2423" t="s">
        <v>342</v>
      </c>
      <c r="E2423">
        <v>24.15</v>
      </c>
      <c r="F2423">
        <v>15.23</v>
      </c>
      <c r="G2423">
        <v>14.37</v>
      </c>
      <c r="H2423">
        <v>29.6</v>
      </c>
      <c r="I2423" t="s">
        <v>344</v>
      </c>
      <c r="J2423">
        <v>-14.58</v>
      </c>
      <c r="K2423">
        <v>13.07</v>
      </c>
      <c r="L2423" t="s">
        <v>348</v>
      </c>
      <c r="M2423" s="1">
        <v>0.13070000000000001</v>
      </c>
      <c r="N2423" t="s">
        <v>350</v>
      </c>
      <c r="O2423">
        <v>-0.19</v>
      </c>
      <c r="P2423" t="s">
        <v>343</v>
      </c>
      <c r="Q2423">
        <v>0.54</v>
      </c>
      <c r="R2423" t="s">
        <v>343</v>
      </c>
      <c r="S2423">
        <v>1</v>
      </c>
    </row>
    <row r="2424" spans="1:19" x14ac:dyDescent="0.25">
      <c r="A2424" t="s">
        <v>51</v>
      </c>
      <c r="B2424" t="s">
        <v>61</v>
      </c>
      <c r="C2424">
        <v>100</v>
      </c>
      <c r="D2424" t="s">
        <v>342</v>
      </c>
      <c r="E2424">
        <v>24.15</v>
      </c>
      <c r="F2424">
        <v>15.83</v>
      </c>
      <c r="G2424">
        <v>14.7</v>
      </c>
      <c r="H2424">
        <v>30.53</v>
      </c>
      <c r="I2424" t="s">
        <v>344</v>
      </c>
      <c r="J2424">
        <v>-15.13</v>
      </c>
      <c r="K2424">
        <v>-2.74</v>
      </c>
      <c r="L2424" t="s">
        <v>346</v>
      </c>
      <c r="M2424" s="1">
        <v>2.7400000000000001E-2</v>
      </c>
      <c r="N2424" t="s">
        <v>350</v>
      </c>
      <c r="O2424">
        <v>-1.28</v>
      </c>
      <c r="P2424" t="s">
        <v>343</v>
      </c>
      <c r="Q2424">
        <v>1.07</v>
      </c>
      <c r="R2424" t="s">
        <v>343</v>
      </c>
      <c r="S2424">
        <v>1</v>
      </c>
    </row>
    <row r="2425" spans="1:19" x14ac:dyDescent="0.25">
      <c r="A2425" t="s">
        <v>51</v>
      </c>
      <c r="B2425" t="s">
        <v>62</v>
      </c>
      <c r="C2425">
        <v>120</v>
      </c>
      <c r="D2425" t="s">
        <v>342</v>
      </c>
      <c r="E2425">
        <v>24.15</v>
      </c>
      <c r="F2425">
        <v>15.23</v>
      </c>
      <c r="G2425">
        <v>14.7</v>
      </c>
      <c r="H2425">
        <v>29.93</v>
      </c>
      <c r="I2425" t="s">
        <v>344</v>
      </c>
      <c r="J2425">
        <v>-13.74</v>
      </c>
      <c r="K2425">
        <v>6.94</v>
      </c>
      <c r="L2425" t="s">
        <v>346</v>
      </c>
      <c r="M2425" s="1">
        <v>6.9400000000000003E-2</v>
      </c>
      <c r="N2425" t="s">
        <v>350</v>
      </c>
      <c r="O2425">
        <v>2.2200000000000002</v>
      </c>
      <c r="P2425" t="s">
        <v>344</v>
      </c>
      <c r="Q2425">
        <v>-1.65</v>
      </c>
      <c r="R2425" t="s">
        <v>343</v>
      </c>
      <c r="S2425">
        <v>1</v>
      </c>
    </row>
    <row r="2426" spans="1:19" x14ac:dyDescent="0.25">
      <c r="A2426" t="s">
        <v>51</v>
      </c>
      <c r="B2426" t="s">
        <v>63</v>
      </c>
      <c r="C2426">
        <v>140</v>
      </c>
      <c r="D2426" t="s">
        <v>342</v>
      </c>
      <c r="E2426">
        <v>24.15</v>
      </c>
      <c r="F2426">
        <v>15.1</v>
      </c>
      <c r="G2426">
        <v>14.7</v>
      </c>
      <c r="H2426">
        <v>29.79</v>
      </c>
      <c r="I2426" t="s">
        <v>344</v>
      </c>
      <c r="J2426">
        <v>-12.29</v>
      </c>
      <c r="K2426">
        <v>7.25</v>
      </c>
      <c r="L2426" t="s">
        <v>346</v>
      </c>
      <c r="M2426" s="1">
        <v>7.2499999999999995E-2</v>
      </c>
      <c r="N2426" t="s">
        <v>350</v>
      </c>
      <c r="O2426">
        <v>1.6</v>
      </c>
      <c r="P2426" t="s">
        <v>343</v>
      </c>
      <c r="Q2426">
        <v>1.32</v>
      </c>
      <c r="R2426" t="s">
        <v>343</v>
      </c>
      <c r="S2426">
        <v>1</v>
      </c>
    </row>
    <row r="2427" spans="1:19" x14ac:dyDescent="0.25">
      <c r="A2427" t="s">
        <v>51</v>
      </c>
      <c r="B2427" t="s">
        <v>64</v>
      </c>
      <c r="C2427">
        <v>160</v>
      </c>
      <c r="D2427" t="s">
        <v>342</v>
      </c>
      <c r="E2427">
        <v>24.15</v>
      </c>
      <c r="F2427">
        <v>13.99</v>
      </c>
      <c r="G2427">
        <v>13.27</v>
      </c>
      <c r="H2427">
        <v>27.26</v>
      </c>
      <c r="I2427" t="s">
        <v>344</v>
      </c>
      <c r="J2427">
        <v>-10.75</v>
      </c>
      <c r="K2427">
        <v>7.68</v>
      </c>
      <c r="L2427" t="s">
        <v>346</v>
      </c>
      <c r="M2427" s="1">
        <v>7.6799999999999993E-2</v>
      </c>
      <c r="N2427" t="s">
        <v>350</v>
      </c>
      <c r="O2427">
        <v>1.35</v>
      </c>
      <c r="P2427" t="s">
        <v>343</v>
      </c>
      <c r="Q2427">
        <v>2.7</v>
      </c>
      <c r="R2427" t="s">
        <v>344</v>
      </c>
      <c r="S2427">
        <v>1</v>
      </c>
    </row>
    <row r="2428" spans="1:19" x14ac:dyDescent="0.25">
      <c r="A2428" t="s">
        <v>51</v>
      </c>
      <c r="B2428" t="s">
        <v>65</v>
      </c>
      <c r="C2428">
        <v>180</v>
      </c>
      <c r="D2428" t="s">
        <v>342</v>
      </c>
      <c r="E2428">
        <v>24.15</v>
      </c>
      <c r="F2428">
        <v>13.83</v>
      </c>
      <c r="G2428">
        <v>12.9</v>
      </c>
      <c r="H2428">
        <v>26.73</v>
      </c>
      <c r="I2428" t="s">
        <v>344</v>
      </c>
      <c r="J2428">
        <v>-9.1300000000000008</v>
      </c>
      <c r="K2428">
        <v>8.08</v>
      </c>
      <c r="L2428" t="s">
        <v>347</v>
      </c>
      <c r="M2428" s="1">
        <v>8.0799999999999997E-2</v>
      </c>
      <c r="N2428" t="s">
        <v>350</v>
      </c>
      <c r="O2428">
        <v>0.9</v>
      </c>
      <c r="P2428" t="s">
        <v>343</v>
      </c>
      <c r="Q2428">
        <v>4.4400000000000004</v>
      </c>
      <c r="R2428" t="s">
        <v>343</v>
      </c>
      <c r="S2428">
        <v>1</v>
      </c>
    </row>
    <row r="2429" spans="1:19" x14ac:dyDescent="0.25">
      <c r="A2429" t="s">
        <v>51</v>
      </c>
      <c r="B2429" t="s">
        <v>66</v>
      </c>
      <c r="C2429">
        <v>200</v>
      </c>
      <c r="D2429" t="s">
        <v>342</v>
      </c>
      <c r="E2429">
        <v>24.15</v>
      </c>
      <c r="F2429">
        <v>14.56</v>
      </c>
      <c r="G2429">
        <v>13.44</v>
      </c>
      <c r="H2429">
        <v>28</v>
      </c>
      <c r="I2429" t="s">
        <v>344</v>
      </c>
      <c r="J2429">
        <v>-7.62</v>
      </c>
      <c r="K2429">
        <v>7.58</v>
      </c>
      <c r="L2429" t="s">
        <v>346</v>
      </c>
      <c r="M2429" s="1">
        <v>7.5800000000000006E-2</v>
      </c>
      <c r="N2429" t="s">
        <v>350</v>
      </c>
      <c r="O2429">
        <v>2.94</v>
      </c>
      <c r="P2429" t="s">
        <v>344</v>
      </c>
      <c r="Q2429">
        <v>3.3</v>
      </c>
      <c r="R2429" t="s">
        <v>344</v>
      </c>
      <c r="S2429">
        <v>1</v>
      </c>
    </row>
    <row r="2430" spans="1:19" x14ac:dyDescent="0.25">
      <c r="A2430" t="s">
        <v>51</v>
      </c>
      <c r="B2430" t="s">
        <v>67</v>
      </c>
      <c r="C2430">
        <v>220</v>
      </c>
      <c r="D2430" t="s">
        <v>342</v>
      </c>
      <c r="E2430">
        <v>24.15</v>
      </c>
      <c r="F2430">
        <v>13.33</v>
      </c>
      <c r="G2430">
        <v>14.09</v>
      </c>
      <c r="H2430">
        <v>27.41</v>
      </c>
      <c r="I2430" t="s">
        <v>344</v>
      </c>
      <c r="J2430">
        <v>-6.06</v>
      </c>
      <c r="K2430">
        <v>7.81</v>
      </c>
      <c r="L2430" t="s">
        <v>346</v>
      </c>
      <c r="M2430" s="1">
        <v>7.8100000000000003E-2</v>
      </c>
      <c r="N2430" t="s">
        <v>350</v>
      </c>
      <c r="O2430">
        <v>3.62</v>
      </c>
      <c r="P2430" t="s">
        <v>344</v>
      </c>
      <c r="Q2430">
        <v>2.96</v>
      </c>
      <c r="R2430" t="s">
        <v>344</v>
      </c>
      <c r="S2430">
        <v>1</v>
      </c>
    </row>
    <row r="2431" spans="1:19" x14ac:dyDescent="0.25">
      <c r="A2431" t="s">
        <v>51</v>
      </c>
      <c r="B2431" t="s">
        <v>68</v>
      </c>
      <c r="C2431">
        <v>240</v>
      </c>
      <c r="D2431" t="s">
        <v>342</v>
      </c>
      <c r="E2431">
        <v>24.15</v>
      </c>
      <c r="F2431">
        <v>14.13</v>
      </c>
      <c r="G2431">
        <v>15.1</v>
      </c>
      <c r="H2431">
        <v>29.22</v>
      </c>
      <c r="I2431" t="s">
        <v>344</v>
      </c>
      <c r="J2431">
        <v>-4.58</v>
      </c>
      <c r="K2431">
        <v>7.38</v>
      </c>
      <c r="L2431" t="s">
        <v>346</v>
      </c>
      <c r="M2431" s="1">
        <v>7.3800000000000004E-2</v>
      </c>
      <c r="N2431" t="s">
        <v>350</v>
      </c>
      <c r="O2431">
        <v>0.4</v>
      </c>
      <c r="P2431" t="s">
        <v>343</v>
      </c>
      <c r="Q2431">
        <v>4.28</v>
      </c>
      <c r="R2431" t="s">
        <v>343</v>
      </c>
      <c r="S2431">
        <v>1</v>
      </c>
    </row>
    <row r="2432" spans="1:19" x14ac:dyDescent="0.25">
      <c r="A2432" t="s">
        <v>51</v>
      </c>
      <c r="B2432" t="s">
        <v>69</v>
      </c>
      <c r="C2432">
        <v>260</v>
      </c>
      <c r="D2432" t="s">
        <v>342</v>
      </c>
      <c r="E2432">
        <v>24.15</v>
      </c>
      <c r="F2432">
        <v>14.92</v>
      </c>
      <c r="G2432">
        <v>14.32</v>
      </c>
      <c r="H2432">
        <v>29.23</v>
      </c>
      <c r="I2432" t="s">
        <v>344</v>
      </c>
      <c r="J2432">
        <v>-3.14</v>
      </c>
      <c r="K2432">
        <v>7.19</v>
      </c>
      <c r="L2432" t="s">
        <v>346</v>
      </c>
      <c r="M2432" s="1">
        <v>7.1900000000000006E-2</v>
      </c>
      <c r="N2432" t="s">
        <v>350</v>
      </c>
      <c r="O2432">
        <v>-0.64</v>
      </c>
      <c r="P2432" t="s">
        <v>343</v>
      </c>
      <c r="Q2432">
        <v>4.38</v>
      </c>
      <c r="R2432" t="s">
        <v>343</v>
      </c>
      <c r="S2432">
        <v>1</v>
      </c>
    </row>
    <row r="2433" spans="1:19" x14ac:dyDescent="0.25">
      <c r="A2433" t="s">
        <v>51</v>
      </c>
      <c r="B2433" t="s">
        <v>70</v>
      </c>
      <c r="C2433">
        <v>280</v>
      </c>
      <c r="D2433" t="s">
        <v>342</v>
      </c>
      <c r="E2433">
        <v>24.15</v>
      </c>
      <c r="F2433">
        <v>15.5</v>
      </c>
      <c r="G2433">
        <v>14.49</v>
      </c>
      <c r="H2433">
        <v>30</v>
      </c>
      <c r="I2433" t="s">
        <v>344</v>
      </c>
      <c r="J2433">
        <v>-1.55</v>
      </c>
      <c r="K2433">
        <v>7.96</v>
      </c>
      <c r="L2433" t="s">
        <v>346</v>
      </c>
      <c r="M2433" s="1">
        <v>7.9600000000000004E-2</v>
      </c>
      <c r="N2433" t="s">
        <v>350</v>
      </c>
      <c r="O2433">
        <v>-1.73</v>
      </c>
      <c r="P2433" t="s">
        <v>343</v>
      </c>
      <c r="Q2433">
        <v>4.01</v>
      </c>
      <c r="R2433" t="s">
        <v>343</v>
      </c>
      <c r="S2433">
        <v>1</v>
      </c>
    </row>
    <row r="2434" spans="1:19" x14ac:dyDescent="0.25">
      <c r="A2434" t="s">
        <v>51</v>
      </c>
      <c r="B2434" t="s">
        <v>71</v>
      </c>
      <c r="C2434">
        <v>300</v>
      </c>
      <c r="D2434" t="s">
        <v>342</v>
      </c>
      <c r="E2434">
        <v>24.15</v>
      </c>
      <c r="F2434">
        <v>16.28</v>
      </c>
      <c r="G2434">
        <v>14.48</v>
      </c>
      <c r="H2434">
        <v>30.76</v>
      </c>
      <c r="I2434" t="s">
        <v>344</v>
      </c>
      <c r="J2434">
        <v>0</v>
      </c>
      <c r="K2434">
        <v>7.74</v>
      </c>
      <c r="L2434" t="s">
        <v>346</v>
      </c>
      <c r="M2434" s="1">
        <v>7.7399999999999997E-2</v>
      </c>
      <c r="N2434" t="s">
        <v>350</v>
      </c>
      <c r="O2434">
        <v>0.02</v>
      </c>
      <c r="P2434" t="s">
        <v>343</v>
      </c>
      <c r="Q2434">
        <v>3.93</v>
      </c>
      <c r="R2434" t="s">
        <v>344</v>
      </c>
      <c r="S2434">
        <v>1</v>
      </c>
    </row>
    <row r="2435" spans="1:19" x14ac:dyDescent="0.25">
      <c r="A2435" t="s">
        <v>51</v>
      </c>
      <c r="B2435" t="s">
        <v>72</v>
      </c>
      <c r="C2435">
        <v>320</v>
      </c>
      <c r="D2435" t="s">
        <v>342</v>
      </c>
      <c r="E2435">
        <v>24.15</v>
      </c>
      <c r="F2435">
        <v>16.87</v>
      </c>
      <c r="G2435">
        <v>13.92</v>
      </c>
      <c r="H2435">
        <v>30.8</v>
      </c>
      <c r="I2435" t="s">
        <v>344</v>
      </c>
      <c r="J2435">
        <v>1.53</v>
      </c>
      <c r="K2435">
        <v>7.68</v>
      </c>
      <c r="L2435" t="s">
        <v>346</v>
      </c>
      <c r="M2435" s="1">
        <v>7.6799999999999993E-2</v>
      </c>
      <c r="N2435" t="s">
        <v>350</v>
      </c>
      <c r="O2435">
        <v>1.41</v>
      </c>
      <c r="P2435" t="s">
        <v>343</v>
      </c>
      <c r="Q2435">
        <v>4.0599999999999996</v>
      </c>
      <c r="R2435" t="s">
        <v>343</v>
      </c>
      <c r="S2435">
        <v>1</v>
      </c>
    </row>
    <row r="2436" spans="1:19" x14ac:dyDescent="0.25">
      <c r="A2436" t="s">
        <v>51</v>
      </c>
      <c r="B2436" t="s">
        <v>73</v>
      </c>
      <c r="C2436">
        <v>340</v>
      </c>
      <c r="D2436" t="s">
        <v>342</v>
      </c>
      <c r="E2436">
        <v>24.15</v>
      </c>
      <c r="F2436">
        <v>17.61</v>
      </c>
      <c r="G2436">
        <v>13.65</v>
      </c>
      <c r="H2436">
        <v>31.27</v>
      </c>
      <c r="I2436" t="s">
        <v>344</v>
      </c>
      <c r="J2436">
        <v>3.1</v>
      </c>
      <c r="K2436">
        <v>7.83</v>
      </c>
      <c r="L2436" t="s">
        <v>346</v>
      </c>
      <c r="M2436" s="1">
        <v>7.8299999999999995E-2</v>
      </c>
      <c r="N2436" t="s">
        <v>350</v>
      </c>
      <c r="O2436">
        <v>1.32</v>
      </c>
      <c r="P2436" t="s">
        <v>343</v>
      </c>
      <c r="Q2436">
        <v>4.25</v>
      </c>
      <c r="R2436" t="s">
        <v>343</v>
      </c>
      <c r="S2436">
        <v>1</v>
      </c>
    </row>
    <row r="2437" spans="1:19" x14ac:dyDescent="0.25">
      <c r="A2437" t="s">
        <v>51</v>
      </c>
      <c r="B2437" t="s">
        <v>74</v>
      </c>
      <c r="C2437">
        <v>360</v>
      </c>
      <c r="D2437" t="s">
        <v>342</v>
      </c>
      <c r="E2437">
        <v>24.15</v>
      </c>
      <c r="F2437">
        <v>17.53</v>
      </c>
      <c r="G2437">
        <v>13.27</v>
      </c>
      <c r="H2437">
        <v>30.81</v>
      </c>
      <c r="I2437" t="s">
        <v>344</v>
      </c>
      <c r="J2437">
        <v>4.59</v>
      </c>
      <c r="K2437">
        <v>7.46</v>
      </c>
      <c r="L2437" t="s">
        <v>346</v>
      </c>
      <c r="M2437" s="1">
        <v>7.46E-2</v>
      </c>
      <c r="N2437" t="s">
        <v>350</v>
      </c>
      <c r="O2437">
        <v>0.47</v>
      </c>
      <c r="P2437" t="s">
        <v>343</v>
      </c>
      <c r="Q2437">
        <v>4.1500000000000004</v>
      </c>
      <c r="R2437" t="s">
        <v>343</v>
      </c>
      <c r="S2437">
        <v>1</v>
      </c>
    </row>
    <row r="2438" spans="1:19" x14ac:dyDescent="0.25">
      <c r="A2438" t="s">
        <v>51</v>
      </c>
      <c r="B2438" t="s">
        <v>75</v>
      </c>
      <c r="C2438">
        <v>380</v>
      </c>
      <c r="D2438" t="s">
        <v>342</v>
      </c>
      <c r="E2438">
        <v>24.15</v>
      </c>
      <c r="F2438">
        <v>17.55</v>
      </c>
      <c r="G2438">
        <v>14.01</v>
      </c>
      <c r="H2438">
        <v>31.56</v>
      </c>
      <c r="I2438" t="s">
        <v>344</v>
      </c>
      <c r="J2438">
        <v>6.11</v>
      </c>
      <c r="K2438">
        <v>7.59</v>
      </c>
      <c r="L2438" t="s">
        <v>346</v>
      </c>
      <c r="M2438" s="1">
        <v>7.5899999999999995E-2</v>
      </c>
      <c r="N2438" t="s">
        <v>350</v>
      </c>
      <c r="O2438">
        <v>0.17</v>
      </c>
      <c r="P2438" t="s">
        <v>343</v>
      </c>
      <c r="Q2438">
        <v>3.86</v>
      </c>
      <c r="R2438" t="s">
        <v>344</v>
      </c>
      <c r="S2438">
        <v>1</v>
      </c>
    </row>
    <row r="2439" spans="1:19" x14ac:dyDescent="0.25">
      <c r="A2439" t="s">
        <v>51</v>
      </c>
      <c r="B2439" t="s">
        <v>76</v>
      </c>
      <c r="C2439">
        <v>400</v>
      </c>
      <c r="D2439" t="s">
        <v>342</v>
      </c>
      <c r="E2439">
        <v>24.15</v>
      </c>
      <c r="F2439">
        <v>16.63</v>
      </c>
      <c r="G2439">
        <v>15.54</v>
      </c>
      <c r="H2439">
        <v>32.17</v>
      </c>
      <c r="I2439" t="s">
        <v>344</v>
      </c>
      <c r="J2439">
        <v>7.74</v>
      </c>
      <c r="K2439">
        <v>8.14</v>
      </c>
      <c r="L2439" t="s">
        <v>347</v>
      </c>
      <c r="M2439" s="1">
        <v>8.14E-2</v>
      </c>
      <c r="N2439" t="s">
        <v>350</v>
      </c>
      <c r="O2439">
        <v>0.16</v>
      </c>
      <c r="P2439" t="s">
        <v>343</v>
      </c>
      <c r="Q2439">
        <v>3.13</v>
      </c>
      <c r="R2439" t="s">
        <v>344</v>
      </c>
      <c r="S2439">
        <v>1</v>
      </c>
    </row>
    <row r="2440" spans="1:19" x14ac:dyDescent="0.25">
      <c r="A2440" t="s">
        <v>51</v>
      </c>
      <c r="B2440" t="s">
        <v>77</v>
      </c>
      <c r="C2440">
        <v>420</v>
      </c>
      <c r="D2440" t="s">
        <v>342</v>
      </c>
      <c r="E2440">
        <v>24.15</v>
      </c>
      <c r="F2440">
        <v>15.48</v>
      </c>
      <c r="G2440">
        <v>15.67</v>
      </c>
      <c r="H2440">
        <v>31.15</v>
      </c>
      <c r="I2440" t="s">
        <v>344</v>
      </c>
      <c r="J2440">
        <v>9.3699999999999992</v>
      </c>
      <c r="K2440">
        <v>8.16</v>
      </c>
      <c r="L2440" t="s">
        <v>347</v>
      </c>
      <c r="M2440" s="1">
        <v>8.1600000000000006E-2</v>
      </c>
      <c r="N2440" t="s">
        <v>350</v>
      </c>
      <c r="O2440">
        <v>0.19</v>
      </c>
      <c r="P2440" t="s">
        <v>343</v>
      </c>
      <c r="Q2440">
        <v>3.07</v>
      </c>
      <c r="R2440" t="s">
        <v>344</v>
      </c>
      <c r="S2440">
        <v>1</v>
      </c>
    </row>
    <row r="2441" spans="1:19" x14ac:dyDescent="0.25">
      <c r="A2441" t="s">
        <v>51</v>
      </c>
      <c r="B2441" t="s">
        <v>78</v>
      </c>
      <c r="C2441">
        <v>440</v>
      </c>
      <c r="D2441" t="s">
        <v>342</v>
      </c>
      <c r="E2441">
        <v>24.15</v>
      </c>
      <c r="F2441">
        <v>14.47</v>
      </c>
      <c r="G2441">
        <v>14.94</v>
      </c>
      <c r="H2441">
        <v>29.41</v>
      </c>
      <c r="I2441" t="s">
        <v>344</v>
      </c>
      <c r="J2441">
        <v>11.03</v>
      </c>
      <c r="K2441">
        <v>8.32</v>
      </c>
      <c r="L2441" t="s">
        <v>347</v>
      </c>
      <c r="M2441" s="1">
        <v>8.3199999999999996E-2</v>
      </c>
      <c r="N2441" t="s">
        <v>350</v>
      </c>
      <c r="O2441">
        <v>0.28000000000000003</v>
      </c>
      <c r="P2441" t="s">
        <v>343</v>
      </c>
      <c r="Q2441">
        <v>3.94</v>
      </c>
      <c r="R2441" t="s">
        <v>344</v>
      </c>
      <c r="S2441">
        <v>1</v>
      </c>
    </row>
    <row r="2442" spans="1:19" x14ac:dyDescent="0.25">
      <c r="A2442" t="s">
        <v>51</v>
      </c>
      <c r="B2442" t="s">
        <v>79</v>
      </c>
      <c r="C2442">
        <v>460</v>
      </c>
      <c r="D2442" t="s">
        <v>342</v>
      </c>
      <c r="E2442">
        <v>24.15</v>
      </c>
      <c r="F2442">
        <v>12.97</v>
      </c>
      <c r="G2442">
        <v>14.11</v>
      </c>
      <c r="H2442">
        <v>27.08</v>
      </c>
      <c r="I2442" t="s">
        <v>344</v>
      </c>
      <c r="J2442">
        <v>12.62</v>
      </c>
      <c r="K2442">
        <v>7.94</v>
      </c>
      <c r="L2442" t="s">
        <v>346</v>
      </c>
      <c r="M2442" s="1">
        <v>7.9399999999999998E-2</v>
      </c>
      <c r="N2442" t="s">
        <v>350</v>
      </c>
      <c r="O2442">
        <v>0.86</v>
      </c>
      <c r="P2442" t="s">
        <v>343</v>
      </c>
      <c r="Q2442">
        <v>4.7300000000000004</v>
      </c>
      <c r="R2442" t="s">
        <v>343</v>
      </c>
      <c r="S2442">
        <v>1</v>
      </c>
    </row>
    <row r="2443" spans="1:19" x14ac:dyDescent="0.25">
      <c r="A2443" t="s">
        <v>51</v>
      </c>
      <c r="B2443" t="s">
        <v>80</v>
      </c>
      <c r="C2443">
        <v>480</v>
      </c>
      <c r="D2443" t="s">
        <v>342</v>
      </c>
      <c r="E2443">
        <v>24.15</v>
      </c>
      <c r="F2443">
        <v>11.52</v>
      </c>
      <c r="G2443">
        <v>13.8</v>
      </c>
      <c r="H2443">
        <v>25.32</v>
      </c>
      <c r="I2443" t="s">
        <v>344</v>
      </c>
      <c r="J2443">
        <v>14.16</v>
      </c>
      <c r="K2443">
        <v>7.69</v>
      </c>
      <c r="L2443" t="s">
        <v>346</v>
      </c>
      <c r="M2443" s="1">
        <v>7.690000000000001E-2</v>
      </c>
      <c r="N2443" t="s">
        <v>350</v>
      </c>
      <c r="O2443">
        <v>1.86</v>
      </c>
      <c r="P2443" t="s">
        <v>343</v>
      </c>
      <c r="Q2443">
        <v>4.71</v>
      </c>
      <c r="R2443" t="s">
        <v>343</v>
      </c>
      <c r="S2443">
        <v>1</v>
      </c>
    </row>
    <row r="2444" spans="1:19" x14ac:dyDescent="0.25">
      <c r="A2444" t="s">
        <v>51</v>
      </c>
      <c r="B2444" t="s">
        <v>81</v>
      </c>
      <c r="C2444">
        <v>500</v>
      </c>
      <c r="D2444" t="s">
        <v>342</v>
      </c>
      <c r="E2444">
        <v>24.15</v>
      </c>
      <c r="F2444">
        <v>11.35</v>
      </c>
      <c r="G2444">
        <v>13.99</v>
      </c>
      <c r="H2444">
        <v>25.34</v>
      </c>
      <c r="I2444" t="s">
        <v>344</v>
      </c>
      <c r="J2444">
        <v>15.5</v>
      </c>
      <c r="K2444">
        <v>6.69</v>
      </c>
      <c r="L2444" t="s">
        <v>346</v>
      </c>
      <c r="M2444" s="1">
        <v>6.6900000000000001E-2</v>
      </c>
      <c r="N2444" t="s">
        <v>350</v>
      </c>
      <c r="O2444">
        <v>1.1599999999999999</v>
      </c>
      <c r="P2444" t="s">
        <v>343</v>
      </c>
      <c r="Q2444">
        <v>2.85</v>
      </c>
      <c r="R2444" t="s">
        <v>344</v>
      </c>
      <c r="S2444">
        <v>1</v>
      </c>
    </row>
    <row r="2445" spans="1:19" x14ac:dyDescent="0.25">
      <c r="A2445" t="s">
        <v>51</v>
      </c>
      <c r="B2445" t="s">
        <v>82</v>
      </c>
      <c r="C2445">
        <v>520</v>
      </c>
      <c r="D2445" t="s">
        <v>342</v>
      </c>
      <c r="E2445">
        <v>24.15</v>
      </c>
      <c r="F2445">
        <v>12.5</v>
      </c>
      <c r="G2445">
        <v>13.84</v>
      </c>
      <c r="H2445">
        <v>26.34</v>
      </c>
      <c r="I2445" t="s">
        <v>344</v>
      </c>
      <c r="J2445">
        <v>16.739999999999998</v>
      </c>
      <c r="K2445">
        <v>6.22</v>
      </c>
      <c r="L2445" t="s">
        <v>346</v>
      </c>
      <c r="M2445" s="1">
        <v>6.2199999999999998E-2</v>
      </c>
      <c r="N2445" t="s">
        <v>350</v>
      </c>
      <c r="O2445">
        <v>-0.68</v>
      </c>
      <c r="P2445" t="s">
        <v>343</v>
      </c>
      <c r="Q2445">
        <v>3.54</v>
      </c>
      <c r="R2445" t="s">
        <v>344</v>
      </c>
      <c r="S2445">
        <v>1</v>
      </c>
    </row>
    <row r="2446" spans="1:19" x14ac:dyDescent="0.25">
      <c r="A2446" t="s">
        <v>51</v>
      </c>
      <c r="B2446" t="s">
        <v>83</v>
      </c>
      <c r="C2446">
        <v>540</v>
      </c>
      <c r="D2446" t="s">
        <v>342</v>
      </c>
      <c r="E2446">
        <v>24.15</v>
      </c>
      <c r="F2446">
        <v>11.26</v>
      </c>
      <c r="G2446">
        <v>13.84</v>
      </c>
      <c r="H2446">
        <v>25.1</v>
      </c>
      <c r="I2446" t="s">
        <v>344</v>
      </c>
      <c r="J2446">
        <v>17.71</v>
      </c>
      <c r="K2446">
        <v>4.82</v>
      </c>
      <c r="L2446" t="s">
        <v>346</v>
      </c>
      <c r="M2446" s="1">
        <v>4.82E-2</v>
      </c>
      <c r="N2446" t="s">
        <v>350</v>
      </c>
      <c r="O2446">
        <v>-0.56999999999999995</v>
      </c>
      <c r="P2446" t="s">
        <v>343</v>
      </c>
      <c r="Q2446">
        <v>3.69</v>
      </c>
      <c r="R2446" t="s">
        <v>344</v>
      </c>
      <c r="S2446">
        <v>1</v>
      </c>
    </row>
    <row r="2447" spans="1:19" x14ac:dyDescent="0.25">
      <c r="A2447" t="s">
        <v>51</v>
      </c>
      <c r="B2447" t="s">
        <v>84</v>
      </c>
      <c r="C2447">
        <v>560</v>
      </c>
      <c r="D2447" t="s">
        <v>342</v>
      </c>
      <c r="E2447">
        <v>24.15</v>
      </c>
      <c r="F2447">
        <v>20</v>
      </c>
      <c r="G2447">
        <v>12.78</v>
      </c>
      <c r="H2447">
        <v>32.78</v>
      </c>
      <c r="I2447" t="s">
        <v>344</v>
      </c>
      <c r="J2447">
        <v>18.14</v>
      </c>
      <c r="K2447">
        <v>2.16</v>
      </c>
      <c r="L2447" t="s">
        <v>346</v>
      </c>
      <c r="M2447" s="1">
        <v>2.1600000000000001E-2</v>
      </c>
      <c r="N2447" t="s">
        <v>350</v>
      </c>
      <c r="O2447">
        <v>-5.99</v>
      </c>
      <c r="P2447" t="s">
        <v>343</v>
      </c>
      <c r="Q2447">
        <v>2.86</v>
      </c>
      <c r="R2447" t="s">
        <v>344</v>
      </c>
      <c r="S2447">
        <v>1</v>
      </c>
    </row>
    <row r="2448" spans="1:19" x14ac:dyDescent="0.25">
      <c r="A2448" t="s">
        <v>51</v>
      </c>
      <c r="B2448" t="s">
        <v>85</v>
      </c>
      <c r="C2448">
        <v>580</v>
      </c>
      <c r="D2448" t="s">
        <v>342</v>
      </c>
      <c r="E2448">
        <v>24.15</v>
      </c>
      <c r="F2448">
        <v>20</v>
      </c>
      <c r="G2448">
        <v>14.25</v>
      </c>
      <c r="H2448">
        <v>34.25</v>
      </c>
      <c r="I2448" t="s">
        <v>344</v>
      </c>
      <c r="J2448">
        <v>18.64</v>
      </c>
      <c r="K2448">
        <v>2.5299999999999998</v>
      </c>
      <c r="L2448" t="s">
        <v>346</v>
      </c>
      <c r="M2448" s="1">
        <v>2.53E-2</v>
      </c>
      <c r="N2448" t="s">
        <v>350</v>
      </c>
      <c r="O2448">
        <v>-4.21</v>
      </c>
      <c r="P2448" t="s">
        <v>343</v>
      </c>
      <c r="Q2448">
        <v>4.0199999999999996</v>
      </c>
      <c r="R2448" t="s">
        <v>343</v>
      </c>
      <c r="S2448">
        <v>1</v>
      </c>
    </row>
    <row r="2449" spans="1:19" x14ac:dyDescent="0.25">
      <c r="A2449" t="s">
        <v>51</v>
      </c>
      <c r="B2449" t="s">
        <v>86</v>
      </c>
      <c r="C2449">
        <v>600</v>
      </c>
      <c r="D2449" t="s">
        <v>342</v>
      </c>
      <c r="E2449">
        <v>24.15</v>
      </c>
      <c r="F2449">
        <v>20</v>
      </c>
      <c r="G2449">
        <v>15.99</v>
      </c>
      <c r="H2449">
        <v>35.99</v>
      </c>
      <c r="I2449" t="s">
        <v>344</v>
      </c>
      <c r="J2449">
        <v>19.18</v>
      </c>
      <c r="K2449">
        <v>2.68</v>
      </c>
      <c r="L2449" t="s">
        <v>346</v>
      </c>
      <c r="M2449" s="1">
        <v>2.6800000000000001E-2</v>
      </c>
      <c r="N2449" t="s">
        <v>350</v>
      </c>
      <c r="O2449">
        <v>-4.05</v>
      </c>
      <c r="P2449" t="s">
        <v>343</v>
      </c>
      <c r="Q2449">
        <v>3.44</v>
      </c>
      <c r="R2449" t="s">
        <v>344</v>
      </c>
      <c r="S2449">
        <v>1</v>
      </c>
    </row>
    <row r="2450" spans="1:19" x14ac:dyDescent="0.25">
      <c r="A2450" t="s">
        <v>51</v>
      </c>
      <c r="B2450" t="s">
        <v>87</v>
      </c>
      <c r="C2450">
        <v>620</v>
      </c>
      <c r="D2450" t="s">
        <v>342</v>
      </c>
      <c r="E2450">
        <v>24.15</v>
      </c>
      <c r="F2450">
        <v>20</v>
      </c>
      <c r="G2450">
        <v>15.99</v>
      </c>
      <c r="H2450">
        <v>35.99</v>
      </c>
      <c r="I2450" t="s">
        <v>344</v>
      </c>
      <c r="J2450">
        <v>19.53</v>
      </c>
      <c r="K2450">
        <v>1.77</v>
      </c>
      <c r="L2450" t="s">
        <v>346</v>
      </c>
      <c r="M2450" s="1">
        <v>1.77E-2</v>
      </c>
      <c r="N2450" t="s">
        <v>349</v>
      </c>
      <c r="O2450">
        <v>-3.38</v>
      </c>
      <c r="P2450" t="s">
        <v>344</v>
      </c>
      <c r="Q2450">
        <v>4.3</v>
      </c>
      <c r="R2450" t="s">
        <v>343</v>
      </c>
      <c r="S2450">
        <v>1</v>
      </c>
    </row>
    <row r="2451" spans="1:19" x14ac:dyDescent="0.25">
      <c r="A2451" t="s">
        <v>51</v>
      </c>
      <c r="B2451" t="s">
        <v>88</v>
      </c>
      <c r="C2451">
        <v>640</v>
      </c>
      <c r="D2451" t="s">
        <v>342</v>
      </c>
      <c r="E2451">
        <v>24.15</v>
      </c>
      <c r="F2451">
        <v>20</v>
      </c>
      <c r="G2451">
        <v>15.99</v>
      </c>
      <c r="H2451">
        <v>35.99</v>
      </c>
      <c r="I2451" t="s">
        <v>344</v>
      </c>
      <c r="J2451">
        <v>19.22</v>
      </c>
      <c r="K2451">
        <v>-1.57</v>
      </c>
      <c r="L2451" t="s">
        <v>346</v>
      </c>
      <c r="M2451" s="1">
        <v>1.5699999999999999E-2</v>
      </c>
      <c r="N2451" t="s">
        <v>349</v>
      </c>
      <c r="O2451">
        <v>-6.09</v>
      </c>
      <c r="P2451" t="s">
        <v>343</v>
      </c>
      <c r="Q2451">
        <v>2.4300000000000002</v>
      </c>
      <c r="R2451" t="s">
        <v>344</v>
      </c>
      <c r="S2451">
        <v>1</v>
      </c>
    </row>
    <row r="2452" spans="1:19" x14ac:dyDescent="0.25">
      <c r="A2452" t="s">
        <v>51</v>
      </c>
      <c r="B2452" t="s">
        <v>89</v>
      </c>
      <c r="C2452">
        <v>660</v>
      </c>
      <c r="D2452" t="s">
        <v>342</v>
      </c>
      <c r="E2452">
        <v>24.15</v>
      </c>
      <c r="F2452">
        <v>16</v>
      </c>
      <c r="G2452">
        <v>14.28</v>
      </c>
      <c r="H2452">
        <v>30.28</v>
      </c>
      <c r="I2452" t="s">
        <v>344</v>
      </c>
      <c r="J2452">
        <v>18.37</v>
      </c>
      <c r="K2452">
        <v>-4.26</v>
      </c>
      <c r="L2452" t="s">
        <v>346</v>
      </c>
      <c r="M2452" s="1">
        <v>4.2599999999999999E-2</v>
      </c>
      <c r="N2452" t="s">
        <v>350</v>
      </c>
      <c r="O2452">
        <v>-3.57</v>
      </c>
      <c r="P2452" t="s">
        <v>344</v>
      </c>
      <c r="Q2452">
        <v>6.47</v>
      </c>
      <c r="R2452" t="s">
        <v>343</v>
      </c>
      <c r="S2452">
        <v>1</v>
      </c>
    </row>
    <row r="2453" spans="1:19" x14ac:dyDescent="0.25">
      <c r="A2453" t="s">
        <v>51</v>
      </c>
      <c r="B2453" t="s">
        <v>90</v>
      </c>
      <c r="C2453">
        <v>680</v>
      </c>
      <c r="D2453" t="s">
        <v>342</v>
      </c>
      <c r="E2453">
        <v>24.15</v>
      </c>
      <c r="F2453">
        <v>15.87</v>
      </c>
      <c r="G2453">
        <v>12.69</v>
      </c>
      <c r="H2453">
        <v>28.56</v>
      </c>
      <c r="I2453" t="s">
        <v>344</v>
      </c>
      <c r="J2453">
        <v>18.16</v>
      </c>
      <c r="K2453">
        <v>-1.02</v>
      </c>
      <c r="L2453" t="s">
        <v>346</v>
      </c>
      <c r="M2453" s="1">
        <v>1.0200000000000001E-2</v>
      </c>
      <c r="N2453" t="s">
        <v>349</v>
      </c>
      <c r="O2453">
        <v>-3.71</v>
      </c>
      <c r="P2453" t="s">
        <v>344</v>
      </c>
      <c r="Q2453">
        <v>7.83</v>
      </c>
      <c r="R2453" t="s">
        <v>343</v>
      </c>
      <c r="S2453">
        <v>1</v>
      </c>
    </row>
    <row r="2454" spans="1:19" x14ac:dyDescent="0.25">
      <c r="A2454" t="s">
        <v>51</v>
      </c>
      <c r="B2454" t="s">
        <v>91</v>
      </c>
      <c r="C2454">
        <v>700</v>
      </c>
      <c r="D2454" t="s">
        <v>342</v>
      </c>
      <c r="E2454">
        <v>24.15</v>
      </c>
      <c r="F2454">
        <v>14.72</v>
      </c>
      <c r="G2454">
        <v>14.28</v>
      </c>
      <c r="H2454">
        <v>29</v>
      </c>
      <c r="I2454" t="s">
        <v>344</v>
      </c>
      <c r="J2454">
        <v>18.350000000000001</v>
      </c>
      <c r="K2454">
        <v>0.92</v>
      </c>
      <c r="L2454" t="s">
        <v>346</v>
      </c>
      <c r="M2454" s="1">
        <v>9.1999999999999998E-3</v>
      </c>
      <c r="N2454" t="s">
        <v>349</v>
      </c>
      <c r="O2454">
        <v>-2.38</v>
      </c>
      <c r="P2454" t="s">
        <v>344</v>
      </c>
      <c r="Q2454">
        <v>7.9</v>
      </c>
      <c r="R2454" t="s">
        <v>343</v>
      </c>
      <c r="S2454">
        <v>1</v>
      </c>
    </row>
    <row r="2455" spans="1:19" x14ac:dyDescent="0.25">
      <c r="A2455" t="s">
        <v>51</v>
      </c>
      <c r="B2455" t="s">
        <v>92</v>
      </c>
      <c r="C2455">
        <v>720</v>
      </c>
      <c r="D2455" t="s">
        <v>342</v>
      </c>
      <c r="E2455">
        <v>24.15</v>
      </c>
      <c r="F2455">
        <v>15.87</v>
      </c>
      <c r="G2455">
        <v>14.14</v>
      </c>
      <c r="H2455">
        <v>30.01</v>
      </c>
      <c r="I2455" t="s">
        <v>344</v>
      </c>
      <c r="J2455">
        <v>17.97</v>
      </c>
      <c r="K2455">
        <v>-1.9</v>
      </c>
      <c r="L2455" t="s">
        <v>346</v>
      </c>
      <c r="M2455" s="1">
        <v>1.9E-2</v>
      </c>
      <c r="N2455" t="s">
        <v>349</v>
      </c>
      <c r="O2455">
        <v>-3.33</v>
      </c>
      <c r="P2455" t="s">
        <v>344</v>
      </c>
      <c r="Q2455">
        <v>5.79</v>
      </c>
      <c r="R2455" t="s">
        <v>343</v>
      </c>
      <c r="S2455">
        <v>1</v>
      </c>
    </row>
    <row r="2456" spans="1:19" x14ac:dyDescent="0.25">
      <c r="A2456" t="s">
        <v>51</v>
      </c>
      <c r="B2456" t="s">
        <v>93</v>
      </c>
      <c r="C2456">
        <v>740</v>
      </c>
      <c r="D2456" t="s">
        <v>342</v>
      </c>
      <c r="E2456">
        <v>24.15</v>
      </c>
      <c r="F2456">
        <v>14.4</v>
      </c>
      <c r="G2456">
        <v>13.72</v>
      </c>
      <c r="H2456">
        <v>28.12</v>
      </c>
      <c r="I2456" t="s">
        <v>344</v>
      </c>
      <c r="J2456">
        <v>17.82</v>
      </c>
      <c r="K2456">
        <v>-0.74</v>
      </c>
      <c r="L2456" t="s">
        <v>346</v>
      </c>
      <c r="M2456" s="1">
        <v>7.4000000000000003E-3</v>
      </c>
      <c r="N2456" t="s">
        <v>349</v>
      </c>
      <c r="O2456">
        <v>-1.25</v>
      </c>
      <c r="P2456" t="s">
        <v>343</v>
      </c>
      <c r="Q2456">
        <v>5.37</v>
      </c>
      <c r="R2456" t="s">
        <v>343</v>
      </c>
      <c r="S2456">
        <v>1</v>
      </c>
    </row>
    <row r="2457" spans="1:19" x14ac:dyDescent="0.25">
      <c r="A2457" t="s">
        <v>51</v>
      </c>
      <c r="B2457" t="s">
        <v>94</v>
      </c>
      <c r="C2457">
        <v>760</v>
      </c>
      <c r="D2457" t="s">
        <v>342</v>
      </c>
      <c r="E2457">
        <v>24.15</v>
      </c>
      <c r="F2457">
        <v>12.66</v>
      </c>
      <c r="G2457">
        <v>13.22</v>
      </c>
      <c r="H2457">
        <v>25.88</v>
      </c>
      <c r="I2457" t="s">
        <v>344</v>
      </c>
      <c r="J2457">
        <v>17.79</v>
      </c>
      <c r="K2457">
        <v>-0.15</v>
      </c>
      <c r="L2457" t="s">
        <v>346</v>
      </c>
      <c r="M2457" s="1">
        <v>1.5E-3</v>
      </c>
      <c r="N2457" t="s">
        <v>349</v>
      </c>
      <c r="O2457">
        <v>0.95</v>
      </c>
      <c r="P2457" t="s">
        <v>343</v>
      </c>
      <c r="Q2457">
        <v>5.49</v>
      </c>
      <c r="R2457" t="s">
        <v>343</v>
      </c>
      <c r="S2457">
        <v>1</v>
      </c>
    </row>
    <row r="2458" spans="1:19" x14ac:dyDescent="0.25">
      <c r="A2458" t="s">
        <v>51</v>
      </c>
      <c r="B2458" t="s">
        <v>95</v>
      </c>
      <c r="C2458">
        <v>780</v>
      </c>
      <c r="D2458" t="s">
        <v>342</v>
      </c>
      <c r="E2458">
        <v>24.15</v>
      </c>
      <c r="F2458">
        <v>13.25</v>
      </c>
      <c r="G2458">
        <v>12.81</v>
      </c>
      <c r="H2458">
        <v>26.06</v>
      </c>
      <c r="I2458" t="s">
        <v>344</v>
      </c>
      <c r="J2458">
        <v>17.420000000000002</v>
      </c>
      <c r="K2458">
        <v>-1.84</v>
      </c>
      <c r="L2458" t="s">
        <v>346</v>
      </c>
      <c r="M2458" s="1">
        <v>1.84E-2</v>
      </c>
      <c r="N2458" t="s">
        <v>349</v>
      </c>
      <c r="O2458">
        <v>-2.14</v>
      </c>
      <c r="P2458" t="s">
        <v>344</v>
      </c>
      <c r="Q2458">
        <v>4.4800000000000004</v>
      </c>
      <c r="R2458" t="s">
        <v>343</v>
      </c>
      <c r="S2458">
        <v>1</v>
      </c>
    </row>
    <row r="2459" spans="1:19" x14ac:dyDescent="0.25">
      <c r="A2459" t="s">
        <v>51</v>
      </c>
      <c r="B2459" t="s">
        <v>96</v>
      </c>
      <c r="C2459">
        <v>800</v>
      </c>
      <c r="D2459" t="s">
        <v>342</v>
      </c>
      <c r="E2459">
        <v>24.15</v>
      </c>
      <c r="F2459">
        <v>13.29</v>
      </c>
      <c r="G2459">
        <v>13.14</v>
      </c>
      <c r="H2459">
        <v>26.43</v>
      </c>
      <c r="I2459" t="s">
        <v>344</v>
      </c>
      <c r="J2459">
        <v>17.43</v>
      </c>
      <c r="K2459">
        <v>0.06</v>
      </c>
      <c r="L2459" t="s">
        <v>346</v>
      </c>
      <c r="M2459" s="1">
        <v>5.9999999999999995E-4</v>
      </c>
      <c r="N2459" t="s">
        <v>349</v>
      </c>
      <c r="O2459">
        <v>-0.54</v>
      </c>
      <c r="P2459" t="s">
        <v>343</v>
      </c>
      <c r="Q2459">
        <v>4.66</v>
      </c>
      <c r="R2459" t="s">
        <v>343</v>
      </c>
      <c r="S2459">
        <v>1</v>
      </c>
    </row>
    <row r="2460" spans="1:19" x14ac:dyDescent="0.25">
      <c r="A2460" t="s">
        <v>51</v>
      </c>
      <c r="B2460" t="s">
        <v>97</v>
      </c>
      <c r="C2460">
        <v>820</v>
      </c>
      <c r="D2460" t="s">
        <v>342</v>
      </c>
      <c r="E2460">
        <v>24.15</v>
      </c>
      <c r="F2460">
        <v>13.25</v>
      </c>
      <c r="G2460">
        <v>12.75</v>
      </c>
      <c r="H2460">
        <v>26</v>
      </c>
      <c r="I2460" t="s">
        <v>344</v>
      </c>
      <c r="J2460">
        <v>18.47</v>
      </c>
      <c r="K2460">
        <v>5.19</v>
      </c>
      <c r="L2460" t="s">
        <v>346</v>
      </c>
      <c r="M2460" s="1">
        <v>5.1900000000000002E-2</v>
      </c>
      <c r="N2460" t="s">
        <v>350</v>
      </c>
      <c r="O2460">
        <v>-1.1100000000000001</v>
      </c>
      <c r="P2460" t="s">
        <v>343</v>
      </c>
      <c r="Q2460">
        <v>3.93</v>
      </c>
      <c r="R2460" t="s">
        <v>344</v>
      </c>
      <c r="S2460">
        <v>1</v>
      </c>
    </row>
    <row r="2461" spans="1:19" x14ac:dyDescent="0.25">
      <c r="A2461" t="s">
        <v>51</v>
      </c>
      <c r="B2461" t="s">
        <v>98</v>
      </c>
      <c r="C2461">
        <v>840</v>
      </c>
      <c r="D2461" t="s">
        <v>342</v>
      </c>
      <c r="E2461">
        <v>24.15</v>
      </c>
      <c r="F2461">
        <v>12.37</v>
      </c>
      <c r="G2461">
        <v>15.63</v>
      </c>
      <c r="H2461">
        <v>27.99</v>
      </c>
      <c r="I2461" t="s">
        <v>344</v>
      </c>
      <c r="J2461">
        <v>17.52</v>
      </c>
      <c r="K2461">
        <v>-4.7699999999999996</v>
      </c>
      <c r="L2461" t="s">
        <v>346</v>
      </c>
      <c r="M2461" s="1">
        <v>4.7699999999999992E-2</v>
      </c>
      <c r="N2461" t="s">
        <v>350</v>
      </c>
      <c r="O2461">
        <v>-0.93</v>
      </c>
      <c r="P2461" t="s">
        <v>343</v>
      </c>
      <c r="Q2461">
        <v>3.23</v>
      </c>
      <c r="R2461" t="s">
        <v>344</v>
      </c>
      <c r="S2461">
        <v>1</v>
      </c>
    </row>
    <row r="2462" spans="1:19" x14ac:dyDescent="0.25">
      <c r="A2462" t="s">
        <v>51</v>
      </c>
      <c r="B2462" t="s">
        <v>99</v>
      </c>
      <c r="C2462">
        <v>860</v>
      </c>
      <c r="D2462" t="s">
        <v>342</v>
      </c>
      <c r="E2462">
        <v>24.15</v>
      </c>
      <c r="F2462">
        <v>14.33</v>
      </c>
      <c r="G2462">
        <v>20</v>
      </c>
      <c r="H2462">
        <v>34.33</v>
      </c>
      <c r="I2462" t="s">
        <v>344</v>
      </c>
      <c r="J2462">
        <v>17.2</v>
      </c>
      <c r="K2462">
        <v>-1.59</v>
      </c>
      <c r="L2462" t="s">
        <v>346</v>
      </c>
      <c r="M2462" s="1">
        <v>1.5900000000000001E-2</v>
      </c>
      <c r="N2462" t="s">
        <v>349</v>
      </c>
      <c r="O2462">
        <v>-3.98</v>
      </c>
      <c r="P2462" t="s">
        <v>344</v>
      </c>
      <c r="Q2462">
        <v>3.09</v>
      </c>
      <c r="R2462" t="s">
        <v>344</v>
      </c>
      <c r="S2462">
        <v>1</v>
      </c>
    </row>
    <row r="2463" spans="1:19" x14ac:dyDescent="0.25">
      <c r="A2463" t="s">
        <v>51</v>
      </c>
      <c r="B2463" t="s">
        <v>100</v>
      </c>
      <c r="C2463">
        <v>880</v>
      </c>
      <c r="D2463" t="s">
        <v>342</v>
      </c>
      <c r="E2463">
        <v>24.15</v>
      </c>
      <c r="F2463">
        <v>14.68</v>
      </c>
      <c r="G2463">
        <v>20</v>
      </c>
      <c r="H2463">
        <v>34.68</v>
      </c>
      <c r="I2463" t="s">
        <v>344</v>
      </c>
      <c r="J2463">
        <v>17.440000000000001</v>
      </c>
      <c r="K2463">
        <v>1.23</v>
      </c>
      <c r="L2463" t="s">
        <v>346</v>
      </c>
      <c r="M2463" s="1">
        <v>1.23E-2</v>
      </c>
      <c r="N2463" t="s">
        <v>349</v>
      </c>
      <c r="O2463">
        <v>-3.95</v>
      </c>
      <c r="P2463" t="s">
        <v>344</v>
      </c>
      <c r="Q2463">
        <v>-4.2300000000000004</v>
      </c>
      <c r="R2463" t="s">
        <v>343</v>
      </c>
      <c r="S2463">
        <v>1</v>
      </c>
    </row>
    <row r="2464" spans="1:19" x14ac:dyDescent="0.25">
      <c r="A2464" t="s">
        <v>51</v>
      </c>
      <c r="B2464" t="s">
        <v>101</v>
      </c>
      <c r="C2464">
        <v>900</v>
      </c>
      <c r="D2464" t="s">
        <v>342</v>
      </c>
      <c r="E2464">
        <v>24.15</v>
      </c>
      <c r="F2464">
        <v>16.14</v>
      </c>
      <c r="G2464">
        <v>15.63</v>
      </c>
      <c r="H2464">
        <v>31.77</v>
      </c>
      <c r="I2464" t="s">
        <v>344</v>
      </c>
      <c r="J2464">
        <v>17.73</v>
      </c>
      <c r="K2464">
        <v>1.46</v>
      </c>
      <c r="L2464" t="s">
        <v>346</v>
      </c>
      <c r="M2464" s="1">
        <v>1.46E-2</v>
      </c>
      <c r="N2464" t="s">
        <v>349</v>
      </c>
      <c r="O2464">
        <v>-4.7699999999999996</v>
      </c>
      <c r="P2464" t="s">
        <v>343</v>
      </c>
      <c r="Q2464">
        <v>3.59</v>
      </c>
      <c r="R2464" t="s">
        <v>344</v>
      </c>
      <c r="S2464">
        <v>1</v>
      </c>
    </row>
    <row r="2465" spans="1:19" x14ac:dyDescent="0.25">
      <c r="A2465" t="s">
        <v>51</v>
      </c>
      <c r="B2465" t="s">
        <v>102</v>
      </c>
      <c r="C2465">
        <v>920</v>
      </c>
      <c r="D2465" t="s">
        <v>342</v>
      </c>
      <c r="E2465">
        <v>24.15</v>
      </c>
      <c r="F2465">
        <v>16.46</v>
      </c>
      <c r="G2465">
        <v>13.43</v>
      </c>
      <c r="H2465">
        <v>29.89</v>
      </c>
      <c r="I2465" t="s">
        <v>344</v>
      </c>
      <c r="J2465">
        <v>18.43</v>
      </c>
      <c r="K2465">
        <v>3.48</v>
      </c>
      <c r="L2465" t="s">
        <v>346</v>
      </c>
      <c r="M2465" s="1">
        <v>3.4799999999999998E-2</v>
      </c>
      <c r="N2465" t="s">
        <v>350</v>
      </c>
      <c r="O2465">
        <v>-4.82</v>
      </c>
      <c r="P2465" t="s">
        <v>343</v>
      </c>
      <c r="Q2465">
        <v>2.86</v>
      </c>
      <c r="R2465" t="s">
        <v>344</v>
      </c>
      <c r="S2465">
        <v>1</v>
      </c>
    </row>
    <row r="2466" spans="1:19" x14ac:dyDescent="0.25">
      <c r="A2466" t="s">
        <v>51</v>
      </c>
      <c r="B2466" t="s">
        <v>103</v>
      </c>
      <c r="C2466">
        <v>940</v>
      </c>
      <c r="D2466" t="s">
        <v>342</v>
      </c>
      <c r="E2466">
        <v>24.15</v>
      </c>
      <c r="F2466">
        <v>16.55</v>
      </c>
      <c r="G2466">
        <v>12.49</v>
      </c>
      <c r="H2466">
        <v>29.04</v>
      </c>
      <c r="I2466" t="s">
        <v>344</v>
      </c>
      <c r="J2466">
        <v>19.37</v>
      </c>
      <c r="K2466">
        <v>4.72</v>
      </c>
      <c r="L2466" t="s">
        <v>346</v>
      </c>
      <c r="M2466" s="1">
        <v>4.7199999999999999E-2</v>
      </c>
      <c r="N2466" t="s">
        <v>350</v>
      </c>
      <c r="O2466">
        <v>-2.94</v>
      </c>
      <c r="P2466" t="s">
        <v>344</v>
      </c>
      <c r="Q2466">
        <v>2.9</v>
      </c>
      <c r="R2466" t="s">
        <v>344</v>
      </c>
      <c r="S2466">
        <v>1</v>
      </c>
    </row>
    <row r="2467" spans="1:19" x14ac:dyDescent="0.25">
      <c r="A2467" t="s">
        <v>51</v>
      </c>
      <c r="B2467" t="s">
        <v>104</v>
      </c>
      <c r="C2467">
        <v>960</v>
      </c>
      <c r="D2467" t="s">
        <v>342</v>
      </c>
      <c r="E2467">
        <v>24.15</v>
      </c>
      <c r="F2467">
        <v>15.85</v>
      </c>
      <c r="G2467">
        <v>12.4</v>
      </c>
      <c r="H2467">
        <v>28.25</v>
      </c>
      <c r="I2467" t="s">
        <v>344</v>
      </c>
      <c r="J2467">
        <v>20.52</v>
      </c>
      <c r="K2467">
        <v>5.75</v>
      </c>
      <c r="L2467" t="s">
        <v>346</v>
      </c>
      <c r="M2467" s="1">
        <v>5.7500000000000002E-2</v>
      </c>
      <c r="N2467" t="s">
        <v>350</v>
      </c>
      <c r="O2467">
        <v>-0.88</v>
      </c>
      <c r="P2467" t="s">
        <v>343</v>
      </c>
      <c r="Q2467">
        <v>3.15</v>
      </c>
      <c r="R2467" t="s">
        <v>344</v>
      </c>
      <c r="S2467">
        <v>1</v>
      </c>
    </row>
    <row r="2468" spans="1:19" x14ac:dyDescent="0.25">
      <c r="A2468" t="s">
        <v>51</v>
      </c>
      <c r="B2468" t="s">
        <v>105</v>
      </c>
      <c r="C2468">
        <v>980</v>
      </c>
      <c r="D2468" t="s">
        <v>342</v>
      </c>
      <c r="E2468">
        <v>24.15</v>
      </c>
      <c r="F2468">
        <v>14.04</v>
      </c>
      <c r="G2468">
        <v>11.72</v>
      </c>
      <c r="H2468">
        <v>25.77</v>
      </c>
      <c r="I2468" t="s">
        <v>344</v>
      </c>
      <c r="J2468">
        <v>21.81</v>
      </c>
      <c r="K2468">
        <v>6.42</v>
      </c>
      <c r="L2468" t="s">
        <v>346</v>
      </c>
      <c r="M2468" s="1">
        <v>6.4199999999999993E-2</v>
      </c>
      <c r="N2468" t="s">
        <v>350</v>
      </c>
      <c r="O2468">
        <v>-2.56</v>
      </c>
      <c r="P2468" t="s">
        <v>344</v>
      </c>
      <c r="Q2468">
        <v>3.18</v>
      </c>
      <c r="R2468" t="s">
        <v>344</v>
      </c>
      <c r="S2468">
        <v>1</v>
      </c>
    </row>
    <row r="2469" spans="1:19" x14ac:dyDescent="0.25">
      <c r="A2469" t="s">
        <v>51</v>
      </c>
      <c r="B2469" t="s">
        <v>106</v>
      </c>
      <c r="C2469">
        <v>1000</v>
      </c>
      <c r="D2469" t="s">
        <v>342</v>
      </c>
      <c r="E2469">
        <v>24.15</v>
      </c>
      <c r="F2469">
        <v>13.32</v>
      </c>
      <c r="G2469">
        <v>11.07</v>
      </c>
      <c r="H2469">
        <v>24.38</v>
      </c>
      <c r="I2469" t="s">
        <v>344</v>
      </c>
      <c r="J2469">
        <v>23.27</v>
      </c>
      <c r="K2469">
        <v>7.32</v>
      </c>
      <c r="L2469" t="s">
        <v>346</v>
      </c>
      <c r="M2469" s="1">
        <v>7.3200000000000001E-2</v>
      </c>
      <c r="N2469" t="s">
        <v>350</v>
      </c>
      <c r="O2469">
        <v>-2.74</v>
      </c>
      <c r="P2469" t="s">
        <v>344</v>
      </c>
      <c r="Q2469">
        <v>2.64</v>
      </c>
      <c r="R2469" t="s">
        <v>344</v>
      </c>
      <c r="S2469">
        <v>1</v>
      </c>
    </row>
    <row r="2470" spans="1:19" x14ac:dyDescent="0.25">
      <c r="A2470" t="s">
        <v>51</v>
      </c>
      <c r="B2470" t="s">
        <v>108</v>
      </c>
      <c r="C2470">
        <v>1020</v>
      </c>
      <c r="D2470" t="s">
        <v>342</v>
      </c>
      <c r="E2470">
        <v>24.15</v>
      </c>
      <c r="F2470">
        <v>12.23</v>
      </c>
      <c r="G2470">
        <v>11.33</v>
      </c>
      <c r="H2470">
        <v>23.56</v>
      </c>
      <c r="I2470" t="s">
        <v>343</v>
      </c>
      <c r="J2470">
        <v>25.18</v>
      </c>
      <c r="K2470">
        <v>9.5299999999999994</v>
      </c>
      <c r="L2470" t="s">
        <v>348</v>
      </c>
      <c r="M2470" s="1">
        <v>9.5299999999999996E-2</v>
      </c>
      <c r="N2470" t="s">
        <v>350</v>
      </c>
      <c r="O2470">
        <v>1.57</v>
      </c>
      <c r="P2470" t="s">
        <v>343</v>
      </c>
      <c r="Q2470">
        <v>3.1</v>
      </c>
      <c r="R2470" t="s">
        <v>344</v>
      </c>
      <c r="S2470">
        <v>1</v>
      </c>
    </row>
    <row r="2471" spans="1:19" x14ac:dyDescent="0.25">
      <c r="A2471" t="s">
        <v>51</v>
      </c>
      <c r="B2471" t="s">
        <v>109</v>
      </c>
      <c r="C2471">
        <v>1040</v>
      </c>
      <c r="D2471" t="s">
        <v>342</v>
      </c>
      <c r="E2471">
        <v>24.15</v>
      </c>
      <c r="F2471">
        <v>12.27</v>
      </c>
      <c r="G2471">
        <v>11.45</v>
      </c>
      <c r="H2471">
        <v>23.72</v>
      </c>
      <c r="I2471" t="s">
        <v>343</v>
      </c>
      <c r="J2471">
        <v>26.69</v>
      </c>
      <c r="K2471">
        <v>7.57</v>
      </c>
      <c r="L2471" t="s">
        <v>346</v>
      </c>
      <c r="M2471" s="1">
        <v>7.5700000000000003E-2</v>
      </c>
      <c r="N2471" t="s">
        <v>350</v>
      </c>
      <c r="O2471">
        <v>0.84</v>
      </c>
      <c r="P2471" t="s">
        <v>343</v>
      </c>
      <c r="Q2471">
        <v>1.64</v>
      </c>
      <c r="R2471" t="s">
        <v>343</v>
      </c>
      <c r="S2471">
        <v>1</v>
      </c>
    </row>
    <row r="2472" spans="1:19" x14ac:dyDescent="0.25">
      <c r="A2472" t="s">
        <v>51</v>
      </c>
      <c r="B2472" t="s">
        <v>110</v>
      </c>
      <c r="C2472">
        <v>1060</v>
      </c>
      <c r="D2472" t="s">
        <v>342</v>
      </c>
      <c r="E2472">
        <v>24.15</v>
      </c>
      <c r="F2472">
        <v>13.06</v>
      </c>
      <c r="G2472">
        <v>12.84</v>
      </c>
      <c r="H2472">
        <v>25.9</v>
      </c>
      <c r="I2472" t="s">
        <v>344</v>
      </c>
      <c r="J2472">
        <v>28.05</v>
      </c>
      <c r="K2472">
        <v>6.81</v>
      </c>
      <c r="L2472" t="s">
        <v>346</v>
      </c>
      <c r="M2472" s="1">
        <v>6.8099999999999994E-2</v>
      </c>
      <c r="N2472" t="s">
        <v>350</v>
      </c>
      <c r="O2472">
        <v>-0.51</v>
      </c>
      <c r="P2472" t="s">
        <v>343</v>
      </c>
      <c r="Q2472">
        <v>0.85</v>
      </c>
      <c r="R2472" t="s">
        <v>343</v>
      </c>
      <c r="S2472">
        <v>1</v>
      </c>
    </row>
    <row r="2473" spans="1:19" x14ac:dyDescent="0.25">
      <c r="A2473" t="s">
        <v>51</v>
      </c>
      <c r="B2473" t="s">
        <v>111</v>
      </c>
      <c r="C2473">
        <v>1080</v>
      </c>
      <c r="D2473" t="s">
        <v>342</v>
      </c>
      <c r="E2473">
        <v>24.15</v>
      </c>
      <c r="F2473">
        <v>13.11</v>
      </c>
      <c r="G2473">
        <v>11.53</v>
      </c>
      <c r="H2473">
        <v>24.64</v>
      </c>
      <c r="I2473" t="s">
        <v>344</v>
      </c>
      <c r="J2473">
        <v>29.81</v>
      </c>
      <c r="K2473">
        <v>8.7899999999999991</v>
      </c>
      <c r="L2473" t="s">
        <v>347</v>
      </c>
      <c r="M2473" s="1">
        <v>8.7899999999999992E-2</v>
      </c>
      <c r="N2473" t="s">
        <v>350</v>
      </c>
      <c r="O2473">
        <v>1.98</v>
      </c>
      <c r="P2473" t="s">
        <v>343</v>
      </c>
      <c r="Q2473">
        <v>1.03</v>
      </c>
      <c r="R2473" t="s">
        <v>343</v>
      </c>
      <c r="S2473">
        <v>1</v>
      </c>
    </row>
    <row r="2474" spans="1:19" x14ac:dyDescent="0.25">
      <c r="A2474" t="s">
        <v>51</v>
      </c>
      <c r="B2474" t="s">
        <v>112</v>
      </c>
      <c r="C2474">
        <v>1100</v>
      </c>
      <c r="D2474" t="s">
        <v>342</v>
      </c>
      <c r="E2474">
        <v>24.15</v>
      </c>
      <c r="F2474">
        <v>12.13</v>
      </c>
      <c r="G2474">
        <v>12.09</v>
      </c>
      <c r="H2474">
        <v>24.21</v>
      </c>
      <c r="I2474" t="s">
        <v>344</v>
      </c>
      <c r="J2474">
        <v>31.5</v>
      </c>
      <c r="K2474">
        <v>8.4499999999999993</v>
      </c>
      <c r="L2474" t="s">
        <v>347</v>
      </c>
      <c r="M2474" s="1">
        <v>8.4499999999999992E-2</v>
      </c>
      <c r="N2474" t="s">
        <v>350</v>
      </c>
      <c r="O2474">
        <v>2.2799999999999998</v>
      </c>
      <c r="P2474" t="s">
        <v>344</v>
      </c>
      <c r="Q2474">
        <v>1.45</v>
      </c>
      <c r="R2474" t="s">
        <v>343</v>
      </c>
      <c r="S2474">
        <v>1</v>
      </c>
    </row>
    <row r="2475" spans="1:19" x14ac:dyDescent="0.25">
      <c r="A2475" t="s">
        <v>51</v>
      </c>
      <c r="B2475" t="s">
        <v>113</v>
      </c>
      <c r="C2475">
        <v>1120</v>
      </c>
      <c r="D2475" t="s">
        <v>342</v>
      </c>
      <c r="E2475">
        <v>24.15</v>
      </c>
      <c r="F2475">
        <v>12.75</v>
      </c>
      <c r="G2475">
        <v>12.75</v>
      </c>
      <c r="H2475">
        <v>25.5</v>
      </c>
      <c r="I2475" t="s">
        <v>344</v>
      </c>
      <c r="J2475">
        <v>32.950000000000003</v>
      </c>
      <c r="K2475">
        <v>7.26</v>
      </c>
      <c r="L2475" t="s">
        <v>346</v>
      </c>
      <c r="M2475" s="1">
        <v>7.2599999999999998E-2</v>
      </c>
      <c r="N2475" t="s">
        <v>350</v>
      </c>
      <c r="O2475">
        <v>-0.14000000000000001</v>
      </c>
      <c r="P2475" t="s">
        <v>343</v>
      </c>
      <c r="Q2475">
        <v>2.2400000000000002</v>
      </c>
      <c r="R2475" t="s">
        <v>344</v>
      </c>
      <c r="S2475">
        <v>1</v>
      </c>
    </row>
    <row r="2476" spans="1:19" x14ac:dyDescent="0.25">
      <c r="A2476" t="s">
        <v>51</v>
      </c>
      <c r="B2476" t="s">
        <v>114</v>
      </c>
      <c r="C2476">
        <v>1140</v>
      </c>
      <c r="D2476" t="s">
        <v>342</v>
      </c>
      <c r="E2476">
        <v>24.15</v>
      </c>
      <c r="F2476">
        <v>12.75</v>
      </c>
      <c r="G2476">
        <v>14.08</v>
      </c>
      <c r="H2476">
        <v>26.83</v>
      </c>
      <c r="I2476" t="s">
        <v>344</v>
      </c>
      <c r="J2476">
        <v>34.56</v>
      </c>
      <c r="K2476">
        <v>8.0399999999999991</v>
      </c>
      <c r="L2476" t="s">
        <v>347</v>
      </c>
      <c r="M2476" s="1">
        <v>8.0399999999999985E-2</v>
      </c>
      <c r="N2476" t="s">
        <v>350</v>
      </c>
      <c r="O2476">
        <v>-0.42</v>
      </c>
      <c r="P2476" t="s">
        <v>343</v>
      </c>
      <c r="Q2476">
        <v>2.13</v>
      </c>
      <c r="R2476" t="s">
        <v>344</v>
      </c>
      <c r="S2476">
        <v>1</v>
      </c>
    </row>
    <row r="2477" spans="1:19" x14ac:dyDescent="0.25">
      <c r="A2477" t="s">
        <v>51</v>
      </c>
      <c r="B2477" t="s">
        <v>115</v>
      </c>
      <c r="C2477">
        <v>1160</v>
      </c>
      <c r="D2477" t="s">
        <v>342</v>
      </c>
      <c r="E2477">
        <v>24.15</v>
      </c>
      <c r="F2477">
        <v>14</v>
      </c>
      <c r="G2477">
        <v>15.35</v>
      </c>
      <c r="H2477">
        <v>29.35</v>
      </c>
      <c r="I2477" t="s">
        <v>344</v>
      </c>
      <c r="J2477">
        <v>36.17</v>
      </c>
      <c r="K2477">
        <v>8.06</v>
      </c>
      <c r="L2477" t="s">
        <v>347</v>
      </c>
      <c r="M2477" s="1">
        <v>8.0600000000000005E-2</v>
      </c>
      <c r="N2477" t="s">
        <v>350</v>
      </c>
      <c r="O2477">
        <v>-0.04</v>
      </c>
      <c r="P2477" t="s">
        <v>343</v>
      </c>
      <c r="Q2477">
        <v>2.38</v>
      </c>
      <c r="R2477" t="s">
        <v>344</v>
      </c>
      <c r="S2477">
        <v>1</v>
      </c>
    </row>
    <row r="2478" spans="1:19" x14ac:dyDescent="0.25">
      <c r="A2478" t="s">
        <v>51</v>
      </c>
      <c r="B2478" t="s">
        <v>116</v>
      </c>
      <c r="C2478">
        <v>1180</v>
      </c>
      <c r="D2478" t="s">
        <v>342</v>
      </c>
      <c r="E2478">
        <v>24.15</v>
      </c>
      <c r="F2478">
        <v>15.71</v>
      </c>
      <c r="G2478">
        <v>16.190000000000001</v>
      </c>
      <c r="H2478">
        <v>31.91</v>
      </c>
      <c r="I2478" t="s">
        <v>344</v>
      </c>
      <c r="J2478">
        <v>38.04</v>
      </c>
      <c r="K2478">
        <v>9.36</v>
      </c>
      <c r="L2478" t="s">
        <v>348</v>
      </c>
      <c r="M2478" s="1">
        <v>9.3599999999999989E-2</v>
      </c>
      <c r="N2478" t="s">
        <v>350</v>
      </c>
      <c r="O2478">
        <v>-0.1</v>
      </c>
      <c r="P2478" t="s">
        <v>343</v>
      </c>
      <c r="Q2478">
        <v>2.66</v>
      </c>
      <c r="R2478" t="s">
        <v>344</v>
      </c>
      <c r="S2478">
        <v>1</v>
      </c>
    </row>
    <row r="2479" spans="1:19" x14ac:dyDescent="0.25">
      <c r="A2479" t="s">
        <v>51</v>
      </c>
      <c r="B2479" t="s">
        <v>117</v>
      </c>
      <c r="C2479">
        <v>1200</v>
      </c>
      <c r="D2479" t="s">
        <v>342</v>
      </c>
      <c r="E2479">
        <v>24.15</v>
      </c>
      <c r="F2479">
        <v>16.55</v>
      </c>
      <c r="G2479">
        <v>16.829999999999998</v>
      </c>
      <c r="H2479">
        <v>33.380000000000003</v>
      </c>
      <c r="I2479" t="s">
        <v>344</v>
      </c>
      <c r="J2479">
        <v>39.64</v>
      </c>
      <c r="K2479">
        <v>7.97</v>
      </c>
      <c r="L2479" t="s">
        <v>346</v>
      </c>
      <c r="M2479" s="1">
        <v>7.9699999999999993E-2</v>
      </c>
      <c r="N2479" t="s">
        <v>350</v>
      </c>
      <c r="O2479">
        <v>-0.15</v>
      </c>
      <c r="P2479" t="s">
        <v>343</v>
      </c>
      <c r="Q2479">
        <v>2.54</v>
      </c>
      <c r="R2479" t="s">
        <v>344</v>
      </c>
      <c r="S2479">
        <v>1</v>
      </c>
    </row>
    <row r="2480" spans="1:19" x14ac:dyDescent="0.25">
      <c r="A2480" t="s">
        <v>51</v>
      </c>
      <c r="B2480" t="s">
        <v>118</v>
      </c>
      <c r="C2480">
        <v>1220</v>
      </c>
      <c r="D2480" t="s">
        <v>342</v>
      </c>
      <c r="E2480">
        <v>24.15</v>
      </c>
      <c r="F2480">
        <v>18.13</v>
      </c>
      <c r="G2480">
        <v>16.62</v>
      </c>
      <c r="H2480">
        <v>34.75</v>
      </c>
      <c r="I2480" t="s">
        <v>344</v>
      </c>
      <c r="J2480">
        <v>41.1</v>
      </c>
      <c r="K2480">
        <v>7.33</v>
      </c>
      <c r="L2480" t="s">
        <v>346</v>
      </c>
      <c r="M2480" s="1">
        <v>7.3300000000000004E-2</v>
      </c>
      <c r="N2480" t="s">
        <v>350</v>
      </c>
      <c r="O2480">
        <v>-0.66</v>
      </c>
      <c r="P2480" t="s">
        <v>343</v>
      </c>
      <c r="Q2480">
        <v>3.33</v>
      </c>
      <c r="R2480" t="s">
        <v>344</v>
      </c>
      <c r="S2480">
        <v>1</v>
      </c>
    </row>
    <row r="2481" spans="1:19" x14ac:dyDescent="0.25">
      <c r="A2481" t="s">
        <v>51</v>
      </c>
      <c r="B2481" t="s">
        <v>119</v>
      </c>
      <c r="C2481">
        <v>1240</v>
      </c>
      <c r="D2481" t="s">
        <v>342</v>
      </c>
      <c r="E2481">
        <v>24.15</v>
      </c>
      <c r="F2481">
        <v>20</v>
      </c>
      <c r="G2481">
        <v>15.73</v>
      </c>
      <c r="H2481">
        <v>35.729999999999997</v>
      </c>
      <c r="I2481" t="s">
        <v>344</v>
      </c>
      <c r="J2481">
        <v>42.36</v>
      </c>
      <c r="K2481">
        <v>6.26</v>
      </c>
      <c r="L2481" t="s">
        <v>346</v>
      </c>
      <c r="M2481" s="1">
        <v>6.2600000000000003E-2</v>
      </c>
      <c r="N2481" t="s">
        <v>350</v>
      </c>
      <c r="O2481">
        <v>0.11</v>
      </c>
      <c r="P2481" t="s">
        <v>343</v>
      </c>
      <c r="Q2481">
        <v>3.54</v>
      </c>
      <c r="R2481" t="s">
        <v>344</v>
      </c>
      <c r="S2481">
        <v>1</v>
      </c>
    </row>
    <row r="2482" spans="1:19" x14ac:dyDescent="0.25">
      <c r="A2482" t="s">
        <v>51</v>
      </c>
      <c r="B2482" t="s">
        <v>120</v>
      </c>
      <c r="C2482">
        <v>1260</v>
      </c>
      <c r="D2482" t="s">
        <v>342</v>
      </c>
      <c r="E2482">
        <v>24.15</v>
      </c>
      <c r="F2482">
        <v>20</v>
      </c>
      <c r="G2482">
        <v>14.68</v>
      </c>
      <c r="H2482">
        <v>34.68</v>
      </c>
      <c r="I2482" t="s">
        <v>344</v>
      </c>
      <c r="J2482">
        <v>43.58</v>
      </c>
      <c r="K2482">
        <v>6.1</v>
      </c>
      <c r="L2482" t="s">
        <v>346</v>
      </c>
      <c r="M2482" s="1">
        <v>6.0999999999999999E-2</v>
      </c>
      <c r="N2482" t="s">
        <v>350</v>
      </c>
      <c r="O2482">
        <v>-1.4</v>
      </c>
      <c r="P2482" t="s">
        <v>343</v>
      </c>
      <c r="Q2482">
        <v>2.69</v>
      </c>
      <c r="R2482" t="s">
        <v>344</v>
      </c>
      <c r="S2482">
        <v>1</v>
      </c>
    </row>
    <row r="2483" spans="1:19" x14ac:dyDescent="0.25">
      <c r="A2483" t="s">
        <v>51</v>
      </c>
      <c r="B2483" t="s">
        <v>121</v>
      </c>
      <c r="C2483">
        <v>1280</v>
      </c>
      <c r="D2483" t="s">
        <v>342</v>
      </c>
      <c r="E2483">
        <v>24.15</v>
      </c>
      <c r="F2483">
        <v>20</v>
      </c>
      <c r="G2483">
        <v>14.21</v>
      </c>
      <c r="H2483">
        <v>34.21</v>
      </c>
      <c r="I2483" t="s">
        <v>344</v>
      </c>
      <c r="J2483">
        <v>45.26</v>
      </c>
      <c r="K2483">
        <v>8.44</v>
      </c>
      <c r="L2483" t="s">
        <v>347</v>
      </c>
      <c r="M2483" s="1">
        <v>8.4399999999999989E-2</v>
      </c>
      <c r="N2483" t="s">
        <v>350</v>
      </c>
      <c r="O2483">
        <v>-0.09</v>
      </c>
      <c r="P2483" t="s">
        <v>343</v>
      </c>
      <c r="Q2483">
        <v>4.57</v>
      </c>
      <c r="R2483" t="s">
        <v>343</v>
      </c>
      <c r="S2483">
        <v>1</v>
      </c>
    </row>
    <row r="2484" spans="1:19" x14ac:dyDescent="0.25">
      <c r="A2484" t="s">
        <v>51</v>
      </c>
      <c r="B2484" t="s">
        <v>123</v>
      </c>
      <c r="C2484">
        <v>1300</v>
      </c>
      <c r="D2484" t="s">
        <v>342</v>
      </c>
      <c r="E2484">
        <v>24.15</v>
      </c>
      <c r="F2484">
        <v>20</v>
      </c>
      <c r="G2484">
        <v>13.2</v>
      </c>
      <c r="H2484">
        <v>33.200000000000003</v>
      </c>
      <c r="I2484" t="s">
        <v>344</v>
      </c>
      <c r="J2484">
        <v>46.69</v>
      </c>
      <c r="K2484">
        <v>7.15</v>
      </c>
      <c r="L2484" t="s">
        <v>346</v>
      </c>
      <c r="M2484" s="1">
        <v>7.1500000000000008E-2</v>
      </c>
      <c r="N2484" t="s">
        <v>350</v>
      </c>
      <c r="O2484">
        <v>-0.85</v>
      </c>
      <c r="P2484" t="s">
        <v>343</v>
      </c>
      <c r="Q2484">
        <v>2.5299999999999998</v>
      </c>
      <c r="R2484" t="s">
        <v>344</v>
      </c>
      <c r="S2484">
        <v>1</v>
      </c>
    </row>
    <row r="2485" spans="1:19" x14ac:dyDescent="0.25">
      <c r="A2485" t="s">
        <v>51</v>
      </c>
      <c r="B2485" t="s">
        <v>124</v>
      </c>
      <c r="C2485">
        <v>1320</v>
      </c>
      <c r="D2485" t="s">
        <v>342</v>
      </c>
      <c r="E2485">
        <v>24.15</v>
      </c>
      <c r="F2485">
        <v>20</v>
      </c>
      <c r="G2485">
        <v>12.41</v>
      </c>
      <c r="H2485">
        <v>32.409999999999997</v>
      </c>
      <c r="I2485" t="s">
        <v>344</v>
      </c>
      <c r="J2485">
        <v>48.27</v>
      </c>
      <c r="K2485">
        <v>7.88</v>
      </c>
      <c r="L2485" t="s">
        <v>346</v>
      </c>
      <c r="M2485" s="1">
        <v>7.8799999999999995E-2</v>
      </c>
      <c r="N2485" t="s">
        <v>350</v>
      </c>
      <c r="O2485">
        <v>-1.31</v>
      </c>
      <c r="P2485" t="s">
        <v>343</v>
      </c>
      <c r="Q2485">
        <v>3.13</v>
      </c>
      <c r="R2485" t="s">
        <v>344</v>
      </c>
      <c r="S2485">
        <v>1</v>
      </c>
    </row>
    <row r="2486" spans="1:19" x14ac:dyDescent="0.25">
      <c r="A2486" t="s">
        <v>51</v>
      </c>
      <c r="B2486" t="s">
        <v>125</v>
      </c>
      <c r="C2486">
        <v>1340</v>
      </c>
      <c r="D2486" t="s">
        <v>342</v>
      </c>
      <c r="E2486">
        <v>24.15</v>
      </c>
      <c r="F2486">
        <v>20</v>
      </c>
      <c r="G2486">
        <v>12.8</v>
      </c>
      <c r="H2486">
        <v>32.799999999999997</v>
      </c>
      <c r="I2486" t="s">
        <v>344</v>
      </c>
      <c r="J2486">
        <v>49.73</v>
      </c>
      <c r="K2486">
        <v>7.32</v>
      </c>
      <c r="L2486" t="s">
        <v>346</v>
      </c>
      <c r="M2486" s="1">
        <v>7.3200000000000001E-2</v>
      </c>
      <c r="N2486" t="s">
        <v>350</v>
      </c>
      <c r="O2486">
        <v>-1.48</v>
      </c>
      <c r="P2486" t="s">
        <v>343</v>
      </c>
      <c r="Q2486">
        <v>3.19</v>
      </c>
      <c r="R2486" t="s">
        <v>344</v>
      </c>
      <c r="S2486">
        <v>1</v>
      </c>
    </row>
    <row r="2487" spans="1:19" x14ac:dyDescent="0.25">
      <c r="A2487" t="s">
        <v>51</v>
      </c>
      <c r="B2487" t="s">
        <v>126</v>
      </c>
      <c r="C2487">
        <v>1360</v>
      </c>
      <c r="D2487" t="s">
        <v>342</v>
      </c>
      <c r="E2487">
        <v>24.15</v>
      </c>
      <c r="F2487">
        <v>20</v>
      </c>
      <c r="G2487">
        <v>12.12</v>
      </c>
      <c r="H2487">
        <v>32.119999999999997</v>
      </c>
      <c r="I2487" t="s">
        <v>344</v>
      </c>
      <c r="J2487">
        <v>51.27</v>
      </c>
      <c r="K2487">
        <v>7.68</v>
      </c>
      <c r="L2487" t="s">
        <v>346</v>
      </c>
      <c r="M2487" s="1">
        <v>7.6799999999999993E-2</v>
      </c>
      <c r="N2487" t="s">
        <v>350</v>
      </c>
      <c r="O2487">
        <v>-0.63</v>
      </c>
      <c r="P2487" t="s">
        <v>343</v>
      </c>
      <c r="Q2487">
        <v>3.75</v>
      </c>
      <c r="R2487" t="s">
        <v>344</v>
      </c>
      <c r="S2487">
        <v>1</v>
      </c>
    </row>
    <row r="2488" spans="1:19" x14ac:dyDescent="0.25">
      <c r="A2488" t="s">
        <v>51</v>
      </c>
      <c r="B2488" t="s">
        <v>127</v>
      </c>
      <c r="C2488">
        <v>1380</v>
      </c>
      <c r="D2488" t="s">
        <v>342</v>
      </c>
      <c r="E2488">
        <v>24.15</v>
      </c>
      <c r="F2488">
        <v>20</v>
      </c>
      <c r="G2488">
        <v>13.3</v>
      </c>
      <c r="H2488">
        <v>33.299999999999997</v>
      </c>
      <c r="I2488" t="s">
        <v>344</v>
      </c>
      <c r="J2488">
        <v>52.92</v>
      </c>
      <c r="K2488">
        <v>8.24</v>
      </c>
      <c r="L2488" t="s">
        <v>347</v>
      </c>
      <c r="M2488" s="1">
        <v>8.2400000000000001E-2</v>
      </c>
      <c r="N2488" t="s">
        <v>350</v>
      </c>
      <c r="O2488">
        <v>-0.16</v>
      </c>
      <c r="P2488" t="s">
        <v>343</v>
      </c>
      <c r="Q2488">
        <v>2.0099999999999998</v>
      </c>
      <c r="R2488" t="s">
        <v>344</v>
      </c>
      <c r="S2488">
        <v>1</v>
      </c>
    </row>
    <row r="2489" spans="1:19" x14ac:dyDescent="0.25">
      <c r="A2489" t="s">
        <v>51</v>
      </c>
      <c r="B2489" t="s">
        <v>128</v>
      </c>
      <c r="C2489">
        <v>1400</v>
      </c>
      <c r="D2489" t="s">
        <v>342</v>
      </c>
      <c r="E2489">
        <v>24.15</v>
      </c>
      <c r="F2489">
        <v>17.899999999999999</v>
      </c>
      <c r="G2489">
        <v>14.7</v>
      </c>
      <c r="H2489">
        <v>32.6</v>
      </c>
      <c r="I2489" t="s">
        <v>344</v>
      </c>
      <c r="J2489">
        <v>54.62</v>
      </c>
      <c r="K2489">
        <v>8.49</v>
      </c>
      <c r="L2489" t="s">
        <v>347</v>
      </c>
      <c r="M2489" s="1">
        <v>8.4900000000000003E-2</v>
      </c>
      <c r="N2489" t="s">
        <v>350</v>
      </c>
      <c r="O2489">
        <v>-0.15</v>
      </c>
      <c r="P2489" t="s">
        <v>343</v>
      </c>
      <c r="Q2489">
        <v>2.65</v>
      </c>
      <c r="R2489" t="s">
        <v>344</v>
      </c>
      <c r="S2489">
        <v>1</v>
      </c>
    </row>
    <row r="2490" spans="1:19" x14ac:dyDescent="0.25">
      <c r="A2490" t="s">
        <v>51</v>
      </c>
      <c r="B2490" t="s">
        <v>129</v>
      </c>
      <c r="C2490">
        <v>1420</v>
      </c>
      <c r="D2490" t="s">
        <v>342</v>
      </c>
      <c r="E2490">
        <v>24.15</v>
      </c>
      <c r="F2490">
        <v>16.8</v>
      </c>
      <c r="G2490">
        <v>16.23</v>
      </c>
      <c r="H2490">
        <v>33.03</v>
      </c>
      <c r="I2490" t="s">
        <v>344</v>
      </c>
      <c r="J2490">
        <v>56.21</v>
      </c>
      <c r="K2490">
        <v>7.95</v>
      </c>
      <c r="L2490" t="s">
        <v>346</v>
      </c>
      <c r="M2490" s="1">
        <v>7.9500000000000001E-2</v>
      </c>
      <c r="N2490" t="s">
        <v>350</v>
      </c>
      <c r="O2490">
        <v>-0.89</v>
      </c>
      <c r="P2490" t="s">
        <v>343</v>
      </c>
      <c r="Q2490">
        <v>4.29</v>
      </c>
      <c r="R2490" t="s">
        <v>343</v>
      </c>
      <c r="S2490">
        <v>1</v>
      </c>
    </row>
    <row r="2491" spans="1:19" x14ac:dyDescent="0.25">
      <c r="A2491" t="s">
        <v>51</v>
      </c>
      <c r="B2491" t="s">
        <v>130</v>
      </c>
      <c r="C2491">
        <v>1440</v>
      </c>
      <c r="D2491" t="s">
        <v>342</v>
      </c>
      <c r="E2491">
        <v>24.15</v>
      </c>
      <c r="F2491">
        <v>16.649999999999999</v>
      </c>
      <c r="G2491">
        <v>16.25</v>
      </c>
      <c r="H2491">
        <v>32.9</v>
      </c>
      <c r="I2491" t="s">
        <v>344</v>
      </c>
      <c r="J2491">
        <v>57.53</v>
      </c>
      <c r="K2491">
        <v>6.62</v>
      </c>
      <c r="L2491" t="s">
        <v>346</v>
      </c>
      <c r="M2491" s="1">
        <v>6.6199999999999995E-2</v>
      </c>
      <c r="N2491" t="s">
        <v>350</v>
      </c>
      <c r="O2491">
        <v>-2.3199999999999998</v>
      </c>
      <c r="P2491" t="s">
        <v>344</v>
      </c>
      <c r="Q2491">
        <v>3</v>
      </c>
      <c r="R2491" t="s">
        <v>344</v>
      </c>
      <c r="S2491">
        <v>1</v>
      </c>
    </row>
    <row r="2492" spans="1:19" x14ac:dyDescent="0.25">
      <c r="A2492" t="s">
        <v>51</v>
      </c>
      <c r="B2492" t="s">
        <v>131</v>
      </c>
      <c r="C2492">
        <v>1460</v>
      </c>
      <c r="D2492" t="s">
        <v>342</v>
      </c>
      <c r="E2492">
        <v>24.15</v>
      </c>
      <c r="F2492">
        <v>16.25</v>
      </c>
      <c r="G2492">
        <v>16.989999999999998</v>
      </c>
      <c r="H2492">
        <v>33.24</v>
      </c>
      <c r="I2492" t="s">
        <v>344</v>
      </c>
      <c r="J2492">
        <v>59.08</v>
      </c>
      <c r="K2492">
        <v>7.76</v>
      </c>
      <c r="L2492" t="s">
        <v>346</v>
      </c>
      <c r="M2492" s="1">
        <v>7.7600000000000002E-2</v>
      </c>
      <c r="N2492" t="s">
        <v>350</v>
      </c>
      <c r="O2492">
        <v>-1.72</v>
      </c>
      <c r="P2492" t="s">
        <v>343</v>
      </c>
      <c r="Q2492">
        <v>2.12</v>
      </c>
      <c r="R2492" t="s">
        <v>344</v>
      </c>
      <c r="S2492">
        <v>1</v>
      </c>
    </row>
    <row r="2493" spans="1:19" x14ac:dyDescent="0.25">
      <c r="A2493" t="s">
        <v>51</v>
      </c>
      <c r="B2493" t="s">
        <v>132</v>
      </c>
      <c r="C2493">
        <v>1480</v>
      </c>
      <c r="D2493" t="s">
        <v>342</v>
      </c>
      <c r="E2493">
        <v>24.15</v>
      </c>
      <c r="F2493">
        <v>14.73</v>
      </c>
      <c r="G2493">
        <v>17.68</v>
      </c>
      <c r="H2493">
        <v>32.409999999999997</v>
      </c>
      <c r="I2493" t="s">
        <v>344</v>
      </c>
      <c r="J2493">
        <v>60.56</v>
      </c>
      <c r="K2493">
        <v>7.41</v>
      </c>
      <c r="L2493" t="s">
        <v>346</v>
      </c>
      <c r="M2493" s="1">
        <v>7.4099999999999999E-2</v>
      </c>
      <c r="N2493" t="s">
        <v>350</v>
      </c>
      <c r="O2493">
        <v>-2.17</v>
      </c>
      <c r="P2493" t="s">
        <v>344</v>
      </c>
      <c r="Q2493">
        <v>2.82</v>
      </c>
      <c r="R2493" t="s">
        <v>344</v>
      </c>
      <c r="S2493">
        <v>1</v>
      </c>
    </row>
    <row r="2494" spans="1:19" x14ac:dyDescent="0.25">
      <c r="A2494" t="s">
        <v>51</v>
      </c>
      <c r="B2494" t="s">
        <v>133</v>
      </c>
      <c r="C2494">
        <v>1500</v>
      </c>
      <c r="D2494" t="s">
        <v>342</v>
      </c>
      <c r="E2494">
        <v>24.15</v>
      </c>
      <c r="F2494">
        <v>14.36</v>
      </c>
      <c r="G2494">
        <v>17.47</v>
      </c>
      <c r="H2494">
        <v>31.83</v>
      </c>
      <c r="I2494" t="s">
        <v>344</v>
      </c>
      <c r="J2494">
        <v>61.96</v>
      </c>
      <c r="K2494">
        <v>6.98</v>
      </c>
      <c r="L2494" t="s">
        <v>346</v>
      </c>
      <c r="M2494" s="1">
        <v>6.9800000000000001E-2</v>
      </c>
      <c r="N2494" t="s">
        <v>350</v>
      </c>
      <c r="O2494">
        <v>-2.92</v>
      </c>
      <c r="P2494" t="s">
        <v>344</v>
      </c>
      <c r="Q2494">
        <v>3.21</v>
      </c>
      <c r="R2494" t="s">
        <v>344</v>
      </c>
      <c r="S2494">
        <v>1</v>
      </c>
    </row>
    <row r="2495" spans="1:19" x14ac:dyDescent="0.25">
      <c r="A2495" t="s">
        <v>51</v>
      </c>
      <c r="B2495" t="s">
        <v>134</v>
      </c>
      <c r="C2495">
        <v>1520</v>
      </c>
      <c r="D2495" t="s">
        <v>342</v>
      </c>
      <c r="E2495">
        <v>24.15</v>
      </c>
      <c r="F2495">
        <v>14.24</v>
      </c>
      <c r="G2495">
        <v>17.04</v>
      </c>
      <c r="H2495">
        <v>31.28</v>
      </c>
      <c r="I2495" t="s">
        <v>344</v>
      </c>
      <c r="J2495">
        <v>63.41</v>
      </c>
      <c r="K2495">
        <v>7.23</v>
      </c>
      <c r="L2495" t="s">
        <v>346</v>
      </c>
      <c r="M2495" s="1">
        <v>7.2300000000000003E-2</v>
      </c>
      <c r="N2495" t="s">
        <v>350</v>
      </c>
      <c r="O2495">
        <v>-3.12</v>
      </c>
      <c r="P2495" t="s">
        <v>344</v>
      </c>
      <c r="Q2495">
        <v>3.06</v>
      </c>
      <c r="R2495" t="s">
        <v>344</v>
      </c>
      <c r="S2495">
        <v>1</v>
      </c>
    </row>
    <row r="2496" spans="1:19" x14ac:dyDescent="0.25">
      <c r="A2496" t="s">
        <v>51</v>
      </c>
      <c r="B2496" t="s">
        <v>135</v>
      </c>
      <c r="C2496">
        <v>1540</v>
      </c>
      <c r="D2496" t="s">
        <v>342</v>
      </c>
      <c r="E2496">
        <v>24.15</v>
      </c>
      <c r="F2496">
        <v>13.96</v>
      </c>
      <c r="G2496">
        <v>16.59</v>
      </c>
      <c r="H2496">
        <v>30.55</v>
      </c>
      <c r="I2496" t="s">
        <v>344</v>
      </c>
      <c r="J2496">
        <v>65.03</v>
      </c>
      <c r="K2496">
        <v>8.1199999999999992</v>
      </c>
      <c r="L2496" t="s">
        <v>347</v>
      </c>
      <c r="M2496" s="1">
        <v>8.1199999999999994E-2</v>
      </c>
      <c r="N2496" t="s">
        <v>350</v>
      </c>
      <c r="O2496">
        <v>-4.87</v>
      </c>
      <c r="P2496" t="s">
        <v>343</v>
      </c>
      <c r="Q2496">
        <v>4.04</v>
      </c>
      <c r="R2496" t="s">
        <v>343</v>
      </c>
      <c r="S2496">
        <v>1</v>
      </c>
    </row>
    <row r="2497" spans="1:19" x14ac:dyDescent="0.25">
      <c r="A2497" t="s">
        <v>51</v>
      </c>
      <c r="B2497" t="s">
        <v>136</v>
      </c>
      <c r="C2497">
        <v>1560</v>
      </c>
      <c r="D2497" t="s">
        <v>342</v>
      </c>
      <c r="E2497">
        <v>24.15</v>
      </c>
      <c r="F2497">
        <v>14.95</v>
      </c>
      <c r="G2497">
        <v>16.899999999999999</v>
      </c>
      <c r="H2497">
        <v>31.85</v>
      </c>
      <c r="I2497" t="s">
        <v>344</v>
      </c>
      <c r="J2497">
        <v>67.62</v>
      </c>
      <c r="K2497">
        <v>12.97</v>
      </c>
      <c r="L2497" t="s">
        <v>348</v>
      </c>
      <c r="M2497" s="1">
        <v>0.12970000000000001</v>
      </c>
      <c r="N2497" t="s">
        <v>350</v>
      </c>
      <c r="O2497">
        <v>-3.37</v>
      </c>
      <c r="P2497" t="s">
        <v>344</v>
      </c>
      <c r="Q2497">
        <v>3.22</v>
      </c>
      <c r="R2497" t="s">
        <v>344</v>
      </c>
      <c r="S2497">
        <v>1</v>
      </c>
    </row>
    <row r="2498" spans="1:19" x14ac:dyDescent="0.25">
      <c r="A2498" t="s">
        <v>51</v>
      </c>
      <c r="B2498" t="s">
        <v>333</v>
      </c>
      <c r="C2498">
        <v>1566.6189999999999</v>
      </c>
      <c r="D2498" t="s">
        <v>342</v>
      </c>
      <c r="E2498">
        <v>24.15</v>
      </c>
      <c r="F2498">
        <v>16.66</v>
      </c>
      <c r="G2498">
        <v>17.47</v>
      </c>
      <c r="H2498">
        <v>34.119999999999997</v>
      </c>
      <c r="I2498" t="s">
        <v>344</v>
      </c>
      <c r="J2498">
        <v>67.81</v>
      </c>
      <c r="K2498">
        <v>2.87</v>
      </c>
      <c r="L2498" t="s">
        <v>346</v>
      </c>
      <c r="M2498" s="1">
        <v>2.87E-2</v>
      </c>
      <c r="N2498" t="s">
        <v>350</v>
      </c>
      <c r="O2498">
        <v>-2.37</v>
      </c>
      <c r="P2498" t="s">
        <v>344</v>
      </c>
      <c r="Q2498">
        <v>3.57</v>
      </c>
      <c r="R2498" t="s">
        <v>344</v>
      </c>
      <c r="S2498">
        <v>0</v>
      </c>
    </row>
    <row r="2499" spans="1:19" x14ac:dyDescent="0.25">
      <c r="A2499" t="s">
        <v>52</v>
      </c>
      <c r="B2499" t="s">
        <v>56</v>
      </c>
      <c r="C2499">
        <v>0</v>
      </c>
      <c r="D2499" t="s">
        <v>342</v>
      </c>
      <c r="E2499">
        <v>24.15</v>
      </c>
      <c r="F2499">
        <v>16.739999999999998</v>
      </c>
      <c r="G2499">
        <v>17.25</v>
      </c>
      <c r="H2499">
        <v>33.99</v>
      </c>
      <c r="I2499" t="s">
        <v>344</v>
      </c>
      <c r="J2499">
        <v>70.489999999999995</v>
      </c>
      <c r="L2499" t="s">
        <v>345</v>
      </c>
      <c r="N2499" t="s">
        <v>345</v>
      </c>
      <c r="O2499">
        <v>3.42</v>
      </c>
      <c r="P2499" t="s">
        <v>344</v>
      </c>
      <c r="Q2499">
        <v>0.06</v>
      </c>
      <c r="R2499" t="s">
        <v>343</v>
      </c>
      <c r="S2499">
        <v>1</v>
      </c>
    </row>
    <row r="2500" spans="1:19" x14ac:dyDescent="0.25">
      <c r="A2500" t="s">
        <v>52</v>
      </c>
      <c r="B2500" t="s">
        <v>57</v>
      </c>
      <c r="C2500">
        <v>20</v>
      </c>
      <c r="D2500" t="s">
        <v>342</v>
      </c>
      <c r="E2500">
        <v>24.15</v>
      </c>
      <c r="F2500">
        <v>16.66</v>
      </c>
      <c r="G2500">
        <v>17.25</v>
      </c>
      <c r="H2500">
        <v>33.909999999999997</v>
      </c>
      <c r="I2500" t="s">
        <v>344</v>
      </c>
      <c r="J2500">
        <v>69.86</v>
      </c>
      <c r="K2500">
        <v>-3.18</v>
      </c>
      <c r="L2500" t="s">
        <v>346</v>
      </c>
      <c r="M2500" s="1">
        <v>3.1800000000000002E-2</v>
      </c>
      <c r="N2500" t="s">
        <v>350</v>
      </c>
      <c r="O2500">
        <v>0.96</v>
      </c>
      <c r="P2500" t="s">
        <v>343</v>
      </c>
      <c r="Q2500">
        <v>1.1499999999999999</v>
      </c>
      <c r="R2500" t="s">
        <v>343</v>
      </c>
      <c r="S2500">
        <v>1</v>
      </c>
    </row>
    <row r="2501" spans="1:19" x14ac:dyDescent="0.25">
      <c r="A2501" t="s">
        <v>52</v>
      </c>
      <c r="B2501" t="s">
        <v>58</v>
      </c>
      <c r="C2501">
        <v>40</v>
      </c>
      <c r="D2501" t="s">
        <v>342</v>
      </c>
      <c r="E2501">
        <v>24.15</v>
      </c>
      <c r="F2501">
        <v>16.739999999999998</v>
      </c>
      <c r="G2501">
        <v>13.35</v>
      </c>
      <c r="H2501">
        <v>30.08</v>
      </c>
      <c r="I2501" t="s">
        <v>344</v>
      </c>
      <c r="J2501">
        <v>69.040000000000006</v>
      </c>
      <c r="K2501">
        <v>-4.08</v>
      </c>
      <c r="L2501" t="s">
        <v>346</v>
      </c>
      <c r="M2501" s="1">
        <v>4.0800000000000003E-2</v>
      </c>
      <c r="N2501" t="s">
        <v>350</v>
      </c>
      <c r="O2501">
        <v>1.77</v>
      </c>
      <c r="P2501" t="s">
        <v>343</v>
      </c>
      <c r="Q2501">
        <v>1.41</v>
      </c>
      <c r="R2501" t="s">
        <v>343</v>
      </c>
      <c r="S2501">
        <v>1</v>
      </c>
    </row>
    <row r="2502" spans="1:19" x14ac:dyDescent="0.25">
      <c r="A2502" t="s">
        <v>52</v>
      </c>
      <c r="B2502" t="s">
        <v>59</v>
      </c>
      <c r="C2502">
        <v>60</v>
      </c>
      <c r="D2502" t="s">
        <v>342</v>
      </c>
      <c r="E2502">
        <v>24.15</v>
      </c>
      <c r="F2502">
        <v>16.34</v>
      </c>
      <c r="G2502">
        <v>12.48</v>
      </c>
      <c r="H2502">
        <v>28.82</v>
      </c>
      <c r="I2502" t="s">
        <v>344</v>
      </c>
      <c r="J2502">
        <v>69</v>
      </c>
      <c r="K2502">
        <v>-0.2</v>
      </c>
      <c r="L2502" t="s">
        <v>346</v>
      </c>
      <c r="M2502" s="1">
        <v>2E-3</v>
      </c>
      <c r="N2502" t="s">
        <v>349</v>
      </c>
      <c r="O2502">
        <v>3.49</v>
      </c>
      <c r="P2502" t="s">
        <v>344</v>
      </c>
      <c r="Q2502">
        <v>-0.34</v>
      </c>
      <c r="R2502" t="s">
        <v>343</v>
      </c>
      <c r="S2502">
        <v>1</v>
      </c>
    </row>
    <row r="2503" spans="1:19" x14ac:dyDescent="0.25">
      <c r="A2503" t="s">
        <v>52</v>
      </c>
      <c r="B2503" t="s">
        <v>60</v>
      </c>
      <c r="C2503">
        <v>80</v>
      </c>
      <c r="D2503" t="s">
        <v>342</v>
      </c>
      <c r="E2503">
        <v>24.15</v>
      </c>
      <c r="F2503">
        <v>16.95</v>
      </c>
      <c r="G2503">
        <v>13.22</v>
      </c>
      <c r="H2503">
        <v>30.17</v>
      </c>
      <c r="I2503" t="s">
        <v>344</v>
      </c>
      <c r="J2503">
        <v>69.88</v>
      </c>
      <c r="K2503">
        <v>4.38</v>
      </c>
      <c r="L2503" t="s">
        <v>346</v>
      </c>
      <c r="M2503" s="1">
        <v>4.3799999999999999E-2</v>
      </c>
      <c r="N2503" t="s">
        <v>350</v>
      </c>
      <c r="O2503">
        <v>3.74</v>
      </c>
      <c r="P2503" t="s">
        <v>344</v>
      </c>
      <c r="Q2503">
        <v>0.2</v>
      </c>
      <c r="R2503" t="s">
        <v>343</v>
      </c>
      <c r="S2503">
        <v>1</v>
      </c>
    </row>
    <row r="2504" spans="1:19" x14ac:dyDescent="0.25">
      <c r="A2504" t="s">
        <v>52</v>
      </c>
      <c r="B2504" t="s">
        <v>61</v>
      </c>
      <c r="C2504">
        <v>100</v>
      </c>
      <c r="D2504" t="s">
        <v>342</v>
      </c>
      <c r="E2504">
        <v>24.15</v>
      </c>
      <c r="F2504">
        <v>16.95</v>
      </c>
      <c r="G2504">
        <v>14.25</v>
      </c>
      <c r="H2504">
        <v>31.2</v>
      </c>
      <c r="I2504" t="s">
        <v>344</v>
      </c>
      <c r="J2504">
        <v>70.48</v>
      </c>
      <c r="K2504">
        <v>3.05</v>
      </c>
      <c r="L2504" t="s">
        <v>346</v>
      </c>
      <c r="M2504" s="1">
        <v>3.0499999999999999E-2</v>
      </c>
      <c r="N2504" t="s">
        <v>350</v>
      </c>
      <c r="O2504">
        <v>3.94</v>
      </c>
      <c r="P2504" t="s">
        <v>344</v>
      </c>
      <c r="Q2504">
        <v>-1.98</v>
      </c>
      <c r="R2504" t="s">
        <v>343</v>
      </c>
      <c r="S2504">
        <v>1</v>
      </c>
    </row>
    <row r="2505" spans="1:19" x14ac:dyDescent="0.25">
      <c r="A2505" t="s">
        <v>52</v>
      </c>
      <c r="B2505" t="s">
        <v>62</v>
      </c>
      <c r="C2505">
        <v>120</v>
      </c>
      <c r="D2505" t="s">
        <v>342</v>
      </c>
      <c r="E2505">
        <v>24.15</v>
      </c>
      <c r="F2505">
        <v>16.489999999999998</v>
      </c>
      <c r="G2505">
        <v>14.04</v>
      </c>
      <c r="H2505">
        <v>30.53</v>
      </c>
      <c r="I2505" t="s">
        <v>344</v>
      </c>
      <c r="J2505">
        <v>69.930000000000007</v>
      </c>
      <c r="K2505">
        <v>-2.76</v>
      </c>
      <c r="L2505" t="s">
        <v>346</v>
      </c>
      <c r="M2505" s="1">
        <v>2.76E-2</v>
      </c>
      <c r="N2505" t="s">
        <v>350</v>
      </c>
      <c r="O2505">
        <v>2.98</v>
      </c>
      <c r="P2505" t="s">
        <v>344</v>
      </c>
      <c r="Q2505">
        <v>-1.55</v>
      </c>
      <c r="R2505" t="s">
        <v>343</v>
      </c>
      <c r="S2505">
        <v>1</v>
      </c>
    </row>
    <row r="2506" spans="1:19" x14ac:dyDescent="0.25">
      <c r="A2506" t="s">
        <v>52</v>
      </c>
      <c r="B2506" t="s">
        <v>63</v>
      </c>
      <c r="C2506">
        <v>140</v>
      </c>
      <c r="D2506" t="s">
        <v>342</v>
      </c>
      <c r="E2506">
        <v>24.15</v>
      </c>
      <c r="F2506">
        <v>15.52</v>
      </c>
      <c r="G2506">
        <v>13.28</v>
      </c>
      <c r="H2506">
        <v>28.8</v>
      </c>
      <c r="I2506" t="s">
        <v>344</v>
      </c>
      <c r="J2506">
        <v>70.27</v>
      </c>
      <c r="K2506">
        <v>1.69</v>
      </c>
      <c r="L2506" t="s">
        <v>346</v>
      </c>
      <c r="M2506" s="1">
        <v>1.6899999999999998E-2</v>
      </c>
      <c r="N2506" t="s">
        <v>349</v>
      </c>
      <c r="O2506">
        <v>3.39</v>
      </c>
      <c r="P2506" t="s">
        <v>344</v>
      </c>
      <c r="Q2506">
        <v>-0.38</v>
      </c>
      <c r="R2506" t="s">
        <v>343</v>
      </c>
      <c r="S2506">
        <v>1</v>
      </c>
    </row>
    <row r="2507" spans="1:19" x14ac:dyDescent="0.25">
      <c r="A2507" t="s">
        <v>52</v>
      </c>
      <c r="B2507" t="s">
        <v>64</v>
      </c>
      <c r="C2507">
        <v>160</v>
      </c>
      <c r="D2507" t="s">
        <v>342</v>
      </c>
      <c r="E2507">
        <v>24.15</v>
      </c>
      <c r="F2507">
        <v>14.36</v>
      </c>
      <c r="G2507">
        <v>13.18</v>
      </c>
      <c r="H2507">
        <v>27.54</v>
      </c>
      <c r="I2507" t="s">
        <v>344</v>
      </c>
      <c r="J2507">
        <v>70.709999999999994</v>
      </c>
      <c r="K2507">
        <v>2.19</v>
      </c>
      <c r="L2507" t="s">
        <v>346</v>
      </c>
      <c r="M2507" s="1">
        <v>2.1899999999999999E-2</v>
      </c>
      <c r="N2507" t="s">
        <v>350</v>
      </c>
      <c r="O2507">
        <v>3.18</v>
      </c>
      <c r="P2507" t="s">
        <v>344</v>
      </c>
      <c r="Q2507">
        <v>-0.25</v>
      </c>
      <c r="R2507" t="s">
        <v>343</v>
      </c>
      <c r="S2507">
        <v>1</v>
      </c>
    </row>
    <row r="2508" spans="1:19" x14ac:dyDescent="0.25">
      <c r="A2508" t="s">
        <v>52</v>
      </c>
      <c r="B2508" t="s">
        <v>65</v>
      </c>
      <c r="C2508">
        <v>180</v>
      </c>
      <c r="D2508" t="s">
        <v>342</v>
      </c>
      <c r="E2508">
        <v>24.15</v>
      </c>
      <c r="F2508">
        <v>14.25</v>
      </c>
      <c r="G2508">
        <v>14.21</v>
      </c>
      <c r="H2508">
        <v>28.46</v>
      </c>
      <c r="I2508" t="s">
        <v>344</v>
      </c>
      <c r="J2508">
        <v>71.239999999999995</v>
      </c>
      <c r="K2508">
        <v>2.67</v>
      </c>
      <c r="L2508" t="s">
        <v>346</v>
      </c>
      <c r="M2508" s="1">
        <v>2.6700000000000002E-2</v>
      </c>
      <c r="N2508" t="s">
        <v>350</v>
      </c>
      <c r="O2508">
        <v>3.58</v>
      </c>
      <c r="P2508" t="s">
        <v>344</v>
      </c>
      <c r="Q2508">
        <v>0.13</v>
      </c>
      <c r="R2508" t="s">
        <v>343</v>
      </c>
      <c r="S2508">
        <v>1</v>
      </c>
    </row>
    <row r="2509" spans="1:19" x14ac:dyDescent="0.25">
      <c r="A2509" t="s">
        <v>52</v>
      </c>
      <c r="B2509" t="s">
        <v>66</v>
      </c>
      <c r="C2509">
        <v>200</v>
      </c>
      <c r="D2509" t="s">
        <v>342</v>
      </c>
      <c r="E2509">
        <v>24.15</v>
      </c>
      <c r="F2509">
        <v>15.04</v>
      </c>
      <c r="G2509">
        <v>14.98</v>
      </c>
      <c r="H2509">
        <v>30.02</v>
      </c>
      <c r="I2509" t="s">
        <v>344</v>
      </c>
      <c r="J2509">
        <v>71.72</v>
      </c>
      <c r="K2509">
        <v>2.4</v>
      </c>
      <c r="L2509" t="s">
        <v>346</v>
      </c>
      <c r="M2509" s="1">
        <v>2.4E-2</v>
      </c>
      <c r="N2509" t="s">
        <v>350</v>
      </c>
      <c r="O2509">
        <v>1.97</v>
      </c>
      <c r="P2509" t="s">
        <v>343</v>
      </c>
      <c r="Q2509">
        <v>0.49</v>
      </c>
      <c r="R2509" t="s">
        <v>343</v>
      </c>
      <c r="S2509">
        <v>1</v>
      </c>
    </row>
    <row r="2510" spans="1:19" x14ac:dyDescent="0.25">
      <c r="A2510" t="s">
        <v>52</v>
      </c>
      <c r="B2510" t="s">
        <v>67</v>
      </c>
      <c r="C2510">
        <v>220</v>
      </c>
      <c r="D2510" t="s">
        <v>342</v>
      </c>
      <c r="E2510">
        <v>24.15</v>
      </c>
      <c r="F2510">
        <v>16.11</v>
      </c>
      <c r="G2510">
        <v>15.8</v>
      </c>
      <c r="H2510">
        <v>31.92</v>
      </c>
      <c r="I2510" t="s">
        <v>344</v>
      </c>
      <c r="J2510">
        <v>72.27</v>
      </c>
      <c r="K2510">
        <v>2.74</v>
      </c>
      <c r="L2510" t="s">
        <v>346</v>
      </c>
      <c r="M2510" s="1">
        <v>2.7400000000000001E-2</v>
      </c>
      <c r="N2510" t="s">
        <v>350</v>
      </c>
      <c r="O2510">
        <v>1.1499999999999999</v>
      </c>
      <c r="P2510" t="s">
        <v>343</v>
      </c>
      <c r="Q2510">
        <v>0.52</v>
      </c>
      <c r="R2510" t="s">
        <v>343</v>
      </c>
      <c r="S2510">
        <v>1</v>
      </c>
    </row>
    <row r="2511" spans="1:19" x14ac:dyDescent="0.25">
      <c r="A2511" t="s">
        <v>52</v>
      </c>
      <c r="B2511" t="s">
        <v>68</v>
      </c>
      <c r="C2511">
        <v>240</v>
      </c>
      <c r="D2511" t="s">
        <v>342</v>
      </c>
      <c r="E2511">
        <v>24.15</v>
      </c>
      <c r="F2511">
        <v>17.809999999999999</v>
      </c>
      <c r="G2511">
        <v>15.8</v>
      </c>
      <c r="H2511">
        <v>33.61</v>
      </c>
      <c r="I2511" t="s">
        <v>344</v>
      </c>
      <c r="J2511">
        <v>72.900000000000006</v>
      </c>
      <c r="K2511">
        <v>3.18</v>
      </c>
      <c r="L2511" t="s">
        <v>346</v>
      </c>
      <c r="M2511" s="1">
        <v>3.1800000000000002E-2</v>
      </c>
      <c r="N2511" t="s">
        <v>350</v>
      </c>
      <c r="O2511">
        <v>1.8</v>
      </c>
      <c r="P2511" t="s">
        <v>343</v>
      </c>
      <c r="Q2511">
        <v>1.17</v>
      </c>
      <c r="R2511" t="s">
        <v>343</v>
      </c>
      <c r="S2511">
        <v>1</v>
      </c>
    </row>
    <row r="2512" spans="1:19" x14ac:dyDescent="0.25">
      <c r="A2512" t="s">
        <v>52</v>
      </c>
      <c r="B2512" t="s">
        <v>69</v>
      </c>
      <c r="C2512">
        <v>260</v>
      </c>
      <c r="D2512" t="s">
        <v>342</v>
      </c>
      <c r="E2512">
        <v>24.15</v>
      </c>
      <c r="F2512">
        <v>17.59</v>
      </c>
      <c r="G2512">
        <v>16.34</v>
      </c>
      <c r="H2512">
        <v>33.93</v>
      </c>
      <c r="I2512" t="s">
        <v>344</v>
      </c>
      <c r="J2512">
        <v>73.28</v>
      </c>
      <c r="K2512">
        <v>1.91</v>
      </c>
      <c r="L2512" t="s">
        <v>346</v>
      </c>
      <c r="M2512" s="1">
        <v>1.9099999999999999E-2</v>
      </c>
      <c r="N2512" t="s">
        <v>349</v>
      </c>
      <c r="O2512">
        <v>1.44</v>
      </c>
      <c r="P2512" t="s">
        <v>343</v>
      </c>
      <c r="Q2512">
        <v>1.2</v>
      </c>
      <c r="R2512" t="s">
        <v>343</v>
      </c>
      <c r="S2512">
        <v>1</v>
      </c>
    </row>
    <row r="2513" spans="1:19" x14ac:dyDescent="0.25">
      <c r="A2513" t="s">
        <v>52</v>
      </c>
      <c r="B2513" t="s">
        <v>70</v>
      </c>
      <c r="C2513">
        <v>280</v>
      </c>
      <c r="D2513" t="s">
        <v>342</v>
      </c>
      <c r="E2513">
        <v>24.15</v>
      </c>
      <c r="F2513">
        <v>17.59</v>
      </c>
      <c r="G2513">
        <v>13.48</v>
      </c>
      <c r="H2513">
        <v>31.07</v>
      </c>
      <c r="I2513" t="s">
        <v>344</v>
      </c>
      <c r="J2513">
        <v>73.64</v>
      </c>
      <c r="K2513">
        <v>1.76</v>
      </c>
      <c r="L2513" t="s">
        <v>346</v>
      </c>
      <c r="M2513" s="1">
        <v>1.7600000000000001E-2</v>
      </c>
      <c r="N2513" t="s">
        <v>349</v>
      </c>
      <c r="O2513">
        <v>0.52</v>
      </c>
      <c r="P2513" t="s">
        <v>343</v>
      </c>
      <c r="Q2513">
        <v>0.43</v>
      </c>
      <c r="R2513" t="s">
        <v>343</v>
      </c>
      <c r="S2513">
        <v>1</v>
      </c>
    </row>
    <row r="2514" spans="1:19" x14ac:dyDescent="0.25">
      <c r="A2514" t="s">
        <v>52</v>
      </c>
      <c r="B2514" t="s">
        <v>71</v>
      </c>
      <c r="C2514">
        <v>300</v>
      </c>
      <c r="D2514" t="s">
        <v>342</v>
      </c>
      <c r="E2514">
        <v>24.15</v>
      </c>
      <c r="F2514">
        <v>15.59</v>
      </c>
      <c r="G2514">
        <v>13.18</v>
      </c>
      <c r="H2514">
        <v>28.77</v>
      </c>
      <c r="I2514" t="s">
        <v>344</v>
      </c>
      <c r="J2514">
        <v>74.040000000000006</v>
      </c>
      <c r="K2514">
        <v>2.02</v>
      </c>
      <c r="L2514" t="s">
        <v>346</v>
      </c>
      <c r="M2514" s="1">
        <v>2.0199999999999999E-2</v>
      </c>
      <c r="N2514" t="s">
        <v>350</v>
      </c>
      <c r="O2514">
        <v>-1.04</v>
      </c>
      <c r="P2514" t="s">
        <v>343</v>
      </c>
      <c r="Q2514">
        <v>0.73</v>
      </c>
      <c r="R2514" t="s">
        <v>343</v>
      </c>
      <c r="S2514">
        <v>1</v>
      </c>
    </row>
    <row r="2515" spans="1:19" x14ac:dyDescent="0.25">
      <c r="A2515" t="s">
        <v>52</v>
      </c>
      <c r="B2515" t="s">
        <v>72</v>
      </c>
      <c r="C2515">
        <v>320</v>
      </c>
      <c r="D2515" t="s">
        <v>342</v>
      </c>
      <c r="E2515">
        <v>24.15</v>
      </c>
      <c r="F2515">
        <v>14.87</v>
      </c>
      <c r="G2515">
        <v>12.35</v>
      </c>
      <c r="H2515">
        <v>27.22</v>
      </c>
      <c r="I2515" t="s">
        <v>344</v>
      </c>
      <c r="J2515">
        <v>74.569999999999993</v>
      </c>
      <c r="K2515">
        <v>2.66</v>
      </c>
      <c r="L2515" t="s">
        <v>346</v>
      </c>
      <c r="M2515" s="1">
        <v>2.6599999999999999E-2</v>
      </c>
      <c r="N2515" t="s">
        <v>350</v>
      </c>
      <c r="O2515">
        <v>-0.67</v>
      </c>
      <c r="P2515" t="s">
        <v>343</v>
      </c>
      <c r="Q2515">
        <v>-0.02</v>
      </c>
      <c r="R2515" t="s">
        <v>343</v>
      </c>
      <c r="S2515">
        <v>1</v>
      </c>
    </row>
    <row r="2516" spans="1:19" x14ac:dyDescent="0.25">
      <c r="A2516" t="s">
        <v>52</v>
      </c>
      <c r="B2516" t="s">
        <v>73</v>
      </c>
      <c r="C2516">
        <v>340</v>
      </c>
      <c r="D2516" t="s">
        <v>342</v>
      </c>
      <c r="E2516">
        <v>24.15</v>
      </c>
      <c r="F2516">
        <v>12.62</v>
      </c>
      <c r="G2516">
        <v>11.84</v>
      </c>
      <c r="H2516">
        <v>24.45</v>
      </c>
      <c r="I2516" t="s">
        <v>344</v>
      </c>
      <c r="J2516">
        <v>76.44</v>
      </c>
      <c r="K2516">
        <v>9.33</v>
      </c>
      <c r="L2516" t="s">
        <v>348</v>
      </c>
      <c r="M2516" s="1">
        <v>9.3299999999999994E-2</v>
      </c>
      <c r="N2516" t="s">
        <v>350</v>
      </c>
      <c r="O2516">
        <v>0.2</v>
      </c>
      <c r="P2516" t="s">
        <v>343</v>
      </c>
      <c r="Q2516">
        <v>1.67</v>
      </c>
      <c r="R2516" t="s">
        <v>343</v>
      </c>
      <c r="S2516">
        <v>1</v>
      </c>
    </row>
    <row r="2517" spans="1:19" x14ac:dyDescent="0.25">
      <c r="A2517" t="s">
        <v>52</v>
      </c>
      <c r="B2517" t="s">
        <v>74</v>
      </c>
      <c r="C2517">
        <v>360</v>
      </c>
      <c r="D2517" t="s">
        <v>342</v>
      </c>
      <c r="E2517">
        <v>24.15</v>
      </c>
      <c r="F2517">
        <v>12.68</v>
      </c>
      <c r="G2517">
        <v>10.35</v>
      </c>
      <c r="H2517">
        <v>23.03</v>
      </c>
      <c r="I2517" t="s">
        <v>343</v>
      </c>
      <c r="J2517">
        <v>76.92</v>
      </c>
      <c r="K2517">
        <v>2.4300000000000002</v>
      </c>
      <c r="L2517" t="s">
        <v>346</v>
      </c>
      <c r="M2517" s="1">
        <v>2.4299999999999999E-2</v>
      </c>
      <c r="N2517" t="s">
        <v>350</v>
      </c>
      <c r="O2517">
        <v>1.6</v>
      </c>
      <c r="P2517" t="s">
        <v>343</v>
      </c>
      <c r="Q2517">
        <v>2.09</v>
      </c>
      <c r="R2517" t="s">
        <v>344</v>
      </c>
      <c r="S2517">
        <v>1</v>
      </c>
    </row>
    <row r="2518" spans="1:19" x14ac:dyDescent="0.25">
      <c r="A2518" t="s">
        <v>52</v>
      </c>
      <c r="B2518" t="s">
        <v>75</v>
      </c>
      <c r="C2518">
        <v>380</v>
      </c>
      <c r="D2518" t="s">
        <v>342</v>
      </c>
      <c r="E2518">
        <v>24.15</v>
      </c>
      <c r="F2518">
        <v>12.69</v>
      </c>
      <c r="G2518">
        <v>11.26</v>
      </c>
      <c r="H2518">
        <v>23.96</v>
      </c>
      <c r="I2518" t="s">
        <v>343</v>
      </c>
      <c r="J2518">
        <v>76.92</v>
      </c>
      <c r="K2518">
        <v>-0.03</v>
      </c>
      <c r="L2518" t="s">
        <v>346</v>
      </c>
      <c r="M2518" s="1">
        <v>2.9999999999999997E-4</v>
      </c>
      <c r="N2518" t="s">
        <v>349</v>
      </c>
      <c r="O2518">
        <v>-0.35</v>
      </c>
      <c r="P2518" t="s">
        <v>343</v>
      </c>
      <c r="Q2518">
        <v>2.13</v>
      </c>
      <c r="R2518" t="s">
        <v>344</v>
      </c>
      <c r="S2518">
        <v>1</v>
      </c>
    </row>
    <row r="2519" spans="1:19" x14ac:dyDescent="0.25">
      <c r="A2519" t="s">
        <v>52</v>
      </c>
      <c r="B2519" t="s">
        <v>76</v>
      </c>
      <c r="C2519">
        <v>400</v>
      </c>
      <c r="D2519" t="s">
        <v>342</v>
      </c>
      <c r="E2519">
        <v>24.15</v>
      </c>
      <c r="F2519">
        <v>12.71</v>
      </c>
      <c r="G2519">
        <v>12.16</v>
      </c>
      <c r="H2519">
        <v>24.87</v>
      </c>
      <c r="I2519" t="s">
        <v>344</v>
      </c>
      <c r="J2519">
        <v>77.97</v>
      </c>
      <c r="K2519">
        <v>5.27</v>
      </c>
      <c r="L2519" t="s">
        <v>346</v>
      </c>
      <c r="M2519" s="1">
        <v>5.2699999999999997E-2</v>
      </c>
      <c r="N2519" t="s">
        <v>350</v>
      </c>
      <c r="O2519">
        <v>0.37</v>
      </c>
      <c r="P2519" t="s">
        <v>343</v>
      </c>
      <c r="Q2519">
        <v>2.66</v>
      </c>
      <c r="R2519" t="s">
        <v>344</v>
      </c>
      <c r="S2519">
        <v>1</v>
      </c>
    </row>
    <row r="2520" spans="1:19" x14ac:dyDescent="0.25">
      <c r="A2520" t="s">
        <v>52</v>
      </c>
      <c r="B2520" t="s">
        <v>77</v>
      </c>
      <c r="C2520">
        <v>420</v>
      </c>
      <c r="D2520" t="s">
        <v>342</v>
      </c>
      <c r="E2520">
        <v>24.15</v>
      </c>
      <c r="F2520">
        <v>13.38</v>
      </c>
      <c r="G2520">
        <v>12.16</v>
      </c>
      <c r="H2520">
        <v>25.54</v>
      </c>
      <c r="I2520" t="s">
        <v>344</v>
      </c>
      <c r="J2520">
        <v>79.150000000000006</v>
      </c>
      <c r="K2520">
        <v>5.9</v>
      </c>
      <c r="L2520" t="s">
        <v>346</v>
      </c>
      <c r="M2520" s="1">
        <v>5.8999999999999997E-2</v>
      </c>
      <c r="N2520" t="s">
        <v>350</v>
      </c>
      <c r="O2520">
        <v>0.98</v>
      </c>
      <c r="P2520" t="s">
        <v>343</v>
      </c>
      <c r="Q2520">
        <v>0.59</v>
      </c>
      <c r="R2520" t="s">
        <v>343</v>
      </c>
      <c r="S2520">
        <v>1</v>
      </c>
    </row>
    <row r="2521" spans="1:19" x14ac:dyDescent="0.25">
      <c r="A2521" t="s">
        <v>52</v>
      </c>
      <c r="B2521" t="s">
        <v>78</v>
      </c>
      <c r="C2521">
        <v>440</v>
      </c>
      <c r="D2521" t="s">
        <v>342</v>
      </c>
      <c r="E2521">
        <v>24.15</v>
      </c>
      <c r="F2521">
        <v>14.3</v>
      </c>
      <c r="G2521">
        <v>12.39</v>
      </c>
      <c r="H2521">
        <v>26.69</v>
      </c>
      <c r="I2521" t="s">
        <v>344</v>
      </c>
      <c r="J2521">
        <v>80.400000000000006</v>
      </c>
      <c r="K2521">
        <v>6.26</v>
      </c>
      <c r="L2521" t="s">
        <v>346</v>
      </c>
      <c r="M2521" s="1">
        <v>6.2600000000000003E-2</v>
      </c>
      <c r="N2521" t="s">
        <v>350</v>
      </c>
      <c r="O2521">
        <v>0.56000000000000005</v>
      </c>
      <c r="P2521" t="s">
        <v>343</v>
      </c>
      <c r="Q2521">
        <v>0.33</v>
      </c>
      <c r="R2521" t="s">
        <v>343</v>
      </c>
      <c r="S2521">
        <v>1</v>
      </c>
    </row>
    <row r="2522" spans="1:19" x14ac:dyDescent="0.25">
      <c r="A2522" t="s">
        <v>52</v>
      </c>
      <c r="B2522" t="s">
        <v>79</v>
      </c>
      <c r="C2522">
        <v>460</v>
      </c>
      <c r="D2522" t="s">
        <v>342</v>
      </c>
      <c r="E2522">
        <v>24.15</v>
      </c>
      <c r="F2522">
        <v>15.05</v>
      </c>
      <c r="G2522">
        <v>12.97</v>
      </c>
      <c r="H2522">
        <v>28.02</v>
      </c>
      <c r="I2522" t="s">
        <v>344</v>
      </c>
      <c r="J2522">
        <v>81.61</v>
      </c>
      <c r="K2522">
        <v>6.01</v>
      </c>
      <c r="L2522" t="s">
        <v>346</v>
      </c>
      <c r="M2522" s="1">
        <v>6.0100000000000001E-2</v>
      </c>
      <c r="N2522" t="s">
        <v>350</v>
      </c>
      <c r="O2522">
        <v>-0.02</v>
      </c>
      <c r="P2522" t="s">
        <v>343</v>
      </c>
      <c r="Q2522">
        <v>0.68</v>
      </c>
      <c r="R2522" t="s">
        <v>343</v>
      </c>
      <c r="S2522">
        <v>1</v>
      </c>
    </row>
    <row r="2523" spans="1:19" x14ac:dyDescent="0.25">
      <c r="A2523" t="s">
        <v>52</v>
      </c>
      <c r="B2523" t="s">
        <v>80</v>
      </c>
      <c r="C2523">
        <v>480</v>
      </c>
      <c r="D2523" t="s">
        <v>342</v>
      </c>
      <c r="E2523">
        <v>24.15</v>
      </c>
      <c r="F2523">
        <v>15.08</v>
      </c>
      <c r="G2523">
        <v>13.06</v>
      </c>
      <c r="H2523">
        <v>28.14</v>
      </c>
      <c r="I2523" t="s">
        <v>344</v>
      </c>
      <c r="J2523">
        <v>82.85</v>
      </c>
      <c r="K2523">
        <v>6.2</v>
      </c>
      <c r="L2523" t="s">
        <v>346</v>
      </c>
      <c r="M2523" s="1">
        <v>6.2E-2</v>
      </c>
      <c r="N2523" t="s">
        <v>350</v>
      </c>
      <c r="O2523">
        <v>0.76</v>
      </c>
      <c r="P2523" t="s">
        <v>343</v>
      </c>
      <c r="Q2523">
        <v>-0.22</v>
      </c>
      <c r="R2523" t="s">
        <v>343</v>
      </c>
      <c r="S2523">
        <v>1</v>
      </c>
    </row>
    <row r="2524" spans="1:19" x14ac:dyDescent="0.25">
      <c r="A2524" t="s">
        <v>52</v>
      </c>
      <c r="B2524" t="s">
        <v>81</v>
      </c>
      <c r="C2524">
        <v>500</v>
      </c>
      <c r="D2524" t="s">
        <v>342</v>
      </c>
      <c r="E2524">
        <v>24.15</v>
      </c>
      <c r="F2524">
        <v>14.34</v>
      </c>
      <c r="G2524">
        <v>13.8</v>
      </c>
      <c r="H2524">
        <v>28.14</v>
      </c>
      <c r="I2524" t="s">
        <v>344</v>
      </c>
      <c r="J2524">
        <v>84.16</v>
      </c>
      <c r="K2524">
        <v>6.57</v>
      </c>
      <c r="L2524" t="s">
        <v>346</v>
      </c>
      <c r="M2524" s="1">
        <v>6.5700000000000008E-2</v>
      </c>
      <c r="N2524" t="s">
        <v>350</v>
      </c>
      <c r="O2524">
        <v>2.59</v>
      </c>
      <c r="P2524" t="s">
        <v>344</v>
      </c>
      <c r="Q2524">
        <v>0.04</v>
      </c>
      <c r="R2524" t="s">
        <v>343</v>
      </c>
      <c r="S2524">
        <v>1</v>
      </c>
    </row>
    <row r="2525" spans="1:19" x14ac:dyDescent="0.25">
      <c r="A2525" t="s">
        <v>52</v>
      </c>
      <c r="B2525" t="s">
        <v>82</v>
      </c>
      <c r="C2525">
        <v>520</v>
      </c>
      <c r="D2525" t="s">
        <v>342</v>
      </c>
      <c r="E2525">
        <v>24.15</v>
      </c>
      <c r="F2525">
        <v>16.57</v>
      </c>
      <c r="G2525">
        <v>14.77</v>
      </c>
      <c r="H2525">
        <v>31.33</v>
      </c>
      <c r="I2525" t="s">
        <v>344</v>
      </c>
      <c r="J2525">
        <v>85.34</v>
      </c>
      <c r="K2525">
        <v>5.89</v>
      </c>
      <c r="L2525" t="s">
        <v>346</v>
      </c>
      <c r="M2525" s="1">
        <v>5.8899999999999987E-2</v>
      </c>
      <c r="N2525" t="s">
        <v>350</v>
      </c>
      <c r="O2525">
        <v>0.45</v>
      </c>
      <c r="P2525" t="s">
        <v>343</v>
      </c>
      <c r="Q2525">
        <v>0.45</v>
      </c>
      <c r="R2525" t="s">
        <v>343</v>
      </c>
      <c r="S2525">
        <v>1</v>
      </c>
    </row>
    <row r="2526" spans="1:19" x14ac:dyDescent="0.25">
      <c r="A2526" t="s">
        <v>52</v>
      </c>
      <c r="B2526" t="s">
        <v>83</v>
      </c>
      <c r="C2526">
        <v>540</v>
      </c>
      <c r="D2526" t="s">
        <v>342</v>
      </c>
      <c r="E2526">
        <v>24.15</v>
      </c>
      <c r="F2526">
        <v>16.57</v>
      </c>
      <c r="G2526">
        <v>14.27</v>
      </c>
      <c r="H2526">
        <v>30.83</v>
      </c>
      <c r="I2526" t="s">
        <v>344</v>
      </c>
      <c r="J2526">
        <v>86.33</v>
      </c>
      <c r="K2526">
        <v>4.95</v>
      </c>
      <c r="L2526" t="s">
        <v>346</v>
      </c>
      <c r="M2526" s="1">
        <v>4.9500000000000002E-2</v>
      </c>
      <c r="N2526" t="s">
        <v>350</v>
      </c>
      <c r="O2526">
        <v>0.34</v>
      </c>
      <c r="P2526" t="s">
        <v>343</v>
      </c>
      <c r="Q2526">
        <v>0.34</v>
      </c>
      <c r="R2526" t="s">
        <v>343</v>
      </c>
      <c r="S2526">
        <v>1</v>
      </c>
    </row>
    <row r="2527" spans="1:19" x14ac:dyDescent="0.25">
      <c r="A2527" t="s">
        <v>52</v>
      </c>
      <c r="B2527" t="s">
        <v>84</v>
      </c>
      <c r="C2527">
        <v>560</v>
      </c>
      <c r="D2527" t="s">
        <v>342</v>
      </c>
      <c r="E2527">
        <v>24.15</v>
      </c>
      <c r="F2527">
        <v>16.57</v>
      </c>
      <c r="G2527">
        <v>14.88</v>
      </c>
      <c r="H2527">
        <v>31.44</v>
      </c>
      <c r="I2527" t="s">
        <v>344</v>
      </c>
      <c r="J2527">
        <v>87.4</v>
      </c>
      <c r="K2527">
        <v>5.34</v>
      </c>
      <c r="L2527" t="s">
        <v>346</v>
      </c>
      <c r="M2527" s="1">
        <v>5.3400000000000003E-2</v>
      </c>
      <c r="N2527" t="s">
        <v>350</v>
      </c>
      <c r="O2527">
        <v>0.04</v>
      </c>
      <c r="P2527" t="s">
        <v>343</v>
      </c>
      <c r="Q2527">
        <v>0.57999999999999996</v>
      </c>
      <c r="R2527" t="s">
        <v>343</v>
      </c>
      <c r="S2527">
        <v>1</v>
      </c>
    </row>
    <row r="2528" spans="1:19" x14ac:dyDescent="0.25">
      <c r="A2528" t="s">
        <v>52</v>
      </c>
      <c r="B2528" t="s">
        <v>85</v>
      </c>
      <c r="C2528">
        <v>580</v>
      </c>
      <c r="D2528" t="s">
        <v>342</v>
      </c>
      <c r="E2528">
        <v>24.15</v>
      </c>
      <c r="F2528">
        <v>15.95</v>
      </c>
      <c r="G2528">
        <v>15.27</v>
      </c>
      <c r="H2528">
        <v>31.22</v>
      </c>
      <c r="I2528" t="s">
        <v>344</v>
      </c>
      <c r="J2528">
        <v>88.36</v>
      </c>
      <c r="K2528">
        <v>4.8</v>
      </c>
      <c r="L2528" t="s">
        <v>346</v>
      </c>
      <c r="M2528" s="1">
        <v>4.8000000000000001E-2</v>
      </c>
      <c r="N2528" t="s">
        <v>350</v>
      </c>
      <c r="O2528">
        <v>-0.19</v>
      </c>
      <c r="P2528" t="s">
        <v>343</v>
      </c>
      <c r="Q2528">
        <v>1</v>
      </c>
      <c r="R2528" t="s">
        <v>343</v>
      </c>
      <c r="S2528">
        <v>1</v>
      </c>
    </row>
    <row r="2529" spans="1:19" x14ac:dyDescent="0.25">
      <c r="A2529" t="s">
        <v>52</v>
      </c>
      <c r="B2529" t="s">
        <v>86</v>
      </c>
      <c r="C2529">
        <v>600</v>
      </c>
      <c r="D2529" t="s">
        <v>342</v>
      </c>
      <c r="E2529">
        <v>24.15</v>
      </c>
      <c r="F2529">
        <v>16.14</v>
      </c>
      <c r="G2529">
        <v>15.39</v>
      </c>
      <c r="H2529">
        <v>31.53</v>
      </c>
      <c r="I2529" t="s">
        <v>344</v>
      </c>
      <c r="J2529">
        <v>90.41</v>
      </c>
      <c r="K2529">
        <v>10.26</v>
      </c>
      <c r="L2529" t="s">
        <v>348</v>
      </c>
      <c r="M2529" s="1">
        <v>0.1026</v>
      </c>
      <c r="N2529" t="s">
        <v>350</v>
      </c>
      <c r="O2529">
        <v>0.7</v>
      </c>
      <c r="P2529" t="s">
        <v>343</v>
      </c>
      <c r="Q2529">
        <v>1.07</v>
      </c>
      <c r="R2529" t="s">
        <v>343</v>
      </c>
      <c r="S2529">
        <v>1</v>
      </c>
    </row>
    <row r="2530" spans="1:19" x14ac:dyDescent="0.25">
      <c r="A2530" t="s">
        <v>52</v>
      </c>
      <c r="B2530" t="s">
        <v>87</v>
      </c>
      <c r="C2530">
        <v>620</v>
      </c>
      <c r="D2530" t="s">
        <v>342</v>
      </c>
      <c r="E2530">
        <v>24.15</v>
      </c>
      <c r="F2530">
        <v>13.92</v>
      </c>
      <c r="G2530">
        <v>15.65</v>
      </c>
      <c r="H2530">
        <v>29.57</v>
      </c>
      <c r="I2530" t="s">
        <v>344</v>
      </c>
      <c r="J2530">
        <v>90.79</v>
      </c>
      <c r="K2530">
        <v>1.9</v>
      </c>
      <c r="L2530" t="s">
        <v>346</v>
      </c>
      <c r="M2530" s="1">
        <v>1.9E-2</v>
      </c>
      <c r="N2530" t="s">
        <v>349</v>
      </c>
      <c r="O2530">
        <v>-1.88</v>
      </c>
      <c r="P2530" t="s">
        <v>343</v>
      </c>
      <c r="Q2530">
        <v>2.16</v>
      </c>
      <c r="R2530" t="s">
        <v>344</v>
      </c>
      <c r="S2530">
        <v>1</v>
      </c>
    </row>
    <row r="2531" spans="1:19" x14ac:dyDescent="0.25">
      <c r="A2531" t="s">
        <v>52</v>
      </c>
      <c r="B2531" t="s">
        <v>88</v>
      </c>
      <c r="C2531">
        <v>640</v>
      </c>
      <c r="D2531" t="s">
        <v>342</v>
      </c>
      <c r="E2531">
        <v>24.15</v>
      </c>
      <c r="F2531">
        <v>14.76</v>
      </c>
      <c r="G2531">
        <v>15.65</v>
      </c>
      <c r="H2531">
        <v>30.41</v>
      </c>
      <c r="I2531" t="s">
        <v>344</v>
      </c>
      <c r="J2531">
        <v>90.7</v>
      </c>
      <c r="K2531">
        <v>-0.46</v>
      </c>
      <c r="L2531" t="s">
        <v>346</v>
      </c>
      <c r="M2531" s="1">
        <v>4.5999999999999999E-3</v>
      </c>
      <c r="N2531" t="s">
        <v>349</v>
      </c>
      <c r="O2531">
        <v>-2.95</v>
      </c>
      <c r="P2531" t="s">
        <v>344</v>
      </c>
      <c r="Q2531">
        <v>2.62</v>
      </c>
      <c r="R2531" t="s">
        <v>344</v>
      </c>
      <c r="S2531">
        <v>1</v>
      </c>
    </row>
    <row r="2532" spans="1:19" x14ac:dyDescent="0.25">
      <c r="A2532" t="s">
        <v>52</v>
      </c>
      <c r="B2532" t="s">
        <v>89</v>
      </c>
      <c r="C2532">
        <v>660</v>
      </c>
      <c r="D2532" t="s">
        <v>342</v>
      </c>
      <c r="E2532">
        <v>24.15</v>
      </c>
      <c r="F2532">
        <v>14.84</v>
      </c>
      <c r="G2532">
        <v>15.65</v>
      </c>
      <c r="H2532">
        <v>30.49</v>
      </c>
      <c r="I2532" t="s">
        <v>344</v>
      </c>
      <c r="J2532">
        <v>91.41</v>
      </c>
      <c r="K2532">
        <v>3.58</v>
      </c>
      <c r="L2532" t="s">
        <v>346</v>
      </c>
      <c r="M2532" s="1">
        <v>3.5799999999999998E-2</v>
      </c>
      <c r="N2532" t="s">
        <v>350</v>
      </c>
      <c r="O2532">
        <v>-3.3</v>
      </c>
      <c r="P2532" t="s">
        <v>344</v>
      </c>
      <c r="Q2532">
        <v>3.48</v>
      </c>
      <c r="R2532" t="s">
        <v>344</v>
      </c>
      <c r="S2532">
        <v>1</v>
      </c>
    </row>
    <row r="2533" spans="1:19" x14ac:dyDescent="0.25">
      <c r="A2533" t="s">
        <v>52</v>
      </c>
      <c r="B2533" t="s">
        <v>90</v>
      </c>
      <c r="C2533">
        <v>680</v>
      </c>
      <c r="D2533" t="s">
        <v>342</v>
      </c>
      <c r="E2533">
        <v>24.15</v>
      </c>
      <c r="F2533">
        <v>13.83</v>
      </c>
      <c r="G2533">
        <v>14.88</v>
      </c>
      <c r="H2533">
        <v>28.71</v>
      </c>
      <c r="I2533" t="s">
        <v>344</v>
      </c>
      <c r="J2533">
        <v>92.44</v>
      </c>
      <c r="K2533">
        <v>5.12</v>
      </c>
      <c r="L2533" t="s">
        <v>346</v>
      </c>
      <c r="M2533" s="1">
        <v>5.1200000000000002E-2</v>
      </c>
      <c r="N2533" t="s">
        <v>350</v>
      </c>
      <c r="O2533">
        <v>-1.84</v>
      </c>
      <c r="P2533" t="s">
        <v>343</v>
      </c>
      <c r="Q2533">
        <v>4.17</v>
      </c>
      <c r="R2533" t="s">
        <v>343</v>
      </c>
      <c r="S2533">
        <v>1</v>
      </c>
    </row>
    <row r="2534" spans="1:19" x14ac:dyDescent="0.25">
      <c r="A2534" t="s">
        <v>52</v>
      </c>
      <c r="B2534" t="s">
        <v>91</v>
      </c>
      <c r="C2534">
        <v>700</v>
      </c>
      <c r="D2534" t="s">
        <v>342</v>
      </c>
      <c r="E2534">
        <v>24.15</v>
      </c>
      <c r="F2534">
        <v>15.1</v>
      </c>
      <c r="G2534">
        <v>14.54</v>
      </c>
      <c r="H2534">
        <v>29.63</v>
      </c>
      <c r="I2534" t="s">
        <v>344</v>
      </c>
      <c r="J2534">
        <v>93.58</v>
      </c>
      <c r="K2534">
        <v>5.72</v>
      </c>
      <c r="L2534" t="s">
        <v>346</v>
      </c>
      <c r="M2534" s="1">
        <v>5.7200000000000001E-2</v>
      </c>
      <c r="N2534" t="s">
        <v>350</v>
      </c>
      <c r="O2534">
        <v>0.39</v>
      </c>
      <c r="P2534" t="s">
        <v>343</v>
      </c>
      <c r="Q2534">
        <v>3</v>
      </c>
      <c r="R2534" t="s">
        <v>344</v>
      </c>
      <c r="S2534">
        <v>1</v>
      </c>
    </row>
    <row r="2535" spans="1:19" x14ac:dyDescent="0.25">
      <c r="A2535" t="s">
        <v>52</v>
      </c>
      <c r="B2535" t="s">
        <v>92</v>
      </c>
      <c r="C2535">
        <v>720</v>
      </c>
      <c r="D2535" t="s">
        <v>342</v>
      </c>
      <c r="E2535">
        <v>24.15</v>
      </c>
      <c r="F2535">
        <v>15.1</v>
      </c>
      <c r="G2535">
        <v>14.43</v>
      </c>
      <c r="H2535">
        <v>29.53</v>
      </c>
      <c r="I2535" t="s">
        <v>344</v>
      </c>
      <c r="J2535">
        <v>94.8</v>
      </c>
      <c r="K2535">
        <v>6.08</v>
      </c>
      <c r="L2535" t="s">
        <v>346</v>
      </c>
      <c r="M2535" s="1">
        <v>6.08E-2</v>
      </c>
      <c r="N2535" t="s">
        <v>350</v>
      </c>
      <c r="O2535">
        <v>-1.1200000000000001</v>
      </c>
      <c r="P2535" t="s">
        <v>343</v>
      </c>
      <c r="Q2535">
        <v>3.88</v>
      </c>
      <c r="R2535" t="s">
        <v>344</v>
      </c>
      <c r="S2535">
        <v>1</v>
      </c>
    </row>
    <row r="2536" spans="1:19" x14ac:dyDescent="0.25">
      <c r="A2536" t="s">
        <v>52</v>
      </c>
      <c r="B2536" t="s">
        <v>93</v>
      </c>
      <c r="C2536">
        <v>740</v>
      </c>
      <c r="D2536" t="s">
        <v>342</v>
      </c>
      <c r="E2536">
        <v>24.15</v>
      </c>
      <c r="F2536">
        <v>15.26</v>
      </c>
      <c r="G2536">
        <v>13.32</v>
      </c>
      <c r="H2536">
        <v>28.58</v>
      </c>
      <c r="I2536" t="s">
        <v>344</v>
      </c>
      <c r="J2536">
        <v>96.07</v>
      </c>
      <c r="K2536">
        <v>6.37</v>
      </c>
      <c r="L2536" t="s">
        <v>346</v>
      </c>
      <c r="M2536" s="1">
        <v>6.3700000000000007E-2</v>
      </c>
      <c r="N2536" t="s">
        <v>350</v>
      </c>
      <c r="O2536">
        <v>-1.9</v>
      </c>
      <c r="P2536" t="s">
        <v>343</v>
      </c>
      <c r="Q2536">
        <v>2.9</v>
      </c>
      <c r="R2536" t="s">
        <v>344</v>
      </c>
      <c r="S2536">
        <v>1</v>
      </c>
    </row>
    <row r="2537" spans="1:19" x14ac:dyDescent="0.25">
      <c r="A2537" t="s">
        <v>52</v>
      </c>
      <c r="B2537" t="s">
        <v>94</v>
      </c>
      <c r="C2537">
        <v>760</v>
      </c>
      <c r="D2537" t="s">
        <v>342</v>
      </c>
      <c r="E2537">
        <v>24.15</v>
      </c>
      <c r="F2537">
        <v>15.66</v>
      </c>
      <c r="G2537">
        <v>14.59</v>
      </c>
      <c r="H2537">
        <v>30.25</v>
      </c>
      <c r="I2537" t="s">
        <v>344</v>
      </c>
      <c r="J2537">
        <v>97.34</v>
      </c>
      <c r="K2537">
        <v>6.35</v>
      </c>
      <c r="L2537" t="s">
        <v>346</v>
      </c>
      <c r="M2537" s="1">
        <v>6.3500000000000001E-2</v>
      </c>
      <c r="N2537" t="s">
        <v>350</v>
      </c>
      <c r="O2537">
        <v>-1.25</v>
      </c>
      <c r="P2537" t="s">
        <v>343</v>
      </c>
      <c r="Q2537">
        <v>1.52</v>
      </c>
      <c r="R2537" t="s">
        <v>343</v>
      </c>
      <c r="S2537">
        <v>1</v>
      </c>
    </row>
    <row r="2538" spans="1:19" x14ac:dyDescent="0.25">
      <c r="A2538" t="s">
        <v>52</v>
      </c>
      <c r="B2538" t="s">
        <v>95</v>
      </c>
      <c r="C2538">
        <v>780</v>
      </c>
      <c r="D2538" t="s">
        <v>342</v>
      </c>
      <c r="E2538">
        <v>24.15</v>
      </c>
      <c r="F2538">
        <v>15.36</v>
      </c>
      <c r="G2538">
        <v>16.28</v>
      </c>
      <c r="H2538">
        <v>31.63</v>
      </c>
      <c r="I2538" t="s">
        <v>344</v>
      </c>
      <c r="J2538">
        <v>98.78</v>
      </c>
      <c r="K2538">
        <v>7.19</v>
      </c>
      <c r="L2538" t="s">
        <v>346</v>
      </c>
      <c r="M2538" s="1">
        <v>7.1900000000000006E-2</v>
      </c>
      <c r="N2538" t="s">
        <v>350</v>
      </c>
      <c r="O2538">
        <v>-1.26</v>
      </c>
      <c r="P2538" t="s">
        <v>343</v>
      </c>
      <c r="Q2538">
        <v>0.73</v>
      </c>
      <c r="R2538" t="s">
        <v>343</v>
      </c>
      <c r="S2538">
        <v>1</v>
      </c>
    </row>
    <row r="2539" spans="1:19" x14ac:dyDescent="0.25">
      <c r="A2539" t="s">
        <v>52</v>
      </c>
      <c r="B2539" t="s">
        <v>96</v>
      </c>
      <c r="C2539">
        <v>800</v>
      </c>
      <c r="D2539" t="s">
        <v>342</v>
      </c>
      <c r="E2539">
        <v>24.15</v>
      </c>
      <c r="F2539">
        <v>15.36</v>
      </c>
      <c r="G2539">
        <v>18.579999999999998</v>
      </c>
      <c r="H2539">
        <v>33.93</v>
      </c>
      <c r="I2539" t="s">
        <v>344</v>
      </c>
      <c r="J2539">
        <v>100.19</v>
      </c>
      <c r="K2539">
        <v>7.09</v>
      </c>
      <c r="L2539" t="s">
        <v>346</v>
      </c>
      <c r="M2539" s="1">
        <v>7.0900000000000005E-2</v>
      </c>
      <c r="N2539" t="s">
        <v>350</v>
      </c>
      <c r="O2539">
        <v>-1.73</v>
      </c>
      <c r="P2539" t="s">
        <v>343</v>
      </c>
      <c r="Q2539">
        <v>0.5</v>
      </c>
      <c r="R2539" t="s">
        <v>343</v>
      </c>
      <c r="S2539">
        <v>1</v>
      </c>
    </row>
    <row r="2540" spans="1:19" x14ac:dyDescent="0.25">
      <c r="A2540" t="s">
        <v>52</v>
      </c>
      <c r="B2540" t="s">
        <v>97</v>
      </c>
      <c r="C2540">
        <v>820</v>
      </c>
      <c r="D2540" t="s">
        <v>342</v>
      </c>
      <c r="E2540">
        <v>24.15</v>
      </c>
      <c r="F2540">
        <v>13.68</v>
      </c>
      <c r="G2540">
        <v>20</v>
      </c>
      <c r="H2540">
        <v>33.68</v>
      </c>
      <c r="I2540" t="s">
        <v>344</v>
      </c>
      <c r="J2540">
        <v>101.75</v>
      </c>
      <c r="K2540">
        <v>7.78</v>
      </c>
      <c r="L2540" t="s">
        <v>346</v>
      </c>
      <c r="M2540" s="1">
        <v>7.7800000000000008E-2</v>
      </c>
      <c r="N2540" t="s">
        <v>350</v>
      </c>
      <c r="O2540">
        <v>-0.48</v>
      </c>
      <c r="P2540" t="s">
        <v>343</v>
      </c>
      <c r="Q2540">
        <v>1.44</v>
      </c>
      <c r="R2540" t="s">
        <v>343</v>
      </c>
      <c r="S2540">
        <v>1</v>
      </c>
    </row>
    <row r="2541" spans="1:19" x14ac:dyDescent="0.25">
      <c r="A2541" t="s">
        <v>52</v>
      </c>
      <c r="B2541" t="s">
        <v>98</v>
      </c>
      <c r="C2541">
        <v>840</v>
      </c>
      <c r="D2541" t="s">
        <v>342</v>
      </c>
      <c r="E2541">
        <v>24.15</v>
      </c>
      <c r="F2541">
        <v>13.24</v>
      </c>
      <c r="G2541">
        <v>20</v>
      </c>
      <c r="H2541">
        <v>33.24</v>
      </c>
      <c r="I2541" t="s">
        <v>344</v>
      </c>
      <c r="J2541">
        <v>103.16</v>
      </c>
      <c r="K2541">
        <v>7.05</v>
      </c>
      <c r="L2541" t="s">
        <v>346</v>
      </c>
      <c r="M2541" s="1">
        <v>7.0499999999999993E-2</v>
      </c>
      <c r="N2541" t="s">
        <v>350</v>
      </c>
      <c r="O2541">
        <v>-0.89</v>
      </c>
      <c r="P2541" t="s">
        <v>343</v>
      </c>
      <c r="Q2541">
        <v>2.23</v>
      </c>
      <c r="R2541" t="s">
        <v>344</v>
      </c>
      <c r="S2541">
        <v>1</v>
      </c>
    </row>
    <row r="2542" spans="1:19" x14ac:dyDescent="0.25">
      <c r="A2542" t="s">
        <v>52</v>
      </c>
      <c r="B2542" t="s">
        <v>99</v>
      </c>
      <c r="C2542">
        <v>860</v>
      </c>
      <c r="D2542" t="s">
        <v>342</v>
      </c>
      <c r="E2542">
        <v>24.15</v>
      </c>
      <c r="F2542">
        <v>13</v>
      </c>
      <c r="G2542">
        <v>20</v>
      </c>
      <c r="H2542">
        <v>33</v>
      </c>
      <c r="I2542" t="s">
        <v>344</v>
      </c>
      <c r="J2542">
        <v>104.55</v>
      </c>
      <c r="K2542">
        <v>6.97</v>
      </c>
      <c r="L2542" t="s">
        <v>346</v>
      </c>
      <c r="M2542" s="1">
        <v>6.9699999999999998E-2</v>
      </c>
      <c r="N2542" t="s">
        <v>350</v>
      </c>
      <c r="O2542">
        <v>-2.21</v>
      </c>
      <c r="P2542" t="s">
        <v>344</v>
      </c>
      <c r="Q2542">
        <v>0.16</v>
      </c>
      <c r="R2542" t="s">
        <v>343</v>
      </c>
      <c r="S2542">
        <v>1</v>
      </c>
    </row>
    <row r="2543" spans="1:19" x14ac:dyDescent="0.25">
      <c r="A2543" t="s">
        <v>52</v>
      </c>
      <c r="B2543" t="s">
        <v>100</v>
      </c>
      <c r="C2543">
        <v>880</v>
      </c>
      <c r="D2543" t="s">
        <v>342</v>
      </c>
      <c r="E2543">
        <v>24.15</v>
      </c>
      <c r="F2543">
        <v>12.48</v>
      </c>
      <c r="G2543">
        <v>17.07</v>
      </c>
      <c r="H2543">
        <v>29.55</v>
      </c>
      <c r="I2543" t="s">
        <v>344</v>
      </c>
      <c r="J2543">
        <v>105.91</v>
      </c>
      <c r="K2543">
        <v>6.77</v>
      </c>
      <c r="L2543" t="s">
        <v>346</v>
      </c>
      <c r="M2543" s="1">
        <v>6.7699999999999996E-2</v>
      </c>
      <c r="N2543" t="s">
        <v>350</v>
      </c>
      <c r="O2543">
        <v>-1.1000000000000001</v>
      </c>
      <c r="P2543" t="s">
        <v>343</v>
      </c>
      <c r="Q2543">
        <v>3.64</v>
      </c>
      <c r="R2543" t="s">
        <v>344</v>
      </c>
      <c r="S2543">
        <v>1</v>
      </c>
    </row>
    <row r="2544" spans="1:19" x14ac:dyDescent="0.25">
      <c r="A2544" t="s">
        <v>52</v>
      </c>
      <c r="B2544" t="s">
        <v>101</v>
      </c>
      <c r="C2544">
        <v>900</v>
      </c>
      <c r="D2544" t="s">
        <v>342</v>
      </c>
      <c r="E2544">
        <v>24.15</v>
      </c>
      <c r="F2544">
        <v>11.67</v>
      </c>
      <c r="G2544">
        <v>15.39</v>
      </c>
      <c r="H2544">
        <v>27.06</v>
      </c>
      <c r="I2544" t="s">
        <v>344</v>
      </c>
      <c r="J2544">
        <v>107.08</v>
      </c>
      <c r="K2544">
        <v>5.84</v>
      </c>
      <c r="L2544" t="s">
        <v>346</v>
      </c>
      <c r="M2544" s="1">
        <v>5.8400000000000001E-2</v>
      </c>
      <c r="N2544" t="s">
        <v>350</v>
      </c>
      <c r="O2544">
        <v>-1.04</v>
      </c>
      <c r="P2544" t="s">
        <v>343</v>
      </c>
      <c r="Q2544">
        <v>3.37</v>
      </c>
      <c r="R2544" t="s">
        <v>344</v>
      </c>
      <c r="S2544">
        <v>1</v>
      </c>
    </row>
    <row r="2545" spans="1:19" x14ac:dyDescent="0.25">
      <c r="A2545" t="s">
        <v>52</v>
      </c>
      <c r="B2545" t="s">
        <v>102</v>
      </c>
      <c r="C2545">
        <v>920</v>
      </c>
      <c r="D2545" t="s">
        <v>342</v>
      </c>
      <c r="E2545">
        <v>24.15</v>
      </c>
      <c r="F2545">
        <v>13.75</v>
      </c>
      <c r="G2545">
        <v>15.68</v>
      </c>
      <c r="H2545">
        <v>29.43</v>
      </c>
      <c r="I2545" t="s">
        <v>344</v>
      </c>
      <c r="J2545">
        <v>108.08</v>
      </c>
      <c r="K2545">
        <v>5.03</v>
      </c>
      <c r="L2545" t="s">
        <v>346</v>
      </c>
      <c r="M2545" s="1">
        <v>5.0299999999999997E-2</v>
      </c>
      <c r="N2545" t="s">
        <v>350</v>
      </c>
      <c r="O2545">
        <v>0.64</v>
      </c>
      <c r="P2545" t="s">
        <v>343</v>
      </c>
      <c r="Q2545">
        <v>1.76</v>
      </c>
      <c r="R2545" t="s">
        <v>343</v>
      </c>
      <c r="S2545">
        <v>1</v>
      </c>
    </row>
    <row r="2546" spans="1:19" x14ac:dyDescent="0.25">
      <c r="A2546" t="s">
        <v>52</v>
      </c>
      <c r="B2546" t="s">
        <v>103</v>
      </c>
      <c r="C2546">
        <v>940</v>
      </c>
      <c r="D2546" t="s">
        <v>342</v>
      </c>
      <c r="E2546">
        <v>24.15</v>
      </c>
      <c r="F2546">
        <v>13.11</v>
      </c>
      <c r="G2546">
        <v>15.39</v>
      </c>
      <c r="H2546">
        <v>28.5</v>
      </c>
      <c r="I2546" t="s">
        <v>344</v>
      </c>
      <c r="J2546">
        <v>110.61</v>
      </c>
      <c r="K2546">
        <v>12.63</v>
      </c>
      <c r="L2546" t="s">
        <v>348</v>
      </c>
      <c r="M2546" s="1">
        <v>0.1263</v>
      </c>
      <c r="N2546" t="s">
        <v>350</v>
      </c>
      <c r="O2546">
        <v>4.24</v>
      </c>
      <c r="P2546" t="s">
        <v>343</v>
      </c>
      <c r="Q2546">
        <v>-2.92</v>
      </c>
      <c r="R2546" t="s">
        <v>344</v>
      </c>
      <c r="S2546">
        <v>1</v>
      </c>
    </row>
    <row r="2547" spans="1:19" x14ac:dyDescent="0.25">
      <c r="A2547" t="s">
        <v>52</v>
      </c>
      <c r="B2547" t="s">
        <v>104</v>
      </c>
      <c r="C2547">
        <v>960</v>
      </c>
      <c r="D2547" t="s">
        <v>342</v>
      </c>
      <c r="E2547">
        <v>24.15</v>
      </c>
      <c r="F2547">
        <v>14.35</v>
      </c>
      <c r="G2547">
        <v>13.96</v>
      </c>
      <c r="H2547">
        <v>28.31</v>
      </c>
      <c r="I2547" t="s">
        <v>344</v>
      </c>
      <c r="J2547">
        <v>111.07</v>
      </c>
      <c r="K2547">
        <v>2.2999999999999998</v>
      </c>
      <c r="L2547" t="s">
        <v>346</v>
      </c>
      <c r="M2547" s="1">
        <v>2.3E-2</v>
      </c>
      <c r="N2547" t="s">
        <v>350</v>
      </c>
      <c r="O2547">
        <v>3.53</v>
      </c>
      <c r="P2547" t="s">
        <v>344</v>
      </c>
      <c r="Q2547">
        <v>-1.33</v>
      </c>
      <c r="R2547" t="s">
        <v>343</v>
      </c>
      <c r="S2547">
        <v>1</v>
      </c>
    </row>
    <row r="2548" spans="1:19" x14ac:dyDescent="0.25">
      <c r="A2548" t="s">
        <v>52</v>
      </c>
      <c r="B2548" t="s">
        <v>105</v>
      </c>
      <c r="C2548">
        <v>980</v>
      </c>
      <c r="D2548" t="s">
        <v>342</v>
      </c>
      <c r="E2548">
        <v>24.15</v>
      </c>
      <c r="F2548">
        <v>14.98</v>
      </c>
      <c r="G2548">
        <v>13.34</v>
      </c>
      <c r="H2548">
        <v>28.32</v>
      </c>
      <c r="I2548" t="s">
        <v>344</v>
      </c>
      <c r="J2548">
        <v>110.39</v>
      </c>
      <c r="K2548">
        <v>-3.41</v>
      </c>
      <c r="L2548" t="s">
        <v>346</v>
      </c>
      <c r="M2548" s="1">
        <v>3.4099999999999998E-2</v>
      </c>
      <c r="N2548" t="s">
        <v>350</v>
      </c>
      <c r="O2548">
        <v>4.21</v>
      </c>
      <c r="P2548" t="s">
        <v>343</v>
      </c>
      <c r="Q2548">
        <v>-2.5</v>
      </c>
      <c r="R2548" t="s">
        <v>344</v>
      </c>
      <c r="S2548">
        <v>1</v>
      </c>
    </row>
    <row r="2549" spans="1:19" x14ac:dyDescent="0.25">
      <c r="A2549" t="s">
        <v>52</v>
      </c>
      <c r="B2549" t="s">
        <v>106</v>
      </c>
      <c r="C2549">
        <v>1000</v>
      </c>
      <c r="D2549" t="s">
        <v>342</v>
      </c>
      <c r="E2549">
        <v>24.15</v>
      </c>
      <c r="F2549">
        <v>15.9</v>
      </c>
      <c r="G2549">
        <v>10.43</v>
      </c>
      <c r="H2549">
        <v>26.33</v>
      </c>
      <c r="I2549" t="s">
        <v>344</v>
      </c>
      <c r="J2549">
        <v>111.05</v>
      </c>
      <c r="K2549">
        <v>3.33</v>
      </c>
      <c r="L2549" t="s">
        <v>346</v>
      </c>
      <c r="M2549" s="1">
        <v>3.3300000000000003E-2</v>
      </c>
      <c r="N2549" t="s">
        <v>350</v>
      </c>
      <c r="O2549">
        <v>4.5599999999999996</v>
      </c>
      <c r="P2549" t="s">
        <v>343</v>
      </c>
      <c r="Q2549">
        <v>-2.08</v>
      </c>
      <c r="R2549" t="s">
        <v>344</v>
      </c>
      <c r="S2549">
        <v>1</v>
      </c>
    </row>
    <row r="2550" spans="1:19" x14ac:dyDescent="0.25">
      <c r="A2550" t="s">
        <v>52</v>
      </c>
      <c r="B2550" t="s">
        <v>108</v>
      </c>
      <c r="C2550">
        <v>1020</v>
      </c>
      <c r="D2550" t="s">
        <v>342</v>
      </c>
      <c r="E2550">
        <v>24.15</v>
      </c>
      <c r="F2550">
        <v>14.98</v>
      </c>
      <c r="G2550">
        <v>9.84</v>
      </c>
      <c r="H2550">
        <v>24.81</v>
      </c>
      <c r="I2550" t="s">
        <v>344</v>
      </c>
      <c r="J2550">
        <v>112.12</v>
      </c>
      <c r="K2550">
        <v>5.32</v>
      </c>
      <c r="L2550" t="s">
        <v>346</v>
      </c>
      <c r="M2550" s="1">
        <v>5.3199999999999997E-2</v>
      </c>
      <c r="N2550" t="s">
        <v>350</v>
      </c>
      <c r="O2550">
        <v>5.46</v>
      </c>
      <c r="P2550" t="s">
        <v>343</v>
      </c>
      <c r="Q2550">
        <v>-0.76</v>
      </c>
      <c r="R2550" t="s">
        <v>343</v>
      </c>
      <c r="S2550">
        <v>1</v>
      </c>
    </row>
    <row r="2551" spans="1:19" x14ac:dyDescent="0.25">
      <c r="A2551" t="s">
        <v>52</v>
      </c>
      <c r="B2551" t="s">
        <v>109</v>
      </c>
      <c r="C2551">
        <v>1040</v>
      </c>
      <c r="D2551" t="s">
        <v>342</v>
      </c>
      <c r="E2551">
        <v>24.15</v>
      </c>
      <c r="F2551">
        <v>14.45</v>
      </c>
      <c r="G2551">
        <v>10.66</v>
      </c>
      <c r="H2551">
        <v>25.11</v>
      </c>
      <c r="I2551" t="s">
        <v>344</v>
      </c>
      <c r="J2551">
        <v>113.42</v>
      </c>
      <c r="K2551">
        <v>6.53</v>
      </c>
      <c r="L2551" t="s">
        <v>346</v>
      </c>
      <c r="M2551" s="1">
        <v>6.5299999999999997E-2</v>
      </c>
      <c r="N2551" t="s">
        <v>350</v>
      </c>
      <c r="O2551">
        <v>3.56</v>
      </c>
      <c r="P2551" t="s">
        <v>344</v>
      </c>
      <c r="Q2551">
        <v>0.63</v>
      </c>
      <c r="R2551" t="s">
        <v>343</v>
      </c>
      <c r="S2551">
        <v>1</v>
      </c>
    </row>
    <row r="2552" spans="1:19" x14ac:dyDescent="0.25">
      <c r="A2552" t="s">
        <v>52</v>
      </c>
      <c r="B2552" t="s">
        <v>110</v>
      </c>
      <c r="C2552">
        <v>1060</v>
      </c>
      <c r="D2552" t="s">
        <v>342</v>
      </c>
      <c r="E2552">
        <v>24.15</v>
      </c>
      <c r="F2552">
        <v>14.36</v>
      </c>
      <c r="G2552">
        <v>12.16</v>
      </c>
      <c r="H2552">
        <v>26.51</v>
      </c>
      <c r="I2552" t="s">
        <v>344</v>
      </c>
      <c r="J2552">
        <v>114.79</v>
      </c>
      <c r="K2552">
        <v>6.82</v>
      </c>
      <c r="L2552" t="s">
        <v>346</v>
      </c>
      <c r="M2552" s="1">
        <v>6.8199999999999997E-2</v>
      </c>
      <c r="N2552" t="s">
        <v>350</v>
      </c>
      <c r="O2552">
        <v>2.34</v>
      </c>
      <c r="P2552" t="s">
        <v>344</v>
      </c>
      <c r="Q2552">
        <v>-0.11</v>
      </c>
      <c r="R2552" t="s">
        <v>343</v>
      </c>
      <c r="S2552">
        <v>1</v>
      </c>
    </row>
    <row r="2553" spans="1:19" x14ac:dyDescent="0.25">
      <c r="A2553" t="s">
        <v>52</v>
      </c>
      <c r="B2553" t="s">
        <v>111</v>
      </c>
      <c r="C2553">
        <v>1080</v>
      </c>
      <c r="D2553" t="s">
        <v>342</v>
      </c>
      <c r="E2553">
        <v>24.15</v>
      </c>
      <c r="F2553">
        <v>12.49</v>
      </c>
      <c r="G2553">
        <v>14.36</v>
      </c>
      <c r="H2553">
        <v>26.85</v>
      </c>
      <c r="I2553" t="s">
        <v>344</v>
      </c>
      <c r="J2553">
        <v>116.21</v>
      </c>
      <c r="K2553">
        <v>7.12</v>
      </c>
      <c r="L2553" t="s">
        <v>346</v>
      </c>
      <c r="M2553" s="1">
        <v>7.1199999999999999E-2</v>
      </c>
      <c r="N2553" t="s">
        <v>350</v>
      </c>
      <c r="O2553">
        <v>2.57</v>
      </c>
      <c r="P2553" t="s">
        <v>344</v>
      </c>
      <c r="Q2553">
        <v>-1.18</v>
      </c>
      <c r="R2553" t="s">
        <v>343</v>
      </c>
      <c r="S2553">
        <v>1</v>
      </c>
    </row>
    <row r="2554" spans="1:19" x14ac:dyDescent="0.25">
      <c r="A2554" t="s">
        <v>52</v>
      </c>
      <c r="B2554" t="s">
        <v>112</v>
      </c>
      <c r="C2554">
        <v>1100</v>
      </c>
      <c r="D2554" t="s">
        <v>342</v>
      </c>
      <c r="E2554">
        <v>24.15</v>
      </c>
      <c r="F2554">
        <v>11.41</v>
      </c>
      <c r="G2554">
        <v>14.82</v>
      </c>
      <c r="H2554">
        <v>26.24</v>
      </c>
      <c r="I2554" t="s">
        <v>344</v>
      </c>
      <c r="J2554">
        <v>117.66</v>
      </c>
      <c r="K2554">
        <v>7.24</v>
      </c>
      <c r="L2554" t="s">
        <v>346</v>
      </c>
      <c r="M2554" s="1">
        <v>7.2400000000000006E-2</v>
      </c>
      <c r="N2554" t="s">
        <v>350</v>
      </c>
      <c r="O2554">
        <v>2.52</v>
      </c>
      <c r="P2554" t="s">
        <v>344</v>
      </c>
      <c r="Q2554">
        <v>-0.28999999999999998</v>
      </c>
      <c r="R2554" t="s">
        <v>343</v>
      </c>
      <c r="S2554">
        <v>1</v>
      </c>
    </row>
    <row r="2555" spans="1:19" x14ac:dyDescent="0.25">
      <c r="A2555" t="s">
        <v>52</v>
      </c>
      <c r="B2555" t="s">
        <v>113</v>
      </c>
      <c r="C2555">
        <v>1120</v>
      </c>
      <c r="D2555" t="s">
        <v>342</v>
      </c>
      <c r="E2555">
        <v>24.15</v>
      </c>
      <c r="F2555">
        <v>11.41</v>
      </c>
      <c r="G2555">
        <v>15.04</v>
      </c>
      <c r="H2555">
        <v>26.45</v>
      </c>
      <c r="I2555" t="s">
        <v>344</v>
      </c>
      <c r="J2555">
        <v>119.07</v>
      </c>
      <c r="K2555">
        <v>7.05</v>
      </c>
      <c r="L2555" t="s">
        <v>346</v>
      </c>
      <c r="M2555" s="1">
        <v>7.0499999999999993E-2</v>
      </c>
      <c r="N2555" t="s">
        <v>350</v>
      </c>
      <c r="O2555">
        <v>2.46</v>
      </c>
      <c r="P2555" t="s">
        <v>344</v>
      </c>
      <c r="Q2555">
        <v>-1.25</v>
      </c>
      <c r="R2555" t="s">
        <v>343</v>
      </c>
      <c r="S2555">
        <v>1</v>
      </c>
    </row>
    <row r="2556" spans="1:19" x14ac:dyDescent="0.25">
      <c r="A2556" t="s">
        <v>52</v>
      </c>
      <c r="B2556" t="s">
        <v>114</v>
      </c>
      <c r="C2556">
        <v>1140</v>
      </c>
      <c r="D2556" t="s">
        <v>342</v>
      </c>
      <c r="E2556">
        <v>24.15</v>
      </c>
      <c r="F2556">
        <v>10.29</v>
      </c>
      <c r="G2556">
        <v>15.17</v>
      </c>
      <c r="H2556">
        <v>25.47</v>
      </c>
      <c r="I2556" t="s">
        <v>344</v>
      </c>
      <c r="J2556">
        <v>120.42</v>
      </c>
      <c r="K2556">
        <v>6.74</v>
      </c>
      <c r="L2556" t="s">
        <v>346</v>
      </c>
      <c r="M2556" s="1">
        <v>6.7400000000000002E-2</v>
      </c>
      <c r="N2556" t="s">
        <v>350</v>
      </c>
      <c r="O2556">
        <v>1.6</v>
      </c>
      <c r="P2556" t="s">
        <v>343</v>
      </c>
      <c r="Q2556">
        <v>-0.35</v>
      </c>
      <c r="R2556" t="s">
        <v>343</v>
      </c>
      <c r="S2556">
        <v>1</v>
      </c>
    </row>
    <row r="2557" spans="1:19" x14ac:dyDescent="0.25">
      <c r="A2557" t="s">
        <v>52</v>
      </c>
      <c r="B2557" t="s">
        <v>115</v>
      </c>
      <c r="C2557">
        <v>1160</v>
      </c>
      <c r="D2557" t="s">
        <v>342</v>
      </c>
      <c r="E2557">
        <v>24.15</v>
      </c>
      <c r="F2557">
        <v>13.36</v>
      </c>
      <c r="G2557">
        <v>15.64</v>
      </c>
      <c r="H2557">
        <v>29</v>
      </c>
      <c r="I2557" t="s">
        <v>344</v>
      </c>
      <c r="J2557">
        <v>121.42</v>
      </c>
      <c r="K2557">
        <v>5.01</v>
      </c>
      <c r="L2557" t="s">
        <v>346</v>
      </c>
      <c r="M2557" s="1">
        <v>5.0099999999999999E-2</v>
      </c>
      <c r="N2557" t="s">
        <v>350</v>
      </c>
      <c r="O2557">
        <v>1.01</v>
      </c>
      <c r="P2557" t="s">
        <v>343</v>
      </c>
      <c r="Q2557">
        <v>1.03</v>
      </c>
      <c r="R2557" t="s">
        <v>343</v>
      </c>
      <c r="S2557">
        <v>1</v>
      </c>
    </row>
    <row r="2558" spans="1:19" x14ac:dyDescent="0.25">
      <c r="A2558" t="s">
        <v>52</v>
      </c>
      <c r="B2558" t="s">
        <v>116</v>
      </c>
      <c r="C2558">
        <v>1180</v>
      </c>
      <c r="D2558" t="s">
        <v>342</v>
      </c>
      <c r="E2558">
        <v>24.15</v>
      </c>
      <c r="F2558">
        <v>14.31</v>
      </c>
      <c r="G2558">
        <v>16.02</v>
      </c>
      <c r="H2558">
        <v>30.33</v>
      </c>
      <c r="I2558" t="s">
        <v>344</v>
      </c>
      <c r="J2558">
        <v>122</v>
      </c>
      <c r="K2558">
        <v>2.89</v>
      </c>
      <c r="L2558" t="s">
        <v>346</v>
      </c>
      <c r="M2558" s="1">
        <v>2.8899999999999999E-2</v>
      </c>
      <c r="N2558" t="s">
        <v>350</v>
      </c>
      <c r="O2558">
        <v>2.76</v>
      </c>
      <c r="P2558" t="s">
        <v>344</v>
      </c>
      <c r="Q2558">
        <v>0.47</v>
      </c>
      <c r="R2558" t="s">
        <v>343</v>
      </c>
      <c r="S2558">
        <v>1</v>
      </c>
    </row>
    <row r="2559" spans="1:19" x14ac:dyDescent="0.25">
      <c r="A2559" t="s">
        <v>52</v>
      </c>
      <c r="B2559" t="s">
        <v>117</v>
      </c>
      <c r="C2559">
        <v>1200</v>
      </c>
      <c r="D2559" t="s">
        <v>342</v>
      </c>
      <c r="E2559">
        <v>24.15</v>
      </c>
      <c r="F2559">
        <v>14.31</v>
      </c>
      <c r="G2559">
        <v>16.55</v>
      </c>
      <c r="H2559">
        <v>30.86</v>
      </c>
      <c r="I2559" t="s">
        <v>344</v>
      </c>
      <c r="J2559">
        <v>122.74</v>
      </c>
      <c r="K2559">
        <v>3.71</v>
      </c>
      <c r="L2559" t="s">
        <v>346</v>
      </c>
      <c r="M2559" s="1">
        <v>3.7100000000000001E-2</v>
      </c>
      <c r="N2559" t="s">
        <v>350</v>
      </c>
      <c r="O2559">
        <v>1.31</v>
      </c>
      <c r="P2559" t="s">
        <v>343</v>
      </c>
      <c r="Q2559">
        <v>1.51</v>
      </c>
      <c r="R2559" t="s">
        <v>343</v>
      </c>
      <c r="S2559">
        <v>1</v>
      </c>
    </row>
    <row r="2560" spans="1:19" x14ac:dyDescent="0.25">
      <c r="A2560" t="s">
        <v>52</v>
      </c>
      <c r="B2560" t="s">
        <v>118</v>
      </c>
      <c r="C2560">
        <v>1220</v>
      </c>
      <c r="D2560" t="s">
        <v>342</v>
      </c>
      <c r="E2560">
        <v>24.15</v>
      </c>
      <c r="F2560">
        <v>14.64</v>
      </c>
      <c r="G2560">
        <v>16.8</v>
      </c>
      <c r="H2560">
        <v>31.44</v>
      </c>
      <c r="I2560" t="s">
        <v>344</v>
      </c>
      <c r="J2560">
        <v>123.35</v>
      </c>
      <c r="K2560">
        <v>3.07</v>
      </c>
      <c r="L2560" t="s">
        <v>346</v>
      </c>
      <c r="M2560" s="1">
        <v>3.0700000000000002E-2</v>
      </c>
      <c r="N2560" t="s">
        <v>350</v>
      </c>
      <c r="O2560">
        <v>1.28</v>
      </c>
      <c r="P2560" t="s">
        <v>343</v>
      </c>
      <c r="Q2560">
        <v>1.35</v>
      </c>
      <c r="R2560" t="s">
        <v>343</v>
      </c>
      <c r="S2560">
        <v>1</v>
      </c>
    </row>
    <row r="2561" spans="1:19" x14ac:dyDescent="0.25">
      <c r="A2561" t="s">
        <v>52</v>
      </c>
      <c r="B2561" t="s">
        <v>119</v>
      </c>
      <c r="C2561">
        <v>1240</v>
      </c>
      <c r="D2561" t="s">
        <v>342</v>
      </c>
      <c r="E2561">
        <v>24.15</v>
      </c>
      <c r="F2561">
        <v>14.46</v>
      </c>
      <c r="G2561">
        <v>16.920000000000002</v>
      </c>
      <c r="H2561">
        <v>31.38</v>
      </c>
      <c r="I2561" t="s">
        <v>344</v>
      </c>
      <c r="J2561">
        <v>123.86</v>
      </c>
      <c r="K2561">
        <v>2.54</v>
      </c>
      <c r="L2561" t="s">
        <v>346</v>
      </c>
      <c r="M2561" s="1">
        <v>2.5399999999999999E-2</v>
      </c>
      <c r="N2561" t="s">
        <v>350</v>
      </c>
      <c r="O2561">
        <v>2.9</v>
      </c>
      <c r="P2561" t="s">
        <v>344</v>
      </c>
      <c r="Q2561">
        <v>1.03</v>
      </c>
      <c r="R2561" t="s">
        <v>343</v>
      </c>
      <c r="S2561">
        <v>1</v>
      </c>
    </row>
    <row r="2562" spans="1:19" x14ac:dyDescent="0.25">
      <c r="A2562" t="s">
        <v>52</v>
      </c>
      <c r="B2562" t="s">
        <v>120</v>
      </c>
      <c r="C2562">
        <v>1260</v>
      </c>
      <c r="D2562" t="s">
        <v>342</v>
      </c>
      <c r="E2562">
        <v>24.15</v>
      </c>
      <c r="F2562">
        <v>13.77</v>
      </c>
      <c r="G2562">
        <v>16.13</v>
      </c>
      <c r="H2562">
        <v>29.91</v>
      </c>
      <c r="I2562" t="s">
        <v>344</v>
      </c>
      <c r="J2562">
        <v>124.62</v>
      </c>
      <c r="K2562">
        <v>3.82</v>
      </c>
      <c r="L2562" t="s">
        <v>346</v>
      </c>
      <c r="M2562" s="1">
        <v>3.8199999999999998E-2</v>
      </c>
      <c r="N2562" t="s">
        <v>350</v>
      </c>
      <c r="O2562">
        <v>2.91</v>
      </c>
      <c r="P2562" t="s">
        <v>344</v>
      </c>
      <c r="Q2562">
        <v>1.67</v>
      </c>
      <c r="R2562" t="s">
        <v>343</v>
      </c>
      <c r="S2562">
        <v>1</v>
      </c>
    </row>
    <row r="2563" spans="1:19" x14ac:dyDescent="0.25">
      <c r="A2563" t="s">
        <v>52</v>
      </c>
      <c r="B2563" t="s">
        <v>121</v>
      </c>
      <c r="C2563">
        <v>1280</v>
      </c>
      <c r="D2563" t="s">
        <v>342</v>
      </c>
      <c r="E2563">
        <v>24.15</v>
      </c>
      <c r="F2563">
        <v>13.11</v>
      </c>
      <c r="G2563">
        <v>16.309999999999999</v>
      </c>
      <c r="H2563">
        <v>29.42</v>
      </c>
      <c r="I2563" t="s">
        <v>344</v>
      </c>
      <c r="J2563">
        <v>125.54</v>
      </c>
      <c r="K2563">
        <v>4.5599999999999996</v>
      </c>
      <c r="L2563" t="s">
        <v>346</v>
      </c>
      <c r="M2563" s="1">
        <v>4.5599999999999988E-2</v>
      </c>
      <c r="N2563" t="s">
        <v>350</v>
      </c>
      <c r="O2563">
        <v>1.5</v>
      </c>
      <c r="P2563" t="s">
        <v>343</v>
      </c>
      <c r="Q2563">
        <v>0.62</v>
      </c>
      <c r="R2563" t="s">
        <v>343</v>
      </c>
      <c r="S2563">
        <v>1</v>
      </c>
    </row>
    <row r="2564" spans="1:19" x14ac:dyDescent="0.25">
      <c r="A2564" t="s">
        <v>52</v>
      </c>
      <c r="B2564" t="s">
        <v>123</v>
      </c>
      <c r="C2564">
        <v>1300</v>
      </c>
      <c r="D2564" t="s">
        <v>342</v>
      </c>
      <c r="E2564">
        <v>24.15</v>
      </c>
      <c r="F2564">
        <v>13.88</v>
      </c>
      <c r="G2564">
        <v>16.79</v>
      </c>
      <c r="H2564">
        <v>30.68</v>
      </c>
      <c r="I2564" t="s">
        <v>344</v>
      </c>
      <c r="J2564">
        <v>126.63</v>
      </c>
      <c r="K2564">
        <v>5.45</v>
      </c>
      <c r="L2564" t="s">
        <v>346</v>
      </c>
      <c r="M2564" s="1">
        <v>5.45E-2</v>
      </c>
      <c r="N2564" t="s">
        <v>350</v>
      </c>
      <c r="O2564">
        <v>2.94</v>
      </c>
      <c r="P2564" t="s">
        <v>344</v>
      </c>
      <c r="Q2564">
        <v>-0.12</v>
      </c>
      <c r="R2564" t="s">
        <v>343</v>
      </c>
      <c r="S2564">
        <v>1</v>
      </c>
    </row>
    <row r="2565" spans="1:19" x14ac:dyDescent="0.25">
      <c r="A2565" t="s">
        <v>52</v>
      </c>
      <c r="B2565" t="s">
        <v>124</v>
      </c>
      <c r="C2565">
        <v>1320</v>
      </c>
      <c r="D2565" t="s">
        <v>342</v>
      </c>
      <c r="E2565">
        <v>24.15</v>
      </c>
      <c r="F2565">
        <v>13.26</v>
      </c>
      <c r="G2565">
        <v>16.600000000000001</v>
      </c>
      <c r="H2565">
        <v>29.86</v>
      </c>
      <c r="I2565" t="s">
        <v>344</v>
      </c>
      <c r="J2565">
        <v>127.96</v>
      </c>
      <c r="K2565">
        <v>6.69</v>
      </c>
      <c r="L2565" t="s">
        <v>346</v>
      </c>
      <c r="M2565" s="1">
        <v>6.6900000000000001E-2</v>
      </c>
      <c r="N2565" t="s">
        <v>350</v>
      </c>
      <c r="O2565">
        <v>2.38</v>
      </c>
      <c r="P2565" t="s">
        <v>344</v>
      </c>
      <c r="Q2565">
        <v>0.08</v>
      </c>
      <c r="R2565" t="s">
        <v>343</v>
      </c>
      <c r="S2565">
        <v>1</v>
      </c>
    </row>
    <row r="2566" spans="1:19" x14ac:dyDescent="0.25">
      <c r="A2566" t="s">
        <v>52</v>
      </c>
      <c r="B2566" t="s">
        <v>125</v>
      </c>
      <c r="C2566">
        <v>1340</v>
      </c>
      <c r="D2566" t="s">
        <v>342</v>
      </c>
      <c r="E2566">
        <v>24.15</v>
      </c>
      <c r="F2566">
        <v>12.46</v>
      </c>
      <c r="G2566">
        <v>16.3</v>
      </c>
      <c r="H2566">
        <v>28.76</v>
      </c>
      <c r="I2566" t="s">
        <v>344</v>
      </c>
      <c r="J2566">
        <v>129.43</v>
      </c>
      <c r="K2566">
        <v>7.35</v>
      </c>
      <c r="L2566" t="s">
        <v>346</v>
      </c>
      <c r="M2566" s="1">
        <v>7.3499999999999996E-2</v>
      </c>
      <c r="N2566" t="s">
        <v>350</v>
      </c>
      <c r="O2566">
        <v>2.81</v>
      </c>
      <c r="P2566" t="s">
        <v>344</v>
      </c>
      <c r="Q2566">
        <v>1.28</v>
      </c>
      <c r="R2566" t="s">
        <v>343</v>
      </c>
      <c r="S2566">
        <v>1</v>
      </c>
    </row>
    <row r="2567" spans="1:19" x14ac:dyDescent="0.25">
      <c r="A2567" t="s">
        <v>52</v>
      </c>
      <c r="B2567" t="s">
        <v>126</v>
      </c>
      <c r="C2567">
        <v>1360</v>
      </c>
      <c r="D2567" t="s">
        <v>342</v>
      </c>
      <c r="E2567">
        <v>24.15</v>
      </c>
      <c r="F2567">
        <v>11.7</v>
      </c>
      <c r="G2567">
        <v>17.14</v>
      </c>
      <c r="H2567">
        <v>28.84</v>
      </c>
      <c r="I2567" t="s">
        <v>344</v>
      </c>
      <c r="J2567">
        <v>130.84</v>
      </c>
      <c r="K2567">
        <v>7.04</v>
      </c>
      <c r="L2567" t="s">
        <v>346</v>
      </c>
      <c r="M2567" s="1">
        <v>7.0400000000000004E-2</v>
      </c>
      <c r="N2567" t="s">
        <v>350</v>
      </c>
      <c r="O2567">
        <v>3.6</v>
      </c>
      <c r="P2567" t="s">
        <v>344</v>
      </c>
      <c r="Q2567">
        <v>2.77</v>
      </c>
      <c r="R2567" t="s">
        <v>344</v>
      </c>
      <c r="S2567">
        <v>1</v>
      </c>
    </row>
    <row r="2568" spans="1:19" x14ac:dyDescent="0.25">
      <c r="A2568" t="s">
        <v>52</v>
      </c>
      <c r="B2568" t="s">
        <v>127</v>
      </c>
      <c r="C2568">
        <v>1380</v>
      </c>
      <c r="D2568" t="s">
        <v>342</v>
      </c>
      <c r="E2568">
        <v>24.15</v>
      </c>
      <c r="F2568">
        <v>13.12</v>
      </c>
      <c r="G2568">
        <v>14.9</v>
      </c>
      <c r="H2568">
        <v>28.02</v>
      </c>
      <c r="I2568" t="s">
        <v>344</v>
      </c>
      <c r="J2568">
        <v>132.26</v>
      </c>
      <c r="K2568">
        <v>7.09</v>
      </c>
      <c r="L2568" t="s">
        <v>346</v>
      </c>
      <c r="M2568" s="1">
        <v>7.0900000000000005E-2</v>
      </c>
      <c r="N2568" t="s">
        <v>350</v>
      </c>
      <c r="O2568">
        <v>3.2</v>
      </c>
      <c r="P2568" t="s">
        <v>344</v>
      </c>
      <c r="Q2568">
        <v>3.34</v>
      </c>
      <c r="R2568" t="s">
        <v>344</v>
      </c>
      <c r="S2568">
        <v>1</v>
      </c>
    </row>
    <row r="2569" spans="1:19" x14ac:dyDescent="0.25">
      <c r="A2569" t="s">
        <v>52</v>
      </c>
      <c r="B2569" t="s">
        <v>128</v>
      </c>
      <c r="C2569">
        <v>1400</v>
      </c>
      <c r="D2569" t="s">
        <v>342</v>
      </c>
      <c r="E2569">
        <v>24.15</v>
      </c>
      <c r="F2569">
        <v>11.26</v>
      </c>
      <c r="G2569">
        <v>13.68</v>
      </c>
      <c r="H2569">
        <v>24.94</v>
      </c>
      <c r="I2569" t="s">
        <v>344</v>
      </c>
      <c r="J2569">
        <v>133.63</v>
      </c>
      <c r="K2569">
        <v>6.85</v>
      </c>
      <c r="L2569" t="s">
        <v>346</v>
      </c>
      <c r="M2569" s="1">
        <v>6.8499999999999991E-2</v>
      </c>
      <c r="N2569" t="s">
        <v>350</v>
      </c>
      <c r="O2569">
        <v>3.56</v>
      </c>
      <c r="P2569" t="s">
        <v>344</v>
      </c>
      <c r="Q2569">
        <v>3.79</v>
      </c>
      <c r="R2569" t="s">
        <v>344</v>
      </c>
      <c r="S2569">
        <v>1</v>
      </c>
    </row>
    <row r="2570" spans="1:19" x14ac:dyDescent="0.25">
      <c r="A2570" t="s">
        <v>52</v>
      </c>
      <c r="B2570" t="s">
        <v>129</v>
      </c>
      <c r="C2570">
        <v>1420</v>
      </c>
      <c r="D2570" t="s">
        <v>342</v>
      </c>
      <c r="E2570">
        <v>24.15</v>
      </c>
      <c r="F2570">
        <v>11.73</v>
      </c>
      <c r="G2570">
        <v>12.57</v>
      </c>
      <c r="H2570">
        <v>24.3</v>
      </c>
      <c r="I2570" t="s">
        <v>344</v>
      </c>
      <c r="J2570">
        <v>134.85</v>
      </c>
      <c r="K2570">
        <v>6.09</v>
      </c>
      <c r="L2570" t="s">
        <v>346</v>
      </c>
      <c r="M2570" s="1">
        <v>6.0900000000000003E-2</v>
      </c>
      <c r="N2570" t="s">
        <v>350</v>
      </c>
      <c r="O2570">
        <v>0.38</v>
      </c>
      <c r="P2570" t="s">
        <v>343</v>
      </c>
      <c r="Q2570">
        <v>2.76</v>
      </c>
      <c r="R2570" t="s">
        <v>344</v>
      </c>
      <c r="S2570">
        <v>1</v>
      </c>
    </row>
    <row r="2571" spans="1:19" x14ac:dyDescent="0.25">
      <c r="A2571" t="s">
        <v>52</v>
      </c>
      <c r="B2571" t="s">
        <v>130</v>
      </c>
      <c r="C2571">
        <v>1440</v>
      </c>
      <c r="D2571" t="s">
        <v>342</v>
      </c>
      <c r="E2571">
        <v>24.15</v>
      </c>
      <c r="F2571">
        <v>11.21</v>
      </c>
      <c r="G2571">
        <v>13.06</v>
      </c>
      <c r="H2571">
        <v>24.27</v>
      </c>
      <c r="I2571" t="s">
        <v>344</v>
      </c>
      <c r="J2571">
        <v>136.87</v>
      </c>
      <c r="K2571">
        <v>10.130000000000001</v>
      </c>
      <c r="L2571" t="s">
        <v>348</v>
      </c>
      <c r="M2571" s="1">
        <v>0.1013</v>
      </c>
      <c r="N2571" t="s">
        <v>350</v>
      </c>
      <c r="O2571">
        <v>1.43</v>
      </c>
      <c r="P2571" t="s">
        <v>343</v>
      </c>
      <c r="Q2571">
        <v>0.38</v>
      </c>
      <c r="R2571" t="s">
        <v>343</v>
      </c>
      <c r="S2571">
        <v>1</v>
      </c>
    </row>
    <row r="2572" spans="1:19" x14ac:dyDescent="0.25">
      <c r="A2572" t="s">
        <v>52</v>
      </c>
      <c r="B2572" t="s">
        <v>131</v>
      </c>
      <c r="C2572">
        <v>1460</v>
      </c>
      <c r="D2572" t="s">
        <v>342</v>
      </c>
      <c r="E2572">
        <v>24.15</v>
      </c>
      <c r="F2572">
        <v>12.84</v>
      </c>
      <c r="G2572">
        <v>11.33</v>
      </c>
      <c r="H2572">
        <v>24.17</v>
      </c>
      <c r="I2572" t="s">
        <v>344</v>
      </c>
      <c r="J2572">
        <v>139.24</v>
      </c>
      <c r="K2572">
        <v>11.83</v>
      </c>
      <c r="L2572" t="s">
        <v>348</v>
      </c>
      <c r="M2572" s="1">
        <v>0.1183</v>
      </c>
      <c r="N2572" t="s">
        <v>350</v>
      </c>
      <c r="O2572">
        <v>-1.26</v>
      </c>
      <c r="P2572" t="s">
        <v>343</v>
      </c>
      <c r="Q2572">
        <v>4.1500000000000004</v>
      </c>
      <c r="R2572" t="s">
        <v>343</v>
      </c>
      <c r="S2572">
        <v>1</v>
      </c>
    </row>
    <row r="2573" spans="1:19" x14ac:dyDescent="0.25">
      <c r="A2573" t="s">
        <v>52</v>
      </c>
      <c r="B2573" t="s">
        <v>132</v>
      </c>
      <c r="C2573">
        <v>1480</v>
      </c>
      <c r="D2573" t="s">
        <v>342</v>
      </c>
      <c r="E2573">
        <v>24.15</v>
      </c>
      <c r="F2573">
        <v>12.84</v>
      </c>
      <c r="G2573">
        <v>11.74</v>
      </c>
      <c r="H2573">
        <v>24.58</v>
      </c>
      <c r="I2573" t="s">
        <v>344</v>
      </c>
      <c r="J2573">
        <v>140.57</v>
      </c>
      <c r="K2573">
        <v>6.67</v>
      </c>
      <c r="L2573" t="s">
        <v>346</v>
      </c>
      <c r="M2573" s="1">
        <v>6.6699999999999995E-2</v>
      </c>
      <c r="N2573" t="s">
        <v>350</v>
      </c>
      <c r="O2573">
        <v>-3.2</v>
      </c>
      <c r="P2573" t="s">
        <v>344</v>
      </c>
      <c r="Q2573">
        <v>3.7</v>
      </c>
      <c r="R2573" t="s">
        <v>344</v>
      </c>
      <c r="S2573">
        <v>1</v>
      </c>
    </row>
    <row r="2574" spans="1:19" x14ac:dyDescent="0.25">
      <c r="A2574" t="s">
        <v>52</v>
      </c>
      <c r="B2574" t="s">
        <v>133</v>
      </c>
      <c r="C2574">
        <v>1500</v>
      </c>
      <c r="D2574" t="s">
        <v>342</v>
      </c>
      <c r="E2574">
        <v>24.15</v>
      </c>
      <c r="F2574">
        <v>13.74</v>
      </c>
      <c r="G2574">
        <v>11.23</v>
      </c>
      <c r="H2574">
        <v>24.98</v>
      </c>
      <c r="I2574" t="s">
        <v>344</v>
      </c>
      <c r="J2574">
        <v>140.91</v>
      </c>
      <c r="K2574">
        <v>1.67</v>
      </c>
      <c r="L2574" t="s">
        <v>346</v>
      </c>
      <c r="M2574" s="1">
        <v>1.67E-2</v>
      </c>
      <c r="N2574" t="s">
        <v>349</v>
      </c>
      <c r="O2574">
        <v>-7.99</v>
      </c>
      <c r="P2574" t="s">
        <v>343</v>
      </c>
      <c r="Q2574">
        <v>4.22</v>
      </c>
      <c r="R2574" t="s">
        <v>343</v>
      </c>
      <c r="S2574">
        <v>1</v>
      </c>
    </row>
    <row r="2575" spans="1:19" x14ac:dyDescent="0.25">
      <c r="A2575" t="s">
        <v>52</v>
      </c>
      <c r="B2575" t="s">
        <v>134</v>
      </c>
      <c r="C2575">
        <v>1520</v>
      </c>
      <c r="D2575" t="s">
        <v>342</v>
      </c>
      <c r="E2575">
        <v>24.15</v>
      </c>
      <c r="F2575">
        <v>14.79</v>
      </c>
      <c r="G2575">
        <v>11.74</v>
      </c>
      <c r="H2575">
        <v>26.53</v>
      </c>
      <c r="I2575" t="s">
        <v>344</v>
      </c>
      <c r="J2575">
        <v>142.27000000000001</v>
      </c>
      <c r="K2575">
        <v>6.8</v>
      </c>
      <c r="L2575" t="s">
        <v>346</v>
      </c>
      <c r="M2575" s="1">
        <v>6.8000000000000005E-2</v>
      </c>
      <c r="N2575" t="s">
        <v>350</v>
      </c>
      <c r="O2575">
        <v>-7.73</v>
      </c>
      <c r="P2575" t="s">
        <v>343</v>
      </c>
      <c r="Q2575">
        <v>3.25</v>
      </c>
      <c r="R2575" t="s">
        <v>344</v>
      </c>
      <c r="S2575">
        <v>1</v>
      </c>
    </row>
    <row r="2576" spans="1:19" x14ac:dyDescent="0.25">
      <c r="A2576" t="s">
        <v>52</v>
      </c>
      <c r="B2576" t="s">
        <v>135</v>
      </c>
      <c r="C2576">
        <v>1540</v>
      </c>
      <c r="D2576" t="s">
        <v>342</v>
      </c>
      <c r="E2576">
        <v>24.15</v>
      </c>
      <c r="F2576">
        <v>13.74</v>
      </c>
      <c r="G2576">
        <v>13.89</v>
      </c>
      <c r="H2576">
        <v>27.63</v>
      </c>
      <c r="I2576" t="s">
        <v>344</v>
      </c>
      <c r="J2576">
        <v>143.58000000000001</v>
      </c>
      <c r="K2576">
        <v>6.54</v>
      </c>
      <c r="L2576" t="s">
        <v>346</v>
      </c>
      <c r="M2576" s="1">
        <v>6.54E-2</v>
      </c>
      <c r="N2576" t="s">
        <v>350</v>
      </c>
      <c r="O2576">
        <v>-1.36</v>
      </c>
      <c r="P2576" t="s">
        <v>343</v>
      </c>
      <c r="Q2576">
        <v>3.84</v>
      </c>
      <c r="R2576" t="s">
        <v>344</v>
      </c>
      <c r="S2576">
        <v>1</v>
      </c>
    </row>
    <row r="2577" spans="1:19" x14ac:dyDescent="0.25">
      <c r="A2577" t="s">
        <v>52</v>
      </c>
      <c r="B2577" t="s">
        <v>136</v>
      </c>
      <c r="C2577">
        <v>1560</v>
      </c>
      <c r="D2577" t="s">
        <v>342</v>
      </c>
      <c r="E2577">
        <v>24.15</v>
      </c>
      <c r="F2577">
        <v>14.79</v>
      </c>
      <c r="G2577">
        <v>13.72</v>
      </c>
      <c r="H2577">
        <v>28.51</v>
      </c>
      <c r="I2577" t="s">
        <v>344</v>
      </c>
      <c r="J2577">
        <v>144.27000000000001</v>
      </c>
      <c r="K2577">
        <v>3.49</v>
      </c>
      <c r="L2577" t="s">
        <v>346</v>
      </c>
      <c r="M2577" s="1">
        <v>3.49E-2</v>
      </c>
      <c r="N2577" t="s">
        <v>350</v>
      </c>
      <c r="O2577">
        <v>-0.22</v>
      </c>
      <c r="P2577" t="s">
        <v>343</v>
      </c>
      <c r="Q2577">
        <v>3.72</v>
      </c>
      <c r="R2577" t="s">
        <v>344</v>
      </c>
      <c r="S2577">
        <v>1</v>
      </c>
    </row>
    <row r="2578" spans="1:19" x14ac:dyDescent="0.25">
      <c r="A2578" t="s">
        <v>52</v>
      </c>
      <c r="B2578" t="s">
        <v>137</v>
      </c>
      <c r="C2578">
        <v>1580</v>
      </c>
      <c r="D2578" t="s">
        <v>342</v>
      </c>
      <c r="E2578">
        <v>24.15</v>
      </c>
      <c r="F2578">
        <v>14.5</v>
      </c>
      <c r="G2578">
        <v>14.8</v>
      </c>
      <c r="H2578">
        <v>29.3</v>
      </c>
      <c r="I2578" t="s">
        <v>344</v>
      </c>
      <c r="J2578">
        <v>144.86000000000001</v>
      </c>
      <c r="K2578">
        <v>2.95</v>
      </c>
      <c r="L2578" t="s">
        <v>346</v>
      </c>
      <c r="M2578" s="1">
        <v>2.9499999999999998E-2</v>
      </c>
      <c r="N2578" t="s">
        <v>350</v>
      </c>
      <c r="O2578">
        <v>0.3</v>
      </c>
      <c r="P2578" t="s">
        <v>343</v>
      </c>
      <c r="Q2578">
        <v>2.75</v>
      </c>
      <c r="R2578" t="s">
        <v>344</v>
      </c>
      <c r="S2578">
        <v>1</v>
      </c>
    </row>
    <row r="2579" spans="1:19" x14ac:dyDescent="0.25">
      <c r="A2579" t="s">
        <v>52</v>
      </c>
      <c r="B2579" t="s">
        <v>138</v>
      </c>
      <c r="C2579">
        <v>1600</v>
      </c>
      <c r="D2579" t="s">
        <v>342</v>
      </c>
      <c r="E2579">
        <v>24.15</v>
      </c>
      <c r="F2579">
        <v>15.18</v>
      </c>
      <c r="G2579">
        <v>13.26</v>
      </c>
      <c r="H2579">
        <v>28.43</v>
      </c>
      <c r="I2579" t="s">
        <v>344</v>
      </c>
      <c r="J2579">
        <v>145.34</v>
      </c>
      <c r="K2579">
        <v>2.39</v>
      </c>
      <c r="L2579" t="s">
        <v>346</v>
      </c>
      <c r="M2579" s="1">
        <v>2.3900000000000001E-2</v>
      </c>
      <c r="N2579" t="s">
        <v>350</v>
      </c>
      <c r="O2579">
        <v>0.7</v>
      </c>
      <c r="P2579" t="s">
        <v>343</v>
      </c>
      <c r="Q2579">
        <v>1.77</v>
      </c>
      <c r="R2579" t="s">
        <v>343</v>
      </c>
      <c r="S2579">
        <v>1</v>
      </c>
    </row>
    <row r="2580" spans="1:19" x14ac:dyDescent="0.25">
      <c r="A2580" t="s">
        <v>52</v>
      </c>
      <c r="B2580" t="s">
        <v>139</v>
      </c>
      <c r="C2580">
        <v>1620</v>
      </c>
      <c r="D2580" t="s">
        <v>342</v>
      </c>
      <c r="E2580">
        <v>24.15</v>
      </c>
      <c r="F2580">
        <v>13.91</v>
      </c>
      <c r="G2580">
        <v>12.61</v>
      </c>
      <c r="H2580">
        <v>26.52</v>
      </c>
      <c r="I2580" t="s">
        <v>344</v>
      </c>
      <c r="J2580">
        <v>145.79</v>
      </c>
      <c r="K2580">
        <v>2.2599999999999998</v>
      </c>
      <c r="L2580" t="s">
        <v>346</v>
      </c>
      <c r="M2580" s="1">
        <v>2.2599999999999999E-2</v>
      </c>
      <c r="N2580" t="s">
        <v>350</v>
      </c>
      <c r="O2580">
        <v>0.17</v>
      </c>
      <c r="P2580" t="s">
        <v>343</v>
      </c>
      <c r="Q2580">
        <v>2.06</v>
      </c>
      <c r="R2580" t="s">
        <v>344</v>
      </c>
      <c r="S2580">
        <v>1</v>
      </c>
    </row>
    <row r="2581" spans="1:19" x14ac:dyDescent="0.25">
      <c r="A2581" t="s">
        <v>52</v>
      </c>
      <c r="B2581" t="s">
        <v>140</v>
      </c>
      <c r="C2581">
        <v>1640</v>
      </c>
      <c r="D2581" t="s">
        <v>342</v>
      </c>
      <c r="E2581">
        <v>24.15</v>
      </c>
      <c r="F2581">
        <v>14.86</v>
      </c>
      <c r="G2581">
        <v>12.98</v>
      </c>
      <c r="H2581">
        <v>27.84</v>
      </c>
      <c r="I2581" t="s">
        <v>344</v>
      </c>
      <c r="J2581">
        <v>146.22</v>
      </c>
      <c r="K2581">
        <v>2.11</v>
      </c>
      <c r="L2581" t="s">
        <v>346</v>
      </c>
      <c r="M2581" s="1">
        <v>2.1100000000000001E-2</v>
      </c>
      <c r="N2581" t="s">
        <v>350</v>
      </c>
      <c r="O2581">
        <v>0.06</v>
      </c>
      <c r="P2581" t="s">
        <v>343</v>
      </c>
      <c r="Q2581">
        <v>2.5299999999999998</v>
      </c>
      <c r="R2581" t="s">
        <v>344</v>
      </c>
      <c r="S2581">
        <v>1</v>
      </c>
    </row>
    <row r="2582" spans="1:19" x14ac:dyDescent="0.25">
      <c r="A2582" t="s">
        <v>52</v>
      </c>
      <c r="B2582" t="s">
        <v>141</v>
      </c>
      <c r="C2582">
        <v>1660</v>
      </c>
      <c r="D2582" t="s">
        <v>342</v>
      </c>
      <c r="E2582">
        <v>24.15</v>
      </c>
      <c r="F2582">
        <v>14.66</v>
      </c>
      <c r="G2582">
        <v>12.93</v>
      </c>
      <c r="H2582">
        <v>27.58</v>
      </c>
      <c r="I2582" t="s">
        <v>344</v>
      </c>
      <c r="J2582">
        <v>146.46</v>
      </c>
      <c r="K2582">
        <v>1.21</v>
      </c>
      <c r="L2582" t="s">
        <v>346</v>
      </c>
      <c r="M2582" s="1">
        <v>1.21E-2</v>
      </c>
      <c r="N2582" t="s">
        <v>349</v>
      </c>
      <c r="O2582">
        <v>1.1299999999999999</v>
      </c>
      <c r="P2582" t="s">
        <v>343</v>
      </c>
      <c r="Q2582">
        <v>0.46</v>
      </c>
      <c r="R2582" t="s">
        <v>343</v>
      </c>
      <c r="S2582">
        <v>1</v>
      </c>
    </row>
    <row r="2583" spans="1:19" x14ac:dyDescent="0.25">
      <c r="A2583" t="s">
        <v>52</v>
      </c>
      <c r="B2583" t="s">
        <v>142</v>
      </c>
      <c r="C2583">
        <v>1680</v>
      </c>
      <c r="D2583" t="s">
        <v>342</v>
      </c>
      <c r="E2583">
        <v>24.15</v>
      </c>
      <c r="F2583">
        <v>12.24</v>
      </c>
      <c r="G2583">
        <v>12.7</v>
      </c>
      <c r="H2583">
        <v>24.94</v>
      </c>
      <c r="I2583" t="s">
        <v>344</v>
      </c>
      <c r="J2583">
        <v>146.62</v>
      </c>
      <c r="K2583">
        <v>0.8</v>
      </c>
      <c r="L2583" t="s">
        <v>346</v>
      </c>
      <c r="M2583" s="1">
        <v>8.0000000000000002E-3</v>
      </c>
      <c r="N2583" t="s">
        <v>349</v>
      </c>
      <c r="O2583">
        <v>0.99</v>
      </c>
      <c r="P2583" t="s">
        <v>343</v>
      </c>
      <c r="Q2583">
        <v>-0.22</v>
      </c>
      <c r="R2583" t="s">
        <v>343</v>
      </c>
      <c r="S2583">
        <v>1</v>
      </c>
    </row>
    <row r="2584" spans="1:19" x14ac:dyDescent="0.25">
      <c r="A2584" t="s">
        <v>52</v>
      </c>
      <c r="B2584" t="s">
        <v>143</v>
      </c>
      <c r="C2584">
        <v>1700</v>
      </c>
      <c r="D2584" t="s">
        <v>342</v>
      </c>
      <c r="E2584">
        <v>24.15</v>
      </c>
      <c r="F2584">
        <v>11.97</v>
      </c>
      <c r="G2584">
        <v>11.82</v>
      </c>
      <c r="H2584">
        <v>23.79</v>
      </c>
      <c r="I2584" t="s">
        <v>343</v>
      </c>
      <c r="J2584">
        <v>146.6</v>
      </c>
      <c r="K2584">
        <v>-0.09</v>
      </c>
      <c r="L2584" t="s">
        <v>346</v>
      </c>
      <c r="M2584" s="1">
        <v>8.9999999999999998E-4</v>
      </c>
      <c r="N2584" t="s">
        <v>349</v>
      </c>
      <c r="O2584">
        <v>1.74</v>
      </c>
      <c r="P2584" t="s">
        <v>343</v>
      </c>
      <c r="Q2584">
        <v>-0.05</v>
      </c>
      <c r="R2584" t="s">
        <v>343</v>
      </c>
      <c r="S2584">
        <v>1</v>
      </c>
    </row>
    <row r="2585" spans="1:19" x14ac:dyDescent="0.25">
      <c r="A2585" t="s">
        <v>52</v>
      </c>
      <c r="B2585" t="s">
        <v>144</v>
      </c>
      <c r="C2585">
        <v>1720</v>
      </c>
      <c r="D2585" t="s">
        <v>342</v>
      </c>
      <c r="E2585">
        <v>24.15</v>
      </c>
      <c r="F2585">
        <v>11.46</v>
      </c>
      <c r="G2585">
        <v>12.36</v>
      </c>
      <c r="H2585">
        <v>23.82</v>
      </c>
      <c r="I2585" t="s">
        <v>343</v>
      </c>
      <c r="J2585">
        <v>146.68</v>
      </c>
      <c r="K2585">
        <v>0.38</v>
      </c>
      <c r="L2585" t="s">
        <v>346</v>
      </c>
      <c r="M2585" s="1">
        <v>3.8E-3</v>
      </c>
      <c r="N2585" t="s">
        <v>349</v>
      </c>
      <c r="O2585">
        <v>1.33</v>
      </c>
      <c r="P2585" t="s">
        <v>343</v>
      </c>
      <c r="Q2585">
        <v>0.49</v>
      </c>
      <c r="R2585" t="s">
        <v>343</v>
      </c>
      <c r="S2585">
        <v>1</v>
      </c>
    </row>
    <row r="2586" spans="1:19" x14ac:dyDescent="0.25">
      <c r="A2586" t="s">
        <v>52</v>
      </c>
      <c r="B2586" t="s">
        <v>145</v>
      </c>
      <c r="C2586">
        <v>1740</v>
      </c>
      <c r="D2586" t="s">
        <v>342</v>
      </c>
      <c r="E2586">
        <v>24.15</v>
      </c>
      <c r="F2586">
        <v>14.04</v>
      </c>
      <c r="G2586">
        <v>11.54</v>
      </c>
      <c r="H2586">
        <v>25.58</v>
      </c>
      <c r="I2586" t="s">
        <v>344</v>
      </c>
      <c r="J2586">
        <v>148.03</v>
      </c>
      <c r="K2586">
        <v>6.78</v>
      </c>
      <c r="L2586" t="s">
        <v>346</v>
      </c>
      <c r="M2586" s="1">
        <v>6.7799999999999999E-2</v>
      </c>
      <c r="N2586" t="s">
        <v>350</v>
      </c>
      <c r="O2586">
        <v>4.3600000000000003</v>
      </c>
      <c r="P2586" t="s">
        <v>343</v>
      </c>
      <c r="Q2586">
        <v>1.64</v>
      </c>
      <c r="R2586" t="s">
        <v>343</v>
      </c>
      <c r="S2586">
        <v>1</v>
      </c>
    </row>
    <row r="2587" spans="1:19" x14ac:dyDescent="0.25">
      <c r="A2587" t="s">
        <v>52</v>
      </c>
      <c r="B2587" t="s">
        <v>146</v>
      </c>
      <c r="C2587">
        <v>1760</v>
      </c>
      <c r="D2587" t="s">
        <v>342</v>
      </c>
      <c r="E2587">
        <v>24.15</v>
      </c>
      <c r="F2587">
        <v>14.28</v>
      </c>
      <c r="G2587">
        <v>14.94</v>
      </c>
      <c r="H2587">
        <v>29.21</v>
      </c>
      <c r="I2587" t="s">
        <v>344</v>
      </c>
      <c r="J2587">
        <v>147.82</v>
      </c>
      <c r="K2587">
        <v>-1.08</v>
      </c>
      <c r="L2587" t="s">
        <v>346</v>
      </c>
      <c r="M2587" s="1">
        <v>1.0800000000000001E-2</v>
      </c>
      <c r="N2587" t="s">
        <v>349</v>
      </c>
      <c r="O2587">
        <v>3.03</v>
      </c>
      <c r="P2587" t="s">
        <v>344</v>
      </c>
      <c r="Q2587">
        <v>0.17</v>
      </c>
      <c r="R2587" t="s">
        <v>343</v>
      </c>
      <c r="S2587">
        <v>1</v>
      </c>
    </row>
    <row r="2588" spans="1:19" x14ac:dyDescent="0.25">
      <c r="A2588" t="s">
        <v>52</v>
      </c>
      <c r="B2588" t="s">
        <v>147</v>
      </c>
      <c r="C2588">
        <v>1780</v>
      </c>
      <c r="D2588" t="s">
        <v>342</v>
      </c>
      <c r="E2588">
        <v>24.15</v>
      </c>
      <c r="F2588">
        <v>14.28</v>
      </c>
      <c r="G2588">
        <v>14.05</v>
      </c>
      <c r="H2588">
        <v>28.33</v>
      </c>
      <c r="I2588" t="s">
        <v>344</v>
      </c>
      <c r="J2588">
        <v>146.91</v>
      </c>
      <c r="K2588">
        <v>-4.5199999999999996</v>
      </c>
      <c r="L2588" t="s">
        <v>346</v>
      </c>
      <c r="M2588" s="1">
        <v>4.5199999999999997E-2</v>
      </c>
      <c r="N2588" t="s">
        <v>350</v>
      </c>
      <c r="O2588">
        <v>3.41</v>
      </c>
      <c r="P2588" t="s">
        <v>344</v>
      </c>
      <c r="Q2588">
        <v>0.42</v>
      </c>
      <c r="R2588" t="s">
        <v>343</v>
      </c>
      <c r="S2588">
        <v>1</v>
      </c>
    </row>
    <row r="2589" spans="1:19" x14ac:dyDescent="0.25">
      <c r="A2589" t="s">
        <v>52</v>
      </c>
      <c r="B2589" t="s">
        <v>148</v>
      </c>
      <c r="C2589">
        <v>1800</v>
      </c>
      <c r="D2589" t="s">
        <v>342</v>
      </c>
      <c r="E2589">
        <v>24.15</v>
      </c>
      <c r="F2589">
        <v>14.61</v>
      </c>
      <c r="G2589">
        <v>14.05</v>
      </c>
      <c r="H2589">
        <v>28.66</v>
      </c>
      <c r="I2589" t="s">
        <v>344</v>
      </c>
      <c r="J2589">
        <v>146.71</v>
      </c>
      <c r="K2589">
        <v>-1</v>
      </c>
      <c r="L2589" t="s">
        <v>346</v>
      </c>
      <c r="M2589" s="1">
        <v>0.01</v>
      </c>
      <c r="N2589" t="s">
        <v>349</v>
      </c>
      <c r="O2589">
        <v>1.38</v>
      </c>
      <c r="P2589" t="s">
        <v>343</v>
      </c>
      <c r="Q2589">
        <v>0.17</v>
      </c>
      <c r="R2589" t="s">
        <v>343</v>
      </c>
      <c r="S2589">
        <v>1</v>
      </c>
    </row>
    <row r="2590" spans="1:19" x14ac:dyDescent="0.25">
      <c r="A2590" t="s">
        <v>52</v>
      </c>
      <c r="B2590" t="s">
        <v>149</v>
      </c>
      <c r="C2590">
        <v>1820</v>
      </c>
      <c r="D2590" t="s">
        <v>342</v>
      </c>
      <c r="E2590">
        <v>24.15</v>
      </c>
      <c r="F2590">
        <v>14.99</v>
      </c>
      <c r="G2590">
        <v>13.82</v>
      </c>
      <c r="H2590">
        <v>28.81</v>
      </c>
      <c r="I2590" t="s">
        <v>344</v>
      </c>
      <c r="J2590">
        <v>146.72</v>
      </c>
      <c r="K2590">
        <v>0.04</v>
      </c>
      <c r="L2590" t="s">
        <v>346</v>
      </c>
      <c r="M2590" s="1">
        <v>4.0000000000000002E-4</v>
      </c>
      <c r="N2590" t="s">
        <v>349</v>
      </c>
      <c r="O2590">
        <v>1.38</v>
      </c>
      <c r="P2590" t="s">
        <v>343</v>
      </c>
      <c r="Q2590">
        <v>-0.13</v>
      </c>
      <c r="R2590" t="s">
        <v>343</v>
      </c>
      <c r="S2590">
        <v>1</v>
      </c>
    </row>
    <row r="2591" spans="1:19" x14ac:dyDescent="0.25">
      <c r="A2591" t="s">
        <v>52</v>
      </c>
      <c r="B2591" t="s">
        <v>150</v>
      </c>
      <c r="C2591">
        <v>1840</v>
      </c>
      <c r="D2591" t="s">
        <v>342</v>
      </c>
      <c r="E2591">
        <v>24.15</v>
      </c>
      <c r="F2591">
        <v>15.07</v>
      </c>
      <c r="G2591">
        <v>12.97</v>
      </c>
      <c r="H2591">
        <v>28.04</v>
      </c>
      <c r="I2591" t="s">
        <v>344</v>
      </c>
      <c r="J2591">
        <v>146.74</v>
      </c>
      <c r="K2591">
        <v>0.1</v>
      </c>
      <c r="L2591" t="s">
        <v>346</v>
      </c>
      <c r="M2591" s="1">
        <v>1E-3</v>
      </c>
      <c r="N2591" t="s">
        <v>349</v>
      </c>
      <c r="O2591">
        <v>1.49</v>
      </c>
      <c r="P2591" t="s">
        <v>343</v>
      </c>
      <c r="Q2591">
        <v>0.62</v>
      </c>
      <c r="R2591" t="s">
        <v>343</v>
      </c>
      <c r="S2591">
        <v>1</v>
      </c>
    </row>
    <row r="2592" spans="1:19" x14ac:dyDescent="0.25">
      <c r="A2592" t="s">
        <v>52</v>
      </c>
      <c r="B2592" t="s">
        <v>151</v>
      </c>
      <c r="C2592">
        <v>1860</v>
      </c>
      <c r="D2592" t="s">
        <v>342</v>
      </c>
      <c r="E2592">
        <v>24.15</v>
      </c>
      <c r="F2592">
        <v>15.13</v>
      </c>
      <c r="G2592">
        <v>12.98</v>
      </c>
      <c r="H2592">
        <v>28.11</v>
      </c>
      <c r="I2592" t="s">
        <v>344</v>
      </c>
      <c r="J2592">
        <v>146.66</v>
      </c>
      <c r="K2592">
        <v>-0.39</v>
      </c>
      <c r="L2592" t="s">
        <v>346</v>
      </c>
      <c r="M2592" s="1">
        <v>3.8999999999999998E-3</v>
      </c>
      <c r="N2592" t="s">
        <v>349</v>
      </c>
      <c r="O2592">
        <v>1.34</v>
      </c>
      <c r="P2592" t="s">
        <v>343</v>
      </c>
      <c r="Q2592">
        <v>1.86</v>
      </c>
      <c r="R2592" t="s">
        <v>343</v>
      </c>
      <c r="S2592">
        <v>1</v>
      </c>
    </row>
    <row r="2593" spans="1:19" x14ac:dyDescent="0.25">
      <c r="A2593" t="s">
        <v>52</v>
      </c>
      <c r="B2593" t="s">
        <v>152</v>
      </c>
      <c r="C2593">
        <v>1880</v>
      </c>
      <c r="D2593" t="s">
        <v>342</v>
      </c>
      <c r="E2593">
        <v>24.15</v>
      </c>
      <c r="F2593">
        <v>15.02</v>
      </c>
      <c r="G2593">
        <v>13.16</v>
      </c>
      <c r="H2593">
        <v>28.19</v>
      </c>
      <c r="I2593" t="s">
        <v>344</v>
      </c>
      <c r="J2593">
        <v>146.66999999999999</v>
      </c>
      <c r="K2593">
        <v>0.05</v>
      </c>
      <c r="L2593" t="s">
        <v>346</v>
      </c>
      <c r="M2593" s="1">
        <v>5.0000000000000001E-4</v>
      </c>
      <c r="N2593" t="s">
        <v>349</v>
      </c>
      <c r="O2593">
        <v>2</v>
      </c>
      <c r="P2593" t="s">
        <v>344</v>
      </c>
      <c r="Q2593">
        <v>1.82</v>
      </c>
      <c r="R2593" t="s">
        <v>343</v>
      </c>
      <c r="S2593">
        <v>1</v>
      </c>
    </row>
    <row r="2594" spans="1:19" x14ac:dyDescent="0.25">
      <c r="A2594" t="s">
        <v>52</v>
      </c>
      <c r="B2594" t="s">
        <v>153</v>
      </c>
      <c r="C2594">
        <v>1900</v>
      </c>
      <c r="D2594" t="s">
        <v>342</v>
      </c>
      <c r="E2594">
        <v>24.15</v>
      </c>
      <c r="F2594">
        <v>14.8</v>
      </c>
      <c r="G2594">
        <v>13.54</v>
      </c>
      <c r="H2594">
        <v>28.34</v>
      </c>
      <c r="I2594" t="s">
        <v>344</v>
      </c>
      <c r="J2594">
        <v>146.43</v>
      </c>
      <c r="K2594">
        <v>-1.19</v>
      </c>
      <c r="L2594" t="s">
        <v>346</v>
      </c>
      <c r="M2594" s="1">
        <v>1.1900000000000001E-2</v>
      </c>
      <c r="N2594" t="s">
        <v>349</v>
      </c>
      <c r="O2594">
        <v>1.48</v>
      </c>
      <c r="P2594" t="s">
        <v>343</v>
      </c>
      <c r="Q2594">
        <v>0.52</v>
      </c>
      <c r="R2594" t="s">
        <v>343</v>
      </c>
      <c r="S2594">
        <v>1</v>
      </c>
    </row>
    <row r="2595" spans="1:19" x14ac:dyDescent="0.25">
      <c r="A2595" t="s">
        <v>52</v>
      </c>
      <c r="B2595" t="s">
        <v>154</v>
      </c>
      <c r="C2595">
        <v>1920</v>
      </c>
      <c r="D2595" t="s">
        <v>342</v>
      </c>
      <c r="E2595">
        <v>24.15</v>
      </c>
      <c r="F2595">
        <v>15.48</v>
      </c>
      <c r="G2595">
        <v>13.08</v>
      </c>
      <c r="H2595">
        <v>28.55</v>
      </c>
      <c r="I2595" t="s">
        <v>344</v>
      </c>
      <c r="J2595">
        <v>146.41999999999999</v>
      </c>
      <c r="K2595">
        <v>-0.06</v>
      </c>
      <c r="L2595" t="s">
        <v>346</v>
      </c>
      <c r="M2595" s="1">
        <v>5.9999999999999995E-4</v>
      </c>
      <c r="N2595" t="s">
        <v>349</v>
      </c>
      <c r="O2595">
        <v>1.44</v>
      </c>
      <c r="P2595" t="s">
        <v>343</v>
      </c>
      <c r="Q2595">
        <v>0.92</v>
      </c>
      <c r="R2595" t="s">
        <v>343</v>
      </c>
      <c r="S2595">
        <v>1</v>
      </c>
    </row>
    <row r="2596" spans="1:19" x14ac:dyDescent="0.25">
      <c r="A2596" t="s">
        <v>52</v>
      </c>
      <c r="B2596" t="s">
        <v>155</v>
      </c>
      <c r="C2596">
        <v>1940</v>
      </c>
      <c r="D2596" t="s">
        <v>342</v>
      </c>
      <c r="E2596">
        <v>24.15</v>
      </c>
      <c r="F2596">
        <v>15.38</v>
      </c>
      <c r="G2596">
        <v>13.1</v>
      </c>
      <c r="H2596">
        <v>28.48</v>
      </c>
      <c r="I2596" t="s">
        <v>344</v>
      </c>
      <c r="J2596">
        <v>146.36000000000001</v>
      </c>
      <c r="K2596">
        <v>-0.32</v>
      </c>
      <c r="L2596" t="s">
        <v>346</v>
      </c>
      <c r="M2596" s="1">
        <v>3.2000000000000002E-3</v>
      </c>
      <c r="N2596" t="s">
        <v>349</v>
      </c>
      <c r="O2596">
        <v>1.1399999999999999</v>
      </c>
      <c r="P2596" t="s">
        <v>343</v>
      </c>
      <c r="Q2596">
        <v>0.61</v>
      </c>
      <c r="R2596" t="s">
        <v>343</v>
      </c>
      <c r="S2596">
        <v>1</v>
      </c>
    </row>
    <row r="2597" spans="1:19" x14ac:dyDescent="0.25">
      <c r="A2597" t="s">
        <v>52</v>
      </c>
      <c r="B2597" t="s">
        <v>156</v>
      </c>
      <c r="C2597">
        <v>1960</v>
      </c>
      <c r="D2597" t="s">
        <v>342</v>
      </c>
      <c r="E2597">
        <v>24.15</v>
      </c>
      <c r="F2597">
        <v>14.66</v>
      </c>
      <c r="G2597">
        <v>12.95</v>
      </c>
      <c r="H2597">
        <v>27.62</v>
      </c>
      <c r="I2597" t="s">
        <v>344</v>
      </c>
      <c r="J2597">
        <v>146.47</v>
      </c>
      <c r="K2597">
        <v>0.55000000000000004</v>
      </c>
      <c r="L2597" t="s">
        <v>346</v>
      </c>
      <c r="M2597" s="1">
        <v>5.5000000000000014E-3</v>
      </c>
      <c r="N2597" t="s">
        <v>349</v>
      </c>
      <c r="O2597">
        <v>3.06</v>
      </c>
      <c r="P2597" t="s">
        <v>344</v>
      </c>
      <c r="Q2597">
        <v>1.1299999999999999</v>
      </c>
      <c r="R2597" t="s">
        <v>343</v>
      </c>
      <c r="S2597">
        <v>1</v>
      </c>
    </row>
    <row r="2598" spans="1:19" x14ac:dyDescent="0.25">
      <c r="A2598" t="s">
        <v>52</v>
      </c>
      <c r="B2598" t="s">
        <v>157</v>
      </c>
      <c r="C2598">
        <v>1980</v>
      </c>
      <c r="D2598" t="s">
        <v>342</v>
      </c>
      <c r="E2598">
        <v>24.15</v>
      </c>
      <c r="F2598">
        <v>13.93</v>
      </c>
      <c r="G2598">
        <v>13.21</v>
      </c>
      <c r="H2598">
        <v>27.15</v>
      </c>
      <c r="I2598" t="s">
        <v>344</v>
      </c>
      <c r="J2598">
        <v>146.53</v>
      </c>
      <c r="K2598">
        <v>0.32</v>
      </c>
      <c r="L2598" t="s">
        <v>346</v>
      </c>
      <c r="M2598" s="1">
        <v>3.2000000000000002E-3</v>
      </c>
      <c r="N2598" t="s">
        <v>349</v>
      </c>
      <c r="O2598">
        <v>2.38</v>
      </c>
      <c r="P2598" t="s">
        <v>344</v>
      </c>
      <c r="Q2598">
        <v>-0.97</v>
      </c>
      <c r="R2598" t="s">
        <v>343</v>
      </c>
      <c r="S2598">
        <v>1</v>
      </c>
    </row>
    <row r="2599" spans="1:19" x14ac:dyDescent="0.25">
      <c r="A2599" t="s">
        <v>52</v>
      </c>
      <c r="B2599" t="s">
        <v>158</v>
      </c>
      <c r="C2599">
        <v>2000</v>
      </c>
      <c r="D2599" t="s">
        <v>342</v>
      </c>
      <c r="E2599">
        <v>24.15</v>
      </c>
      <c r="F2599">
        <v>16.149999999999999</v>
      </c>
      <c r="G2599">
        <v>14.51</v>
      </c>
      <c r="H2599">
        <v>30.67</v>
      </c>
      <c r="I2599" t="s">
        <v>344</v>
      </c>
      <c r="J2599">
        <v>146.71</v>
      </c>
      <c r="K2599">
        <v>0.88</v>
      </c>
      <c r="L2599" t="s">
        <v>346</v>
      </c>
      <c r="M2599" s="1">
        <v>8.8000000000000005E-3</v>
      </c>
      <c r="N2599" t="s">
        <v>349</v>
      </c>
      <c r="O2599">
        <v>2.4700000000000002</v>
      </c>
      <c r="P2599" t="s">
        <v>344</v>
      </c>
      <c r="Q2599">
        <v>0.81</v>
      </c>
      <c r="R2599" t="s">
        <v>343</v>
      </c>
      <c r="S2599">
        <v>1</v>
      </c>
    </row>
    <row r="2600" spans="1:19" x14ac:dyDescent="0.25">
      <c r="A2600" t="s">
        <v>52</v>
      </c>
      <c r="B2600" t="s">
        <v>159</v>
      </c>
      <c r="C2600">
        <v>2020</v>
      </c>
      <c r="D2600" t="s">
        <v>342</v>
      </c>
      <c r="E2600">
        <v>24.15</v>
      </c>
      <c r="F2600">
        <v>16.149999999999999</v>
      </c>
      <c r="G2600">
        <v>15.66</v>
      </c>
      <c r="H2600">
        <v>31.81</v>
      </c>
      <c r="I2600" t="s">
        <v>344</v>
      </c>
      <c r="J2600">
        <v>146.57</v>
      </c>
      <c r="K2600">
        <v>-0.66</v>
      </c>
      <c r="L2600" t="s">
        <v>346</v>
      </c>
      <c r="M2600" s="1">
        <v>6.6E-3</v>
      </c>
      <c r="N2600" t="s">
        <v>349</v>
      </c>
      <c r="O2600">
        <v>0.43</v>
      </c>
      <c r="P2600" t="s">
        <v>343</v>
      </c>
      <c r="Q2600">
        <v>1.82</v>
      </c>
      <c r="R2600" t="s">
        <v>343</v>
      </c>
      <c r="S2600">
        <v>1</v>
      </c>
    </row>
    <row r="2601" spans="1:19" x14ac:dyDescent="0.25">
      <c r="A2601" t="s">
        <v>52</v>
      </c>
      <c r="B2601" t="s">
        <v>160</v>
      </c>
      <c r="C2601">
        <v>2040</v>
      </c>
      <c r="D2601" t="s">
        <v>342</v>
      </c>
      <c r="E2601">
        <v>24.15</v>
      </c>
      <c r="F2601">
        <v>16.64</v>
      </c>
      <c r="G2601">
        <v>15.63</v>
      </c>
      <c r="H2601">
        <v>32.270000000000003</v>
      </c>
      <c r="I2601" t="s">
        <v>344</v>
      </c>
      <c r="J2601">
        <v>146.30000000000001</v>
      </c>
      <c r="K2601">
        <v>-1.38</v>
      </c>
      <c r="L2601" t="s">
        <v>346</v>
      </c>
      <c r="M2601" s="1">
        <v>1.38E-2</v>
      </c>
      <c r="N2601" t="s">
        <v>349</v>
      </c>
      <c r="O2601">
        <v>-2.4500000000000002</v>
      </c>
      <c r="P2601" t="s">
        <v>344</v>
      </c>
      <c r="Q2601">
        <v>1.51</v>
      </c>
      <c r="R2601" t="s">
        <v>343</v>
      </c>
      <c r="S2601">
        <v>1</v>
      </c>
    </row>
    <row r="2602" spans="1:19" x14ac:dyDescent="0.25">
      <c r="A2602" t="s">
        <v>52</v>
      </c>
      <c r="B2602" t="s">
        <v>161</v>
      </c>
      <c r="C2602">
        <v>2060</v>
      </c>
      <c r="D2602" t="s">
        <v>342</v>
      </c>
      <c r="E2602">
        <v>24.15</v>
      </c>
      <c r="F2602">
        <v>15.51</v>
      </c>
      <c r="G2602">
        <v>15.4</v>
      </c>
      <c r="H2602">
        <v>30.91</v>
      </c>
      <c r="I2602" t="s">
        <v>344</v>
      </c>
      <c r="J2602">
        <v>146.08000000000001</v>
      </c>
      <c r="K2602">
        <v>-1.1100000000000001</v>
      </c>
      <c r="L2602" t="s">
        <v>346</v>
      </c>
      <c r="M2602" s="1">
        <v>1.11E-2</v>
      </c>
      <c r="N2602" t="s">
        <v>349</v>
      </c>
      <c r="O2602">
        <v>-2.1</v>
      </c>
      <c r="P2602" t="s">
        <v>344</v>
      </c>
      <c r="Q2602">
        <v>1.45</v>
      </c>
      <c r="R2602" t="s">
        <v>343</v>
      </c>
      <c r="S2602">
        <v>1</v>
      </c>
    </row>
    <row r="2603" spans="1:19" x14ac:dyDescent="0.25">
      <c r="A2603" t="s">
        <v>52</v>
      </c>
      <c r="B2603" t="s">
        <v>162</v>
      </c>
      <c r="C2603">
        <v>2080</v>
      </c>
      <c r="D2603" t="s">
        <v>342</v>
      </c>
      <c r="E2603">
        <v>24.15</v>
      </c>
      <c r="F2603">
        <v>14.6</v>
      </c>
      <c r="G2603">
        <v>14.35</v>
      </c>
      <c r="H2603">
        <v>28.95</v>
      </c>
      <c r="I2603" t="s">
        <v>344</v>
      </c>
      <c r="J2603">
        <v>145.84</v>
      </c>
      <c r="K2603">
        <v>-1.17</v>
      </c>
      <c r="L2603" t="s">
        <v>346</v>
      </c>
      <c r="M2603" s="1">
        <v>1.17E-2</v>
      </c>
      <c r="N2603" t="s">
        <v>349</v>
      </c>
      <c r="O2603">
        <v>-1.1200000000000001</v>
      </c>
      <c r="P2603" t="s">
        <v>343</v>
      </c>
      <c r="Q2603">
        <v>1.9</v>
      </c>
      <c r="R2603" t="s">
        <v>343</v>
      </c>
      <c r="S2603">
        <v>1</v>
      </c>
    </row>
    <row r="2604" spans="1:19" x14ac:dyDescent="0.25">
      <c r="A2604" t="s">
        <v>52</v>
      </c>
      <c r="B2604" t="s">
        <v>163</v>
      </c>
      <c r="C2604">
        <v>2100</v>
      </c>
      <c r="D2604" t="s">
        <v>342</v>
      </c>
      <c r="E2604">
        <v>24.15</v>
      </c>
      <c r="F2604">
        <v>14.27</v>
      </c>
      <c r="G2604">
        <v>12.56</v>
      </c>
      <c r="H2604">
        <v>26.82</v>
      </c>
      <c r="I2604" t="s">
        <v>344</v>
      </c>
      <c r="J2604">
        <v>145.43</v>
      </c>
      <c r="K2604">
        <v>-2.08</v>
      </c>
      <c r="L2604" t="s">
        <v>346</v>
      </c>
      <c r="M2604" s="1">
        <v>2.0799999999999999E-2</v>
      </c>
      <c r="N2604" t="s">
        <v>350</v>
      </c>
      <c r="O2604">
        <v>-1.96</v>
      </c>
      <c r="P2604" t="s">
        <v>343</v>
      </c>
      <c r="Q2604">
        <v>1.38</v>
      </c>
      <c r="R2604" t="s">
        <v>343</v>
      </c>
      <c r="S2604">
        <v>1</v>
      </c>
    </row>
    <row r="2605" spans="1:19" x14ac:dyDescent="0.25">
      <c r="A2605" t="s">
        <v>52</v>
      </c>
      <c r="B2605" t="s">
        <v>164</v>
      </c>
      <c r="C2605">
        <v>2120</v>
      </c>
      <c r="D2605" t="s">
        <v>342</v>
      </c>
      <c r="E2605">
        <v>24.15</v>
      </c>
      <c r="F2605">
        <v>14.89</v>
      </c>
      <c r="G2605">
        <v>11.63</v>
      </c>
      <c r="H2605">
        <v>26.52</v>
      </c>
      <c r="I2605" t="s">
        <v>344</v>
      </c>
      <c r="J2605">
        <v>145.31</v>
      </c>
      <c r="K2605">
        <v>-0.6</v>
      </c>
      <c r="L2605" t="s">
        <v>346</v>
      </c>
      <c r="M2605" s="1">
        <v>6.0000000000000001E-3</v>
      </c>
      <c r="N2605" t="s">
        <v>349</v>
      </c>
      <c r="O2605">
        <v>-1.07</v>
      </c>
      <c r="P2605" t="s">
        <v>343</v>
      </c>
      <c r="Q2605">
        <v>3.22</v>
      </c>
      <c r="R2605" t="s">
        <v>344</v>
      </c>
      <c r="S2605">
        <v>1</v>
      </c>
    </row>
    <row r="2606" spans="1:19" x14ac:dyDescent="0.25">
      <c r="A2606" t="s">
        <v>52</v>
      </c>
      <c r="B2606" t="s">
        <v>170</v>
      </c>
      <c r="C2606">
        <v>2140</v>
      </c>
      <c r="D2606" t="s">
        <v>342</v>
      </c>
      <c r="E2606">
        <v>24.15</v>
      </c>
      <c r="F2606">
        <v>16.13</v>
      </c>
      <c r="G2606">
        <v>11.63</v>
      </c>
      <c r="H2606">
        <v>27.76</v>
      </c>
      <c r="I2606" t="s">
        <v>344</v>
      </c>
      <c r="J2606">
        <v>145.1</v>
      </c>
      <c r="K2606">
        <v>-1.06</v>
      </c>
      <c r="L2606" t="s">
        <v>346</v>
      </c>
      <c r="M2606" s="1">
        <v>1.06E-2</v>
      </c>
      <c r="N2606" t="s">
        <v>349</v>
      </c>
      <c r="O2606">
        <v>-0.37</v>
      </c>
      <c r="P2606" t="s">
        <v>343</v>
      </c>
      <c r="Q2606">
        <v>2.4</v>
      </c>
      <c r="R2606" t="s">
        <v>344</v>
      </c>
      <c r="S2606">
        <v>1</v>
      </c>
    </row>
    <row r="2607" spans="1:19" x14ac:dyDescent="0.25">
      <c r="A2607" t="s">
        <v>52</v>
      </c>
      <c r="B2607" t="s">
        <v>171</v>
      </c>
      <c r="C2607">
        <v>2160</v>
      </c>
      <c r="D2607" t="s">
        <v>342</v>
      </c>
      <c r="E2607">
        <v>24.15</v>
      </c>
      <c r="F2607">
        <v>16.170000000000002</v>
      </c>
      <c r="G2607">
        <v>12.17</v>
      </c>
      <c r="H2607">
        <v>28.34</v>
      </c>
      <c r="I2607" t="s">
        <v>344</v>
      </c>
      <c r="J2607">
        <v>145.09</v>
      </c>
      <c r="K2607">
        <v>-0.02</v>
      </c>
      <c r="L2607" t="s">
        <v>346</v>
      </c>
      <c r="M2607" s="1">
        <v>2.0000000000000001E-4</v>
      </c>
      <c r="N2607" t="s">
        <v>349</v>
      </c>
      <c r="O2607">
        <v>0.13</v>
      </c>
      <c r="P2607" t="s">
        <v>343</v>
      </c>
      <c r="Q2607">
        <v>3.35</v>
      </c>
      <c r="R2607" t="s">
        <v>344</v>
      </c>
      <c r="S2607">
        <v>1</v>
      </c>
    </row>
    <row r="2608" spans="1:19" x14ac:dyDescent="0.25">
      <c r="A2608" t="s">
        <v>52</v>
      </c>
      <c r="B2608" t="s">
        <v>172</v>
      </c>
      <c r="C2608">
        <v>2180</v>
      </c>
      <c r="D2608" t="s">
        <v>342</v>
      </c>
      <c r="E2608">
        <v>24.15</v>
      </c>
      <c r="F2608">
        <v>15.99</v>
      </c>
      <c r="G2608">
        <v>12.6</v>
      </c>
      <c r="H2608">
        <v>28.59</v>
      </c>
      <c r="I2608" t="s">
        <v>344</v>
      </c>
      <c r="J2608">
        <v>144.97999999999999</v>
      </c>
      <c r="K2608">
        <v>-0.56000000000000005</v>
      </c>
      <c r="L2608" t="s">
        <v>346</v>
      </c>
      <c r="M2608" s="1">
        <v>5.6000000000000008E-3</v>
      </c>
      <c r="N2608" t="s">
        <v>349</v>
      </c>
      <c r="O2608">
        <v>0.17</v>
      </c>
      <c r="P2608" t="s">
        <v>343</v>
      </c>
      <c r="Q2608">
        <v>2.98</v>
      </c>
      <c r="R2608" t="s">
        <v>344</v>
      </c>
      <c r="S2608">
        <v>1</v>
      </c>
    </row>
    <row r="2609" spans="1:19" x14ac:dyDescent="0.25">
      <c r="A2609" t="s">
        <v>52</v>
      </c>
      <c r="B2609" t="s">
        <v>173</v>
      </c>
      <c r="C2609">
        <v>2200</v>
      </c>
      <c r="D2609" t="s">
        <v>342</v>
      </c>
      <c r="E2609">
        <v>24.15</v>
      </c>
      <c r="F2609">
        <v>16.45</v>
      </c>
      <c r="G2609">
        <v>13.01</v>
      </c>
      <c r="H2609">
        <v>29.47</v>
      </c>
      <c r="I2609" t="s">
        <v>344</v>
      </c>
      <c r="J2609">
        <v>144.77000000000001</v>
      </c>
      <c r="K2609">
        <v>-1.06</v>
      </c>
      <c r="L2609" t="s">
        <v>346</v>
      </c>
      <c r="M2609" s="1">
        <v>1.06E-2</v>
      </c>
      <c r="N2609" t="s">
        <v>349</v>
      </c>
      <c r="O2609">
        <v>0.65</v>
      </c>
      <c r="P2609" t="s">
        <v>343</v>
      </c>
      <c r="Q2609">
        <v>3.32</v>
      </c>
      <c r="R2609" t="s">
        <v>344</v>
      </c>
      <c r="S2609">
        <v>1</v>
      </c>
    </row>
    <row r="2610" spans="1:19" x14ac:dyDescent="0.25">
      <c r="A2610" t="s">
        <v>52</v>
      </c>
      <c r="B2610" t="s">
        <v>174</v>
      </c>
      <c r="C2610">
        <v>2220</v>
      </c>
      <c r="D2610" t="s">
        <v>342</v>
      </c>
      <c r="E2610">
        <v>24.15</v>
      </c>
      <c r="F2610">
        <v>16.2</v>
      </c>
      <c r="G2610">
        <v>13.16</v>
      </c>
      <c r="H2610">
        <v>29.36</v>
      </c>
      <c r="I2610" t="s">
        <v>344</v>
      </c>
      <c r="J2610">
        <v>144.32</v>
      </c>
      <c r="K2610">
        <v>-2.2400000000000002</v>
      </c>
      <c r="L2610" t="s">
        <v>346</v>
      </c>
      <c r="M2610" s="1">
        <v>2.24E-2</v>
      </c>
      <c r="N2610" t="s">
        <v>350</v>
      </c>
      <c r="O2610">
        <v>0.61</v>
      </c>
      <c r="P2610" t="s">
        <v>343</v>
      </c>
      <c r="Q2610">
        <v>2.99</v>
      </c>
      <c r="R2610" t="s">
        <v>344</v>
      </c>
      <c r="S2610">
        <v>1</v>
      </c>
    </row>
    <row r="2611" spans="1:19" x14ac:dyDescent="0.25">
      <c r="A2611" t="s">
        <v>52</v>
      </c>
      <c r="B2611" t="s">
        <v>175</v>
      </c>
      <c r="C2611">
        <v>2240</v>
      </c>
      <c r="D2611" t="s">
        <v>342</v>
      </c>
      <c r="E2611">
        <v>24.15</v>
      </c>
      <c r="F2611">
        <v>16.5</v>
      </c>
      <c r="G2611">
        <v>12.05</v>
      </c>
      <c r="H2611">
        <v>28.55</v>
      </c>
      <c r="I2611" t="s">
        <v>344</v>
      </c>
      <c r="J2611">
        <v>143.16999999999999</v>
      </c>
      <c r="K2611">
        <v>-5.75</v>
      </c>
      <c r="L2611" t="s">
        <v>346</v>
      </c>
      <c r="M2611" s="1">
        <v>5.7500000000000002E-2</v>
      </c>
      <c r="N2611" t="s">
        <v>350</v>
      </c>
      <c r="O2611">
        <v>-0.6</v>
      </c>
      <c r="P2611" t="s">
        <v>343</v>
      </c>
      <c r="Q2611">
        <v>1.92</v>
      </c>
      <c r="R2611" t="s">
        <v>343</v>
      </c>
      <c r="S2611">
        <v>1</v>
      </c>
    </row>
    <row r="2612" spans="1:19" x14ac:dyDescent="0.25">
      <c r="A2612" t="s">
        <v>52</v>
      </c>
      <c r="B2612" t="s">
        <v>176</v>
      </c>
      <c r="C2612">
        <v>2260</v>
      </c>
      <c r="D2612" t="s">
        <v>342</v>
      </c>
      <c r="E2612">
        <v>24.15</v>
      </c>
      <c r="F2612">
        <v>15.45</v>
      </c>
      <c r="G2612">
        <v>12.19</v>
      </c>
      <c r="H2612">
        <v>27.64</v>
      </c>
      <c r="I2612" t="s">
        <v>344</v>
      </c>
      <c r="J2612">
        <v>141.74</v>
      </c>
      <c r="K2612">
        <v>-7.14</v>
      </c>
      <c r="L2612" t="s">
        <v>346</v>
      </c>
      <c r="M2612" s="1">
        <v>7.1399999999999991E-2</v>
      </c>
      <c r="N2612" t="s">
        <v>350</v>
      </c>
      <c r="O2612">
        <v>-0.76</v>
      </c>
      <c r="P2612" t="s">
        <v>343</v>
      </c>
      <c r="Q2612">
        <v>-0.82</v>
      </c>
      <c r="R2612" t="s">
        <v>343</v>
      </c>
      <c r="S2612">
        <v>1</v>
      </c>
    </row>
    <row r="2613" spans="1:19" x14ac:dyDescent="0.25">
      <c r="A2613" t="s">
        <v>52</v>
      </c>
      <c r="B2613" t="s">
        <v>177</v>
      </c>
      <c r="C2613">
        <v>2280</v>
      </c>
      <c r="D2613" t="s">
        <v>342</v>
      </c>
      <c r="E2613">
        <v>24.15</v>
      </c>
      <c r="F2613">
        <v>14.62</v>
      </c>
      <c r="G2613">
        <v>13.97</v>
      </c>
      <c r="H2613">
        <v>28.59</v>
      </c>
      <c r="I2613" t="s">
        <v>344</v>
      </c>
      <c r="J2613">
        <v>140.59</v>
      </c>
      <c r="K2613">
        <v>-5.77</v>
      </c>
      <c r="L2613" t="s">
        <v>346</v>
      </c>
      <c r="M2613" s="1">
        <v>5.7699999999999987E-2</v>
      </c>
      <c r="N2613" t="s">
        <v>350</v>
      </c>
      <c r="O2613">
        <v>0.2</v>
      </c>
      <c r="P2613" t="s">
        <v>343</v>
      </c>
      <c r="Q2613">
        <v>-0.33</v>
      </c>
      <c r="R2613" t="s">
        <v>343</v>
      </c>
      <c r="S2613">
        <v>1</v>
      </c>
    </row>
    <row r="2614" spans="1:19" x14ac:dyDescent="0.25">
      <c r="A2614" t="s">
        <v>52</v>
      </c>
      <c r="B2614" t="s">
        <v>178</v>
      </c>
      <c r="C2614">
        <v>2300</v>
      </c>
      <c r="D2614" t="s">
        <v>342</v>
      </c>
      <c r="E2614">
        <v>24.15</v>
      </c>
      <c r="F2614">
        <v>15.47</v>
      </c>
      <c r="G2614">
        <v>13.35</v>
      </c>
      <c r="H2614">
        <v>28.82</v>
      </c>
      <c r="I2614" t="s">
        <v>344</v>
      </c>
      <c r="J2614">
        <v>139.19</v>
      </c>
      <c r="K2614">
        <v>-6.98</v>
      </c>
      <c r="L2614" t="s">
        <v>346</v>
      </c>
      <c r="M2614" s="1">
        <v>6.9800000000000001E-2</v>
      </c>
      <c r="N2614" t="s">
        <v>350</v>
      </c>
      <c r="O2614">
        <v>0.49</v>
      </c>
      <c r="P2614" t="s">
        <v>343</v>
      </c>
      <c r="Q2614">
        <v>0.63</v>
      </c>
      <c r="R2614" t="s">
        <v>343</v>
      </c>
      <c r="S2614">
        <v>1</v>
      </c>
    </row>
    <row r="2615" spans="1:19" x14ac:dyDescent="0.25">
      <c r="A2615" t="s">
        <v>52</v>
      </c>
      <c r="B2615" t="s">
        <v>179</v>
      </c>
      <c r="C2615">
        <v>2320</v>
      </c>
      <c r="D2615" t="s">
        <v>342</v>
      </c>
      <c r="E2615">
        <v>24.15</v>
      </c>
      <c r="F2615">
        <v>14.49</v>
      </c>
      <c r="G2615">
        <v>13.27</v>
      </c>
      <c r="H2615">
        <v>27.76</v>
      </c>
      <c r="I2615" t="s">
        <v>344</v>
      </c>
      <c r="J2615">
        <v>137.52000000000001</v>
      </c>
      <c r="K2615">
        <v>-8.35</v>
      </c>
      <c r="L2615" t="s">
        <v>347</v>
      </c>
      <c r="M2615" s="1">
        <v>8.3499999999999991E-2</v>
      </c>
      <c r="N2615" t="s">
        <v>350</v>
      </c>
      <c r="O2615">
        <v>1.59</v>
      </c>
      <c r="P2615" t="s">
        <v>343</v>
      </c>
      <c r="Q2615">
        <v>2.37</v>
      </c>
      <c r="R2615" t="s">
        <v>344</v>
      </c>
      <c r="S2615">
        <v>1</v>
      </c>
    </row>
    <row r="2616" spans="1:19" x14ac:dyDescent="0.25">
      <c r="A2616" t="s">
        <v>52</v>
      </c>
      <c r="B2616" t="s">
        <v>180</v>
      </c>
      <c r="C2616">
        <v>2340</v>
      </c>
      <c r="D2616" t="s">
        <v>342</v>
      </c>
      <c r="E2616">
        <v>24.15</v>
      </c>
      <c r="F2616">
        <v>15.03</v>
      </c>
      <c r="G2616">
        <v>13.57</v>
      </c>
      <c r="H2616">
        <v>28.6</v>
      </c>
      <c r="I2616" t="s">
        <v>344</v>
      </c>
      <c r="J2616">
        <v>136.12</v>
      </c>
      <c r="K2616">
        <v>-7</v>
      </c>
      <c r="L2616" t="s">
        <v>346</v>
      </c>
      <c r="M2616" s="1">
        <v>7.0000000000000007E-2</v>
      </c>
      <c r="N2616" t="s">
        <v>350</v>
      </c>
      <c r="O2616">
        <v>0.76</v>
      </c>
      <c r="P2616" t="s">
        <v>343</v>
      </c>
      <c r="Q2616">
        <v>2.41</v>
      </c>
      <c r="R2616" t="s">
        <v>344</v>
      </c>
      <c r="S2616">
        <v>1</v>
      </c>
    </row>
    <row r="2617" spans="1:19" x14ac:dyDescent="0.25">
      <c r="A2617" t="s">
        <v>52</v>
      </c>
      <c r="B2617" t="s">
        <v>181</v>
      </c>
      <c r="C2617">
        <v>2360</v>
      </c>
      <c r="D2617" t="s">
        <v>342</v>
      </c>
      <c r="E2617">
        <v>24.15</v>
      </c>
      <c r="F2617">
        <v>15.11</v>
      </c>
      <c r="G2617">
        <v>13.99</v>
      </c>
      <c r="H2617">
        <v>29.1</v>
      </c>
      <c r="I2617" t="s">
        <v>344</v>
      </c>
      <c r="J2617">
        <v>134.54</v>
      </c>
      <c r="K2617">
        <v>-7.93</v>
      </c>
      <c r="L2617" t="s">
        <v>346</v>
      </c>
      <c r="M2617" s="1">
        <v>7.9299999999999995E-2</v>
      </c>
      <c r="N2617" t="s">
        <v>350</v>
      </c>
      <c r="O2617">
        <v>-1.6</v>
      </c>
      <c r="P2617" t="s">
        <v>343</v>
      </c>
      <c r="Q2617">
        <v>1.55</v>
      </c>
      <c r="R2617" t="s">
        <v>343</v>
      </c>
      <c r="S2617">
        <v>1</v>
      </c>
    </row>
    <row r="2618" spans="1:19" x14ac:dyDescent="0.25">
      <c r="A2618" t="s">
        <v>52</v>
      </c>
      <c r="B2618" t="s">
        <v>182</v>
      </c>
      <c r="C2618">
        <v>2380</v>
      </c>
      <c r="D2618" t="s">
        <v>342</v>
      </c>
      <c r="E2618">
        <v>24.15</v>
      </c>
      <c r="F2618">
        <v>15.11</v>
      </c>
      <c r="G2618">
        <v>13.31</v>
      </c>
      <c r="H2618">
        <v>28.42</v>
      </c>
      <c r="I2618" t="s">
        <v>344</v>
      </c>
      <c r="J2618">
        <v>133.71</v>
      </c>
      <c r="K2618">
        <v>-4.1500000000000004</v>
      </c>
      <c r="L2618" t="s">
        <v>346</v>
      </c>
      <c r="M2618" s="1">
        <v>4.1500000000000002E-2</v>
      </c>
      <c r="N2618" t="s">
        <v>350</v>
      </c>
      <c r="O2618">
        <v>-3.03</v>
      </c>
      <c r="P2618" t="s">
        <v>344</v>
      </c>
      <c r="Q2618">
        <v>3.51</v>
      </c>
      <c r="R2618" t="s">
        <v>344</v>
      </c>
      <c r="S2618">
        <v>1</v>
      </c>
    </row>
    <row r="2619" spans="1:19" x14ac:dyDescent="0.25">
      <c r="A2619" t="s">
        <v>52</v>
      </c>
      <c r="B2619" t="s">
        <v>183</v>
      </c>
      <c r="C2619">
        <v>2400</v>
      </c>
      <c r="D2619" t="s">
        <v>342</v>
      </c>
      <c r="E2619">
        <v>24.15</v>
      </c>
      <c r="F2619">
        <v>17.37</v>
      </c>
      <c r="G2619">
        <v>13.22</v>
      </c>
      <c r="H2619">
        <v>30.59</v>
      </c>
      <c r="I2619" t="s">
        <v>344</v>
      </c>
      <c r="J2619">
        <v>134.69999999999999</v>
      </c>
      <c r="K2619">
        <v>4.9800000000000004</v>
      </c>
      <c r="L2619" t="s">
        <v>346</v>
      </c>
      <c r="M2619" s="1">
        <v>4.9799999999999997E-2</v>
      </c>
      <c r="N2619" t="s">
        <v>350</v>
      </c>
      <c r="O2619">
        <v>-8.1</v>
      </c>
      <c r="P2619" t="s">
        <v>343</v>
      </c>
      <c r="Q2619">
        <v>5.97</v>
      </c>
      <c r="R2619" t="s">
        <v>343</v>
      </c>
      <c r="S2619">
        <v>1</v>
      </c>
    </row>
    <row r="2620" spans="1:19" x14ac:dyDescent="0.25">
      <c r="A2620" t="s">
        <v>52</v>
      </c>
      <c r="B2620" t="s">
        <v>184</v>
      </c>
      <c r="C2620">
        <v>2420</v>
      </c>
      <c r="D2620" t="s">
        <v>342</v>
      </c>
      <c r="E2620">
        <v>24.15</v>
      </c>
      <c r="F2620">
        <v>17.37</v>
      </c>
      <c r="G2620">
        <v>13.5</v>
      </c>
      <c r="H2620">
        <v>30.87</v>
      </c>
      <c r="I2620" t="s">
        <v>344</v>
      </c>
      <c r="J2620">
        <v>133.07</v>
      </c>
      <c r="K2620">
        <v>-8.16</v>
      </c>
      <c r="L2620" t="s">
        <v>347</v>
      </c>
      <c r="M2620" s="1">
        <v>8.1600000000000006E-2</v>
      </c>
      <c r="N2620" t="s">
        <v>350</v>
      </c>
      <c r="O2620">
        <v>-4.42</v>
      </c>
      <c r="P2620" t="s">
        <v>343</v>
      </c>
      <c r="Q2620">
        <v>6.84</v>
      </c>
      <c r="R2620" t="s">
        <v>343</v>
      </c>
      <c r="S2620">
        <v>1</v>
      </c>
    </row>
    <row r="2621" spans="1:19" x14ac:dyDescent="0.25">
      <c r="A2621" t="s">
        <v>52</v>
      </c>
      <c r="B2621" t="s">
        <v>334</v>
      </c>
      <c r="C2621">
        <v>2420.2660000000001</v>
      </c>
      <c r="D2621" t="s">
        <v>342</v>
      </c>
      <c r="E2621">
        <v>24.15</v>
      </c>
      <c r="F2621">
        <v>14.44</v>
      </c>
      <c r="G2621">
        <v>14.72</v>
      </c>
      <c r="H2621">
        <v>29.16</v>
      </c>
      <c r="I2621" t="s">
        <v>344</v>
      </c>
      <c r="J2621">
        <v>133.06</v>
      </c>
      <c r="K2621">
        <v>-3.65</v>
      </c>
      <c r="L2621" t="s">
        <v>346</v>
      </c>
      <c r="M2621" s="1">
        <v>3.6499999999999998E-2</v>
      </c>
      <c r="N2621" t="s">
        <v>350</v>
      </c>
      <c r="O2621">
        <v>-4.97</v>
      </c>
      <c r="P2621" t="s">
        <v>343</v>
      </c>
      <c r="Q2621">
        <v>6.38</v>
      </c>
      <c r="R2621" t="s">
        <v>343</v>
      </c>
      <c r="S2621">
        <v>0</v>
      </c>
    </row>
    <row r="2622" spans="1:19" x14ac:dyDescent="0.25">
      <c r="A2622" t="s">
        <v>53</v>
      </c>
      <c r="B2622" t="s">
        <v>56</v>
      </c>
      <c r="C2622">
        <v>0</v>
      </c>
      <c r="D2622" t="s">
        <v>342</v>
      </c>
      <c r="E2622">
        <v>24.15</v>
      </c>
      <c r="F2622">
        <v>11.22</v>
      </c>
      <c r="G2622">
        <v>16.3</v>
      </c>
      <c r="H2622">
        <v>27.53</v>
      </c>
      <c r="I2622" t="s">
        <v>344</v>
      </c>
      <c r="J2622">
        <v>105.27</v>
      </c>
      <c r="L2622" t="s">
        <v>345</v>
      </c>
      <c r="N2622" t="s">
        <v>345</v>
      </c>
      <c r="O2622">
        <v>4.2300000000000004</v>
      </c>
      <c r="P2622" t="s">
        <v>343</v>
      </c>
      <c r="Q2622">
        <v>-4.05</v>
      </c>
      <c r="R2622" t="s">
        <v>343</v>
      </c>
      <c r="S2622">
        <v>1</v>
      </c>
    </row>
    <row r="2623" spans="1:19" x14ac:dyDescent="0.25">
      <c r="A2623" t="s">
        <v>53</v>
      </c>
      <c r="B2623" t="s">
        <v>57</v>
      </c>
      <c r="C2623">
        <v>20</v>
      </c>
      <c r="D2623" t="s">
        <v>342</v>
      </c>
      <c r="E2623">
        <v>24.15</v>
      </c>
      <c r="F2623">
        <v>10.74</v>
      </c>
      <c r="G2623">
        <v>16.3</v>
      </c>
      <c r="H2623">
        <v>27.04</v>
      </c>
      <c r="I2623" t="s">
        <v>344</v>
      </c>
      <c r="J2623">
        <v>103.67</v>
      </c>
      <c r="K2623">
        <v>-8.02</v>
      </c>
      <c r="L2623" t="s">
        <v>347</v>
      </c>
      <c r="M2623" s="1">
        <v>8.0199999999999994E-2</v>
      </c>
      <c r="N2623" t="s">
        <v>350</v>
      </c>
      <c r="O2623">
        <v>3.28</v>
      </c>
      <c r="P2623" t="s">
        <v>344</v>
      </c>
      <c r="Q2623">
        <v>-2.4700000000000002</v>
      </c>
      <c r="R2623" t="s">
        <v>344</v>
      </c>
      <c r="S2623">
        <v>1</v>
      </c>
    </row>
    <row r="2624" spans="1:19" x14ac:dyDescent="0.25">
      <c r="A2624" t="s">
        <v>53</v>
      </c>
      <c r="B2624" t="s">
        <v>58</v>
      </c>
      <c r="C2624">
        <v>40</v>
      </c>
      <c r="D2624" t="s">
        <v>342</v>
      </c>
      <c r="E2624">
        <v>24.15</v>
      </c>
      <c r="F2624">
        <v>11.22</v>
      </c>
      <c r="G2624">
        <v>16.3</v>
      </c>
      <c r="H2624">
        <v>27.53</v>
      </c>
      <c r="I2624" t="s">
        <v>344</v>
      </c>
      <c r="J2624">
        <v>102.14</v>
      </c>
      <c r="K2624">
        <v>-7.63</v>
      </c>
      <c r="L2624" t="s">
        <v>346</v>
      </c>
      <c r="M2624" s="1">
        <v>7.6299999999999993E-2</v>
      </c>
      <c r="N2624" t="s">
        <v>350</v>
      </c>
      <c r="O2624">
        <v>4.58</v>
      </c>
      <c r="P2624" t="s">
        <v>343</v>
      </c>
      <c r="Q2624">
        <v>-0.63</v>
      </c>
      <c r="R2624" t="s">
        <v>343</v>
      </c>
      <c r="S2624">
        <v>1</v>
      </c>
    </row>
    <row r="2625" spans="1:19" x14ac:dyDescent="0.25">
      <c r="A2625" t="s">
        <v>53</v>
      </c>
      <c r="B2625" t="s">
        <v>59</v>
      </c>
      <c r="C2625">
        <v>60</v>
      </c>
      <c r="D2625" t="s">
        <v>342</v>
      </c>
      <c r="E2625">
        <v>24.15</v>
      </c>
      <c r="F2625">
        <v>20</v>
      </c>
      <c r="G2625">
        <v>16.34</v>
      </c>
      <c r="H2625">
        <v>36.340000000000003</v>
      </c>
      <c r="I2625" t="s">
        <v>344</v>
      </c>
      <c r="J2625">
        <v>100.97</v>
      </c>
      <c r="K2625">
        <v>-5.86</v>
      </c>
      <c r="L2625" t="s">
        <v>346</v>
      </c>
      <c r="M2625" s="1">
        <v>5.8600000000000013E-2</v>
      </c>
      <c r="N2625" t="s">
        <v>350</v>
      </c>
      <c r="O2625">
        <v>7.18</v>
      </c>
      <c r="P2625" t="s">
        <v>343</v>
      </c>
      <c r="Q2625">
        <v>-1.07</v>
      </c>
      <c r="R2625" t="s">
        <v>343</v>
      </c>
      <c r="S2625">
        <v>1</v>
      </c>
    </row>
    <row r="2626" spans="1:19" x14ac:dyDescent="0.25">
      <c r="A2626" t="s">
        <v>53</v>
      </c>
      <c r="B2626" t="s">
        <v>60</v>
      </c>
      <c r="C2626">
        <v>80</v>
      </c>
      <c r="D2626" t="s">
        <v>342</v>
      </c>
      <c r="E2626">
        <v>24.15</v>
      </c>
      <c r="F2626">
        <v>20</v>
      </c>
      <c r="G2626">
        <v>15.85</v>
      </c>
      <c r="H2626">
        <v>35.85</v>
      </c>
      <c r="I2626" t="s">
        <v>344</v>
      </c>
      <c r="J2626">
        <v>100.03</v>
      </c>
      <c r="K2626">
        <v>-4.7300000000000004</v>
      </c>
      <c r="L2626" t="s">
        <v>346</v>
      </c>
      <c r="M2626" s="1">
        <v>4.7300000000000002E-2</v>
      </c>
      <c r="N2626" t="s">
        <v>350</v>
      </c>
      <c r="O2626">
        <v>6.88</v>
      </c>
      <c r="P2626" t="s">
        <v>343</v>
      </c>
      <c r="Q2626">
        <v>-1.08</v>
      </c>
      <c r="R2626" t="s">
        <v>343</v>
      </c>
      <c r="S2626">
        <v>1</v>
      </c>
    </row>
    <row r="2627" spans="1:19" x14ac:dyDescent="0.25">
      <c r="A2627" t="s">
        <v>53</v>
      </c>
      <c r="B2627" t="s">
        <v>61</v>
      </c>
      <c r="C2627">
        <v>100</v>
      </c>
      <c r="D2627" t="s">
        <v>342</v>
      </c>
      <c r="E2627">
        <v>24.15</v>
      </c>
      <c r="F2627">
        <v>20</v>
      </c>
      <c r="G2627">
        <v>15.43</v>
      </c>
      <c r="H2627">
        <v>35.43</v>
      </c>
      <c r="I2627" t="s">
        <v>344</v>
      </c>
      <c r="J2627">
        <v>99.46</v>
      </c>
      <c r="K2627">
        <v>-2.83</v>
      </c>
      <c r="L2627" t="s">
        <v>346</v>
      </c>
      <c r="M2627" s="1">
        <v>2.8299999999999999E-2</v>
      </c>
      <c r="N2627" t="s">
        <v>350</v>
      </c>
      <c r="O2627">
        <v>3.89</v>
      </c>
      <c r="P2627" t="s">
        <v>344</v>
      </c>
      <c r="Q2627">
        <v>-3.13</v>
      </c>
      <c r="R2627" t="s">
        <v>344</v>
      </c>
      <c r="S2627">
        <v>1</v>
      </c>
    </row>
    <row r="2628" spans="1:19" x14ac:dyDescent="0.25">
      <c r="A2628" t="s">
        <v>53</v>
      </c>
      <c r="B2628" t="s">
        <v>62</v>
      </c>
      <c r="C2628">
        <v>120</v>
      </c>
      <c r="D2628" t="s">
        <v>342</v>
      </c>
      <c r="E2628">
        <v>24.15</v>
      </c>
      <c r="F2628">
        <v>15.25</v>
      </c>
      <c r="G2628">
        <v>14.81</v>
      </c>
      <c r="H2628">
        <v>30.06</v>
      </c>
      <c r="I2628" t="s">
        <v>344</v>
      </c>
      <c r="J2628">
        <v>99.19</v>
      </c>
      <c r="K2628">
        <v>-1.37</v>
      </c>
      <c r="L2628" t="s">
        <v>346</v>
      </c>
      <c r="M2628" s="1">
        <v>1.37E-2</v>
      </c>
      <c r="N2628" t="s">
        <v>349</v>
      </c>
      <c r="O2628">
        <v>3.46</v>
      </c>
      <c r="P2628" t="s">
        <v>344</v>
      </c>
      <c r="Q2628">
        <v>-2.23</v>
      </c>
      <c r="R2628" t="s">
        <v>344</v>
      </c>
      <c r="S2628">
        <v>1</v>
      </c>
    </row>
    <row r="2629" spans="1:19" x14ac:dyDescent="0.25">
      <c r="A2629" t="s">
        <v>53</v>
      </c>
      <c r="B2629" t="s">
        <v>63</v>
      </c>
      <c r="C2629">
        <v>140</v>
      </c>
      <c r="D2629" t="s">
        <v>342</v>
      </c>
      <c r="E2629">
        <v>24.15</v>
      </c>
      <c r="F2629">
        <v>15.74</v>
      </c>
      <c r="G2629">
        <v>14.4</v>
      </c>
      <c r="H2629">
        <v>30.14</v>
      </c>
      <c r="I2629" t="s">
        <v>344</v>
      </c>
      <c r="J2629">
        <v>98.9</v>
      </c>
      <c r="K2629">
        <v>-1.45</v>
      </c>
      <c r="L2629" t="s">
        <v>346</v>
      </c>
      <c r="M2629" s="1">
        <v>1.4500000000000001E-2</v>
      </c>
      <c r="N2629" t="s">
        <v>349</v>
      </c>
      <c r="O2629">
        <v>4</v>
      </c>
      <c r="P2629" t="s">
        <v>344</v>
      </c>
      <c r="Q2629">
        <v>-2.37</v>
      </c>
      <c r="R2629" t="s">
        <v>344</v>
      </c>
      <c r="S2629">
        <v>1</v>
      </c>
    </row>
    <row r="2630" spans="1:19" x14ac:dyDescent="0.25">
      <c r="A2630" t="s">
        <v>53</v>
      </c>
      <c r="B2630" t="s">
        <v>64</v>
      </c>
      <c r="C2630">
        <v>160</v>
      </c>
      <c r="D2630" t="s">
        <v>342</v>
      </c>
      <c r="E2630">
        <v>24.15</v>
      </c>
      <c r="F2630">
        <v>14.9</v>
      </c>
      <c r="G2630">
        <v>12.78</v>
      </c>
      <c r="H2630">
        <v>27.68</v>
      </c>
      <c r="I2630" t="s">
        <v>344</v>
      </c>
      <c r="J2630">
        <v>98.77</v>
      </c>
      <c r="K2630">
        <v>-0.64</v>
      </c>
      <c r="L2630" t="s">
        <v>346</v>
      </c>
      <c r="M2630" s="1">
        <v>6.4000000000000003E-3</v>
      </c>
      <c r="N2630" t="s">
        <v>349</v>
      </c>
      <c r="O2630">
        <v>4.17</v>
      </c>
      <c r="P2630" t="s">
        <v>343</v>
      </c>
      <c r="Q2630">
        <v>-1.68</v>
      </c>
      <c r="R2630" t="s">
        <v>343</v>
      </c>
      <c r="S2630">
        <v>1</v>
      </c>
    </row>
    <row r="2631" spans="1:19" x14ac:dyDescent="0.25">
      <c r="A2631" t="s">
        <v>53</v>
      </c>
      <c r="B2631" t="s">
        <v>65</v>
      </c>
      <c r="C2631">
        <v>180</v>
      </c>
      <c r="D2631" t="s">
        <v>342</v>
      </c>
      <c r="E2631">
        <v>24.15</v>
      </c>
      <c r="F2631">
        <v>15.79</v>
      </c>
      <c r="G2631">
        <v>12.59</v>
      </c>
      <c r="H2631">
        <v>28.38</v>
      </c>
      <c r="I2631" t="s">
        <v>344</v>
      </c>
      <c r="J2631">
        <v>98.79</v>
      </c>
      <c r="K2631">
        <v>0.13</v>
      </c>
      <c r="L2631" t="s">
        <v>346</v>
      </c>
      <c r="M2631" s="1">
        <v>1.2999999999999999E-3</v>
      </c>
      <c r="N2631" t="s">
        <v>349</v>
      </c>
      <c r="O2631">
        <v>3.21</v>
      </c>
      <c r="P2631" t="s">
        <v>344</v>
      </c>
      <c r="Q2631">
        <v>-1.43</v>
      </c>
      <c r="R2631" t="s">
        <v>343</v>
      </c>
      <c r="S2631">
        <v>1</v>
      </c>
    </row>
    <row r="2632" spans="1:19" x14ac:dyDescent="0.25">
      <c r="A2632" t="s">
        <v>53</v>
      </c>
      <c r="B2632" t="s">
        <v>66</v>
      </c>
      <c r="C2632">
        <v>200</v>
      </c>
      <c r="D2632" t="s">
        <v>342</v>
      </c>
      <c r="E2632">
        <v>24.15</v>
      </c>
      <c r="F2632">
        <v>17.27</v>
      </c>
      <c r="G2632">
        <v>13.95</v>
      </c>
      <c r="H2632">
        <v>31.21</v>
      </c>
      <c r="I2632" t="s">
        <v>344</v>
      </c>
      <c r="J2632">
        <v>98.66</v>
      </c>
      <c r="K2632">
        <v>-0.66</v>
      </c>
      <c r="L2632" t="s">
        <v>346</v>
      </c>
      <c r="M2632" s="1">
        <v>6.6E-3</v>
      </c>
      <c r="N2632" t="s">
        <v>349</v>
      </c>
      <c r="O2632">
        <v>1.69</v>
      </c>
      <c r="P2632" t="s">
        <v>343</v>
      </c>
      <c r="Q2632">
        <v>-0.9</v>
      </c>
      <c r="R2632" t="s">
        <v>343</v>
      </c>
      <c r="S2632">
        <v>1</v>
      </c>
    </row>
    <row r="2633" spans="1:19" x14ac:dyDescent="0.25">
      <c r="A2633" t="s">
        <v>53</v>
      </c>
      <c r="B2633" t="s">
        <v>67</v>
      </c>
      <c r="C2633">
        <v>220</v>
      </c>
      <c r="D2633" t="s">
        <v>342</v>
      </c>
      <c r="E2633">
        <v>24.15</v>
      </c>
      <c r="F2633">
        <v>18.14</v>
      </c>
      <c r="G2633">
        <v>13.64</v>
      </c>
      <c r="H2633">
        <v>31.78</v>
      </c>
      <c r="I2633" t="s">
        <v>344</v>
      </c>
      <c r="J2633">
        <v>98.59</v>
      </c>
      <c r="K2633">
        <v>-0.33</v>
      </c>
      <c r="L2633" t="s">
        <v>346</v>
      </c>
      <c r="M2633" s="1">
        <v>3.3E-3</v>
      </c>
      <c r="N2633" t="s">
        <v>349</v>
      </c>
      <c r="O2633">
        <v>1.19</v>
      </c>
      <c r="P2633" t="s">
        <v>343</v>
      </c>
      <c r="Q2633">
        <v>-2.38</v>
      </c>
      <c r="R2633" t="s">
        <v>344</v>
      </c>
      <c r="S2633">
        <v>1</v>
      </c>
    </row>
    <row r="2634" spans="1:19" x14ac:dyDescent="0.25">
      <c r="A2634" t="s">
        <v>53</v>
      </c>
      <c r="B2634" t="s">
        <v>68</v>
      </c>
      <c r="C2634">
        <v>240</v>
      </c>
      <c r="D2634" t="s">
        <v>342</v>
      </c>
      <c r="E2634">
        <v>24.15</v>
      </c>
      <c r="F2634">
        <v>18.28</v>
      </c>
      <c r="G2634">
        <v>13.16</v>
      </c>
      <c r="H2634">
        <v>31.45</v>
      </c>
      <c r="I2634" t="s">
        <v>344</v>
      </c>
      <c r="J2634">
        <v>98.6</v>
      </c>
      <c r="K2634">
        <v>0.04</v>
      </c>
      <c r="L2634" t="s">
        <v>346</v>
      </c>
      <c r="M2634" s="1">
        <v>4.0000000000000002E-4</v>
      </c>
      <c r="N2634" t="s">
        <v>349</v>
      </c>
      <c r="O2634">
        <v>1.1299999999999999</v>
      </c>
      <c r="P2634" t="s">
        <v>343</v>
      </c>
      <c r="Q2634">
        <v>2.56</v>
      </c>
      <c r="R2634" t="s">
        <v>344</v>
      </c>
      <c r="S2634">
        <v>1</v>
      </c>
    </row>
    <row r="2635" spans="1:19" x14ac:dyDescent="0.25">
      <c r="A2635" t="s">
        <v>53</v>
      </c>
      <c r="B2635" t="s">
        <v>69</v>
      </c>
      <c r="C2635">
        <v>260</v>
      </c>
      <c r="D2635" t="s">
        <v>342</v>
      </c>
      <c r="E2635">
        <v>24.15</v>
      </c>
      <c r="F2635">
        <v>11.7</v>
      </c>
      <c r="G2635">
        <v>12.72</v>
      </c>
      <c r="H2635">
        <v>24.42</v>
      </c>
      <c r="I2635" t="s">
        <v>344</v>
      </c>
      <c r="J2635">
        <v>98.62</v>
      </c>
      <c r="K2635">
        <v>0.08</v>
      </c>
      <c r="L2635" t="s">
        <v>346</v>
      </c>
      <c r="M2635" s="1">
        <v>8.0000000000000004E-4</v>
      </c>
      <c r="N2635" t="s">
        <v>349</v>
      </c>
      <c r="O2635">
        <v>-0.78</v>
      </c>
      <c r="P2635" t="s">
        <v>343</v>
      </c>
      <c r="Q2635">
        <v>-0.92</v>
      </c>
      <c r="R2635" t="s">
        <v>343</v>
      </c>
      <c r="S2635">
        <v>1</v>
      </c>
    </row>
    <row r="2636" spans="1:19" x14ac:dyDescent="0.25">
      <c r="A2636" t="s">
        <v>53</v>
      </c>
      <c r="B2636" t="s">
        <v>70</v>
      </c>
      <c r="C2636">
        <v>280</v>
      </c>
      <c r="D2636" t="s">
        <v>342</v>
      </c>
      <c r="E2636">
        <v>24.15</v>
      </c>
      <c r="F2636">
        <v>10.71</v>
      </c>
      <c r="G2636">
        <v>12.29</v>
      </c>
      <c r="H2636">
        <v>23</v>
      </c>
      <c r="I2636" t="s">
        <v>343</v>
      </c>
      <c r="J2636">
        <v>98.61</v>
      </c>
      <c r="K2636">
        <v>-0.05</v>
      </c>
      <c r="L2636" t="s">
        <v>346</v>
      </c>
      <c r="M2636" s="1">
        <v>5.0000000000000001E-4</v>
      </c>
      <c r="N2636" t="s">
        <v>349</v>
      </c>
      <c r="O2636">
        <v>-1.5</v>
      </c>
      <c r="P2636" t="s">
        <v>343</v>
      </c>
      <c r="Q2636">
        <v>-0.65</v>
      </c>
      <c r="R2636" t="s">
        <v>343</v>
      </c>
      <c r="S2636">
        <v>1</v>
      </c>
    </row>
    <row r="2637" spans="1:19" x14ac:dyDescent="0.25">
      <c r="A2637" t="s">
        <v>53</v>
      </c>
      <c r="B2637" t="s">
        <v>71</v>
      </c>
      <c r="C2637">
        <v>300</v>
      </c>
      <c r="D2637" t="s">
        <v>342</v>
      </c>
      <c r="E2637">
        <v>24.15</v>
      </c>
      <c r="F2637">
        <v>11.47</v>
      </c>
      <c r="G2637">
        <v>14.11</v>
      </c>
      <c r="H2637">
        <v>25.57</v>
      </c>
      <c r="I2637" t="s">
        <v>344</v>
      </c>
      <c r="J2637">
        <v>98.75</v>
      </c>
      <c r="K2637">
        <v>0.72</v>
      </c>
      <c r="L2637" t="s">
        <v>346</v>
      </c>
      <c r="M2637" s="1">
        <v>7.1999999999999998E-3</v>
      </c>
      <c r="N2637" t="s">
        <v>349</v>
      </c>
      <c r="O2637">
        <v>0.62</v>
      </c>
      <c r="P2637" t="s">
        <v>343</v>
      </c>
      <c r="Q2637">
        <v>0.56999999999999995</v>
      </c>
      <c r="R2637" t="s">
        <v>343</v>
      </c>
      <c r="S2637">
        <v>1</v>
      </c>
    </row>
    <row r="2638" spans="1:19" x14ac:dyDescent="0.25">
      <c r="A2638" t="s">
        <v>53</v>
      </c>
      <c r="B2638" t="s">
        <v>72</v>
      </c>
      <c r="C2638">
        <v>320</v>
      </c>
      <c r="D2638" t="s">
        <v>342</v>
      </c>
      <c r="E2638">
        <v>24.15</v>
      </c>
      <c r="F2638">
        <v>12.5</v>
      </c>
      <c r="G2638">
        <v>13.19</v>
      </c>
      <c r="H2638">
        <v>25.69</v>
      </c>
      <c r="I2638" t="s">
        <v>344</v>
      </c>
      <c r="J2638">
        <v>98.79</v>
      </c>
      <c r="K2638">
        <v>0.21</v>
      </c>
      <c r="L2638" t="s">
        <v>346</v>
      </c>
      <c r="M2638" s="1">
        <v>2.0999999999999999E-3</v>
      </c>
      <c r="N2638" t="s">
        <v>349</v>
      </c>
      <c r="O2638">
        <v>1.89</v>
      </c>
      <c r="P2638" t="s">
        <v>343</v>
      </c>
      <c r="Q2638">
        <v>0.92</v>
      </c>
      <c r="R2638" t="s">
        <v>343</v>
      </c>
      <c r="S2638">
        <v>1</v>
      </c>
    </row>
    <row r="2639" spans="1:19" x14ac:dyDescent="0.25">
      <c r="A2639" t="s">
        <v>53</v>
      </c>
      <c r="B2639" t="s">
        <v>73</v>
      </c>
      <c r="C2639">
        <v>340</v>
      </c>
      <c r="D2639" t="s">
        <v>342</v>
      </c>
      <c r="E2639">
        <v>24.15</v>
      </c>
      <c r="F2639">
        <v>13.39</v>
      </c>
      <c r="G2639">
        <v>14.12</v>
      </c>
      <c r="H2639">
        <v>27.5</v>
      </c>
      <c r="I2639" t="s">
        <v>344</v>
      </c>
      <c r="J2639">
        <v>98.78</v>
      </c>
      <c r="K2639">
        <v>-0.09</v>
      </c>
      <c r="L2639" t="s">
        <v>346</v>
      </c>
      <c r="M2639" s="1">
        <v>8.9999999999999998E-4</v>
      </c>
      <c r="N2639" t="s">
        <v>349</v>
      </c>
      <c r="O2639">
        <v>0.15</v>
      </c>
      <c r="P2639" t="s">
        <v>343</v>
      </c>
      <c r="Q2639">
        <v>0.02</v>
      </c>
      <c r="R2639" t="s">
        <v>343</v>
      </c>
      <c r="S2639">
        <v>1</v>
      </c>
    </row>
    <row r="2640" spans="1:19" x14ac:dyDescent="0.25">
      <c r="A2640" t="s">
        <v>53</v>
      </c>
      <c r="B2640" t="s">
        <v>74</v>
      </c>
      <c r="C2640">
        <v>360</v>
      </c>
      <c r="D2640" t="s">
        <v>342</v>
      </c>
      <c r="E2640">
        <v>24.15</v>
      </c>
      <c r="F2640">
        <v>14.13</v>
      </c>
      <c r="G2640">
        <v>14.03</v>
      </c>
      <c r="H2640">
        <v>28.17</v>
      </c>
      <c r="I2640" t="s">
        <v>344</v>
      </c>
      <c r="J2640">
        <v>98.59</v>
      </c>
      <c r="K2640">
        <v>-0.94</v>
      </c>
      <c r="L2640" t="s">
        <v>346</v>
      </c>
      <c r="M2640" s="1">
        <v>9.3999999999999986E-3</v>
      </c>
      <c r="N2640" t="s">
        <v>349</v>
      </c>
      <c r="O2640">
        <v>3.66</v>
      </c>
      <c r="P2640" t="s">
        <v>344</v>
      </c>
      <c r="Q2640">
        <v>-2.16</v>
      </c>
      <c r="R2640" t="s">
        <v>344</v>
      </c>
      <c r="S2640">
        <v>1</v>
      </c>
    </row>
    <row r="2641" spans="1:19" x14ac:dyDescent="0.25">
      <c r="A2641" t="s">
        <v>53</v>
      </c>
      <c r="B2641" t="s">
        <v>75</v>
      </c>
      <c r="C2641">
        <v>380</v>
      </c>
      <c r="D2641" t="s">
        <v>342</v>
      </c>
      <c r="E2641">
        <v>24.15</v>
      </c>
      <c r="F2641">
        <v>14.13</v>
      </c>
      <c r="G2641">
        <v>12.06</v>
      </c>
      <c r="H2641">
        <v>26.19</v>
      </c>
      <c r="I2641" t="s">
        <v>344</v>
      </c>
      <c r="J2641">
        <v>97.97</v>
      </c>
      <c r="K2641">
        <v>-3.1</v>
      </c>
      <c r="L2641" t="s">
        <v>346</v>
      </c>
      <c r="M2641" s="1">
        <v>3.1E-2</v>
      </c>
      <c r="N2641" t="s">
        <v>350</v>
      </c>
      <c r="O2641">
        <v>2.19</v>
      </c>
      <c r="P2641" t="s">
        <v>344</v>
      </c>
      <c r="Q2641">
        <v>-2.74</v>
      </c>
      <c r="R2641" t="s">
        <v>344</v>
      </c>
      <c r="S2641">
        <v>1</v>
      </c>
    </row>
    <row r="2642" spans="1:19" x14ac:dyDescent="0.25">
      <c r="A2642" t="s">
        <v>53</v>
      </c>
      <c r="B2642" t="s">
        <v>76</v>
      </c>
      <c r="C2642">
        <v>400</v>
      </c>
      <c r="D2642" t="s">
        <v>342</v>
      </c>
      <c r="E2642">
        <v>24.15</v>
      </c>
      <c r="F2642">
        <v>15.43</v>
      </c>
      <c r="G2642">
        <v>10.97</v>
      </c>
      <c r="H2642">
        <v>26.39</v>
      </c>
      <c r="I2642" t="s">
        <v>344</v>
      </c>
      <c r="J2642">
        <v>97.45</v>
      </c>
      <c r="K2642">
        <v>-2.6</v>
      </c>
      <c r="L2642" t="s">
        <v>346</v>
      </c>
      <c r="M2642" s="1">
        <v>2.5999999999999999E-2</v>
      </c>
      <c r="N2642" t="s">
        <v>350</v>
      </c>
      <c r="O2642">
        <v>2.4900000000000002</v>
      </c>
      <c r="P2642" t="s">
        <v>344</v>
      </c>
      <c r="Q2642">
        <v>-1.84</v>
      </c>
      <c r="R2642" t="s">
        <v>343</v>
      </c>
      <c r="S2642">
        <v>1</v>
      </c>
    </row>
    <row r="2643" spans="1:19" x14ac:dyDescent="0.25">
      <c r="A2643" t="s">
        <v>53</v>
      </c>
      <c r="B2643" t="s">
        <v>77</v>
      </c>
      <c r="C2643">
        <v>420</v>
      </c>
      <c r="D2643" t="s">
        <v>342</v>
      </c>
      <c r="E2643">
        <v>24.15</v>
      </c>
      <c r="F2643">
        <v>16.41</v>
      </c>
      <c r="G2643">
        <v>11.2</v>
      </c>
      <c r="H2643">
        <v>27.61</v>
      </c>
      <c r="I2643" t="s">
        <v>344</v>
      </c>
      <c r="J2643">
        <v>97.16</v>
      </c>
      <c r="K2643">
        <v>-1.43</v>
      </c>
      <c r="L2643" t="s">
        <v>346</v>
      </c>
      <c r="M2643" s="1">
        <v>1.43E-2</v>
      </c>
      <c r="N2643" t="s">
        <v>349</v>
      </c>
      <c r="O2643">
        <v>3.32</v>
      </c>
      <c r="P2643" t="s">
        <v>344</v>
      </c>
      <c r="Q2643">
        <v>-3.04</v>
      </c>
      <c r="R2643" t="s">
        <v>344</v>
      </c>
      <c r="S2643">
        <v>1</v>
      </c>
    </row>
    <row r="2644" spans="1:19" x14ac:dyDescent="0.25">
      <c r="A2644" t="s">
        <v>53</v>
      </c>
      <c r="B2644" t="s">
        <v>78</v>
      </c>
      <c r="C2644">
        <v>440</v>
      </c>
      <c r="D2644" t="s">
        <v>342</v>
      </c>
      <c r="E2644">
        <v>24.15</v>
      </c>
      <c r="F2644">
        <v>16.829999999999998</v>
      </c>
      <c r="G2644">
        <v>11.99</v>
      </c>
      <c r="H2644">
        <v>28.82</v>
      </c>
      <c r="I2644" t="s">
        <v>344</v>
      </c>
      <c r="J2644">
        <v>97.46</v>
      </c>
      <c r="K2644">
        <v>1.49</v>
      </c>
      <c r="L2644" t="s">
        <v>346</v>
      </c>
      <c r="M2644" s="1">
        <v>1.49E-2</v>
      </c>
      <c r="N2644" t="s">
        <v>349</v>
      </c>
      <c r="O2644">
        <v>4.76</v>
      </c>
      <c r="P2644" t="s">
        <v>343</v>
      </c>
      <c r="Q2644">
        <v>-0.21</v>
      </c>
      <c r="R2644" t="s">
        <v>343</v>
      </c>
      <c r="S2644">
        <v>1</v>
      </c>
    </row>
    <row r="2645" spans="1:19" x14ac:dyDescent="0.25">
      <c r="A2645" t="s">
        <v>53</v>
      </c>
      <c r="B2645" t="s">
        <v>79</v>
      </c>
      <c r="C2645">
        <v>460</v>
      </c>
      <c r="D2645" t="s">
        <v>342</v>
      </c>
      <c r="E2645">
        <v>24.15</v>
      </c>
      <c r="F2645">
        <v>18.23</v>
      </c>
      <c r="G2645">
        <v>14.09</v>
      </c>
      <c r="H2645">
        <v>32.32</v>
      </c>
      <c r="I2645" t="s">
        <v>344</v>
      </c>
      <c r="J2645">
        <v>97.37</v>
      </c>
      <c r="K2645">
        <v>-0.44</v>
      </c>
      <c r="L2645" t="s">
        <v>346</v>
      </c>
      <c r="M2645" s="1">
        <v>4.4000000000000003E-3</v>
      </c>
      <c r="N2645" t="s">
        <v>349</v>
      </c>
      <c r="O2645">
        <v>2.69</v>
      </c>
      <c r="P2645" t="s">
        <v>344</v>
      </c>
      <c r="Q2645">
        <v>-1.63</v>
      </c>
      <c r="R2645" t="s">
        <v>343</v>
      </c>
      <c r="S2645">
        <v>1</v>
      </c>
    </row>
    <row r="2646" spans="1:19" x14ac:dyDescent="0.25">
      <c r="A2646" t="s">
        <v>53</v>
      </c>
      <c r="B2646" t="s">
        <v>80</v>
      </c>
      <c r="C2646">
        <v>480</v>
      </c>
      <c r="D2646" t="s">
        <v>342</v>
      </c>
      <c r="E2646">
        <v>24.15</v>
      </c>
      <c r="F2646">
        <v>18.23</v>
      </c>
      <c r="G2646">
        <v>16.59</v>
      </c>
      <c r="H2646">
        <v>34.82</v>
      </c>
      <c r="I2646" t="s">
        <v>344</v>
      </c>
      <c r="J2646">
        <v>97.37</v>
      </c>
      <c r="K2646">
        <v>-0.02</v>
      </c>
      <c r="L2646" t="s">
        <v>346</v>
      </c>
      <c r="M2646" s="1">
        <v>2.0000000000000001E-4</v>
      </c>
      <c r="N2646" t="s">
        <v>349</v>
      </c>
      <c r="O2646">
        <v>0.99</v>
      </c>
      <c r="P2646" t="s">
        <v>343</v>
      </c>
      <c r="Q2646">
        <v>-2.5</v>
      </c>
      <c r="R2646" t="s">
        <v>344</v>
      </c>
      <c r="S2646">
        <v>1</v>
      </c>
    </row>
    <row r="2647" spans="1:19" x14ac:dyDescent="0.25">
      <c r="A2647" t="s">
        <v>53</v>
      </c>
      <c r="B2647" t="s">
        <v>81</v>
      </c>
      <c r="C2647">
        <v>500</v>
      </c>
      <c r="D2647" t="s">
        <v>342</v>
      </c>
      <c r="E2647">
        <v>24.15</v>
      </c>
      <c r="F2647">
        <v>18.23</v>
      </c>
      <c r="G2647">
        <v>20</v>
      </c>
      <c r="H2647">
        <v>38.229999999999997</v>
      </c>
      <c r="I2647" t="s">
        <v>344</v>
      </c>
      <c r="J2647">
        <v>97.48</v>
      </c>
      <c r="K2647">
        <v>0.55000000000000004</v>
      </c>
      <c r="L2647" t="s">
        <v>346</v>
      </c>
      <c r="M2647" s="1">
        <v>5.5000000000000014E-3</v>
      </c>
      <c r="N2647" t="s">
        <v>349</v>
      </c>
      <c r="O2647">
        <v>1.55</v>
      </c>
      <c r="P2647" t="s">
        <v>343</v>
      </c>
      <c r="Q2647">
        <v>-0.84</v>
      </c>
      <c r="R2647" t="s">
        <v>343</v>
      </c>
      <c r="S2647">
        <v>1</v>
      </c>
    </row>
    <row r="2648" spans="1:19" x14ac:dyDescent="0.25">
      <c r="A2648" t="s">
        <v>53</v>
      </c>
      <c r="B2648" t="s">
        <v>82</v>
      </c>
      <c r="C2648">
        <v>520</v>
      </c>
      <c r="D2648" t="s">
        <v>342</v>
      </c>
      <c r="E2648">
        <v>24.15</v>
      </c>
      <c r="F2648">
        <v>18.23</v>
      </c>
      <c r="G2648">
        <v>20</v>
      </c>
      <c r="H2648">
        <v>38.229999999999997</v>
      </c>
      <c r="I2648" t="s">
        <v>344</v>
      </c>
      <c r="J2648">
        <v>97.3</v>
      </c>
      <c r="K2648">
        <v>-0.88</v>
      </c>
      <c r="L2648" t="s">
        <v>346</v>
      </c>
      <c r="M2648" s="1">
        <v>8.8000000000000005E-3</v>
      </c>
      <c r="N2648" t="s">
        <v>349</v>
      </c>
      <c r="O2648">
        <v>-3.9</v>
      </c>
      <c r="P2648" t="s">
        <v>344</v>
      </c>
      <c r="Q2648">
        <v>-2.4</v>
      </c>
      <c r="R2648" t="s">
        <v>344</v>
      </c>
      <c r="S2648">
        <v>1</v>
      </c>
    </row>
    <row r="2649" spans="1:19" x14ac:dyDescent="0.25">
      <c r="A2649" t="s">
        <v>53</v>
      </c>
      <c r="B2649" t="s">
        <v>83</v>
      </c>
      <c r="C2649">
        <v>540</v>
      </c>
      <c r="D2649" t="s">
        <v>342</v>
      </c>
      <c r="E2649">
        <v>24.15</v>
      </c>
      <c r="F2649">
        <v>18</v>
      </c>
      <c r="G2649">
        <v>20</v>
      </c>
      <c r="H2649">
        <v>38</v>
      </c>
      <c r="I2649" t="s">
        <v>344</v>
      </c>
      <c r="J2649">
        <v>97.26</v>
      </c>
      <c r="K2649">
        <v>-0.22</v>
      </c>
      <c r="L2649" t="s">
        <v>346</v>
      </c>
      <c r="M2649" s="1">
        <v>2.2000000000000001E-3</v>
      </c>
      <c r="N2649" t="s">
        <v>349</v>
      </c>
      <c r="O2649">
        <v>3.74</v>
      </c>
      <c r="P2649" t="s">
        <v>344</v>
      </c>
      <c r="Q2649">
        <v>-3.4</v>
      </c>
      <c r="R2649" t="s">
        <v>344</v>
      </c>
      <c r="S2649">
        <v>1</v>
      </c>
    </row>
    <row r="2650" spans="1:19" x14ac:dyDescent="0.25">
      <c r="A2650" t="s">
        <v>53</v>
      </c>
      <c r="B2650" t="s">
        <v>84</v>
      </c>
      <c r="C2650">
        <v>560</v>
      </c>
      <c r="D2650" t="s">
        <v>342</v>
      </c>
      <c r="E2650">
        <v>24.15</v>
      </c>
      <c r="F2650">
        <v>20</v>
      </c>
      <c r="G2650">
        <v>13.42</v>
      </c>
      <c r="H2650">
        <v>33.42</v>
      </c>
      <c r="I2650" t="s">
        <v>344</v>
      </c>
      <c r="J2650">
        <v>97.23</v>
      </c>
      <c r="K2650">
        <v>-0.13</v>
      </c>
      <c r="L2650" t="s">
        <v>346</v>
      </c>
      <c r="M2650" s="1">
        <v>1.2999999999999999E-3</v>
      </c>
      <c r="N2650" t="s">
        <v>349</v>
      </c>
      <c r="O2650">
        <v>2.89</v>
      </c>
      <c r="P2650" t="s">
        <v>344</v>
      </c>
      <c r="Q2650">
        <v>-1.17</v>
      </c>
      <c r="R2650" t="s">
        <v>343</v>
      </c>
      <c r="S2650">
        <v>1</v>
      </c>
    </row>
    <row r="2651" spans="1:19" x14ac:dyDescent="0.25">
      <c r="A2651" t="s">
        <v>53</v>
      </c>
      <c r="B2651" t="s">
        <v>85</v>
      </c>
      <c r="C2651">
        <v>580</v>
      </c>
      <c r="D2651" t="s">
        <v>342</v>
      </c>
      <c r="E2651">
        <v>24.15</v>
      </c>
      <c r="F2651">
        <v>20</v>
      </c>
      <c r="G2651">
        <v>12.55</v>
      </c>
      <c r="H2651">
        <v>32.549999999999997</v>
      </c>
      <c r="I2651" t="s">
        <v>344</v>
      </c>
      <c r="J2651">
        <v>97.03</v>
      </c>
      <c r="K2651">
        <v>-1.03</v>
      </c>
      <c r="L2651" t="s">
        <v>346</v>
      </c>
      <c r="M2651" s="1">
        <v>1.03E-2</v>
      </c>
      <c r="N2651" t="s">
        <v>349</v>
      </c>
      <c r="O2651">
        <v>2.61</v>
      </c>
      <c r="P2651" t="s">
        <v>344</v>
      </c>
      <c r="Q2651">
        <v>-2.92</v>
      </c>
      <c r="R2651" t="s">
        <v>344</v>
      </c>
      <c r="S2651">
        <v>1</v>
      </c>
    </row>
    <row r="2652" spans="1:19" x14ac:dyDescent="0.25">
      <c r="A2652" t="s">
        <v>53</v>
      </c>
      <c r="B2652" t="s">
        <v>86</v>
      </c>
      <c r="C2652">
        <v>600</v>
      </c>
      <c r="D2652" t="s">
        <v>342</v>
      </c>
      <c r="E2652">
        <v>24.15</v>
      </c>
      <c r="F2652">
        <v>20</v>
      </c>
      <c r="G2652">
        <v>12.13</v>
      </c>
      <c r="H2652">
        <v>32.130000000000003</v>
      </c>
      <c r="I2652" t="s">
        <v>344</v>
      </c>
      <c r="J2652">
        <v>96.79</v>
      </c>
      <c r="K2652">
        <v>-1.21</v>
      </c>
      <c r="L2652" t="s">
        <v>346</v>
      </c>
      <c r="M2652" s="1">
        <v>1.21E-2</v>
      </c>
      <c r="N2652" t="s">
        <v>349</v>
      </c>
      <c r="O2652">
        <v>2.67</v>
      </c>
      <c r="P2652" t="s">
        <v>344</v>
      </c>
      <c r="Q2652">
        <v>-4.6100000000000003</v>
      </c>
      <c r="R2652" t="s">
        <v>343</v>
      </c>
      <c r="S2652">
        <v>1</v>
      </c>
    </row>
    <row r="2653" spans="1:19" x14ac:dyDescent="0.25">
      <c r="A2653" t="s">
        <v>53</v>
      </c>
      <c r="B2653" t="s">
        <v>87</v>
      </c>
      <c r="C2653">
        <v>620</v>
      </c>
      <c r="D2653" t="s">
        <v>342</v>
      </c>
      <c r="E2653">
        <v>24.15</v>
      </c>
      <c r="F2653">
        <v>20</v>
      </c>
      <c r="G2653">
        <v>10.93</v>
      </c>
      <c r="H2653">
        <v>30.93</v>
      </c>
      <c r="I2653" t="s">
        <v>344</v>
      </c>
      <c r="J2653">
        <v>96.81</v>
      </c>
      <c r="K2653">
        <v>0.11</v>
      </c>
      <c r="L2653" t="s">
        <v>346</v>
      </c>
      <c r="M2653" s="1">
        <v>1.1000000000000001E-3</v>
      </c>
      <c r="N2653" t="s">
        <v>349</v>
      </c>
      <c r="O2653">
        <v>2.4</v>
      </c>
      <c r="P2653" t="s">
        <v>344</v>
      </c>
      <c r="Q2653">
        <v>-4.54</v>
      </c>
      <c r="R2653" t="s">
        <v>343</v>
      </c>
      <c r="S2653">
        <v>1</v>
      </c>
    </row>
    <row r="2654" spans="1:19" x14ac:dyDescent="0.25">
      <c r="A2654" t="s">
        <v>53</v>
      </c>
      <c r="B2654" t="s">
        <v>88</v>
      </c>
      <c r="C2654">
        <v>640</v>
      </c>
      <c r="D2654" t="s">
        <v>342</v>
      </c>
      <c r="E2654">
        <v>24.15</v>
      </c>
      <c r="F2654">
        <v>20</v>
      </c>
      <c r="G2654">
        <v>10.93</v>
      </c>
      <c r="H2654">
        <v>30.93</v>
      </c>
      <c r="I2654" t="s">
        <v>344</v>
      </c>
      <c r="J2654">
        <v>96.55</v>
      </c>
      <c r="K2654">
        <v>-1.29</v>
      </c>
      <c r="L2654" t="s">
        <v>346</v>
      </c>
      <c r="M2654" s="1">
        <v>1.29E-2</v>
      </c>
      <c r="N2654" t="s">
        <v>349</v>
      </c>
      <c r="O2654">
        <v>1.86</v>
      </c>
      <c r="P2654" t="s">
        <v>343</v>
      </c>
      <c r="Q2654">
        <v>-2.88</v>
      </c>
      <c r="R2654" t="s">
        <v>344</v>
      </c>
      <c r="S2654">
        <v>1</v>
      </c>
    </row>
    <row r="2655" spans="1:19" x14ac:dyDescent="0.25">
      <c r="A2655" t="s">
        <v>53</v>
      </c>
      <c r="B2655" t="s">
        <v>89</v>
      </c>
      <c r="C2655">
        <v>660</v>
      </c>
      <c r="D2655" t="s">
        <v>342</v>
      </c>
      <c r="E2655">
        <v>24.15</v>
      </c>
      <c r="F2655">
        <v>20</v>
      </c>
      <c r="G2655">
        <v>10.4</v>
      </c>
      <c r="H2655">
        <v>30.4</v>
      </c>
      <c r="I2655" t="s">
        <v>344</v>
      </c>
      <c r="J2655">
        <v>96.51</v>
      </c>
      <c r="K2655">
        <v>-0.18</v>
      </c>
      <c r="L2655" t="s">
        <v>346</v>
      </c>
      <c r="M2655" s="1">
        <v>1.8E-3</v>
      </c>
      <c r="N2655" t="s">
        <v>349</v>
      </c>
      <c r="O2655">
        <v>1.99</v>
      </c>
      <c r="P2655" t="s">
        <v>343</v>
      </c>
      <c r="Q2655">
        <v>-4.54</v>
      </c>
      <c r="R2655" t="s">
        <v>343</v>
      </c>
      <c r="S2655">
        <v>1</v>
      </c>
    </row>
    <row r="2656" spans="1:19" x14ac:dyDescent="0.25">
      <c r="A2656" t="s">
        <v>53</v>
      </c>
      <c r="B2656" t="s">
        <v>90</v>
      </c>
      <c r="C2656">
        <v>680</v>
      </c>
      <c r="D2656" t="s">
        <v>342</v>
      </c>
      <c r="E2656">
        <v>24.15</v>
      </c>
      <c r="F2656">
        <v>17.84</v>
      </c>
      <c r="G2656">
        <v>11.66</v>
      </c>
      <c r="H2656">
        <v>29.5</v>
      </c>
      <c r="I2656" t="s">
        <v>344</v>
      </c>
      <c r="J2656">
        <v>96.65</v>
      </c>
      <c r="K2656">
        <v>0.69</v>
      </c>
      <c r="L2656" t="s">
        <v>346</v>
      </c>
      <c r="M2656" s="1">
        <v>6.8999999999999999E-3</v>
      </c>
      <c r="N2656" t="s">
        <v>349</v>
      </c>
      <c r="O2656">
        <v>7.88</v>
      </c>
      <c r="P2656" t="s">
        <v>343</v>
      </c>
      <c r="Q2656">
        <v>-2.54</v>
      </c>
      <c r="R2656" t="s">
        <v>344</v>
      </c>
      <c r="S2656">
        <v>1</v>
      </c>
    </row>
    <row r="2657" spans="1:19" x14ac:dyDescent="0.25">
      <c r="A2657" t="s">
        <v>53</v>
      </c>
      <c r="B2657" t="s">
        <v>91</v>
      </c>
      <c r="C2657">
        <v>700</v>
      </c>
      <c r="D2657" t="s">
        <v>342</v>
      </c>
      <c r="E2657">
        <v>24.15</v>
      </c>
      <c r="F2657">
        <v>17.84</v>
      </c>
      <c r="G2657">
        <v>12.69</v>
      </c>
      <c r="H2657">
        <v>30.53</v>
      </c>
      <c r="I2657" t="s">
        <v>344</v>
      </c>
      <c r="J2657">
        <v>96.72</v>
      </c>
      <c r="K2657">
        <v>0.34</v>
      </c>
      <c r="L2657" t="s">
        <v>346</v>
      </c>
      <c r="M2657" s="1">
        <v>3.3999999999999998E-3</v>
      </c>
      <c r="N2657" t="s">
        <v>349</v>
      </c>
      <c r="O2657">
        <v>2.2400000000000002</v>
      </c>
      <c r="P2657" t="s">
        <v>344</v>
      </c>
      <c r="Q2657">
        <v>-2.69</v>
      </c>
      <c r="R2657" t="s">
        <v>344</v>
      </c>
      <c r="S2657">
        <v>1</v>
      </c>
    </row>
    <row r="2658" spans="1:19" x14ac:dyDescent="0.25">
      <c r="A2658" t="s">
        <v>53</v>
      </c>
      <c r="B2658" t="s">
        <v>92</v>
      </c>
      <c r="C2658">
        <v>720</v>
      </c>
      <c r="D2658" t="s">
        <v>342</v>
      </c>
      <c r="E2658">
        <v>24.15</v>
      </c>
      <c r="F2658">
        <v>15.16</v>
      </c>
      <c r="G2658">
        <v>12.88</v>
      </c>
      <c r="H2658">
        <v>28.04</v>
      </c>
      <c r="I2658" t="s">
        <v>344</v>
      </c>
      <c r="J2658">
        <v>96.56</v>
      </c>
      <c r="K2658">
        <v>-0.78</v>
      </c>
      <c r="L2658" t="s">
        <v>346</v>
      </c>
      <c r="M2658" s="1">
        <v>7.8000000000000014E-3</v>
      </c>
      <c r="N2658" t="s">
        <v>349</v>
      </c>
      <c r="O2658">
        <v>5.68</v>
      </c>
      <c r="P2658" t="s">
        <v>343</v>
      </c>
      <c r="Q2658">
        <v>-2.42</v>
      </c>
      <c r="R2658" t="s">
        <v>344</v>
      </c>
      <c r="S2658">
        <v>1</v>
      </c>
    </row>
    <row r="2659" spans="1:19" x14ac:dyDescent="0.25">
      <c r="A2659" t="s">
        <v>53</v>
      </c>
      <c r="B2659" t="s">
        <v>93</v>
      </c>
      <c r="C2659">
        <v>740</v>
      </c>
      <c r="D2659" t="s">
        <v>342</v>
      </c>
      <c r="E2659">
        <v>24.15</v>
      </c>
      <c r="F2659">
        <v>15.16</v>
      </c>
      <c r="G2659">
        <v>12.88</v>
      </c>
      <c r="H2659">
        <v>28.04</v>
      </c>
      <c r="I2659" t="s">
        <v>344</v>
      </c>
      <c r="J2659">
        <v>96.3</v>
      </c>
      <c r="K2659">
        <v>-1.32</v>
      </c>
      <c r="L2659" t="s">
        <v>346</v>
      </c>
      <c r="M2659" s="1">
        <v>1.32E-2</v>
      </c>
      <c r="N2659" t="s">
        <v>349</v>
      </c>
      <c r="O2659">
        <v>4.7300000000000004</v>
      </c>
      <c r="P2659" t="s">
        <v>343</v>
      </c>
      <c r="Q2659">
        <v>-3.86</v>
      </c>
      <c r="R2659" t="s">
        <v>344</v>
      </c>
      <c r="S2659">
        <v>1</v>
      </c>
    </row>
    <row r="2660" spans="1:19" x14ac:dyDescent="0.25">
      <c r="A2660" t="s">
        <v>53</v>
      </c>
      <c r="B2660" t="s">
        <v>94</v>
      </c>
      <c r="C2660">
        <v>760</v>
      </c>
      <c r="D2660" t="s">
        <v>342</v>
      </c>
      <c r="E2660">
        <v>24.15</v>
      </c>
      <c r="F2660">
        <v>14.45</v>
      </c>
      <c r="G2660">
        <v>13.98</v>
      </c>
      <c r="H2660">
        <v>28.43</v>
      </c>
      <c r="I2660" t="s">
        <v>344</v>
      </c>
      <c r="J2660">
        <v>96.43</v>
      </c>
      <c r="K2660">
        <v>0.65</v>
      </c>
      <c r="L2660" t="s">
        <v>346</v>
      </c>
      <c r="M2660" s="1">
        <v>6.5000000000000006E-3</v>
      </c>
      <c r="N2660" t="s">
        <v>349</v>
      </c>
      <c r="O2660">
        <v>4.05</v>
      </c>
      <c r="P2660" t="s">
        <v>343</v>
      </c>
      <c r="Q2660">
        <v>-3.31</v>
      </c>
      <c r="R2660" t="s">
        <v>344</v>
      </c>
      <c r="S2660">
        <v>1</v>
      </c>
    </row>
    <row r="2661" spans="1:19" x14ac:dyDescent="0.25">
      <c r="A2661" t="s">
        <v>53</v>
      </c>
      <c r="B2661" t="s">
        <v>95</v>
      </c>
      <c r="C2661">
        <v>780</v>
      </c>
      <c r="D2661" t="s">
        <v>342</v>
      </c>
      <c r="E2661">
        <v>24.15</v>
      </c>
      <c r="F2661">
        <v>14.48</v>
      </c>
      <c r="G2661">
        <v>14.56</v>
      </c>
      <c r="H2661">
        <v>29.04</v>
      </c>
      <c r="I2661" t="s">
        <v>344</v>
      </c>
      <c r="J2661">
        <v>96.84</v>
      </c>
      <c r="K2661">
        <v>2.04</v>
      </c>
      <c r="L2661" t="s">
        <v>346</v>
      </c>
      <c r="M2661" s="1">
        <v>2.0400000000000001E-2</v>
      </c>
      <c r="N2661" t="s">
        <v>350</v>
      </c>
      <c r="O2661">
        <v>3.75</v>
      </c>
      <c r="P2661" t="s">
        <v>344</v>
      </c>
      <c r="Q2661">
        <v>-3.16</v>
      </c>
      <c r="R2661" t="s">
        <v>344</v>
      </c>
      <c r="S2661">
        <v>1</v>
      </c>
    </row>
    <row r="2662" spans="1:19" x14ac:dyDescent="0.25">
      <c r="A2662" t="s">
        <v>53</v>
      </c>
      <c r="B2662" t="s">
        <v>96</v>
      </c>
      <c r="C2662">
        <v>800</v>
      </c>
      <c r="D2662" t="s">
        <v>342</v>
      </c>
      <c r="E2662">
        <v>24.15</v>
      </c>
      <c r="F2662">
        <v>14.67</v>
      </c>
      <c r="G2662">
        <v>13.36</v>
      </c>
      <c r="H2662">
        <v>28.03</v>
      </c>
      <c r="I2662" t="s">
        <v>344</v>
      </c>
      <c r="J2662">
        <v>97.16</v>
      </c>
      <c r="K2662">
        <v>1.62</v>
      </c>
      <c r="L2662" t="s">
        <v>346</v>
      </c>
      <c r="M2662" s="1">
        <v>1.6199999999999999E-2</v>
      </c>
      <c r="N2662" t="s">
        <v>349</v>
      </c>
      <c r="O2662">
        <v>5.61</v>
      </c>
      <c r="P2662" t="s">
        <v>343</v>
      </c>
      <c r="Q2662">
        <v>-4.67</v>
      </c>
      <c r="R2662" t="s">
        <v>343</v>
      </c>
      <c r="S2662">
        <v>1</v>
      </c>
    </row>
    <row r="2663" spans="1:19" x14ac:dyDescent="0.25">
      <c r="A2663" t="s">
        <v>53</v>
      </c>
      <c r="B2663" t="s">
        <v>97</v>
      </c>
      <c r="C2663">
        <v>820</v>
      </c>
      <c r="D2663" t="s">
        <v>342</v>
      </c>
      <c r="E2663">
        <v>24.15</v>
      </c>
      <c r="F2663">
        <v>14.6</v>
      </c>
      <c r="G2663">
        <v>13.6</v>
      </c>
      <c r="H2663">
        <v>28.2</v>
      </c>
      <c r="I2663" t="s">
        <v>344</v>
      </c>
      <c r="J2663">
        <v>97.77</v>
      </c>
      <c r="K2663">
        <v>3.06</v>
      </c>
      <c r="L2663" t="s">
        <v>346</v>
      </c>
      <c r="M2663" s="1">
        <v>3.0599999999999999E-2</v>
      </c>
      <c r="N2663" t="s">
        <v>350</v>
      </c>
      <c r="O2663">
        <v>6.38</v>
      </c>
      <c r="P2663" t="s">
        <v>343</v>
      </c>
      <c r="Q2663">
        <v>-4.38</v>
      </c>
      <c r="R2663" t="s">
        <v>343</v>
      </c>
      <c r="S2663">
        <v>1</v>
      </c>
    </row>
    <row r="2664" spans="1:19" x14ac:dyDescent="0.25">
      <c r="A2664" t="s">
        <v>53</v>
      </c>
      <c r="B2664" t="s">
        <v>98</v>
      </c>
      <c r="C2664">
        <v>840</v>
      </c>
      <c r="D2664" t="s">
        <v>342</v>
      </c>
      <c r="E2664">
        <v>24.15</v>
      </c>
      <c r="F2664">
        <v>15.71</v>
      </c>
      <c r="G2664">
        <v>18.12</v>
      </c>
      <c r="H2664">
        <v>33.82</v>
      </c>
      <c r="I2664" t="s">
        <v>344</v>
      </c>
      <c r="J2664">
        <v>98.16</v>
      </c>
      <c r="K2664">
        <v>1.92</v>
      </c>
      <c r="L2664" t="s">
        <v>346</v>
      </c>
      <c r="M2664" s="1">
        <v>1.9199999999999998E-2</v>
      </c>
      <c r="N2664" t="s">
        <v>349</v>
      </c>
      <c r="O2664">
        <v>4.01</v>
      </c>
      <c r="P2664" t="s">
        <v>343</v>
      </c>
      <c r="Q2664">
        <v>-3.7</v>
      </c>
      <c r="R2664" t="s">
        <v>344</v>
      </c>
      <c r="S2664">
        <v>1</v>
      </c>
    </row>
    <row r="2665" spans="1:19" x14ac:dyDescent="0.25">
      <c r="A2665" t="s">
        <v>53</v>
      </c>
      <c r="B2665" t="s">
        <v>99</v>
      </c>
      <c r="C2665">
        <v>860</v>
      </c>
      <c r="D2665" t="s">
        <v>342</v>
      </c>
      <c r="E2665">
        <v>24.15</v>
      </c>
      <c r="F2665">
        <v>15.68</v>
      </c>
      <c r="G2665">
        <v>17.11</v>
      </c>
      <c r="H2665">
        <v>32.79</v>
      </c>
      <c r="I2665" t="s">
        <v>344</v>
      </c>
      <c r="J2665">
        <v>99.49</v>
      </c>
      <c r="K2665">
        <v>6.67</v>
      </c>
      <c r="L2665" t="s">
        <v>346</v>
      </c>
      <c r="M2665" s="1">
        <v>6.6699999999999995E-2</v>
      </c>
      <c r="N2665" t="s">
        <v>350</v>
      </c>
      <c r="O2665">
        <v>2.97</v>
      </c>
      <c r="P2665" t="s">
        <v>344</v>
      </c>
      <c r="Q2665">
        <v>-2.38</v>
      </c>
      <c r="R2665" t="s">
        <v>344</v>
      </c>
      <c r="S2665">
        <v>1</v>
      </c>
    </row>
    <row r="2666" spans="1:19" x14ac:dyDescent="0.25">
      <c r="A2666" t="s">
        <v>53</v>
      </c>
      <c r="B2666" t="s">
        <v>100</v>
      </c>
      <c r="C2666">
        <v>880</v>
      </c>
      <c r="D2666" t="s">
        <v>342</v>
      </c>
      <c r="E2666">
        <v>24.15</v>
      </c>
      <c r="F2666">
        <v>14.04</v>
      </c>
      <c r="G2666">
        <v>17.11</v>
      </c>
      <c r="H2666">
        <v>31.14</v>
      </c>
      <c r="I2666" t="s">
        <v>344</v>
      </c>
      <c r="J2666">
        <v>99.81</v>
      </c>
      <c r="K2666">
        <v>1.59</v>
      </c>
      <c r="L2666" t="s">
        <v>346</v>
      </c>
      <c r="M2666" s="1">
        <v>1.5900000000000001E-2</v>
      </c>
      <c r="N2666" t="s">
        <v>349</v>
      </c>
      <c r="O2666">
        <v>2.48</v>
      </c>
      <c r="P2666" t="s">
        <v>344</v>
      </c>
      <c r="Q2666">
        <v>-1.77</v>
      </c>
      <c r="R2666" t="s">
        <v>343</v>
      </c>
      <c r="S2666">
        <v>1</v>
      </c>
    </row>
    <row r="2667" spans="1:19" x14ac:dyDescent="0.25">
      <c r="A2667" t="s">
        <v>53</v>
      </c>
      <c r="B2667" t="s">
        <v>101</v>
      </c>
      <c r="C2667">
        <v>900</v>
      </c>
      <c r="D2667" t="s">
        <v>342</v>
      </c>
      <c r="E2667">
        <v>24.15</v>
      </c>
      <c r="F2667">
        <v>13.68</v>
      </c>
      <c r="G2667">
        <v>13.34</v>
      </c>
      <c r="H2667">
        <v>27.03</v>
      </c>
      <c r="I2667" t="s">
        <v>344</v>
      </c>
      <c r="J2667">
        <v>99.59</v>
      </c>
      <c r="K2667">
        <v>-1.08</v>
      </c>
      <c r="L2667" t="s">
        <v>346</v>
      </c>
      <c r="M2667" s="1">
        <v>1.0800000000000001E-2</v>
      </c>
      <c r="N2667" t="s">
        <v>349</v>
      </c>
      <c r="O2667">
        <v>0.62</v>
      </c>
      <c r="P2667" t="s">
        <v>343</v>
      </c>
      <c r="Q2667">
        <v>-0.6</v>
      </c>
      <c r="R2667" t="s">
        <v>343</v>
      </c>
      <c r="S2667">
        <v>1</v>
      </c>
    </row>
    <row r="2668" spans="1:19" x14ac:dyDescent="0.25">
      <c r="A2668" t="s">
        <v>53</v>
      </c>
      <c r="B2668" t="s">
        <v>102</v>
      </c>
      <c r="C2668">
        <v>920</v>
      </c>
      <c r="D2668" t="s">
        <v>342</v>
      </c>
      <c r="E2668">
        <v>24.15</v>
      </c>
      <c r="F2668">
        <v>15.03</v>
      </c>
      <c r="G2668">
        <v>13.83</v>
      </c>
      <c r="H2668">
        <v>28.86</v>
      </c>
      <c r="I2668" t="s">
        <v>344</v>
      </c>
      <c r="J2668">
        <v>98.26</v>
      </c>
      <c r="K2668">
        <v>-6.68</v>
      </c>
      <c r="L2668" t="s">
        <v>346</v>
      </c>
      <c r="M2668" s="1">
        <v>6.6799999999999998E-2</v>
      </c>
      <c r="N2668" t="s">
        <v>350</v>
      </c>
      <c r="O2668">
        <v>4.41</v>
      </c>
      <c r="P2668" t="s">
        <v>343</v>
      </c>
      <c r="Q2668">
        <v>-1.5</v>
      </c>
      <c r="R2668" t="s">
        <v>343</v>
      </c>
      <c r="S2668">
        <v>1</v>
      </c>
    </row>
    <row r="2669" spans="1:19" x14ac:dyDescent="0.25">
      <c r="A2669" t="s">
        <v>53</v>
      </c>
      <c r="B2669" t="s">
        <v>103</v>
      </c>
      <c r="C2669">
        <v>940</v>
      </c>
      <c r="D2669" t="s">
        <v>342</v>
      </c>
      <c r="E2669">
        <v>24.15</v>
      </c>
      <c r="F2669">
        <v>12.9</v>
      </c>
      <c r="G2669">
        <v>12.18</v>
      </c>
      <c r="H2669">
        <v>25.08</v>
      </c>
      <c r="I2669" t="s">
        <v>344</v>
      </c>
      <c r="J2669">
        <v>97.68</v>
      </c>
      <c r="K2669">
        <v>-2.86</v>
      </c>
      <c r="L2669" t="s">
        <v>346</v>
      </c>
      <c r="M2669" s="1">
        <v>2.86E-2</v>
      </c>
      <c r="N2669" t="s">
        <v>350</v>
      </c>
      <c r="O2669">
        <v>1.44</v>
      </c>
      <c r="P2669" t="s">
        <v>343</v>
      </c>
      <c r="Q2669">
        <v>-1.31</v>
      </c>
      <c r="R2669" t="s">
        <v>343</v>
      </c>
      <c r="S2669">
        <v>1</v>
      </c>
    </row>
    <row r="2670" spans="1:19" x14ac:dyDescent="0.25">
      <c r="A2670" t="s">
        <v>53</v>
      </c>
      <c r="B2670" t="s">
        <v>104</v>
      </c>
      <c r="C2670">
        <v>960</v>
      </c>
      <c r="D2670" t="s">
        <v>342</v>
      </c>
      <c r="E2670">
        <v>24.15</v>
      </c>
      <c r="F2670">
        <v>13.2</v>
      </c>
      <c r="G2670">
        <v>11.12</v>
      </c>
      <c r="H2670">
        <v>24.31</v>
      </c>
      <c r="I2670" t="s">
        <v>344</v>
      </c>
      <c r="J2670">
        <v>97.57</v>
      </c>
      <c r="K2670">
        <v>-0.56000000000000005</v>
      </c>
      <c r="L2670" t="s">
        <v>346</v>
      </c>
      <c r="M2670" s="1">
        <v>5.6000000000000008E-3</v>
      </c>
      <c r="N2670" t="s">
        <v>349</v>
      </c>
      <c r="O2670">
        <v>3.79</v>
      </c>
      <c r="P2670" t="s">
        <v>344</v>
      </c>
      <c r="Q2670">
        <v>-0.35</v>
      </c>
      <c r="R2670" t="s">
        <v>343</v>
      </c>
      <c r="S2670">
        <v>1</v>
      </c>
    </row>
    <row r="2671" spans="1:19" x14ac:dyDescent="0.25">
      <c r="A2671" t="s">
        <v>53</v>
      </c>
      <c r="B2671" t="s">
        <v>105</v>
      </c>
      <c r="C2671">
        <v>980</v>
      </c>
      <c r="D2671" t="s">
        <v>342</v>
      </c>
      <c r="E2671">
        <v>24.15</v>
      </c>
      <c r="F2671">
        <v>13.59</v>
      </c>
      <c r="G2671">
        <v>9.83</v>
      </c>
      <c r="H2671">
        <v>23.42</v>
      </c>
      <c r="I2671" t="s">
        <v>343</v>
      </c>
      <c r="J2671">
        <v>97.48</v>
      </c>
      <c r="K2671">
        <v>-0.46</v>
      </c>
      <c r="L2671" t="s">
        <v>346</v>
      </c>
      <c r="M2671" s="1">
        <v>4.5999999999999999E-3</v>
      </c>
      <c r="N2671" t="s">
        <v>349</v>
      </c>
      <c r="O2671">
        <v>0.69</v>
      </c>
      <c r="P2671" t="s">
        <v>343</v>
      </c>
      <c r="Q2671">
        <v>-0.77</v>
      </c>
      <c r="R2671" t="s">
        <v>343</v>
      </c>
      <c r="S2671">
        <v>1</v>
      </c>
    </row>
    <row r="2672" spans="1:19" x14ac:dyDescent="0.25">
      <c r="A2672" t="s">
        <v>53</v>
      </c>
      <c r="B2672" t="s">
        <v>106</v>
      </c>
      <c r="C2672">
        <v>1000</v>
      </c>
      <c r="D2672" t="s">
        <v>342</v>
      </c>
      <c r="E2672">
        <v>24.15</v>
      </c>
      <c r="F2672">
        <v>13.74</v>
      </c>
      <c r="G2672">
        <v>11.12</v>
      </c>
      <c r="H2672">
        <v>24.86</v>
      </c>
      <c r="I2672" t="s">
        <v>344</v>
      </c>
      <c r="J2672">
        <v>97.73</v>
      </c>
      <c r="K2672">
        <v>1.27</v>
      </c>
      <c r="L2672" t="s">
        <v>346</v>
      </c>
      <c r="M2672" s="1">
        <v>1.2699999999999999E-2</v>
      </c>
      <c r="N2672" t="s">
        <v>349</v>
      </c>
      <c r="O2672">
        <v>-0.57999999999999996</v>
      </c>
      <c r="P2672" t="s">
        <v>343</v>
      </c>
      <c r="Q2672">
        <v>-0.5</v>
      </c>
      <c r="R2672" t="s">
        <v>343</v>
      </c>
      <c r="S2672">
        <v>1</v>
      </c>
    </row>
    <row r="2673" spans="1:19" x14ac:dyDescent="0.25">
      <c r="A2673" t="s">
        <v>53</v>
      </c>
      <c r="B2673" t="s">
        <v>108</v>
      </c>
      <c r="C2673">
        <v>1020</v>
      </c>
      <c r="D2673" t="s">
        <v>342</v>
      </c>
      <c r="E2673">
        <v>24.15</v>
      </c>
      <c r="F2673">
        <v>13.74</v>
      </c>
      <c r="G2673">
        <v>12.16</v>
      </c>
      <c r="H2673">
        <v>25.9</v>
      </c>
      <c r="I2673" t="s">
        <v>344</v>
      </c>
      <c r="J2673">
        <v>97.73</v>
      </c>
      <c r="K2673">
        <v>-0.04</v>
      </c>
      <c r="L2673" t="s">
        <v>346</v>
      </c>
      <c r="M2673" s="1">
        <v>4.0000000000000002E-4</v>
      </c>
      <c r="N2673" t="s">
        <v>349</v>
      </c>
      <c r="O2673">
        <v>1.81</v>
      </c>
      <c r="P2673" t="s">
        <v>343</v>
      </c>
      <c r="Q2673">
        <v>-1.77</v>
      </c>
      <c r="R2673" t="s">
        <v>343</v>
      </c>
      <c r="S2673">
        <v>1</v>
      </c>
    </row>
    <row r="2674" spans="1:19" x14ac:dyDescent="0.25">
      <c r="A2674" t="s">
        <v>53</v>
      </c>
      <c r="B2674" t="s">
        <v>109</v>
      </c>
      <c r="C2674">
        <v>1040</v>
      </c>
      <c r="D2674" t="s">
        <v>342</v>
      </c>
      <c r="E2674">
        <v>24.15</v>
      </c>
      <c r="F2674">
        <v>14.52</v>
      </c>
      <c r="G2674">
        <v>13.51</v>
      </c>
      <c r="H2674">
        <v>28.03</v>
      </c>
      <c r="I2674" t="s">
        <v>344</v>
      </c>
      <c r="J2674">
        <v>97.96</v>
      </c>
      <c r="K2674">
        <v>1.19</v>
      </c>
      <c r="L2674" t="s">
        <v>346</v>
      </c>
      <c r="M2674" s="1">
        <v>1.1900000000000001E-2</v>
      </c>
      <c r="N2674" t="s">
        <v>349</v>
      </c>
      <c r="O2674">
        <v>-0.23</v>
      </c>
      <c r="P2674" t="s">
        <v>343</v>
      </c>
      <c r="Q2674">
        <v>-0.37</v>
      </c>
      <c r="R2674" t="s">
        <v>343</v>
      </c>
      <c r="S2674">
        <v>1</v>
      </c>
    </row>
    <row r="2675" spans="1:19" x14ac:dyDescent="0.25">
      <c r="A2675" t="s">
        <v>53</v>
      </c>
      <c r="B2675" t="s">
        <v>110</v>
      </c>
      <c r="C2675">
        <v>1060</v>
      </c>
      <c r="D2675" t="s">
        <v>342</v>
      </c>
      <c r="E2675">
        <v>24.15</v>
      </c>
      <c r="F2675">
        <v>12.4</v>
      </c>
      <c r="G2675">
        <v>15.01</v>
      </c>
      <c r="H2675">
        <v>27.41</v>
      </c>
      <c r="I2675" t="s">
        <v>344</v>
      </c>
      <c r="J2675">
        <v>99.94</v>
      </c>
      <c r="K2675">
        <v>9.89</v>
      </c>
      <c r="L2675" t="s">
        <v>348</v>
      </c>
      <c r="M2675" s="1">
        <v>9.8900000000000002E-2</v>
      </c>
      <c r="N2675" t="s">
        <v>350</v>
      </c>
      <c r="O2675">
        <v>-0.68</v>
      </c>
      <c r="P2675" t="s">
        <v>343</v>
      </c>
      <c r="Q2675">
        <v>0.39</v>
      </c>
      <c r="R2675" t="s">
        <v>343</v>
      </c>
      <c r="S2675">
        <v>1</v>
      </c>
    </row>
    <row r="2676" spans="1:19" x14ac:dyDescent="0.25">
      <c r="A2676" t="s">
        <v>53</v>
      </c>
      <c r="B2676" t="s">
        <v>111</v>
      </c>
      <c r="C2676">
        <v>1080</v>
      </c>
      <c r="D2676" t="s">
        <v>342</v>
      </c>
      <c r="E2676">
        <v>24.15</v>
      </c>
      <c r="F2676">
        <v>12.18</v>
      </c>
      <c r="G2676">
        <v>14.56</v>
      </c>
      <c r="H2676">
        <v>26.75</v>
      </c>
      <c r="I2676" t="s">
        <v>344</v>
      </c>
      <c r="J2676">
        <v>99.94</v>
      </c>
      <c r="K2676">
        <v>-0.01</v>
      </c>
      <c r="L2676" t="s">
        <v>346</v>
      </c>
      <c r="M2676" s="1">
        <v>1E-4</v>
      </c>
      <c r="N2676" t="s">
        <v>349</v>
      </c>
      <c r="O2676">
        <v>0.73</v>
      </c>
      <c r="P2676" t="s">
        <v>343</v>
      </c>
      <c r="Q2676">
        <v>-0.67</v>
      </c>
      <c r="R2676" t="s">
        <v>343</v>
      </c>
      <c r="S2676">
        <v>1</v>
      </c>
    </row>
    <row r="2677" spans="1:19" x14ac:dyDescent="0.25">
      <c r="A2677" t="s">
        <v>53</v>
      </c>
      <c r="B2677" t="s">
        <v>112</v>
      </c>
      <c r="C2677">
        <v>1100</v>
      </c>
      <c r="D2677" t="s">
        <v>342</v>
      </c>
      <c r="E2677">
        <v>24.15</v>
      </c>
      <c r="F2677">
        <v>11.23</v>
      </c>
      <c r="G2677">
        <v>12.77</v>
      </c>
      <c r="H2677">
        <v>24</v>
      </c>
      <c r="I2677" t="s">
        <v>343</v>
      </c>
      <c r="J2677">
        <v>98.42</v>
      </c>
      <c r="K2677">
        <v>-7.61</v>
      </c>
      <c r="L2677" t="s">
        <v>346</v>
      </c>
      <c r="M2677" s="1">
        <v>7.6100000000000001E-2</v>
      </c>
      <c r="N2677" t="s">
        <v>350</v>
      </c>
      <c r="O2677">
        <v>4.33</v>
      </c>
      <c r="P2677" t="s">
        <v>343</v>
      </c>
      <c r="Q2677">
        <v>0.12</v>
      </c>
      <c r="R2677" t="s">
        <v>343</v>
      </c>
      <c r="S2677">
        <v>1</v>
      </c>
    </row>
    <row r="2678" spans="1:19" x14ac:dyDescent="0.25">
      <c r="A2678" t="s">
        <v>53</v>
      </c>
      <c r="B2678" t="s">
        <v>113</v>
      </c>
      <c r="C2678">
        <v>1120</v>
      </c>
      <c r="D2678" t="s">
        <v>342</v>
      </c>
      <c r="E2678">
        <v>24.15</v>
      </c>
      <c r="F2678">
        <v>14.64</v>
      </c>
      <c r="G2678">
        <v>13.73</v>
      </c>
      <c r="H2678">
        <v>28.37</v>
      </c>
      <c r="I2678" t="s">
        <v>344</v>
      </c>
      <c r="J2678">
        <v>98.09</v>
      </c>
      <c r="K2678">
        <v>-1.65</v>
      </c>
      <c r="L2678" t="s">
        <v>346</v>
      </c>
      <c r="M2678" s="1">
        <v>1.6500000000000001E-2</v>
      </c>
      <c r="N2678" t="s">
        <v>349</v>
      </c>
      <c r="O2678">
        <v>1.77</v>
      </c>
      <c r="P2678" t="s">
        <v>343</v>
      </c>
      <c r="Q2678">
        <v>0.31</v>
      </c>
      <c r="R2678" t="s">
        <v>343</v>
      </c>
      <c r="S2678">
        <v>1</v>
      </c>
    </row>
    <row r="2679" spans="1:19" x14ac:dyDescent="0.25">
      <c r="A2679" t="s">
        <v>53</v>
      </c>
      <c r="B2679" t="s">
        <v>114</v>
      </c>
      <c r="C2679">
        <v>1140</v>
      </c>
      <c r="D2679" t="s">
        <v>342</v>
      </c>
      <c r="E2679">
        <v>24.15</v>
      </c>
      <c r="F2679">
        <v>16.12</v>
      </c>
      <c r="G2679">
        <v>13.75</v>
      </c>
      <c r="H2679">
        <v>29.86</v>
      </c>
      <c r="I2679" t="s">
        <v>344</v>
      </c>
      <c r="J2679">
        <v>97.87</v>
      </c>
      <c r="K2679">
        <v>-1.1100000000000001</v>
      </c>
      <c r="L2679" t="s">
        <v>346</v>
      </c>
      <c r="M2679" s="1">
        <v>1.11E-2</v>
      </c>
      <c r="N2679" t="s">
        <v>349</v>
      </c>
      <c r="O2679">
        <v>3.58</v>
      </c>
      <c r="P2679" t="s">
        <v>344</v>
      </c>
      <c r="Q2679">
        <v>0.35</v>
      </c>
      <c r="R2679" t="s">
        <v>343</v>
      </c>
      <c r="S2679">
        <v>1</v>
      </c>
    </row>
    <row r="2680" spans="1:19" x14ac:dyDescent="0.25">
      <c r="A2680" t="s">
        <v>53</v>
      </c>
      <c r="B2680" t="s">
        <v>115</v>
      </c>
      <c r="C2680">
        <v>1160</v>
      </c>
      <c r="D2680" t="s">
        <v>342</v>
      </c>
      <c r="E2680">
        <v>24.15</v>
      </c>
      <c r="F2680">
        <v>14.64</v>
      </c>
      <c r="G2680">
        <v>14.56</v>
      </c>
      <c r="H2680">
        <v>29.2</v>
      </c>
      <c r="I2680" t="s">
        <v>344</v>
      </c>
      <c r="J2680">
        <v>97.76</v>
      </c>
      <c r="K2680">
        <v>-0.53</v>
      </c>
      <c r="L2680" t="s">
        <v>346</v>
      </c>
      <c r="M2680" s="1">
        <v>5.3E-3</v>
      </c>
      <c r="N2680" t="s">
        <v>349</v>
      </c>
      <c r="O2680">
        <v>4.1100000000000003</v>
      </c>
      <c r="P2680" t="s">
        <v>343</v>
      </c>
      <c r="Q2680">
        <v>0</v>
      </c>
      <c r="R2680" t="s">
        <v>343</v>
      </c>
      <c r="S2680">
        <v>1</v>
      </c>
    </row>
    <row r="2681" spans="1:19" x14ac:dyDescent="0.25">
      <c r="A2681" t="s">
        <v>53</v>
      </c>
      <c r="B2681" t="s">
        <v>116</v>
      </c>
      <c r="C2681">
        <v>1180</v>
      </c>
      <c r="D2681" t="s">
        <v>342</v>
      </c>
      <c r="E2681">
        <v>24.15</v>
      </c>
      <c r="F2681">
        <v>13.52</v>
      </c>
      <c r="G2681">
        <v>13.83</v>
      </c>
      <c r="H2681">
        <v>27.36</v>
      </c>
      <c r="I2681" t="s">
        <v>344</v>
      </c>
      <c r="J2681">
        <v>97.66</v>
      </c>
      <c r="K2681">
        <v>-0.51</v>
      </c>
      <c r="L2681" t="s">
        <v>346</v>
      </c>
      <c r="M2681" s="1">
        <v>5.1000000000000004E-3</v>
      </c>
      <c r="N2681" t="s">
        <v>349</v>
      </c>
      <c r="O2681">
        <v>2.46</v>
      </c>
      <c r="P2681" t="s">
        <v>344</v>
      </c>
      <c r="Q2681">
        <v>-1.25</v>
      </c>
      <c r="R2681" t="s">
        <v>343</v>
      </c>
      <c r="S2681">
        <v>1</v>
      </c>
    </row>
    <row r="2682" spans="1:19" x14ac:dyDescent="0.25">
      <c r="A2682" t="s">
        <v>53</v>
      </c>
      <c r="B2682" t="s">
        <v>117</v>
      </c>
      <c r="C2682">
        <v>1200</v>
      </c>
      <c r="D2682" t="s">
        <v>342</v>
      </c>
      <c r="E2682">
        <v>24.15</v>
      </c>
      <c r="F2682">
        <v>13.52</v>
      </c>
      <c r="G2682">
        <v>14.59</v>
      </c>
      <c r="H2682">
        <v>28.12</v>
      </c>
      <c r="I2682" t="s">
        <v>344</v>
      </c>
      <c r="J2682">
        <v>97.85</v>
      </c>
      <c r="K2682">
        <v>0.93</v>
      </c>
      <c r="L2682" t="s">
        <v>346</v>
      </c>
      <c r="M2682" s="1">
        <v>9.300000000000001E-3</v>
      </c>
      <c r="N2682" t="s">
        <v>349</v>
      </c>
      <c r="O2682">
        <v>0.02</v>
      </c>
      <c r="P2682" t="s">
        <v>343</v>
      </c>
      <c r="Q2682">
        <v>-2.91</v>
      </c>
      <c r="R2682" t="s">
        <v>344</v>
      </c>
      <c r="S2682">
        <v>1</v>
      </c>
    </row>
    <row r="2683" spans="1:19" x14ac:dyDescent="0.25">
      <c r="A2683" t="s">
        <v>53</v>
      </c>
      <c r="B2683" t="s">
        <v>118</v>
      </c>
      <c r="C2683">
        <v>1220</v>
      </c>
      <c r="D2683" t="s">
        <v>342</v>
      </c>
      <c r="E2683">
        <v>24.15</v>
      </c>
      <c r="F2683">
        <v>13.39</v>
      </c>
      <c r="G2683">
        <v>14.54</v>
      </c>
      <c r="H2683">
        <v>27.93</v>
      </c>
      <c r="I2683" t="s">
        <v>344</v>
      </c>
      <c r="J2683">
        <v>98.39</v>
      </c>
      <c r="K2683">
        <v>2.74</v>
      </c>
      <c r="L2683" t="s">
        <v>346</v>
      </c>
      <c r="M2683" s="1">
        <v>2.7400000000000001E-2</v>
      </c>
      <c r="N2683" t="s">
        <v>350</v>
      </c>
      <c r="O2683">
        <v>0.5</v>
      </c>
      <c r="P2683" t="s">
        <v>343</v>
      </c>
      <c r="Q2683">
        <v>-0.14000000000000001</v>
      </c>
      <c r="R2683" t="s">
        <v>343</v>
      </c>
      <c r="S2683">
        <v>1</v>
      </c>
    </row>
    <row r="2684" spans="1:19" x14ac:dyDescent="0.25">
      <c r="A2684" t="s">
        <v>53</v>
      </c>
      <c r="B2684" t="s">
        <v>119</v>
      </c>
      <c r="C2684">
        <v>1240</v>
      </c>
      <c r="D2684" t="s">
        <v>342</v>
      </c>
      <c r="E2684">
        <v>24.15</v>
      </c>
      <c r="F2684">
        <v>13.52</v>
      </c>
      <c r="G2684">
        <v>12.51</v>
      </c>
      <c r="H2684">
        <v>26.03</v>
      </c>
      <c r="I2684" t="s">
        <v>344</v>
      </c>
      <c r="J2684">
        <v>98.75</v>
      </c>
      <c r="K2684">
        <v>1.79</v>
      </c>
      <c r="L2684" t="s">
        <v>346</v>
      </c>
      <c r="M2684" s="1">
        <v>1.7899999999999999E-2</v>
      </c>
      <c r="N2684" t="s">
        <v>349</v>
      </c>
      <c r="O2684">
        <v>2.85</v>
      </c>
      <c r="P2684" t="s">
        <v>344</v>
      </c>
      <c r="Q2684">
        <v>1.05</v>
      </c>
      <c r="R2684" t="s">
        <v>343</v>
      </c>
      <c r="S2684">
        <v>1</v>
      </c>
    </row>
    <row r="2685" spans="1:19" x14ac:dyDescent="0.25">
      <c r="A2685" t="s">
        <v>53</v>
      </c>
      <c r="B2685" t="s">
        <v>120</v>
      </c>
      <c r="C2685">
        <v>1260</v>
      </c>
      <c r="D2685" t="s">
        <v>342</v>
      </c>
      <c r="E2685">
        <v>24.15</v>
      </c>
      <c r="F2685">
        <v>13.54</v>
      </c>
      <c r="G2685">
        <v>11.24</v>
      </c>
      <c r="H2685">
        <v>24.78</v>
      </c>
      <c r="I2685" t="s">
        <v>344</v>
      </c>
      <c r="J2685">
        <v>98.75</v>
      </c>
      <c r="K2685">
        <v>0.02</v>
      </c>
      <c r="L2685" t="s">
        <v>346</v>
      </c>
      <c r="M2685" s="1">
        <v>2.0000000000000001E-4</v>
      </c>
      <c r="N2685" t="s">
        <v>349</v>
      </c>
      <c r="O2685">
        <v>1.43</v>
      </c>
      <c r="P2685" t="s">
        <v>343</v>
      </c>
      <c r="Q2685">
        <v>-0.44</v>
      </c>
      <c r="R2685" t="s">
        <v>343</v>
      </c>
      <c r="S2685">
        <v>1</v>
      </c>
    </row>
    <row r="2686" spans="1:19" x14ac:dyDescent="0.25">
      <c r="A2686" t="s">
        <v>53</v>
      </c>
      <c r="B2686" t="s">
        <v>121</v>
      </c>
      <c r="C2686">
        <v>1280</v>
      </c>
      <c r="D2686" t="s">
        <v>342</v>
      </c>
      <c r="E2686">
        <v>24.15</v>
      </c>
      <c r="F2686">
        <v>13.71</v>
      </c>
      <c r="G2686">
        <v>10.77</v>
      </c>
      <c r="H2686">
        <v>24.47</v>
      </c>
      <c r="I2686" t="s">
        <v>344</v>
      </c>
      <c r="J2686">
        <v>98.82</v>
      </c>
      <c r="K2686">
        <v>0.35</v>
      </c>
      <c r="L2686" t="s">
        <v>346</v>
      </c>
      <c r="M2686" s="1">
        <v>3.5000000000000001E-3</v>
      </c>
      <c r="N2686" t="s">
        <v>349</v>
      </c>
      <c r="O2686">
        <v>1.4</v>
      </c>
      <c r="P2686" t="s">
        <v>343</v>
      </c>
      <c r="Q2686">
        <v>-0.53</v>
      </c>
      <c r="R2686" t="s">
        <v>343</v>
      </c>
      <c r="S2686">
        <v>1</v>
      </c>
    </row>
    <row r="2687" spans="1:19" x14ac:dyDescent="0.25">
      <c r="A2687" t="s">
        <v>53</v>
      </c>
      <c r="B2687" t="s">
        <v>123</v>
      </c>
      <c r="C2687">
        <v>1300</v>
      </c>
      <c r="D2687" t="s">
        <v>342</v>
      </c>
      <c r="E2687">
        <v>24.15</v>
      </c>
      <c r="F2687">
        <v>13.69</v>
      </c>
      <c r="G2687">
        <v>10.52</v>
      </c>
      <c r="H2687">
        <v>24.21</v>
      </c>
      <c r="I2687" t="s">
        <v>344</v>
      </c>
      <c r="J2687">
        <v>98.91</v>
      </c>
      <c r="K2687">
        <v>0.44</v>
      </c>
      <c r="L2687" t="s">
        <v>346</v>
      </c>
      <c r="M2687" s="1">
        <v>4.4000000000000003E-3</v>
      </c>
      <c r="N2687" t="s">
        <v>349</v>
      </c>
      <c r="O2687">
        <v>2.2200000000000002</v>
      </c>
      <c r="P2687" t="s">
        <v>344</v>
      </c>
      <c r="Q2687">
        <v>-1.65</v>
      </c>
      <c r="R2687" t="s">
        <v>343</v>
      </c>
      <c r="S2687">
        <v>1</v>
      </c>
    </row>
    <row r="2688" spans="1:19" x14ac:dyDescent="0.25">
      <c r="A2688" t="s">
        <v>53</v>
      </c>
      <c r="B2688" t="s">
        <v>124</v>
      </c>
      <c r="C2688">
        <v>1320</v>
      </c>
      <c r="D2688" t="s">
        <v>342</v>
      </c>
      <c r="E2688">
        <v>24.15</v>
      </c>
      <c r="F2688">
        <v>13.86</v>
      </c>
      <c r="G2688">
        <v>12.13</v>
      </c>
      <c r="H2688">
        <v>26</v>
      </c>
      <c r="I2688" t="s">
        <v>344</v>
      </c>
      <c r="J2688">
        <v>99.21</v>
      </c>
      <c r="K2688">
        <v>1.49</v>
      </c>
      <c r="L2688" t="s">
        <v>346</v>
      </c>
      <c r="M2688" s="1">
        <v>1.49E-2</v>
      </c>
      <c r="N2688" t="s">
        <v>349</v>
      </c>
      <c r="O2688">
        <v>0.98</v>
      </c>
      <c r="P2688" t="s">
        <v>343</v>
      </c>
      <c r="Q2688">
        <v>-2</v>
      </c>
      <c r="R2688" t="s">
        <v>344</v>
      </c>
      <c r="S2688">
        <v>1</v>
      </c>
    </row>
    <row r="2689" spans="1:19" x14ac:dyDescent="0.25">
      <c r="A2689" t="s">
        <v>53</v>
      </c>
      <c r="B2689" t="s">
        <v>125</v>
      </c>
      <c r="C2689">
        <v>1340</v>
      </c>
      <c r="D2689" t="s">
        <v>342</v>
      </c>
      <c r="E2689">
        <v>24.15</v>
      </c>
      <c r="F2689">
        <v>12.74</v>
      </c>
      <c r="G2689">
        <v>12.81</v>
      </c>
      <c r="H2689">
        <v>25.55</v>
      </c>
      <c r="I2689" t="s">
        <v>344</v>
      </c>
      <c r="J2689">
        <v>99.55</v>
      </c>
      <c r="K2689">
        <v>1.72</v>
      </c>
      <c r="L2689" t="s">
        <v>346</v>
      </c>
      <c r="M2689" s="1">
        <v>1.72E-2</v>
      </c>
      <c r="N2689" t="s">
        <v>349</v>
      </c>
      <c r="O2689">
        <v>-0.3</v>
      </c>
      <c r="P2689" t="s">
        <v>343</v>
      </c>
      <c r="Q2689">
        <v>-0.14000000000000001</v>
      </c>
      <c r="R2689" t="s">
        <v>343</v>
      </c>
      <c r="S2689">
        <v>1</v>
      </c>
    </row>
    <row r="2690" spans="1:19" x14ac:dyDescent="0.25">
      <c r="A2690" t="s">
        <v>53</v>
      </c>
      <c r="B2690" t="s">
        <v>126</v>
      </c>
      <c r="C2690">
        <v>1360</v>
      </c>
      <c r="D2690" t="s">
        <v>342</v>
      </c>
      <c r="E2690">
        <v>24.15</v>
      </c>
      <c r="F2690">
        <v>12.41</v>
      </c>
      <c r="G2690">
        <v>13.08</v>
      </c>
      <c r="H2690">
        <v>25.5</v>
      </c>
      <c r="I2690" t="s">
        <v>344</v>
      </c>
      <c r="J2690">
        <v>99.73</v>
      </c>
      <c r="K2690">
        <v>0.86</v>
      </c>
      <c r="L2690" t="s">
        <v>346</v>
      </c>
      <c r="M2690" s="1">
        <v>8.6E-3</v>
      </c>
      <c r="N2690" t="s">
        <v>349</v>
      </c>
      <c r="O2690">
        <v>1.84</v>
      </c>
      <c r="P2690" t="s">
        <v>343</v>
      </c>
      <c r="Q2690">
        <v>0.55000000000000004</v>
      </c>
      <c r="R2690" t="s">
        <v>343</v>
      </c>
      <c r="S2690">
        <v>1</v>
      </c>
    </row>
    <row r="2691" spans="1:19" x14ac:dyDescent="0.25">
      <c r="A2691" t="s">
        <v>53</v>
      </c>
      <c r="B2691" t="s">
        <v>127</v>
      </c>
      <c r="C2691">
        <v>1380</v>
      </c>
      <c r="D2691" t="s">
        <v>342</v>
      </c>
      <c r="E2691">
        <v>24.15</v>
      </c>
      <c r="F2691">
        <v>11.36</v>
      </c>
      <c r="G2691">
        <v>12.92</v>
      </c>
      <c r="H2691">
        <v>24.28</v>
      </c>
      <c r="I2691" t="s">
        <v>344</v>
      </c>
      <c r="J2691">
        <v>99.49</v>
      </c>
      <c r="K2691">
        <v>-1.19</v>
      </c>
      <c r="L2691" t="s">
        <v>346</v>
      </c>
      <c r="M2691" s="1">
        <v>1.1900000000000001E-2</v>
      </c>
      <c r="N2691" t="s">
        <v>349</v>
      </c>
      <c r="O2691">
        <v>2.25</v>
      </c>
      <c r="P2691" t="s">
        <v>344</v>
      </c>
      <c r="Q2691">
        <v>0.28999999999999998</v>
      </c>
      <c r="R2691" t="s">
        <v>343</v>
      </c>
      <c r="S2691">
        <v>1</v>
      </c>
    </row>
    <row r="2692" spans="1:19" x14ac:dyDescent="0.25">
      <c r="A2692" t="s">
        <v>53</v>
      </c>
      <c r="B2692" t="s">
        <v>128</v>
      </c>
      <c r="C2692">
        <v>1400</v>
      </c>
      <c r="D2692" t="s">
        <v>342</v>
      </c>
      <c r="E2692">
        <v>24.15</v>
      </c>
      <c r="F2692">
        <v>11.56</v>
      </c>
      <c r="G2692">
        <v>12.94</v>
      </c>
      <c r="H2692">
        <v>24.5</v>
      </c>
      <c r="I2692" t="s">
        <v>344</v>
      </c>
      <c r="J2692">
        <v>99.11</v>
      </c>
      <c r="K2692">
        <v>-1.88</v>
      </c>
      <c r="L2692" t="s">
        <v>346</v>
      </c>
      <c r="M2692" s="1">
        <v>1.8800000000000001E-2</v>
      </c>
      <c r="N2692" t="s">
        <v>349</v>
      </c>
      <c r="O2692">
        <v>1.42</v>
      </c>
      <c r="P2692" t="s">
        <v>343</v>
      </c>
      <c r="Q2692">
        <v>-0.87</v>
      </c>
      <c r="R2692" t="s">
        <v>343</v>
      </c>
      <c r="S2692">
        <v>1</v>
      </c>
    </row>
    <row r="2693" spans="1:19" x14ac:dyDescent="0.25">
      <c r="A2693" t="s">
        <v>53</v>
      </c>
      <c r="B2693" t="s">
        <v>129</v>
      </c>
      <c r="C2693">
        <v>1420</v>
      </c>
      <c r="D2693" t="s">
        <v>342</v>
      </c>
      <c r="E2693">
        <v>24.15</v>
      </c>
      <c r="F2693">
        <v>11.67</v>
      </c>
      <c r="G2693">
        <v>13.78</v>
      </c>
      <c r="H2693">
        <v>25.45</v>
      </c>
      <c r="I2693" t="s">
        <v>344</v>
      </c>
      <c r="J2693">
        <v>98.93</v>
      </c>
      <c r="K2693">
        <v>-0.89</v>
      </c>
      <c r="L2693" t="s">
        <v>346</v>
      </c>
      <c r="M2693" s="1">
        <v>8.8999999999999999E-3</v>
      </c>
      <c r="N2693" t="s">
        <v>349</v>
      </c>
      <c r="O2693">
        <v>3.31</v>
      </c>
      <c r="P2693" t="s">
        <v>344</v>
      </c>
      <c r="Q2693">
        <v>0.99</v>
      </c>
      <c r="R2693" t="s">
        <v>343</v>
      </c>
      <c r="S2693">
        <v>1</v>
      </c>
    </row>
    <row r="2694" spans="1:19" x14ac:dyDescent="0.25">
      <c r="A2694" t="s">
        <v>53</v>
      </c>
      <c r="B2694" t="s">
        <v>130</v>
      </c>
      <c r="C2694">
        <v>1440</v>
      </c>
      <c r="D2694" t="s">
        <v>342</v>
      </c>
      <c r="E2694">
        <v>24.15</v>
      </c>
      <c r="F2694">
        <v>11.37</v>
      </c>
      <c r="G2694">
        <v>13.79</v>
      </c>
      <c r="H2694">
        <v>25.16</v>
      </c>
      <c r="I2694" t="s">
        <v>344</v>
      </c>
      <c r="J2694">
        <v>98.83</v>
      </c>
      <c r="K2694">
        <v>-0.54</v>
      </c>
      <c r="L2694" t="s">
        <v>346</v>
      </c>
      <c r="M2694" s="1">
        <v>5.4000000000000003E-3</v>
      </c>
      <c r="N2694" t="s">
        <v>349</v>
      </c>
      <c r="O2694">
        <v>4.7699999999999996</v>
      </c>
      <c r="P2694" t="s">
        <v>343</v>
      </c>
      <c r="Q2694">
        <v>2.59</v>
      </c>
      <c r="R2694" t="s">
        <v>344</v>
      </c>
      <c r="S2694">
        <v>1</v>
      </c>
    </row>
    <row r="2695" spans="1:19" x14ac:dyDescent="0.25">
      <c r="A2695" t="s">
        <v>53</v>
      </c>
      <c r="B2695" t="s">
        <v>131</v>
      </c>
      <c r="C2695">
        <v>1460</v>
      </c>
      <c r="D2695" t="s">
        <v>342</v>
      </c>
      <c r="E2695">
        <v>24.15</v>
      </c>
      <c r="F2695">
        <v>11.37</v>
      </c>
      <c r="G2695">
        <v>12.99</v>
      </c>
      <c r="H2695">
        <v>24.36</v>
      </c>
      <c r="I2695" t="s">
        <v>344</v>
      </c>
      <c r="J2695">
        <v>98.6</v>
      </c>
      <c r="K2695">
        <v>-1.1399999999999999</v>
      </c>
      <c r="L2695" t="s">
        <v>346</v>
      </c>
      <c r="M2695" s="1">
        <v>1.14E-2</v>
      </c>
      <c r="N2695" t="s">
        <v>349</v>
      </c>
      <c r="O2695">
        <v>3.46</v>
      </c>
      <c r="P2695" t="s">
        <v>344</v>
      </c>
      <c r="Q2695">
        <v>0.86</v>
      </c>
      <c r="R2695" t="s">
        <v>343</v>
      </c>
      <c r="S2695">
        <v>1</v>
      </c>
    </row>
    <row r="2696" spans="1:19" x14ac:dyDescent="0.25">
      <c r="A2696" t="s">
        <v>53</v>
      </c>
      <c r="B2696" t="s">
        <v>132</v>
      </c>
      <c r="C2696">
        <v>1480</v>
      </c>
      <c r="D2696" t="s">
        <v>342</v>
      </c>
      <c r="E2696">
        <v>24.15</v>
      </c>
      <c r="F2696">
        <v>11.05</v>
      </c>
      <c r="G2696">
        <v>12.7</v>
      </c>
      <c r="H2696">
        <v>23.75</v>
      </c>
      <c r="I2696" t="s">
        <v>343</v>
      </c>
      <c r="J2696">
        <v>98.57</v>
      </c>
      <c r="K2696">
        <v>-0.14000000000000001</v>
      </c>
      <c r="L2696" t="s">
        <v>346</v>
      </c>
      <c r="M2696" s="1">
        <v>1.4E-3</v>
      </c>
      <c r="N2696" t="s">
        <v>349</v>
      </c>
      <c r="O2696">
        <v>1.54</v>
      </c>
      <c r="P2696" t="s">
        <v>343</v>
      </c>
      <c r="Q2696">
        <v>0.9</v>
      </c>
      <c r="R2696" t="s">
        <v>343</v>
      </c>
      <c r="S2696">
        <v>1</v>
      </c>
    </row>
    <row r="2697" spans="1:19" x14ac:dyDescent="0.25">
      <c r="A2697" t="s">
        <v>53</v>
      </c>
      <c r="B2697" t="s">
        <v>133</v>
      </c>
      <c r="C2697">
        <v>1500</v>
      </c>
      <c r="D2697" t="s">
        <v>342</v>
      </c>
      <c r="E2697">
        <v>24.15</v>
      </c>
      <c r="F2697">
        <v>11.2</v>
      </c>
      <c r="G2697">
        <v>12.65</v>
      </c>
      <c r="H2697">
        <v>23.84</v>
      </c>
      <c r="I2697" t="s">
        <v>343</v>
      </c>
      <c r="J2697">
        <v>98.52</v>
      </c>
      <c r="K2697">
        <v>-0.24</v>
      </c>
      <c r="L2697" t="s">
        <v>346</v>
      </c>
      <c r="M2697" s="1">
        <v>2.3999999999999998E-3</v>
      </c>
      <c r="N2697" t="s">
        <v>349</v>
      </c>
      <c r="O2697">
        <v>0.14000000000000001</v>
      </c>
      <c r="P2697" t="s">
        <v>343</v>
      </c>
      <c r="Q2697">
        <v>-0.61</v>
      </c>
      <c r="R2697" t="s">
        <v>343</v>
      </c>
      <c r="S2697">
        <v>1</v>
      </c>
    </row>
    <row r="2698" spans="1:19" x14ac:dyDescent="0.25">
      <c r="A2698" t="s">
        <v>53</v>
      </c>
      <c r="B2698" t="s">
        <v>134</v>
      </c>
      <c r="C2698">
        <v>1520</v>
      </c>
      <c r="D2698" t="s">
        <v>342</v>
      </c>
      <c r="E2698">
        <v>24.15</v>
      </c>
      <c r="F2698">
        <v>11.88</v>
      </c>
      <c r="G2698">
        <v>12.74</v>
      </c>
      <c r="H2698">
        <v>24.62</v>
      </c>
      <c r="I2698" t="s">
        <v>344</v>
      </c>
      <c r="J2698">
        <v>98.66</v>
      </c>
      <c r="K2698">
        <v>0.67</v>
      </c>
      <c r="L2698" t="s">
        <v>346</v>
      </c>
      <c r="M2698" s="1">
        <v>6.7000000000000002E-3</v>
      </c>
      <c r="N2698" t="s">
        <v>349</v>
      </c>
      <c r="O2698">
        <v>2.86</v>
      </c>
      <c r="P2698" t="s">
        <v>344</v>
      </c>
      <c r="Q2698">
        <v>1.62</v>
      </c>
      <c r="R2698" t="s">
        <v>343</v>
      </c>
      <c r="S2698">
        <v>1</v>
      </c>
    </row>
    <row r="2699" spans="1:19" x14ac:dyDescent="0.25">
      <c r="A2699" t="s">
        <v>53</v>
      </c>
      <c r="B2699" t="s">
        <v>135</v>
      </c>
      <c r="C2699">
        <v>1540</v>
      </c>
      <c r="D2699" t="s">
        <v>342</v>
      </c>
      <c r="E2699">
        <v>24.15</v>
      </c>
      <c r="F2699">
        <v>11.5</v>
      </c>
      <c r="G2699">
        <v>12.21</v>
      </c>
      <c r="H2699">
        <v>23.7</v>
      </c>
      <c r="I2699" t="s">
        <v>343</v>
      </c>
      <c r="J2699">
        <v>98.56</v>
      </c>
      <c r="K2699">
        <v>-0.49</v>
      </c>
      <c r="L2699" t="s">
        <v>346</v>
      </c>
      <c r="M2699" s="1">
        <v>4.8999999999999998E-3</v>
      </c>
      <c r="N2699" t="s">
        <v>349</v>
      </c>
      <c r="O2699">
        <v>0.61</v>
      </c>
      <c r="P2699" t="s">
        <v>343</v>
      </c>
      <c r="Q2699">
        <v>1</v>
      </c>
      <c r="R2699" t="s">
        <v>343</v>
      </c>
      <c r="S2699">
        <v>1</v>
      </c>
    </row>
    <row r="2700" spans="1:19" x14ac:dyDescent="0.25">
      <c r="A2700" t="s">
        <v>53</v>
      </c>
      <c r="B2700" t="s">
        <v>136</v>
      </c>
      <c r="C2700">
        <v>1560</v>
      </c>
      <c r="D2700" t="s">
        <v>342</v>
      </c>
      <c r="E2700">
        <v>24.15</v>
      </c>
      <c r="F2700">
        <v>11.72</v>
      </c>
      <c r="G2700">
        <v>12.12</v>
      </c>
      <c r="H2700">
        <v>23.84</v>
      </c>
      <c r="I2700" t="s">
        <v>343</v>
      </c>
      <c r="J2700">
        <v>98.65</v>
      </c>
      <c r="K2700">
        <v>0.43</v>
      </c>
      <c r="L2700" t="s">
        <v>346</v>
      </c>
      <c r="M2700" s="1">
        <v>4.3E-3</v>
      </c>
      <c r="N2700" t="s">
        <v>349</v>
      </c>
      <c r="O2700">
        <v>1.94</v>
      </c>
      <c r="P2700" t="s">
        <v>343</v>
      </c>
      <c r="Q2700">
        <v>0.77</v>
      </c>
      <c r="R2700" t="s">
        <v>343</v>
      </c>
      <c r="S2700">
        <v>1</v>
      </c>
    </row>
    <row r="2701" spans="1:19" x14ac:dyDescent="0.25">
      <c r="A2701" t="s">
        <v>53</v>
      </c>
      <c r="B2701" t="s">
        <v>137</v>
      </c>
      <c r="C2701">
        <v>1580</v>
      </c>
      <c r="D2701" t="s">
        <v>342</v>
      </c>
      <c r="E2701">
        <v>24.15</v>
      </c>
      <c r="F2701">
        <v>11.71</v>
      </c>
      <c r="G2701">
        <v>11.99</v>
      </c>
      <c r="H2701">
        <v>23.7</v>
      </c>
      <c r="I2701" t="s">
        <v>343</v>
      </c>
      <c r="J2701">
        <v>98.3</v>
      </c>
      <c r="K2701">
        <v>-1.71</v>
      </c>
      <c r="L2701" t="s">
        <v>346</v>
      </c>
      <c r="M2701" s="1">
        <v>1.7100000000000001E-2</v>
      </c>
      <c r="N2701" t="s">
        <v>349</v>
      </c>
      <c r="O2701">
        <v>2.33</v>
      </c>
      <c r="P2701" t="s">
        <v>344</v>
      </c>
      <c r="Q2701">
        <v>-0.76</v>
      </c>
      <c r="R2701" t="s">
        <v>343</v>
      </c>
      <c r="S2701">
        <v>1</v>
      </c>
    </row>
    <row r="2702" spans="1:19" x14ac:dyDescent="0.25">
      <c r="A2702" t="s">
        <v>53</v>
      </c>
      <c r="B2702" t="s">
        <v>138</v>
      </c>
      <c r="C2702">
        <v>1600</v>
      </c>
      <c r="D2702" t="s">
        <v>342</v>
      </c>
      <c r="E2702">
        <v>24.15</v>
      </c>
      <c r="F2702">
        <v>11</v>
      </c>
      <c r="G2702">
        <v>11.19</v>
      </c>
      <c r="H2702">
        <v>22.18</v>
      </c>
      <c r="I2702" t="s">
        <v>343</v>
      </c>
      <c r="J2702">
        <v>97.91</v>
      </c>
      <c r="K2702">
        <v>-1.95</v>
      </c>
      <c r="L2702" t="s">
        <v>346</v>
      </c>
      <c r="M2702" s="1">
        <v>1.95E-2</v>
      </c>
      <c r="N2702" t="s">
        <v>349</v>
      </c>
      <c r="O2702">
        <v>3.06</v>
      </c>
      <c r="P2702" t="s">
        <v>344</v>
      </c>
      <c r="Q2702">
        <v>0.42</v>
      </c>
      <c r="R2702" t="s">
        <v>343</v>
      </c>
      <c r="S2702">
        <v>1</v>
      </c>
    </row>
    <row r="2703" spans="1:19" x14ac:dyDescent="0.25">
      <c r="A2703" t="s">
        <v>53</v>
      </c>
      <c r="B2703" t="s">
        <v>139</v>
      </c>
      <c r="C2703">
        <v>1620</v>
      </c>
      <c r="D2703" t="s">
        <v>342</v>
      </c>
      <c r="E2703">
        <v>24.15</v>
      </c>
      <c r="F2703">
        <v>10.93</v>
      </c>
      <c r="G2703">
        <v>11.09</v>
      </c>
      <c r="H2703">
        <v>22.02</v>
      </c>
      <c r="I2703" t="s">
        <v>343</v>
      </c>
      <c r="J2703">
        <v>97.7</v>
      </c>
      <c r="K2703">
        <v>-1.07</v>
      </c>
      <c r="L2703" t="s">
        <v>346</v>
      </c>
      <c r="M2703" s="1">
        <v>1.0699999999999999E-2</v>
      </c>
      <c r="N2703" t="s">
        <v>349</v>
      </c>
      <c r="O2703">
        <v>3.03</v>
      </c>
      <c r="P2703" t="s">
        <v>344</v>
      </c>
      <c r="Q2703">
        <v>-0.23</v>
      </c>
      <c r="R2703" t="s">
        <v>343</v>
      </c>
      <c r="S2703">
        <v>1</v>
      </c>
    </row>
    <row r="2704" spans="1:19" x14ac:dyDescent="0.25">
      <c r="A2704" t="s">
        <v>53</v>
      </c>
      <c r="B2704" t="s">
        <v>140</v>
      </c>
      <c r="C2704">
        <v>1640</v>
      </c>
      <c r="D2704" t="s">
        <v>342</v>
      </c>
      <c r="E2704">
        <v>24.15</v>
      </c>
      <c r="F2704">
        <v>12.34</v>
      </c>
      <c r="G2704">
        <v>11.16</v>
      </c>
      <c r="H2704">
        <v>23.5</v>
      </c>
      <c r="I2704" t="s">
        <v>343</v>
      </c>
      <c r="J2704">
        <v>97.52</v>
      </c>
      <c r="K2704">
        <v>-0.92</v>
      </c>
      <c r="L2704" t="s">
        <v>346</v>
      </c>
      <c r="M2704" s="1">
        <v>9.1999999999999998E-3</v>
      </c>
      <c r="N2704" t="s">
        <v>349</v>
      </c>
      <c r="O2704">
        <v>1.1299999999999999</v>
      </c>
      <c r="P2704" t="s">
        <v>343</v>
      </c>
      <c r="Q2704">
        <v>-1.52</v>
      </c>
      <c r="R2704" t="s">
        <v>343</v>
      </c>
      <c r="S2704">
        <v>1</v>
      </c>
    </row>
    <row r="2705" spans="1:19" x14ac:dyDescent="0.25">
      <c r="A2705" t="s">
        <v>53</v>
      </c>
      <c r="B2705" t="s">
        <v>141</v>
      </c>
      <c r="C2705">
        <v>1660</v>
      </c>
      <c r="D2705" t="s">
        <v>342</v>
      </c>
      <c r="E2705">
        <v>24.15</v>
      </c>
      <c r="F2705">
        <v>13.43</v>
      </c>
      <c r="G2705">
        <v>10.94</v>
      </c>
      <c r="H2705">
        <v>24.37</v>
      </c>
      <c r="I2705" t="s">
        <v>344</v>
      </c>
      <c r="J2705">
        <v>97.51</v>
      </c>
      <c r="K2705">
        <v>-0.05</v>
      </c>
      <c r="L2705" t="s">
        <v>346</v>
      </c>
      <c r="M2705" s="1">
        <v>5.0000000000000001E-4</v>
      </c>
      <c r="N2705" t="s">
        <v>349</v>
      </c>
      <c r="O2705">
        <v>-0.66</v>
      </c>
      <c r="P2705" t="s">
        <v>343</v>
      </c>
      <c r="Q2705">
        <v>0.28999999999999998</v>
      </c>
      <c r="R2705" t="s">
        <v>343</v>
      </c>
      <c r="S2705">
        <v>1</v>
      </c>
    </row>
    <row r="2706" spans="1:19" x14ac:dyDescent="0.25">
      <c r="A2706" t="s">
        <v>53</v>
      </c>
      <c r="B2706" t="s">
        <v>142</v>
      </c>
      <c r="C2706">
        <v>1680</v>
      </c>
      <c r="D2706" t="s">
        <v>342</v>
      </c>
      <c r="E2706">
        <v>24.15</v>
      </c>
      <c r="F2706">
        <v>14.48</v>
      </c>
      <c r="G2706">
        <v>10.25</v>
      </c>
      <c r="H2706">
        <v>24.73</v>
      </c>
      <c r="I2706" t="s">
        <v>344</v>
      </c>
      <c r="J2706">
        <v>97.25</v>
      </c>
      <c r="K2706">
        <v>-1.3</v>
      </c>
      <c r="L2706" t="s">
        <v>346</v>
      </c>
      <c r="M2706" s="1">
        <v>1.2999999999999999E-2</v>
      </c>
      <c r="N2706" t="s">
        <v>349</v>
      </c>
      <c r="O2706">
        <v>-2.0099999999999998</v>
      </c>
      <c r="P2706" t="s">
        <v>344</v>
      </c>
      <c r="Q2706">
        <v>-1.1000000000000001</v>
      </c>
      <c r="R2706" t="s">
        <v>343</v>
      </c>
      <c r="S2706">
        <v>1</v>
      </c>
    </row>
    <row r="2707" spans="1:19" x14ac:dyDescent="0.25">
      <c r="A2707" t="s">
        <v>53</v>
      </c>
      <c r="B2707" t="s">
        <v>143</v>
      </c>
      <c r="C2707">
        <v>1700</v>
      </c>
      <c r="D2707" t="s">
        <v>342</v>
      </c>
      <c r="E2707">
        <v>24.15</v>
      </c>
      <c r="F2707">
        <v>12.91</v>
      </c>
      <c r="G2707">
        <v>10.75</v>
      </c>
      <c r="H2707">
        <v>23.66</v>
      </c>
      <c r="I2707" t="s">
        <v>343</v>
      </c>
      <c r="J2707">
        <v>97.12</v>
      </c>
      <c r="K2707">
        <v>-0.64</v>
      </c>
      <c r="L2707" t="s">
        <v>346</v>
      </c>
      <c r="M2707" s="1">
        <v>6.4000000000000003E-3</v>
      </c>
      <c r="N2707" t="s">
        <v>349</v>
      </c>
      <c r="O2707">
        <v>-0.52</v>
      </c>
      <c r="P2707" t="s">
        <v>343</v>
      </c>
      <c r="Q2707">
        <v>-2.35</v>
      </c>
      <c r="R2707" t="s">
        <v>344</v>
      </c>
      <c r="S2707">
        <v>1</v>
      </c>
    </row>
    <row r="2708" spans="1:19" x14ac:dyDescent="0.25">
      <c r="A2708" t="s">
        <v>53</v>
      </c>
      <c r="B2708" t="s">
        <v>144</v>
      </c>
      <c r="C2708">
        <v>1720</v>
      </c>
      <c r="D2708" t="s">
        <v>342</v>
      </c>
      <c r="E2708">
        <v>24.15</v>
      </c>
      <c r="F2708">
        <v>13.89</v>
      </c>
      <c r="G2708">
        <v>10.75</v>
      </c>
      <c r="H2708">
        <v>24.64</v>
      </c>
      <c r="I2708" t="s">
        <v>344</v>
      </c>
      <c r="J2708">
        <v>96.57</v>
      </c>
      <c r="K2708">
        <v>-2.75</v>
      </c>
      <c r="L2708" t="s">
        <v>346</v>
      </c>
      <c r="M2708" s="1">
        <v>2.75E-2</v>
      </c>
      <c r="N2708" t="s">
        <v>350</v>
      </c>
      <c r="O2708">
        <v>-0.64</v>
      </c>
      <c r="P2708" t="s">
        <v>343</v>
      </c>
      <c r="Q2708">
        <v>-3.33</v>
      </c>
      <c r="R2708" t="s">
        <v>344</v>
      </c>
      <c r="S2708">
        <v>1</v>
      </c>
    </row>
    <row r="2709" spans="1:19" x14ac:dyDescent="0.25">
      <c r="A2709" t="s">
        <v>53</v>
      </c>
      <c r="B2709" t="s">
        <v>145</v>
      </c>
      <c r="C2709">
        <v>1740</v>
      </c>
      <c r="D2709" t="s">
        <v>342</v>
      </c>
      <c r="E2709">
        <v>24.15</v>
      </c>
      <c r="F2709">
        <v>11.98</v>
      </c>
      <c r="G2709">
        <v>10.5</v>
      </c>
      <c r="H2709">
        <v>22.48</v>
      </c>
      <c r="I2709" t="s">
        <v>343</v>
      </c>
      <c r="J2709">
        <v>95.98</v>
      </c>
      <c r="K2709">
        <v>-2.97</v>
      </c>
      <c r="L2709" t="s">
        <v>346</v>
      </c>
      <c r="M2709" s="1">
        <v>2.9700000000000001E-2</v>
      </c>
      <c r="N2709" t="s">
        <v>350</v>
      </c>
      <c r="O2709">
        <v>0.75</v>
      </c>
      <c r="P2709" t="s">
        <v>343</v>
      </c>
      <c r="Q2709">
        <v>2.67</v>
      </c>
      <c r="R2709" t="s">
        <v>344</v>
      </c>
      <c r="S2709">
        <v>1</v>
      </c>
    </row>
    <row r="2710" spans="1:19" x14ac:dyDescent="0.25">
      <c r="A2710" t="s">
        <v>53</v>
      </c>
      <c r="B2710" t="s">
        <v>146</v>
      </c>
      <c r="C2710">
        <v>1760</v>
      </c>
      <c r="D2710" t="s">
        <v>342</v>
      </c>
      <c r="E2710">
        <v>24.15</v>
      </c>
      <c r="F2710">
        <v>10.29</v>
      </c>
      <c r="G2710">
        <v>11.6</v>
      </c>
      <c r="H2710">
        <v>21.9</v>
      </c>
      <c r="I2710" t="s">
        <v>343</v>
      </c>
      <c r="J2710">
        <v>95.73</v>
      </c>
      <c r="K2710">
        <v>-1.25</v>
      </c>
      <c r="L2710" t="s">
        <v>346</v>
      </c>
      <c r="M2710" s="1">
        <v>1.2500000000000001E-2</v>
      </c>
      <c r="N2710" t="s">
        <v>349</v>
      </c>
      <c r="O2710">
        <v>2.72</v>
      </c>
      <c r="P2710" t="s">
        <v>344</v>
      </c>
      <c r="Q2710">
        <v>1.77</v>
      </c>
      <c r="R2710" t="s">
        <v>343</v>
      </c>
      <c r="S2710">
        <v>1</v>
      </c>
    </row>
    <row r="2711" spans="1:19" x14ac:dyDescent="0.25">
      <c r="A2711" t="s">
        <v>53</v>
      </c>
      <c r="B2711" t="s">
        <v>147</v>
      </c>
      <c r="C2711">
        <v>1780</v>
      </c>
      <c r="D2711" t="s">
        <v>342</v>
      </c>
      <c r="E2711">
        <v>24.15</v>
      </c>
      <c r="F2711">
        <v>9.57</v>
      </c>
      <c r="G2711">
        <v>11.6</v>
      </c>
      <c r="H2711">
        <v>21.17</v>
      </c>
      <c r="I2711" t="s">
        <v>343</v>
      </c>
      <c r="J2711">
        <v>95.36</v>
      </c>
      <c r="K2711">
        <v>-1.81</v>
      </c>
      <c r="L2711" t="s">
        <v>346</v>
      </c>
      <c r="M2711" s="1">
        <v>1.8100000000000002E-2</v>
      </c>
      <c r="N2711" t="s">
        <v>349</v>
      </c>
      <c r="O2711">
        <v>2.31</v>
      </c>
      <c r="P2711" t="s">
        <v>344</v>
      </c>
      <c r="Q2711">
        <v>-2.46</v>
      </c>
      <c r="R2711" t="s">
        <v>344</v>
      </c>
      <c r="S2711">
        <v>1</v>
      </c>
    </row>
    <row r="2712" spans="1:19" x14ac:dyDescent="0.25">
      <c r="A2712" t="s">
        <v>53</v>
      </c>
      <c r="B2712" t="s">
        <v>148</v>
      </c>
      <c r="C2712">
        <v>1800</v>
      </c>
      <c r="D2712" t="s">
        <v>342</v>
      </c>
      <c r="E2712">
        <v>24.15</v>
      </c>
      <c r="F2712">
        <v>9.56</v>
      </c>
      <c r="G2712">
        <v>12.97</v>
      </c>
      <c r="H2712">
        <v>22.53</v>
      </c>
      <c r="I2712" t="s">
        <v>343</v>
      </c>
      <c r="J2712">
        <v>95.37</v>
      </c>
      <c r="K2712">
        <v>0.04</v>
      </c>
      <c r="L2712" t="s">
        <v>346</v>
      </c>
      <c r="M2712" s="1">
        <v>4.0000000000000002E-4</v>
      </c>
      <c r="N2712" t="s">
        <v>349</v>
      </c>
      <c r="O2712">
        <v>-0.28999999999999998</v>
      </c>
      <c r="P2712" t="s">
        <v>343</v>
      </c>
      <c r="Q2712">
        <v>-2.81</v>
      </c>
      <c r="R2712" t="s">
        <v>344</v>
      </c>
      <c r="S2712">
        <v>1</v>
      </c>
    </row>
    <row r="2713" spans="1:19" x14ac:dyDescent="0.25">
      <c r="A2713" t="s">
        <v>53</v>
      </c>
      <c r="B2713" t="s">
        <v>149</v>
      </c>
      <c r="C2713">
        <v>1820</v>
      </c>
      <c r="D2713" t="s">
        <v>342</v>
      </c>
      <c r="E2713">
        <v>24.15</v>
      </c>
      <c r="F2713">
        <v>9.49</v>
      </c>
      <c r="G2713">
        <v>11.92</v>
      </c>
      <c r="H2713">
        <v>21.41</v>
      </c>
      <c r="I2713" t="s">
        <v>343</v>
      </c>
      <c r="J2713">
        <v>95.75</v>
      </c>
      <c r="K2713">
        <v>1.9</v>
      </c>
      <c r="L2713" t="s">
        <v>346</v>
      </c>
      <c r="M2713" s="1">
        <v>1.9E-2</v>
      </c>
      <c r="N2713" t="s">
        <v>349</v>
      </c>
      <c r="O2713">
        <v>0.68</v>
      </c>
      <c r="P2713" t="s">
        <v>343</v>
      </c>
      <c r="Q2713">
        <v>-0.24</v>
      </c>
      <c r="R2713" t="s">
        <v>343</v>
      </c>
      <c r="S2713">
        <v>1</v>
      </c>
    </row>
    <row r="2714" spans="1:19" x14ac:dyDescent="0.25">
      <c r="A2714" t="s">
        <v>53</v>
      </c>
      <c r="B2714" t="s">
        <v>150</v>
      </c>
      <c r="C2714">
        <v>1840</v>
      </c>
      <c r="D2714" t="s">
        <v>342</v>
      </c>
      <c r="E2714">
        <v>24.15</v>
      </c>
      <c r="F2714">
        <v>10.88</v>
      </c>
      <c r="G2714">
        <v>12.8</v>
      </c>
      <c r="H2714">
        <v>23.68</v>
      </c>
      <c r="I2714" t="s">
        <v>343</v>
      </c>
      <c r="J2714">
        <v>95.87</v>
      </c>
      <c r="K2714">
        <v>0.6</v>
      </c>
      <c r="L2714" t="s">
        <v>346</v>
      </c>
      <c r="M2714" s="1">
        <v>6.0000000000000001E-3</v>
      </c>
      <c r="N2714" t="s">
        <v>349</v>
      </c>
      <c r="O2714">
        <v>1.3</v>
      </c>
      <c r="P2714" t="s">
        <v>343</v>
      </c>
      <c r="Q2714">
        <v>0.19</v>
      </c>
      <c r="R2714" t="s">
        <v>343</v>
      </c>
      <c r="S2714">
        <v>1</v>
      </c>
    </row>
    <row r="2715" spans="1:19" x14ac:dyDescent="0.25">
      <c r="A2715" t="s">
        <v>53</v>
      </c>
      <c r="B2715" t="s">
        <v>151</v>
      </c>
      <c r="C2715">
        <v>1860</v>
      </c>
      <c r="D2715" t="s">
        <v>342</v>
      </c>
      <c r="E2715">
        <v>24.15</v>
      </c>
      <c r="F2715">
        <v>12.76</v>
      </c>
      <c r="G2715">
        <v>11.2</v>
      </c>
      <c r="H2715">
        <v>23.96</v>
      </c>
      <c r="I2715" t="s">
        <v>343</v>
      </c>
      <c r="J2715">
        <v>95.45</v>
      </c>
      <c r="K2715">
        <v>-2.09</v>
      </c>
      <c r="L2715" t="s">
        <v>346</v>
      </c>
      <c r="M2715" s="1">
        <v>2.0899999999999998E-2</v>
      </c>
      <c r="N2715" t="s">
        <v>350</v>
      </c>
      <c r="O2715">
        <v>2.82</v>
      </c>
      <c r="P2715" t="s">
        <v>344</v>
      </c>
      <c r="Q2715">
        <v>-0.68</v>
      </c>
      <c r="R2715" t="s">
        <v>343</v>
      </c>
      <c r="S2715">
        <v>1</v>
      </c>
    </row>
    <row r="2716" spans="1:19" x14ac:dyDescent="0.25">
      <c r="A2716" t="s">
        <v>53</v>
      </c>
      <c r="B2716" t="s">
        <v>152</v>
      </c>
      <c r="C2716">
        <v>1880</v>
      </c>
      <c r="D2716" t="s">
        <v>342</v>
      </c>
      <c r="E2716">
        <v>24.15</v>
      </c>
      <c r="F2716">
        <v>12.26</v>
      </c>
      <c r="G2716">
        <v>10.23</v>
      </c>
      <c r="H2716">
        <v>22.49</v>
      </c>
      <c r="I2716" t="s">
        <v>343</v>
      </c>
      <c r="J2716">
        <v>94.83</v>
      </c>
      <c r="K2716">
        <v>-3.13</v>
      </c>
      <c r="L2716" t="s">
        <v>346</v>
      </c>
      <c r="M2716" s="1">
        <v>3.1300000000000001E-2</v>
      </c>
      <c r="N2716" t="s">
        <v>350</v>
      </c>
      <c r="O2716">
        <v>2.08</v>
      </c>
      <c r="P2716" t="s">
        <v>344</v>
      </c>
      <c r="Q2716">
        <v>0.57999999999999996</v>
      </c>
      <c r="R2716" t="s">
        <v>343</v>
      </c>
      <c r="S2716">
        <v>1</v>
      </c>
    </row>
    <row r="2717" spans="1:19" x14ac:dyDescent="0.25">
      <c r="A2717" t="s">
        <v>53</v>
      </c>
      <c r="B2717" t="s">
        <v>153</v>
      </c>
      <c r="C2717">
        <v>1900</v>
      </c>
      <c r="D2717" t="s">
        <v>342</v>
      </c>
      <c r="E2717">
        <v>24.15</v>
      </c>
      <c r="F2717">
        <v>11.44</v>
      </c>
      <c r="G2717">
        <v>11.36</v>
      </c>
      <c r="H2717">
        <v>22.81</v>
      </c>
      <c r="I2717" t="s">
        <v>343</v>
      </c>
      <c r="J2717">
        <v>94.52</v>
      </c>
      <c r="K2717">
        <v>-1.52</v>
      </c>
      <c r="L2717" t="s">
        <v>346</v>
      </c>
      <c r="M2717" s="1">
        <v>1.52E-2</v>
      </c>
      <c r="N2717" t="s">
        <v>349</v>
      </c>
      <c r="O2717">
        <v>2.61</v>
      </c>
      <c r="P2717" t="s">
        <v>344</v>
      </c>
      <c r="Q2717">
        <v>0.53</v>
      </c>
      <c r="R2717" t="s">
        <v>343</v>
      </c>
      <c r="S2717">
        <v>1</v>
      </c>
    </row>
    <row r="2718" spans="1:19" x14ac:dyDescent="0.25">
      <c r="A2718" t="s">
        <v>53</v>
      </c>
      <c r="B2718" t="s">
        <v>154</v>
      </c>
      <c r="C2718">
        <v>1920</v>
      </c>
      <c r="D2718" t="s">
        <v>342</v>
      </c>
      <c r="E2718">
        <v>24.15</v>
      </c>
      <c r="F2718">
        <v>12.43</v>
      </c>
      <c r="G2718">
        <v>12.6</v>
      </c>
      <c r="H2718">
        <v>25.03</v>
      </c>
      <c r="I2718" t="s">
        <v>344</v>
      </c>
      <c r="J2718">
        <v>94.45</v>
      </c>
      <c r="K2718">
        <v>-0.38</v>
      </c>
      <c r="L2718" t="s">
        <v>346</v>
      </c>
      <c r="M2718" s="1">
        <v>3.8E-3</v>
      </c>
      <c r="N2718" t="s">
        <v>349</v>
      </c>
      <c r="O2718">
        <v>1.99</v>
      </c>
      <c r="P2718" t="s">
        <v>343</v>
      </c>
      <c r="Q2718">
        <v>-0.28000000000000003</v>
      </c>
      <c r="R2718" t="s">
        <v>343</v>
      </c>
      <c r="S2718">
        <v>1</v>
      </c>
    </row>
    <row r="2719" spans="1:19" x14ac:dyDescent="0.25">
      <c r="A2719" t="s">
        <v>53</v>
      </c>
      <c r="B2719" t="s">
        <v>155</v>
      </c>
      <c r="C2719">
        <v>1940</v>
      </c>
      <c r="D2719" t="s">
        <v>342</v>
      </c>
      <c r="E2719">
        <v>24.15</v>
      </c>
      <c r="F2719">
        <v>13.61</v>
      </c>
      <c r="G2719">
        <v>15.4</v>
      </c>
      <c r="H2719">
        <v>29.01</v>
      </c>
      <c r="I2719" t="s">
        <v>344</v>
      </c>
      <c r="J2719">
        <v>94.38</v>
      </c>
      <c r="K2719">
        <v>-0.34</v>
      </c>
      <c r="L2719" t="s">
        <v>346</v>
      </c>
      <c r="M2719" s="1">
        <v>3.3999999999999998E-3</v>
      </c>
      <c r="N2719" t="s">
        <v>349</v>
      </c>
      <c r="O2719">
        <v>0.35</v>
      </c>
      <c r="P2719" t="s">
        <v>343</v>
      </c>
      <c r="Q2719">
        <v>-0.53</v>
      </c>
      <c r="R2719" t="s">
        <v>343</v>
      </c>
      <c r="S2719">
        <v>1</v>
      </c>
    </row>
    <row r="2720" spans="1:19" x14ac:dyDescent="0.25">
      <c r="A2720" t="s">
        <v>53</v>
      </c>
      <c r="B2720" t="s">
        <v>156</v>
      </c>
      <c r="C2720">
        <v>1960</v>
      </c>
      <c r="D2720" t="s">
        <v>342</v>
      </c>
      <c r="E2720">
        <v>24.15</v>
      </c>
      <c r="F2720">
        <v>13.52</v>
      </c>
      <c r="G2720">
        <v>17.63</v>
      </c>
      <c r="H2720">
        <v>31.15</v>
      </c>
      <c r="I2720" t="s">
        <v>344</v>
      </c>
      <c r="J2720">
        <v>94.11</v>
      </c>
      <c r="K2720">
        <v>-1.32</v>
      </c>
      <c r="L2720" t="s">
        <v>346</v>
      </c>
      <c r="M2720" s="1">
        <v>1.32E-2</v>
      </c>
      <c r="N2720" t="s">
        <v>349</v>
      </c>
      <c r="O2720">
        <v>-0.76</v>
      </c>
      <c r="P2720" t="s">
        <v>343</v>
      </c>
      <c r="Q2720">
        <v>-2.64</v>
      </c>
      <c r="R2720" t="s">
        <v>344</v>
      </c>
      <c r="S2720">
        <v>1</v>
      </c>
    </row>
    <row r="2721" spans="1:19" x14ac:dyDescent="0.25">
      <c r="A2721" t="s">
        <v>53</v>
      </c>
      <c r="B2721" t="s">
        <v>157</v>
      </c>
      <c r="C2721">
        <v>1980</v>
      </c>
      <c r="D2721" t="s">
        <v>342</v>
      </c>
      <c r="E2721">
        <v>24.15</v>
      </c>
      <c r="F2721">
        <v>13.05</v>
      </c>
      <c r="G2721">
        <v>17.63</v>
      </c>
      <c r="H2721">
        <v>30.68</v>
      </c>
      <c r="I2721" t="s">
        <v>344</v>
      </c>
      <c r="J2721">
        <v>94.13</v>
      </c>
      <c r="K2721">
        <v>0.06</v>
      </c>
      <c r="L2721" t="s">
        <v>346</v>
      </c>
      <c r="M2721" s="1">
        <v>5.9999999999999995E-4</v>
      </c>
      <c r="N2721" t="s">
        <v>349</v>
      </c>
      <c r="O2721">
        <v>2.94</v>
      </c>
      <c r="P2721" t="s">
        <v>344</v>
      </c>
      <c r="Q2721">
        <v>-2.23</v>
      </c>
      <c r="R2721" t="s">
        <v>344</v>
      </c>
      <c r="S2721">
        <v>1</v>
      </c>
    </row>
    <row r="2722" spans="1:19" x14ac:dyDescent="0.25">
      <c r="A2722" t="s">
        <v>53</v>
      </c>
      <c r="B2722" t="s">
        <v>158</v>
      </c>
      <c r="C2722">
        <v>2000</v>
      </c>
      <c r="D2722" t="s">
        <v>342</v>
      </c>
      <c r="E2722">
        <v>24.15</v>
      </c>
      <c r="F2722">
        <v>15.65</v>
      </c>
      <c r="G2722">
        <v>20</v>
      </c>
      <c r="H2722">
        <v>35.65</v>
      </c>
      <c r="I2722" t="s">
        <v>344</v>
      </c>
      <c r="J2722">
        <v>94.37</v>
      </c>
      <c r="K2722">
        <v>1.22</v>
      </c>
      <c r="L2722" t="s">
        <v>346</v>
      </c>
      <c r="M2722" s="1">
        <v>1.2200000000000001E-2</v>
      </c>
      <c r="N2722" t="s">
        <v>349</v>
      </c>
      <c r="O2722">
        <v>1.5</v>
      </c>
      <c r="P2722" t="s">
        <v>343</v>
      </c>
      <c r="Q2722">
        <v>-5.13</v>
      </c>
      <c r="R2722" t="s">
        <v>343</v>
      </c>
      <c r="S2722">
        <v>1</v>
      </c>
    </row>
    <row r="2723" spans="1:19" x14ac:dyDescent="0.25">
      <c r="A2723" t="s">
        <v>53</v>
      </c>
      <c r="B2723" t="s">
        <v>159</v>
      </c>
      <c r="C2723">
        <v>2020</v>
      </c>
      <c r="D2723" t="s">
        <v>342</v>
      </c>
      <c r="E2723">
        <v>24.15</v>
      </c>
      <c r="F2723">
        <v>20</v>
      </c>
      <c r="G2723">
        <v>20</v>
      </c>
      <c r="H2723">
        <v>40</v>
      </c>
      <c r="I2723" t="s">
        <v>344</v>
      </c>
      <c r="J2723">
        <v>94.92</v>
      </c>
      <c r="K2723">
        <v>2.73</v>
      </c>
      <c r="L2723" t="s">
        <v>346</v>
      </c>
      <c r="M2723" s="1">
        <v>2.7300000000000001E-2</v>
      </c>
      <c r="N2723" t="s">
        <v>350</v>
      </c>
      <c r="O2723">
        <v>1.1599999999999999</v>
      </c>
      <c r="P2723" t="s">
        <v>343</v>
      </c>
      <c r="Q2723">
        <v>-3.38</v>
      </c>
      <c r="R2723" t="s">
        <v>344</v>
      </c>
      <c r="S2723">
        <v>1</v>
      </c>
    </row>
    <row r="2724" spans="1:19" x14ac:dyDescent="0.25">
      <c r="A2724" t="s">
        <v>53</v>
      </c>
      <c r="B2724" t="s">
        <v>335</v>
      </c>
      <c r="C2724">
        <v>2028.01</v>
      </c>
      <c r="D2724" t="s">
        <v>342</v>
      </c>
      <c r="E2724">
        <v>24.15</v>
      </c>
      <c r="F2724">
        <v>20</v>
      </c>
      <c r="G2724">
        <v>20</v>
      </c>
      <c r="H2724">
        <v>40</v>
      </c>
      <c r="I2724" t="s">
        <v>344</v>
      </c>
      <c r="J2724">
        <v>95.54</v>
      </c>
      <c r="K2724">
        <v>7.72</v>
      </c>
      <c r="L2724" t="s">
        <v>346</v>
      </c>
      <c r="M2724" s="1">
        <v>7.7199999999999991E-2</v>
      </c>
      <c r="N2724" t="s">
        <v>350</v>
      </c>
      <c r="O2724">
        <v>0.59</v>
      </c>
      <c r="P2724" t="s">
        <v>343</v>
      </c>
      <c r="Q2724">
        <v>-1.96</v>
      </c>
      <c r="R2724" t="s">
        <v>343</v>
      </c>
      <c r="S2724">
        <v>0</v>
      </c>
    </row>
    <row r="2725" spans="1:19" x14ac:dyDescent="0.25">
      <c r="A2725" t="s">
        <v>30</v>
      </c>
      <c r="B2725" t="s">
        <v>56</v>
      </c>
      <c r="C2725">
        <v>0</v>
      </c>
      <c r="D2725" t="s">
        <v>340</v>
      </c>
      <c r="E2725">
        <v>30.8</v>
      </c>
      <c r="F2725">
        <v>20</v>
      </c>
      <c r="G2725">
        <v>20</v>
      </c>
      <c r="H2725">
        <v>40</v>
      </c>
      <c r="I2725" t="s">
        <v>344</v>
      </c>
      <c r="J2725">
        <v>86.8</v>
      </c>
      <c r="L2725" t="s">
        <v>345</v>
      </c>
      <c r="N2725" t="s">
        <v>345</v>
      </c>
      <c r="O2725">
        <v>3.58</v>
      </c>
      <c r="P2725" t="s">
        <v>344</v>
      </c>
      <c r="Q2725">
        <v>-1.97</v>
      </c>
      <c r="R2725" t="s">
        <v>343</v>
      </c>
      <c r="S2725">
        <v>1</v>
      </c>
    </row>
    <row r="2726" spans="1:19" x14ac:dyDescent="0.25">
      <c r="A2726" t="s">
        <v>30</v>
      </c>
      <c r="B2726" t="s">
        <v>57</v>
      </c>
      <c r="C2726">
        <v>20</v>
      </c>
      <c r="D2726" t="s">
        <v>340</v>
      </c>
      <c r="E2726">
        <v>30.8</v>
      </c>
      <c r="F2726">
        <v>20</v>
      </c>
      <c r="G2726">
        <v>20</v>
      </c>
      <c r="H2726">
        <v>40</v>
      </c>
      <c r="I2726" t="s">
        <v>344</v>
      </c>
      <c r="J2726">
        <v>86.54</v>
      </c>
      <c r="K2726">
        <v>-1.3</v>
      </c>
      <c r="L2726" t="s">
        <v>346</v>
      </c>
      <c r="M2726" s="1">
        <v>1.2999999999999999E-2</v>
      </c>
      <c r="N2726" t="s">
        <v>349</v>
      </c>
      <c r="O2726">
        <v>3.07</v>
      </c>
      <c r="P2726" t="s">
        <v>344</v>
      </c>
      <c r="Q2726">
        <v>-4.05</v>
      </c>
      <c r="R2726" t="s">
        <v>343</v>
      </c>
      <c r="S2726">
        <v>1</v>
      </c>
    </row>
    <row r="2727" spans="1:19" x14ac:dyDescent="0.25">
      <c r="A2727" t="s">
        <v>30</v>
      </c>
      <c r="B2727" t="s">
        <v>58</v>
      </c>
      <c r="C2727">
        <v>40</v>
      </c>
      <c r="D2727" t="s">
        <v>340</v>
      </c>
      <c r="E2727">
        <v>30.8</v>
      </c>
      <c r="F2727">
        <v>15.03</v>
      </c>
      <c r="G2727">
        <v>17.28</v>
      </c>
      <c r="H2727">
        <v>32.31</v>
      </c>
      <c r="I2727" t="s">
        <v>344</v>
      </c>
      <c r="J2727">
        <v>85.6</v>
      </c>
      <c r="K2727">
        <v>-4.74</v>
      </c>
      <c r="L2727" t="s">
        <v>346</v>
      </c>
      <c r="M2727" s="1">
        <v>4.7399999999999998E-2</v>
      </c>
      <c r="N2727" t="s">
        <v>350</v>
      </c>
      <c r="O2727">
        <v>3.9</v>
      </c>
      <c r="P2727" t="s">
        <v>344</v>
      </c>
      <c r="Q2727">
        <v>-5.0199999999999996</v>
      </c>
      <c r="R2727" t="s">
        <v>343</v>
      </c>
      <c r="S2727">
        <v>1</v>
      </c>
    </row>
    <row r="2728" spans="1:19" x14ac:dyDescent="0.25">
      <c r="A2728" t="s">
        <v>30</v>
      </c>
      <c r="B2728" t="s">
        <v>59</v>
      </c>
      <c r="C2728">
        <v>60</v>
      </c>
      <c r="D2728" t="s">
        <v>340</v>
      </c>
      <c r="E2728">
        <v>30.8</v>
      </c>
      <c r="F2728">
        <v>15.29</v>
      </c>
      <c r="G2728">
        <v>16.27</v>
      </c>
      <c r="H2728">
        <v>31.56</v>
      </c>
      <c r="I2728" t="s">
        <v>344</v>
      </c>
      <c r="J2728">
        <v>84.59</v>
      </c>
      <c r="K2728">
        <v>-5.0599999999999996</v>
      </c>
      <c r="L2728" t="s">
        <v>346</v>
      </c>
      <c r="M2728" s="1">
        <v>5.0599999999999999E-2</v>
      </c>
      <c r="N2728" t="s">
        <v>350</v>
      </c>
      <c r="O2728">
        <v>3.97</v>
      </c>
      <c r="P2728" t="s">
        <v>344</v>
      </c>
      <c r="Q2728">
        <v>-3.4</v>
      </c>
      <c r="R2728" t="s">
        <v>344</v>
      </c>
      <c r="S2728">
        <v>1</v>
      </c>
    </row>
    <row r="2729" spans="1:19" x14ac:dyDescent="0.25">
      <c r="A2729" t="s">
        <v>30</v>
      </c>
      <c r="B2729" t="s">
        <v>60</v>
      </c>
      <c r="C2729">
        <v>80</v>
      </c>
      <c r="D2729" t="s">
        <v>340</v>
      </c>
      <c r="E2729">
        <v>30.8</v>
      </c>
      <c r="F2729">
        <v>13.86</v>
      </c>
      <c r="G2729">
        <v>16.23</v>
      </c>
      <c r="H2729">
        <v>30.09</v>
      </c>
      <c r="I2729" t="s">
        <v>343</v>
      </c>
      <c r="J2729">
        <v>83.3</v>
      </c>
      <c r="K2729">
        <v>-6.41</v>
      </c>
      <c r="L2729" t="s">
        <v>346</v>
      </c>
      <c r="M2729" s="1">
        <v>6.4100000000000004E-2</v>
      </c>
      <c r="N2729" t="s">
        <v>350</v>
      </c>
      <c r="O2729">
        <v>2.15</v>
      </c>
      <c r="P2729" t="s">
        <v>344</v>
      </c>
      <c r="Q2729">
        <v>-0.14000000000000001</v>
      </c>
      <c r="R2729" t="s">
        <v>343</v>
      </c>
      <c r="S2729">
        <v>1</v>
      </c>
    </row>
    <row r="2730" spans="1:19" x14ac:dyDescent="0.25">
      <c r="A2730" t="s">
        <v>30</v>
      </c>
      <c r="B2730" t="s">
        <v>61</v>
      </c>
      <c r="C2730">
        <v>100</v>
      </c>
      <c r="D2730" t="s">
        <v>340</v>
      </c>
      <c r="E2730">
        <v>30.8</v>
      </c>
      <c r="F2730">
        <v>13.68</v>
      </c>
      <c r="G2730">
        <v>15.44</v>
      </c>
      <c r="H2730">
        <v>29.12</v>
      </c>
      <c r="I2730" t="s">
        <v>343</v>
      </c>
      <c r="J2730">
        <v>81.8</v>
      </c>
      <c r="K2730">
        <v>-7.51</v>
      </c>
      <c r="L2730" t="s">
        <v>346</v>
      </c>
      <c r="M2730" s="1">
        <v>7.51E-2</v>
      </c>
      <c r="N2730" t="s">
        <v>350</v>
      </c>
      <c r="O2730">
        <v>3.03</v>
      </c>
      <c r="P2730" t="s">
        <v>344</v>
      </c>
      <c r="Q2730">
        <v>-0.7</v>
      </c>
      <c r="R2730" t="s">
        <v>343</v>
      </c>
      <c r="S2730">
        <v>1</v>
      </c>
    </row>
    <row r="2731" spans="1:19" x14ac:dyDescent="0.25">
      <c r="A2731" t="s">
        <v>30</v>
      </c>
      <c r="B2731" t="s">
        <v>62</v>
      </c>
      <c r="C2731">
        <v>120</v>
      </c>
      <c r="D2731" t="s">
        <v>340</v>
      </c>
      <c r="E2731">
        <v>30.8</v>
      </c>
      <c r="F2731">
        <v>12.66</v>
      </c>
      <c r="G2731">
        <v>14.9</v>
      </c>
      <c r="H2731">
        <v>27.57</v>
      </c>
      <c r="I2731" t="s">
        <v>343</v>
      </c>
      <c r="J2731">
        <v>80.319999999999993</v>
      </c>
      <c r="K2731">
        <v>-7.42</v>
      </c>
      <c r="L2731" t="s">
        <v>346</v>
      </c>
      <c r="M2731" s="1">
        <v>7.4200000000000002E-2</v>
      </c>
      <c r="N2731" t="s">
        <v>350</v>
      </c>
      <c r="O2731">
        <v>1.91</v>
      </c>
      <c r="P2731" t="s">
        <v>343</v>
      </c>
      <c r="Q2731">
        <v>-2.72</v>
      </c>
      <c r="R2731" t="s">
        <v>344</v>
      </c>
      <c r="S2731">
        <v>1</v>
      </c>
    </row>
    <row r="2732" spans="1:19" x14ac:dyDescent="0.25">
      <c r="A2732" t="s">
        <v>30</v>
      </c>
      <c r="B2732" t="s">
        <v>63</v>
      </c>
      <c r="C2732">
        <v>140</v>
      </c>
      <c r="D2732" t="s">
        <v>340</v>
      </c>
      <c r="E2732">
        <v>30.8</v>
      </c>
      <c r="F2732">
        <v>12.07</v>
      </c>
      <c r="G2732">
        <v>14.67</v>
      </c>
      <c r="H2732">
        <v>26.74</v>
      </c>
      <c r="I2732" t="s">
        <v>343</v>
      </c>
      <c r="J2732">
        <v>78.989999999999995</v>
      </c>
      <c r="K2732">
        <v>-6.64</v>
      </c>
      <c r="L2732" t="s">
        <v>346</v>
      </c>
      <c r="M2732" s="1">
        <v>6.6400000000000001E-2</v>
      </c>
      <c r="N2732" t="s">
        <v>350</v>
      </c>
      <c r="O2732">
        <v>2.84</v>
      </c>
      <c r="P2732" t="s">
        <v>344</v>
      </c>
      <c r="Q2732">
        <v>-2.4700000000000002</v>
      </c>
      <c r="R2732" t="s">
        <v>344</v>
      </c>
      <c r="S2732">
        <v>1</v>
      </c>
    </row>
    <row r="2733" spans="1:19" x14ac:dyDescent="0.25">
      <c r="A2733" t="s">
        <v>30</v>
      </c>
      <c r="B2733" t="s">
        <v>64</v>
      </c>
      <c r="C2733">
        <v>160</v>
      </c>
      <c r="D2733" t="s">
        <v>340</v>
      </c>
      <c r="E2733">
        <v>30.8</v>
      </c>
      <c r="F2733">
        <v>11.89</v>
      </c>
      <c r="G2733">
        <v>14.72</v>
      </c>
      <c r="H2733">
        <v>26.61</v>
      </c>
      <c r="I2733" t="s">
        <v>343</v>
      </c>
      <c r="J2733">
        <v>77.52</v>
      </c>
      <c r="K2733">
        <v>-7.37</v>
      </c>
      <c r="L2733" t="s">
        <v>346</v>
      </c>
      <c r="M2733" s="1">
        <v>7.3700000000000002E-2</v>
      </c>
      <c r="N2733" t="s">
        <v>350</v>
      </c>
      <c r="O2733">
        <v>1.37</v>
      </c>
      <c r="P2733" t="s">
        <v>343</v>
      </c>
      <c r="Q2733">
        <v>-2.54</v>
      </c>
      <c r="R2733" t="s">
        <v>344</v>
      </c>
      <c r="S2733">
        <v>1</v>
      </c>
    </row>
    <row r="2734" spans="1:19" x14ac:dyDescent="0.25">
      <c r="A2734" t="s">
        <v>30</v>
      </c>
      <c r="B2734" t="s">
        <v>65</v>
      </c>
      <c r="C2734">
        <v>180</v>
      </c>
      <c r="D2734" t="s">
        <v>340</v>
      </c>
      <c r="E2734">
        <v>30.8</v>
      </c>
      <c r="F2734">
        <v>12.55</v>
      </c>
      <c r="G2734">
        <v>15.05</v>
      </c>
      <c r="H2734">
        <v>27.6</v>
      </c>
      <c r="I2734" t="s">
        <v>343</v>
      </c>
      <c r="J2734">
        <v>75.989999999999995</v>
      </c>
      <c r="K2734">
        <v>-7.62</v>
      </c>
      <c r="L2734" t="s">
        <v>346</v>
      </c>
      <c r="M2734" s="1">
        <v>7.6200000000000004E-2</v>
      </c>
      <c r="N2734" t="s">
        <v>350</v>
      </c>
      <c r="O2734">
        <v>3</v>
      </c>
      <c r="P2734" t="s">
        <v>344</v>
      </c>
      <c r="Q2734">
        <v>-2.36</v>
      </c>
      <c r="R2734" t="s">
        <v>344</v>
      </c>
      <c r="S2734">
        <v>1</v>
      </c>
    </row>
    <row r="2735" spans="1:19" x14ac:dyDescent="0.25">
      <c r="A2735" t="s">
        <v>30</v>
      </c>
      <c r="B2735" t="s">
        <v>66</v>
      </c>
      <c r="C2735">
        <v>200</v>
      </c>
      <c r="D2735" t="s">
        <v>340</v>
      </c>
      <c r="E2735">
        <v>30.8</v>
      </c>
      <c r="F2735">
        <v>13.74</v>
      </c>
      <c r="G2735">
        <v>15.67</v>
      </c>
      <c r="H2735">
        <v>29.41</v>
      </c>
      <c r="I2735" t="s">
        <v>343</v>
      </c>
      <c r="J2735">
        <v>74.64</v>
      </c>
      <c r="K2735">
        <v>-6.76</v>
      </c>
      <c r="L2735" t="s">
        <v>346</v>
      </c>
      <c r="M2735" s="1">
        <v>6.7599999999999993E-2</v>
      </c>
      <c r="N2735" t="s">
        <v>350</v>
      </c>
      <c r="O2735">
        <v>3.61</v>
      </c>
      <c r="P2735" t="s">
        <v>344</v>
      </c>
      <c r="Q2735">
        <v>-2.74</v>
      </c>
      <c r="R2735" t="s">
        <v>344</v>
      </c>
      <c r="S2735">
        <v>1</v>
      </c>
    </row>
    <row r="2736" spans="1:19" x14ac:dyDescent="0.25">
      <c r="A2736" t="s">
        <v>30</v>
      </c>
      <c r="B2736" t="s">
        <v>67</v>
      </c>
      <c r="C2736">
        <v>220</v>
      </c>
      <c r="D2736" t="s">
        <v>340</v>
      </c>
      <c r="E2736">
        <v>30.8</v>
      </c>
      <c r="F2736">
        <v>14.03</v>
      </c>
      <c r="G2736">
        <v>16.12</v>
      </c>
      <c r="H2736">
        <v>30.16</v>
      </c>
      <c r="I2736" t="s">
        <v>343</v>
      </c>
      <c r="J2736">
        <v>73.08</v>
      </c>
      <c r="K2736">
        <v>-7.82</v>
      </c>
      <c r="L2736" t="s">
        <v>346</v>
      </c>
      <c r="M2736" s="1">
        <v>7.8200000000000006E-2</v>
      </c>
      <c r="N2736" t="s">
        <v>350</v>
      </c>
      <c r="O2736">
        <v>2.65</v>
      </c>
      <c r="P2736" t="s">
        <v>344</v>
      </c>
      <c r="Q2736">
        <v>-3.96</v>
      </c>
      <c r="R2736" t="s">
        <v>344</v>
      </c>
      <c r="S2736">
        <v>1</v>
      </c>
    </row>
    <row r="2737" spans="1:19" x14ac:dyDescent="0.25">
      <c r="A2737" t="s">
        <v>30</v>
      </c>
      <c r="B2737" t="s">
        <v>68</v>
      </c>
      <c r="C2737">
        <v>240</v>
      </c>
      <c r="D2737" t="s">
        <v>340</v>
      </c>
      <c r="E2737">
        <v>30.8</v>
      </c>
      <c r="F2737">
        <v>14.75</v>
      </c>
      <c r="G2737">
        <v>15.39</v>
      </c>
      <c r="H2737">
        <v>30.14</v>
      </c>
      <c r="I2737" t="s">
        <v>343</v>
      </c>
      <c r="J2737">
        <v>71.64</v>
      </c>
      <c r="K2737">
        <v>-7.18</v>
      </c>
      <c r="L2737" t="s">
        <v>346</v>
      </c>
      <c r="M2737" s="1">
        <v>7.1800000000000003E-2</v>
      </c>
      <c r="N2737" t="s">
        <v>350</v>
      </c>
      <c r="O2737">
        <v>1.95</v>
      </c>
      <c r="P2737" t="s">
        <v>343</v>
      </c>
      <c r="Q2737">
        <v>-3.49</v>
      </c>
      <c r="R2737" t="s">
        <v>344</v>
      </c>
      <c r="S2737">
        <v>1</v>
      </c>
    </row>
    <row r="2738" spans="1:19" x14ac:dyDescent="0.25">
      <c r="A2738" t="s">
        <v>30</v>
      </c>
      <c r="B2738" t="s">
        <v>69</v>
      </c>
      <c r="C2738">
        <v>260</v>
      </c>
      <c r="D2738" t="s">
        <v>340</v>
      </c>
      <c r="E2738">
        <v>30.8</v>
      </c>
      <c r="F2738">
        <v>14.39</v>
      </c>
      <c r="G2738">
        <v>15.51</v>
      </c>
      <c r="H2738">
        <v>29.89</v>
      </c>
      <c r="I2738" t="s">
        <v>343</v>
      </c>
      <c r="J2738">
        <v>70.260000000000005</v>
      </c>
      <c r="K2738">
        <v>-6.91</v>
      </c>
      <c r="L2738" t="s">
        <v>346</v>
      </c>
      <c r="M2738" s="1">
        <v>6.9099999999999995E-2</v>
      </c>
      <c r="N2738" t="s">
        <v>350</v>
      </c>
      <c r="O2738">
        <v>2.52</v>
      </c>
      <c r="P2738" t="s">
        <v>344</v>
      </c>
      <c r="Q2738">
        <v>-2.44</v>
      </c>
      <c r="R2738" t="s">
        <v>344</v>
      </c>
      <c r="S2738">
        <v>1</v>
      </c>
    </row>
    <row r="2739" spans="1:19" x14ac:dyDescent="0.25">
      <c r="A2739" t="s">
        <v>30</v>
      </c>
      <c r="B2739" t="s">
        <v>70</v>
      </c>
      <c r="C2739">
        <v>280</v>
      </c>
      <c r="D2739" t="s">
        <v>340</v>
      </c>
      <c r="E2739">
        <v>30.8</v>
      </c>
      <c r="F2739">
        <v>14.75</v>
      </c>
      <c r="G2739">
        <v>15.27</v>
      </c>
      <c r="H2739">
        <v>30.02</v>
      </c>
      <c r="I2739" t="s">
        <v>343</v>
      </c>
      <c r="J2739">
        <v>68.790000000000006</v>
      </c>
      <c r="K2739">
        <v>-7.36</v>
      </c>
      <c r="L2739" t="s">
        <v>346</v>
      </c>
      <c r="M2739" s="1">
        <v>7.3599999999999999E-2</v>
      </c>
      <c r="N2739" t="s">
        <v>350</v>
      </c>
      <c r="O2739">
        <v>1.32</v>
      </c>
      <c r="P2739" t="s">
        <v>343</v>
      </c>
      <c r="Q2739">
        <v>-0.28000000000000003</v>
      </c>
      <c r="R2739" t="s">
        <v>343</v>
      </c>
      <c r="S2739">
        <v>1</v>
      </c>
    </row>
    <row r="2740" spans="1:19" x14ac:dyDescent="0.25">
      <c r="A2740" t="s">
        <v>30</v>
      </c>
      <c r="B2740" t="s">
        <v>71</v>
      </c>
      <c r="C2740">
        <v>300</v>
      </c>
      <c r="D2740" t="s">
        <v>340</v>
      </c>
      <c r="E2740">
        <v>30.8</v>
      </c>
      <c r="F2740">
        <v>14.12</v>
      </c>
      <c r="G2740">
        <v>15.6</v>
      </c>
      <c r="H2740">
        <v>29.72</v>
      </c>
      <c r="I2740" t="s">
        <v>343</v>
      </c>
      <c r="J2740">
        <v>67.209999999999994</v>
      </c>
      <c r="K2740">
        <v>-7.88</v>
      </c>
      <c r="L2740" t="s">
        <v>346</v>
      </c>
      <c r="M2740" s="1">
        <v>7.8799999999999995E-2</v>
      </c>
      <c r="N2740" t="s">
        <v>350</v>
      </c>
      <c r="O2740">
        <v>0.67</v>
      </c>
      <c r="P2740" t="s">
        <v>343</v>
      </c>
      <c r="Q2740">
        <v>-0.73</v>
      </c>
      <c r="R2740" t="s">
        <v>343</v>
      </c>
      <c r="S2740">
        <v>1</v>
      </c>
    </row>
    <row r="2741" spans="1:19" x14ac:dyDescent="0.25">
      <c r="A2741" t="s">
        <v>30</v>
      </c>
      <c r="B2741" t="s">
        <v>72</v>
      </c>
      <c r="C2741">
        <v>320</v>
      </c>
      <c r="D2741" t="s">
        <v>340</v>
      </c>
      <c r="E2741">
        <v>30.8</v>
      </c>
      <c r="F2741">
        <v>14.18</v>
      </c>
      <c r="G2741">
        <v>15.27</v>
      </c>
      <c r="H2741">
        <v>29.45</v>
      </c>
      <c r="I2741" t="s">
        <v>343</v>
      </c>
      <c r="J2741">
        <v>65.78</v>
      </c>
      <c r="K2741">
        <v>-7.15</v>
      </c>
      <c r="L2741" t="s">
        <v>346</v>
      </c>
      <c r="M2741" s="1">
        <v>7.1500000000000008E-2</v>
      </c>
      <c r="N2741" t="s">
        <v>350</v>
      </c>
      <c r="O2741">
        <v>1.7</v>
      </c>
      <c r="P2741" t="s">
        <v>343</v>
      </c>
      <c r="Q2741">
        <v>-1.77</v>
      </c>
      <c r="R2741" t="s">
        <v>343</v>
      </c>
      <c r="S2741">
        <v>1</v>
      </c>
    </row>
    <row r="2742" spans="1:19" x14ac:dyDescent="0.25">
      <c r="A2742" t="s">
        <v>30</v>
      </c>
      <c r="B2742" t="s">
        <v>73</v>
      </c>
      <c r="C2742">
        <v>340</v>
      </c>
      <c r="D2742" t="s">
        <v>340</v>
      </c>
      <c r="E2742">
        <v>30.8</v>
      </c>
      <c r="F2742">
        <v>14.48</v>
      </c>
      <c r="G2742">
        <v>15.51</v>
      </c>
      <c r="H2742">
        <v>29.99</v>
      </c>
      <c r="I2742" t="s">
        <v>343</v>
      </c>
      <c r="J2742">
        <v>64.38</v>
      </c>
      <c r="K2742">
        <v>-7.01</v>
      </c>
      <c r="L2742" t="s">
        <v>346</v>
      </c>
      <c r="M2742" s="1">
        <v>7.0099999999999996E-2</v>
      </c>
      <c r="N2742" t="s">
        <v>350</v>
      </c>
      <c r="O2742">
        <v>1.76</v>
      </c>
      <c r="P2742" t="s">
        <v>343</v>
      </c>
      <c r="Q2742">
        <v>-1.36</v>
      </c>
      <c r="R2742" t="s">
        <v>343</v>
      </c>
      <c r="S2742">
        <v>1</v>
      </c>
    </row>
    <row r="2743" spans="1:19" x14ac:dyDescent="0.25">
      <c r="A2743" t="s">
        <v>30</v>
      </c>
      <c r="B2743" t="s">
        <v>74</v>
      </c>
      <c r="C2743">
        <v>360</v>
      </c>
      <c r="D2743" t="s">
        <v>340</v>
      </c>
      <c r="E2743">
        <v>30.8</v>
      </c>
      <c r="F2743">
        <v>14.22</v>
      </c>
      <c r="G2743">
        <v>15.79</v>
      </c>
      <c r="H2743">
        <v>30.01</v>
      </c>
      <c r="I2743" t="s">
        <v>343</v>
      </c>
      <c r="J2743">
        <v>62.86</v>
      </c>
      <c r="K2743">
        <v>-7.59</v>
      </c>
      <c r="L2743" t="s">
        <v>346</v>
      </c>
      <c r="M2743" s="1">
        <v>7.5899999999999995E-2</v>
      </c>
      <c r="N2743" t="s">
        <v>350</v>
      </c>
      <c r="O2743">
        <v>1.27</v>
      </c>
      <c r="P2743" t="s">
        <v>343</v>
      </c>
      <c r="Q2743">
        <v>-1.31</v>
      </c>
      <c r="R2743" t="s">
        <v>343</v>
      </c>
      <c r="S2743">
        <v>1</v>
      </c>
    </row>
    <row r="2744" spans="1:19" x14ac:dyDescent="0.25">
      <c r="A2744" t="s">
        <v>30</v>
      </c>
      <c r="B2744" t="s">
        <v>75</v>
      </c>
      <c r="C2744">
        <v>380</v>
      </c>
      <c r="D2744" t="s">
        <v>340</v>
      </c>
      <c r="E2744">
        <v>30.8</v>
      </c>
      <c r="F2744">
        <v>14.15</v>
      </c>
      <c r="G2744">
        <v>16.47</v>
      </c>
      <c r="H2744">
        <v>30.63</v>
      </c>
      <c r="I2744" t="s">
        <v>343</v>
      </c>
      <c r="J2744">
        <v>61.58</v>
      </c>
      <c r="K2744">
        <v>-6.39</v>
      </c>
      <c r="L2744" t="s">
        <v>346</v>
      </c>
      <c r="M2744" s="1">
        <v>6.3899999999999998E-2</v>
      </c>
      <c r="N2744" t="s">
        <v>350</v>
      </c>
      <c r="O2744">
        <v>0.98</v>
      </c>
      <c r="P2744" t="s">
        <v>343</v>
      </c>
      <c r="Q2744">
        <v>-0.5</v>
      </c>
      <c r="R2744" t="s">
        <v>343</v>
      </c>
      <c r="S2744">
        <v>1</v>
      </c>
    </row>
    <row r="2745" spans="1:19" x14ac:dyDescent="0.25">
      <c r="A2745" t="s">
        <v>30</v>
      </c>
      <c r="B2745" t="s">
        <v>76</v>
      </c>
      <c r="C2745">
        <v>400</v>
      </c>
      <c r="D2745" t="s">
        <v>340</v>
      </c>
      <c r="E2745">
        <v>30.8</v>
      </c>
      <c r="F2745">
        <v>13.98</v>
      </c>
      <c r="G2745">
        <v>16.440000000000001</v>
      </c>
      <c r="H2745">
        <v>30.42</v>
      </c>
      <c r="I2745" t="s">
        <v>343</v>
      </c>
      <c r="J2745">
        <v>60.34</v>
      </c>
      <c r="K2745">
        <v>-6.19</v>
      </c>
      <c r="L2745" t="s">
        <v>346</v>
      </c>
      <c r="M2745" s="1">
        <v>6.1899999999999997E-2</v>
      </c>
      <c r="N2745" t="s">
        <v>350</v>
      </c>
      <c r="O2745">
        <v>2.0099999999999998</v>
      </c>
      <c r="P2745" t="s">
        <v>344</v>
      </c>
      <c r="Q2745">
        <v>-1.89</v>
      </c>
      <c r="R2745" t="s">
        <v>343</v>
      </c>
      <c r="S2745">
        <v>1</v>
      </c>
    </row>
    <row r="2746" spans="1:19" x14ac:dyDescent="0.25">
      <c r="A2746" t="s">
        <v>30</v>
      </c>
      <c r="B2746" t="s">
        <v>77</v>
      </c>
      <c r="C2746">
        <v>420</v>
      </c>
      <c r="D2746" t="s">
        <v>340</v>
      </c>
      <c r="E2746">
        <v>30.8</v>
      </c>
      <c r="F2746">
        <v>14.07</v>
      </c>
      <c r="G2746">
        <v>15.6</v>
      </c>
      <c r="H2746">
        <v>29.67</v>
      </c>
      <c r="I2746" t="s">
        <v>343</v>
      </c>
      <c r="J2746">
        <v>59.3</v>
      </c>
      <c r="K2746">
        <v>-5.21</v>
      </c>
      <c r="L2746" t="s">
        <v>346</v>
      </c>
      <c r="M2746" s="1">
        <v>5.21E-2</v>
      </c>
      <c r="N2746" t="s">
        <v>350</v>
      </c>
      <c r="O2746">
        <v>1.9</v>
      </c>
      <c r="P2746" t="s">
        <v>343</v>
      </c>
      <c r="Q2746">
        <v>-0.36</v>
      </c>
      <c r="R2746" t="s">
        <v>343</v>
      </c>
      <c r="S2746">
        <v>1</v>
      </c>
    </row>
    <row r="2747" spans="1:19" x14ac:dyDescent="0.25">
      <c r="A2747" t="s">
        <v>30</v>
      </c>
      <c r="B2747" t="s">
        <v>78</v>
      </c>
      <c r="C2747">
        <v>440</v>
      </c>
      <c r="D2747" t="s">
        <v>340</v>
      </c>
      <c r="E2747">
        <v>30.8</v>
      </c>
      <c r="F2747">
        <v>13.08</v>
      </c>
      <c r="G2747">
        <v>16.04</v>
      </c>
      <c r="H2747">
        <v>29.12</v>
      </c>
      <c r="I2747" t="s">
        <v>343</v>
      </c>
      <c r="J2747">
        <v>58.33</v>
      </c>
      <c r="K2747">
        <v>-4.8600000000000003</v>
      </c>
      <c r="L2747" t="s">
        <v>346</v>
      </c>
      <c r="M2747" s="1">
        <v>4.8599999999999997E-2</v>
      </c>
      <c r="N2747" t="s">
        <v>350</v>
      </c>
      <c r="O2747">
        <v>0.81</v>
      </c>
      <c r="P2747" t="s">
        <v>343</v>
      </c>
      <c r="Q2747">
        <v>-1.24</v>
      </c>
      <c r="R2747" t="s">
        <v>343</v>
      </c>
      <c r="S2747">
        <v>1</v>
      </c>
    </row>
    <row r="2748" spans="1:19" x14ac:dyDescent="0.25">
      <c r="A2748" t="s">
        <v>30</v>
      </c>
      <c r="B2748" t="s">
        <v>79</v>
      </c>
      <c r="C2748">
        <v>460</v>
      </c>
      <c r="D2748" t="s">
        <v>340</v>
      </c>
      <c r="E2748">
        <v>30.8</v>
      </c>
      <c r="F2748">
        <v>13</v>
      </c>
      <c r="G2748">
        <v>15.68</v>
      </c>
      <c r="H2748">
        <v>28.68</v>
      </c>
      <c r="I2748" t="s">
        <v>343</v>
      </c>
      <c r="J2748">
        <v>57.4</v>
      </c>
      <c r="K2748">
        <v>-4.63</v>
      </c>
      <c r="L2748" t="s">
        <v>346</v>
      </c>
      <c r="M2748" s="1">
        <v>4.6300000000000001E-2</v>
      </c>
      <c r="N2748" t="s">
        <v>350</v>
      </c>
      <c r="O2748">
        <v>0.88</v>
      </c>
      <c r="P2748" t="s">
        <v>343</v>
      </c>
      <c r="Q2748">
        <v>0.39</v>
      </c>
      <c r="R2748" t="s">
        <v>343</v>
      </c>
      <c r="S2748">
        <v>1</v>
      </c>
    </row>
    <row r="2749" spans="1:19" x14ac:dyDescent="0.25">
      <c r="A2749" t="s">
        <v>30</v>
      </c>
      <c r="B2749" t="s">
        <v>80</v>
      </c>
      <c r="C2749">
        <v>480</v>
      </c>
      <c r="D2749" t="s">
        <v>340</v>
      </c>
      <c r="E2749">
        <v>30.8</v>
      </c>
      <c r="F2749">
        <v>13.02</v>
      </c>
      <c r="G2749">
        <v>16.04</v>
      </c>
      <c r="H2749">
        <v>29.06</v>
      </c>
      <c r="I2749" t="s">
        <v>343</v>
      </c>
      <c r="J2749">
        <v>56.59</v>
      </c>
      <c r="K2749">
        <v>-4.0599999999999996</v>
      </c>
      <c r="L2749" t="s">
        <v>346</v>
      </c>
      <c r="M2749" s="1">
        <v>4.0599999999999997E-2</v>
      </c>
      <c r="N2749" t="s">
        <v>350</v>
      </c>
      <c r="O2749">
        <v>0.98</v>
      </c>
      <c r="P2749" t="s">
        <v>343</v>
      </c>
      <c r="Q2749">
        <v>-0.02</v>
      </c>
      <c r="R2749" t="s">
        <v>343</v>
      </c>
      <c r="S2749">
        <v>1</v>
      </c>
    </row>
    <row r="2750" spans="1:19" x14ac:dyDescent="0.25">
      <c r="A2750" t="s">
        <v>30</v>
      </c>
      <c r="B2750" t="s">
        <v>81</v>
      </c>
      <c r="C2750">
        <v>500</v>
      </c>
      <c r="D2750" t="s">
        <v>340</v>
      </c>
      <c r="E2750">
        <v>30.8</v>
      </c>
      <c r="F2750">
        <v>12.21</v>
      </c>
      <c r="G2750">
        <v>15</v>
      </c>
      <c r="H2750">
        <v>27.21</v>
      </c>
      <c r="I2750" t="s">
        <v>343</v>
      </c>
      <c r="J2750">
        <v>55.81</v>
      </c>
      <c r="K2750">
        <v>-3.93</v>
      </c>
      <c r="L2750" t="s">
        <v>346</v>
      </c>
      <c r="M2750" s="1">
        <v>3.9300000000000002E-2</v>
      </c>
      <c r="N2750" t="s">
        <v>350</v>
      </c>
      <c r="O2750">
        <v>0.99</v>
      </c>
      <c r="P2750" t="s">
        <v>343</v>
      </c>
      <c r="Q2750">
        <v>-0.01</v>
      </c>
      <c r="R2750" t="s">
        <v>343</v>
      </c>
      <c r="S2750">
        <v>1</v>
      </c>
    </row>
    <row r="2751" spans="1:19" x14ac:dyDescent="0.25">
      <c r="A2751" t="s">
        <v>30</v>
      </c>
      <c r="B2751" t="s">
        <v>82</v>
      </c>
      <c r="C2751">
        <v>520</v>
      </c>
      <c r="D2751" t="s">
        <v>340</v>
      </c>
      <c r="E2751">
        <v>30.8</v>
      </c>
      <c r="F2751">
        <v>13.04</v>
      </c>
      <c r="G2751">
        <v>13.77</v>
      </c>
      <c r="H2751">
        <v>26.82</v>
      </c>
      <c r="I2751" t="s">
        <v>343</v>
      </c>
      <c r="J2751">
        <v>55.24</v>
      </c>
      <c r="K2751">
        <v>-2.83</v>
      </c>
      <c r="L2751" t="s">
        <v>346</v>
      </c>
      <c r="M2751" s="1">
        <v>2.8299999999999999E-2</v>
      </c>
      <c r="N2751" t="s">
        <v>350</v>
      </c>
      <c r="O2751">
        <v>-1.37</v>
      </c>
      <c r="P2751" t="s">
        <v>343</v>
      </c>
      <c r="Q2751">
        <v>1.2</v>
      </c>
      <c r="R2751" t="s">
        <v>343</v>
      </c>
      <c r="S2751">
        <v>1</v>
      </c>
    </row>
    <row r="2752" spans="1:19" x14ac:dyDescent="0.25">
      <c r="A2752" t="s">
        <v>30</v>
      </c>
      <c r="B2752" t="s">
        <v>83</v>
      </c>
      <c r="C2752">
        <v>540</v>
      </c>
      <c r="D2752" t="s">
        <v>340</v>
      </c>
      <c r="E2752">
        <v>30.8</v>
      </c>
      <c r="F2752">
        <v>11.75</v>
      </c>
      <c r="G2752">
        <v>14.98</v>
      </c>
      <c r="H2752">
        <v>26.73</v>
      </c>
      <c r="I2752" t="s">
        <v>343</v>
      </c>
      <c r="J2752">
        <v>54.83</v>
      </c>
      <c r="K2752">
        <v>-2.0699999999999998</v>
      </c>
      <c r="L2752" t="s">
        <v>346</v>
      </c>
      <c r="M2752" s="1">
        <v>2.07E-2</v>
      </c>
      <c r="N2752" t="s">
        <v>350</v>
      </c>
      <c r="O2752">
        <v>-0.38</v>
      </c>
      <c r="P2752" t="s">
        <v>343</v>
      </c>
      <c r="Q2752">
        <v>-7.0000000000000007E-2</v>
      </c>
      <c r="R2752" t="s">
        <v>343</v>
      </c>
      <c r="S2752">
        <v>1</v>
      </c>
    </row>
    <row r="2753" spans="1:19" x14ac:dyDescent="0.25">
      <c r="A2753" t="s">
        <v>30</v>
      </c>
      <c r="B2753" t="s">
        <v>84</v>
      </c>
      <c r="C2753">
        <v>560</v>
      </c>
      <c r="D2753" t="s">
        <v>340</v>
      </c>
      <c r="E2753">
        <v>30.8</v>
      </c>
      <c r="F2753">
        <v>15.83</v>
      </c>
      <c r="G2753">
        <v>15.15</v>
      </c>
      <c r="H2753">
        <v>30.98</v>
      </c>
      <c r="I2753" t="s">
        <v>344</v>
      </c>
      <c r="J2753">
        <v>54.45</v>
      </c>
      <c r="K2753">
        <v>-1.9</v>
      </c>
      <c r="L2753" t="s">
        <v>346</v>
      </c>
      <c r="M2753" s="1">
        <v>1.9E-2</v>
      </c>
      <c r="N2753" t="s">
        <v>349</v>
      </c>
      <c r="O2753">
        <v>1.55</v>
      </c>
      <c r="P2753" t="s">
        <v>343</v>
      </c>
      <c r="Q2753">
        <v>1.1299999999999999</v>
      </c>
      <c r="R2753" t="s">
        <v>343</v>
      </c>
      <c r="S2753">
        <v>1</v>
      </c>
    </row>
    <row r="2754" spans="1:19" x14ac:dyDescent="0.25">
      <c r="A2754" t="s">
        <v>30</v>
      </c>
      <c r="B2754" t="s">
        <v>85</v>
      </c>
      <c r="C2754">
        <v>580</v>
      </c>
      <c r="D2754" t="s">
        <v>340</v>
      </c>
      <c r="E2754">
        <v>30.8</v>
      </c>
      <c r="F2754">
        <v>20</v>
      </c>
      <c r="G2754">
        <v>17.77</v>
      </c>
      <c r="H2754">
        <v>37.770000000000003</v>
      </c>
      <c r="I2754" t="s">
        <v>344</v>
      </c>
      <c r="J2754">
        <v>55.15</v>
      </c>
      <c r="K2754">
        <v>3.53</v>
      </c>
      <c r="L2754" t="s">
        <v>346</v>
      </c>
      <c r="M2754" s="1">
        <v>3.5299999999999998E-2</v>
      </c>
      <c r="N2754" t="s">
        <v>350</v>
      </c>
      <c r="O2754">
        <v>-9.76</v>
      </c>
      <c r="P2754" t="s">
        <v>343</v>
      </c>
      <c r="Q2754">
        <v>-1.55</v>
      </c>
      <c r="R2754" t="s">
        <v>343</v>
      </c>
      <c r="S2754">
        <v>1</v>
      </c>
    </row>
    <row r="2755" spans="1:19" x14ac:dyDescent="0.25">
      <c r="A2755" t="s">
        <v>30</v>
      </c>
      <c r="B2755" t="s">
        <v>86</v>
      </c>
      <c r="C2755">
        <v>600</v>
      </c>
      <c r="D2755" t="s">
        <v>340</v>
      </c>
      <c r="E2755">
        <v>30.8</v>
      </c>
      <c r="F2755">
        <v>20</v>
      </c>
      <c r="G2755">
        <v>20</v>
      </c>
      <c r="H2755">
        <v>40</v>
      </c>
      <c r="I2755" t="s">
        <v>344</v>
      </c>
      <c r="J2755">
        <v>54.82</v>
      </c>
      <c r="K2755">
        <v>-1.68</v>
      </c>
      <c r="L2755" t="s">
        <v>346</v>
      </c>
      <c r="M2755" s="1">
        <v>1.6799999999999999E-2</v>
      </c>
      <c r="N2755" t="s">
        <v>349</v>
      </c>
      <c r="O2755">
        <v>4.55</v>
      </c>
      <c r="P2755" t="s">
        <v>343</v>
      </c>
      <c r="Q2755">
        <v>-2.9</v>
      </c>
      <c r="R2755" t="s">
        <v>344</v>
      </c>
      <c r="S2755">
        <v>1</v>
      </c>
    </row>
    <row r="2756" spans="1:19" x14ac:dyDescent="0.25">
      <c r="A2756" t="s">
        <v>30</v>
      </c>
      <c r="B2756" t="s">
        <v>87</v>
      </c>
      <c r="C2756">
        <v>620</v>
      </c>
      <c r="D2756" t="s">
        <v>340</v>
      </c>
      <c r="E2756">
        <v>30.8</v>
      </c>
      <c r="F2756">
        <v>20</v>
      </c>
      <c r="G2756">
        <v>20</v>
      </c>
      <c r="H2756">
        <v>40</v>
      </c>
      <c r="I2756" t="s">
        <v>344</v>
      </c>
      <c r="J2756">
        <v>53.01</v>
      </c>
      <c r="K2756">
        <v>-9.0299999999999994</v>
      </c>
      <c r="L2756" t="s">
        <v>348</v>
      </c>
      <c r="M2756" s="1">
        <v>9.0299999999999991E-2</v>
      </c>
      <c r="N2756" t="s">
        <v>350</v>
      </c>
      <c r="O2756">
        <v>4.4400000000000004</v>
      </c>
      <c r="P2756" t="s">
        <v>343</v>
      </c>
      <c r="Q2756">
        <v>-2.52</v>
      </c>
      <c r="R2756" t="s">
        <v>344</v>
      </c>
      <c r="S2756">
        <v>1</v>
      </c>
    </row>
    <row r="2757" spans="1:19" x14ac:dyDescent="0.25">
      <c r="A2757" t="s">
        <v>30</v>
      </c>
      <c r="B2757" t="s">
        <v>88</v>
      </c>
      <c r="C2757">
        <v>640</v>
      </c>
      <c r="D2757" t="s">
        <v>340</v>
      </c>
      <c r="E2757">
        <v>30.8</v>
      </c>
      <c r="F2757">
        <v>20</v>
      </c>
      <c r="G2757">
        <v>20</v>
      </c>
      <c r="H2757">
        <v>40</v>
      </c>
      <c r="I2757" t="s">
        <v>344</v>
      </c>
      <c r="J2757">
        <v>53.52</v>
      </c>
      <c r="K2757">
        <v>2.5299999999999998</v>
      </c>
      <c r="L2757" t="s">
        <v>346</v>
      </c>
      <c r="M2757" s="1">
        <v>2.53E-2</v>
      </c>
      <c r="N2757" t="s">
        <v>350</v>
      </c>
      <c r="O2757">
        <v>10.28</v>
      </c>
      <c r="P2757" t="s">
        <v>343</v>
      </c>
      <c r="Q2757">
        <v>-0.66</v>
      </c>
      <c r="R2757" t="s">
        <v>343</v>
      </c>
      <c r="S2757">
        <v>1</v>
      </c>
    </row>
    <row r="2758" spans="1:19" x14ac:dyDescent="0.25">
      <c r="A2758" t="s">
        <v>30</v>
      </c>
      <c r="B2758" t="s">
        <v>89</v>
      </c>
      <c r="C2758">
        <v>660</v>
      </c>
      <c r="D2758" t="s">
        <v>340</v>
      </c>
      <c r="E2758">
        <v>30.8</v>
      </c>
      <c r="F2758">
        <v>20</v>
      </c>
      <c r="G2758">
        <v>20</v>
      </c>
      <c r="H2758">
        <v>40</v>
      </c>
      <c r="I2758" t="s">
        <v>344</v>
      </c>
      <c r="J2758">
        <v>52.82</v>
      </c>
      <c r="K2758">
        <v>-3.51</v>
      </c>
      <c r="L2758" t="s">
        <v>346</v>
      </c>
      <c r="M2758" s="1">
        <v>3.5099999999999999E-2</v>
      </c>
      <c r="N2758" t="s">
        <v>350</v>
      </c>
      <c r="O2758">
        <v>3.93</v>
      </c>
      <c r="P2758" t="s">
        <v>344</v>
      </c>
      <c r="Q2758">
        <v>-2.25</v>
      </c>
      <c r="R2758" t="s">
        <v>344</v>
      </c>
      <c r="S2758">
        <v>1</v>
      </c>
    </row>
    <row r="2759" spans="1:19" x14ac:dyDescent="0.25">
      <c r="A2759" t="s">
        <v>30</v>
      </c>
      <c r="B2759" t="s">
        <v>90</v>
      </c>
      <c r="C2759">
        <v>680</v>
      </c>
      <c r="D2759" t="s">
        <v>340</v>
      </c>
      <c r="E2759">
        <v>30.8</v>
      </c>
      <c r="F2759">
        <v>20</v>
      </c>
      <c r="G2759">
        <v>20</v>
      </c>
      <c r="H2759">
        <v>40</v>
      </c>
      <c r="I2759" t="s">
        <v>344</v>
      </c>
      <c r="J2759">
        <v>51.57</v>
      </c>
      <c r="K2759">
        <v>-6.24</v>
      </c>
      <c r="L2759" t="s">
        <v>346</v>
      </c>
      <c r="M2759" s="1">
        <v>6.2399999999999997E-2</v>
      </c>
      <c r="N2759" t="s">
        <v>350</v>
      </c>
      <c r="O2759">
        <v>2.12</v>
      </c>
      <c r="P2759" t="s">
        <v>344</v>
      </c>
      <c r="Q2759">
        <v>-3.21</v>
      </c>
      <c r="R2759" t="s">
        <v>344</v>
      </c>
      <c r="S2759">
        <v>1</v>
      </c>
    </row>
    <row r="2760" spans="1:19" x14ac:dyDescent="0.25">
      <c r="A2760" t="s">
        <v>30</v>
      </c>
      <c r="B2760" t="s">
        <v>91</v>
      </c>
      <c r="C2760">
        <v>700</v>
      </c>
      <c r="D2760" t="s">
        <v>340</v>
      </c>
      <c r="E2760">
        <v>30.8</v>
      </c>
      <c r="F2760">
        <v>20</v>
      </c>
      <c r="G2760">
        <v>20</v>
      </c>
      <c r="H2760">
        <v>40</v>
      </c>
      <c r="I2760" t="s">
        <v>344</v>
      </c>
      <c r="J2760">
        <v>50.59</v>
      </c>
      <c r="K2760">
        <v>-4.9000000000000004</v>
      </c>
      <c r="L2760" t="s">
        <v>346</v>
      </c>
      <c r="M2760" s="1">
        <v>4.9000000000000002E-2</v>
      </c>
      <c r="N2760" t="s">
        <v>350</v>
      </c>
      <c r="O2760">
        <v>1.62</v>
      </c>
      <c r="P2760" t="s">
        <v>343</v>
      </c>
      <c r="Q2760">
        <v>-1.45</v>
      </c>
      <c r="R2760" t="s">
        <v>343</v>
      </c>
      <c r="S2760">
        <v>1</v>
      </c>
    </row>
    <row r="2761" spans="1:19" x14ac:dyDescent="0.25">
      <c r="A2761" t="s">
        <v>30</v>
      </c>
      <c r="B2761" t="s">
        <v>92</v>
      </c>
      <c r="C2761">
        <v>720</v>
      </c>
      <c r="D2761" t="s">
        <v>340</v>
      </c>
      <c r="E2761">
        <v>30.8</v>
      </c>
      <c r="F2761">
        <v>20</v>
      </c>
      <c r="G2761">
        <v>20</v>
      </c>
      <c r="H2761">
        <v>40</v>
      </c>
      <c r="I2761" t="s">
        <v>344</v>
      </c>
      <c r="J2761">
        <v>49.45</v>
      </c>
      <c r="K2761">
        <v>-5.71</v>
      </c>
      <c r="L2761" t="s">
        <v>346</v>
      </c>
      <c r="M2761" s="1">
        <v>5.7099999999999998E-2</v>
      </c>
      <c r="N2761" t="s">
        <v>350</v>
      </c>
      <c r="O2761">
        <v>1.01</v>
      </c>
      <c r="P2761" t="s">
        <v>343</v>
      </c>
      <c r="Q2761">
        <v>-1.29</v>
      </c>
      <c r="R2761" t="s">
        <v>343</v>
      </c>
      <c r="S2761">
        <v>1</v>
      </c>
    </row>
    <row r="2762" spans="1:19" x14ac:dyDescent="0.25">
      <c r="A2762" t="s">
        <v>30</v>
      </c>
      <c r="B2762" t="s">
        <v>93</v>
      </c>
      <c r="C2762">
        <v>740</v>
      </c>
      <c r="D2762" t="s">
        <v>340</v>
      </c>
      <c r="E2762">
        <v>30.8</v>
      </c>
      <c r="F2762">
        <v>20</v>
      </c>
      <c r="G2762">
        <v>20</v>
      </c>
      <c r="H2762">
        <v>40</v>
      </c>
      <c r="I2762" t="s">
        <v>344</v>
      </c>
      <c r="J2762">
        <v>47.31</v>
      </c>
      <c r="K2762">
        <v>-10.68</v>
      </c>
      <c r="L2762" t="s">
        <v>348</v>
      </c>
      <c r="M2762" s="1">
        <v>0.10680000000000001</v>
      </c>
      <c r="N2762" t="s">
        <v>350</v>
      </c>
      <c r="O2762">
        <v>2.11</v>
      </c>
      <c r="P2762" t="s">
        <v>344</v>
      </c>
      <c r="Q2762">
        <v>-0.84</v>
      </c>
      <c r="R2762" t="s">
        <v>343</v>
      </c>
      <c r="S2762">
        <v>1</v>
      </c>
    </row>
    <row r="2763" spans="1:19" x14ac:dyDescent="0.25">
      <c r="A2763" t="s">
        <v>30</v>
      </c>
      <c r="B2763" t="s">
        <v>94</v>
      </c>
      <c r="C2763">
        <v>760</v>
      </c>
      <c r="D2763" t="s">
        <v>340</v>
      </c>
      <c r="E2763">
        <v>30.8</v>
      </c>
      <c r="F2763">
        <v>20</v>
      </c>
      <c r="G2763">
        <v>20</v>
      </c>
      <c r="H2763">
        <v>40</v>
      </c>
      <c r="I2763" t="s">
        <v>344</v>
      </c>
      <c r="J2763">
        <v>45.4</v>
      </c>
      <c r="K2763">
        <v>-9.56</v>
      </c>
      <c r="L2763" t="s">
        <v>348</v>
      </c>
      <c r="M2763" s="1">
        <v>9.5600000000000004E-2</v>
      </c>
      <c r="N2763" t="s">
        <v>350</v>
      </c>
      <c r="O2763">
        <v>-2.5299999999999998</v>
      </c>
      <c r="P2763" t="s">
        <v>344</v>
      </c>
      <c r="Q2763">
        <v>0.5</v>
      </c>
      <c r="R2763" t="s">
        <v>343</v>
      </c>
      <c r="S2763">
        <v>1</v>
      </c>
    </row>
    <row r="2764" spans="1:19" x14ac:dyDescent="0.25">
      <c r="A2764" t="s">
        <v>30</v>
      </c>
      <c r="B2764" t="s">
        <v>95</v>
      </c>
      <c r="C2764">
        <v>780</v>
      </c>
      <c r="D2764" t="s">
        <v>340</v>
      </c>
      <c r="E2764">
        <v>30.8</v>
      </c>
      <c r="F2764">
        <v>20</v>
      </c>
      <c r="G2764">
        <v>20</v>
      </c>
      <c r="H2764">
        <v>40</v>
      </c>
      <c r="I2764" t="s">
        <v>344</v>
      </c>
      <c r="J2764">
        <v>45.91</v>
      </c>
      <c r="K2764">
        <v>2.54</v>
      </c>
      <c r="L2764" t="s">
        <v>346</v>
      </c>
      <c r="M2764" s="1">
        <v>2.5399999999999999E-2</v>
      </c>
      <c r="N2764" t="s">
        <v>350</v>
      </c>
      <c r="O2764">
        <v>-2</v>
      </c>
      <c r="P2764" t="s">
        <v>344</v>
      </c>
      <c r="Q2764">
        <v>1.21</v>
      </c>
      <c r="R2764" t="s">
        <v>343</v>
      </c>
      <c r="S2764">
        <v>1</v>
      </c>
    </row>
    <row r="2765" spans="1:19" x14ac:dyDescent="0.25">
      <c r="A2765" t="s">
        <v>30</v>
      </c>
      <c r="B2765" t="s">
        <v>96</v>
      </c>
      <c r="C2765">
        <v>800</v>
      </c>
      <c r="D2765" t="s">
        <v>340</v>
      </c>
      <c r="E2765">
        <v>30.8</v>
      </c>
      <c r="F2765">
        <v>20</v>
      </c>
      <c r="G2765">
        <v>20</v>
      </c>
      <c r="H2765">
        <v>40</v>
      </c>
      <c r="I2765" t="s">
        <v>344</v>
      </c>
      <c r="J2765">
        <v>44.38</v>
      </c>
      <c r="K2765">
        <v>-7.61</v>
      </c>
      <c r="L2765" t="s">
        <v>346</v>
      </c>
      <c r="M2765" s="1">
        <v>7.6100000000000001E-2</v>
      </c>
      <c r="N2765" t="s">
        <v>350</v>
      </c>
      <c r="O2765">
        <v>-1.91</v>
      </c>
      <c r="P2765" t="s">
        <v>343</v>
      </c>
      <c r="Q2765">
        <v>2.4500000000000002</v>
      </c>
      <c r="R2765" t="s">
        <v>344</v>
      </c>
      <c r="S2765">
        <v>1</v>
      </c>
    </row>
    <row r="2766" spans="1:19" x14ac:dyDescent="0.25">
      <c r="A2766" t="s">
        <v>30</v>
      </c>
      <c r="B2766" t="s">
        <v>97</v>
      </c>
      <c r="C2766">
        <v>820</v>
      </c>
      <c r="D2766" t="s">
        <v>340</v>
      </c>
      <c r="E2766">
        <v>30.8</v>
      </c>
      <c r="F2766">
        <v>16.22</v>
      </c>
      <c r="G2766">
        <v>12.5</v>
      </c>
      <c r="H2766">
        <v>28.72</v>
      </c>
      <c r="I2766" t="s">
        <v>343</v>
      </c>
      <c r="J2766">
        <v>42.96</v>
      </c>
      <c r="K2766">
        <v>-7.13</v>
      </c>
      <c r="L2766" t="s">
        <v>346</v>
      </c>
      <c r="M2766" s="1">
        <v>7.1300000000000002E-2</v>
      </c>
      <c r="N2766" t="s">
        <v>350</v>
      </c>
      <c r="O2766">
        <v>-0.51</v>
      </c>
      <c r="P2766" t="s">
        <v>343</v>
      </c>
      <c r="Q2766">
        <v>1.1000000000000001</v>
      </c>
      <c r="R2766" t="s">
        <v>343</v>
      </c>
      <c r="S2766">
        <v>1</v>
      </c>
    </row>
    <row r="2767" spans="1:19" x14ac:dyDescent="0.25">
      <c r="A2767" t="s">
        <v>30</v>
      </c>
      <c r="B2767" t="s">
        <v>98</v>
      </c>
      <c r="C2767">
        <v>840</v>
      </c>
      <c r="D2767" t="s">
        <v>340</v>
      </c>
      <c r="E2767">
        <v>30.8</v>
      </c>
      <c r="F2767">
        <v>16.36</v>
      </c>
      <c r="G2767">
        <v>12.75</v>
      </c>
      <c r="H2767">
        <v>29.11</v>
      </c>
      <c r="I2767" t="s">
        <v>343</v>
      </c>
      <c r="J2767">
        <v>41.91</v>
      </c>
      <c r="K2767">
        <v>-5.24</v>
      </c>
      <c r="L2767" t="s">
        <v>346</v>
      </c>
      <c r="M2767" s="1">
        <v>5.2400000000000002E-2</v>
      </c>
      <c r="N2767" t="s">
        <v>350</v>
      </c>
      <c r="O2767">
        <v>2.64</v>
      </c>
      <c r="P2767" t="s">
        <v>344</v>
      </c>
      <c r="Q2767">
        <v>-3.27</v>
      </c>
      <c r="R2767" t="s">
        <v>344</v>
      </c>
      <c r="S2767">
        <v>1</v>
      </c>
    </row>
    <row r="2768" spans="1:19" x14ac:dyDescent="0.25">
      <c r="A2768" t="s">
        <v>30</v>
      </c>
      <c r="B2768" t="s">
        <v>99</v>
      </c>
      <c r="C2768">
        <v>860</v>
      </c>
      <c r="D2768" t="s">
        <v>340</v>
      </c>
      <c r="E2768">
        <v>30.8</v>
      </c>
      <c r="F2768">
        <v>16.77</v>
      </c>
      <c r="G2768">
        <v>14</v>
      </c>
      <c r="H2768">
        <v>30.77</v>
      </c>
      <c r="I2768" t="s">
        <v>343</v>
      </c>
      <c r="J2768">
        <v>39.92</v>
      </c>
      <c r="K2768">
        <v>-9.93</v>
      </c>
      <c r="L2768" t="s">
        <v>348</v>
      </c>
      <c r="M2768" s="1">
        <v>9.9299999999999999E-2</v>
      </c>
      <c r="N2768" t="s">
        <v>350</v>
      </c>
      <c r="O2768">
        <v>8.4499999999999993</v>
      </c>
      <c r="P2768" t="s">
        <v>343</v>
      </c>
      <c r="Q2768">
        <v>-42.81</v>
      </c>
      <c r="R2768" t="s">
        <v>343</v>
      </c>
      <c r="S2768">
        <v>1</v>
      </c>
    </row>
    <row r="2769" spans="1:19" x14ac:dyDescent="0.25">
      <c r="A2769" t="s">
        <v>30</v>
      </c>
      <c r="B2769" t="s">
        <v>100</v>
      </c>
      <c r="C2769">
        <v>880</v>
      </c>
      <c r="D2769" t="s">
        <v>340</v>
      </c>
      <c r="E2769">
        <v>30.8</v>
      </c>
      <c r="F2769">
        <v>18.170000000000002</v>
      </c>
      <c r="G2769">
        <v>12.59</v>
      </c>
      <c r="H2769">
        <v>30.76</v>
      </c>
      <c r="I2769" t="s">
        <v>343</v>
      </c>
      <c r="J2769">
        <v>38.78</v>
      </c>
      <c r="K2769">
        <v>-5.73</v>
      </c>
      <c r="L2769" t="s">
        <v>346</v>
      </c>
      <c r="M2769" s="1">
        <v>5.7299999999999997E-2</v>
      </c>
      <c r="N2769" t="s">
        <v>350</v>
      </c>
      <c r="O2769">
        <v>5.08</v>
      </c>
      <c r="P2769" t="s">
        <v>343</v>
      </c>
      <c r="Q2769">
        <v>-3.18</v>
      </c>
      <c r="R2769" t="s">
        <v>344</v>
      </c>
      <c r="S2769">
        <v>1</v>
      </c>
    </row>
    <row r="2770" spans="1:19" x14ac:dyDescent="0.25">
      <c r="A2770" t="s">
        <v>30</v>
      </c>
      <c r="B2770" t="s">
        <v>101</v>
      </c>
      <c r="C2770">
        <v>900</v>
      </c>
      <c r="D2770" t="s">
        <v>340</v>
      </c>
      <c r="E2770">
        <v>30.8</v>
      </c>
      <c r="F2770">
        <v>18.170000000000002</v>
      </c>
      <c r="G2770">
        <v>14.05</v>
      </c>
      <c r="H2770">
        <v>32.22</v>
      </c>
      <c r="I2770" t="s">
        <v>344</v>
      </c>
      <c r="J2770">
        <v>37.83</v>
      </c>
      <c r="K2770">
        <v>-4.7699999999999996</v>
      </c>
      <c r="L2770" t="s">
        <v>346</v>
      </c>
      <c r="M2770" s="1">
        <v>4.7699999999999992E-2</v>
      </c>
      <c r="N2770" t="s">
        <v>350</v>
      </c>
      <c r="O2770">
        <v>3.14</v>
      </c>
      <c r="P2770" t="s">
        <v>344</v>
      </c>
      <c r="Q2770">
        <v>-3.22</v>
      </c>
      <c r="R2770" t="s">
        <v>344</v>
      </c>
      <c r="S2770">
        <v>1</v>
      </c>
    </row>
    <row r="2771" spans="1:19" x14ac:dyDescent="0.25">
      <c r="A2771" t="s">
        <v>30</v>
      </c>
      <c r="B2771" t="s">
        <v>102</v>
      </c>
      <c r="C2771">
        <v>920</v>
      </c>
      <c r="D2771" t="s">
        <v>340</v>
      </c>
      <c r="E2771">
        <v>30.8</v>
      </c>
      <c r="F2771">
        <v>20</v>
      </c>
      <c r="G2771">
        <v>15.63</v>
      </c>
      <c r="H2771">
        <v>35.630000000000003</v>
      </c>
      <c r="I2771" t="s">
        <v>344</v>
      </c>
      <c r="J2771">
        <v>37.01</v>
      </c>
      <c r="K2771">
        <v>-4.07</v>
      </c>
      <c r="L2771" t="s">
        <v>346</v>
      </c>
      <c r="M2771" s="1">
        <v>4.07E-2</v>
      </c>
      <c r="N2771" t="s">
        <v>350</v>
      </c>
      <c r="O2771">
        <v>2.89</v>
      </c>
      <c r="P2771" t="s">
        <v>344</v>
      </c>
      <c r="Q2771">
        <v>-3.35</v>
      </c>
      <c r="R2771" t="s">
        <v>344</v>
      </c>
      <c r="S2771">
        <v>1</v>
      </c>
    </row>
    <row r="2772" spans="1:19" x14ac:dyDescent="0.25">
      <c r="A2772" t="s">
        <v>30</v>
      </c>
      <c r="B2772" t="s">
        <v>103</v>
      </c>
      <c r="C2772">
        <v>940</v>
      </c>
      <c r="D2772" t="s">
        <v>340</v>
      </c>
      <c r="E2772">
        <v>30.8</v>
      </c>
      <c r="F2772">
        <v>20</v>
      </c>
      <c r="G2772">
        <v>16.920000000000002</v>
      </c>
      <c r="H2772">
        <v>36.92</v>
      </c>
      <c r="I2772" t="s">
        <v>344</v>
      </c>
      <c r="J2772">
        <v>36.18</v>
      </c>
      <c r="K2772">
        <v>-4.17</v>
      </c>
      <c r="L2772" t="s">
        <v>346</v>
      </c>
      <c r="M2772" s="1">
        <v>4.1700000000000001E-2</v>
      </c>
      <c r="N2772" t="s">
        <v>350</v>
      </c>
      <c r="O2772">
        <v>1.59</v>
      </c>
      <c r="P2772" t="s">
        <v>343</v>
      </c>
      <c r="Q2772">
        <v>-3.85</v>
      </c>
      <c r="R2772" t="s">
        <v>344</v>
      </c>
      <c r="S2772">
        <v>1</v>
      </c>
    </row>
    <row r="2773" spans="1:19" x14ac:dyDescent="0.25">
      <c r="A2773" t="s">
        <v>30</v>
      </c>
      <c r="B2773" t="s">
        <v>104</v>
      </c>
      <c r="C2773">
        <v>960</v>
      </c>
      <c r="D2773" t="s">
        <v>340</v>
      </c>
      <c r="E2773">
        <v>30.8</v>
      </c>
      <c r="F2773">
        <v>20</v>
      </c>
      <c r="G2773">
        <v>17.7</v>
      </c>
      <c r="H2773">
        <v>37.700000000000003</v>
      </c>
      <c r="I2773" t="s">
        <v>344</v>
      </c>
      <c r="J2773">
        <v>35.43</v>
      </c>
      <c r="K2773">
        <v>-3.76</v>
      </c>
      <c r="L2773" t="s">
        <v>346</v>
      </c>
      <c r="M2773" s="1">
        <v>3.7599999999999988E-2</v>
      </c>
      <c r="N2773" t="s">
        <v>350</v>
      </c>
      <c r="O2773">
        <v>2.99</v>
      </c>
      <c r="P2773" t="s">
        <v>344</v>
      </c>
      <c r="Q2773">
        <v>-4.2300000000000004</v>
      </c>
      <c r="R2773" t="s">
        <v>343</v>
      </c>
      <c r="S2773">
        <v>1</v>
      </c>
    </row>
    <row r="2774" spans="1:19" x14ac:dyDescent="0.25">
      <c r="A2774" t="s">
        <v>30</v>
      </c>
      <c r="B2774" t="s">
        <v>105</v>
      </c>
      <c r="C2774">
        <v>980</v>
      </c>
      <c r="D2774" t="s">
        <v>340</v>
      </c>
      <c r="E2774">
        <v>30.8</v>
      </c>
      <c r="F2774">
        <v>20</v>
      </c>
      <c r="G2774">
        <v>20</v>
      </c>
      <c r="H2774">
        <v>40</v>
      </c>
      <c r="I2774" t="s">
        <v>344</v>
      </c>
      <c r="J2774">
        <v>34.770000000000003</v>
      </c>
      <c r="K2774">
        <v>-3.29</v>
      </c>
      <c r="L2774" t="s">
        <v>346</v>
      </c>
      <c r="M2774" s="1">
        <v>3.2899999999999999E-2</v>
      </c>
      <c r="N2774" t="s">
        <v>350</v>
      </c>
      <c r="O2774">
        <v>3.01</v>
      </c>
      <c r="P2774" t="s">
        <v>344</v>
      </c>
      <c r="Q2774">
        <v>-4.2699999999999996</v>
      </c>
      <c r="R2774" t="s">
        <v>343</v>
      </c>
      <c r="S2774">
        <v>1</v>
      </c>
    </row>
    <row r="2775" spans="1:19" x14ac:dyDescent="0.25">
      <c r="A2775" t="s">
        <v>30</v>
      </c>
      <c r="B2775" t="s">
        <v>106</v>
      </c>
      <c r="C2775">
        <v>1000</v>
      </c>
      <c r="D2775" t="s">
        <v>340</v>
      </c>
      <c r="E2775">
        <v>30.8</v>
      </c>
      <c r="F2775">
        <v>20</v>
      </c>
      <c r="G2775">
        <v>20</v>
      </c>
      <c r="H2775">
        <v>40</v>
      </c>
      <c r="I2775" t="s">
        <v>344</v>
      </c>
      <c r="J2775">
        <v>34.24</v>
      </c>
      <c r="K2775">
        <v>-2.65</v>
      </c>
      <c r="L2775" t="s">
        <v>346</v>
      </c>
      <c r="M2775" s="1">
        <v>2.6499999999999999E-2</v>
      </c>
      <c r="N2775" t="s">
        <v>350</v>
      </c>
      <c r="O2775">
        <v>4.21</v>
      </c>
      <c r="P2775" t="s">
        <v>343</v>
      </c>
      <c r="Q2775">
        <v>-4.0199999999999996</v>
      </c>
      <c r="R2775" t="s">
        <v>343</v>
      </c>
      <c r="S2775">
        <v>1</v>
      </c>
    </row>
    <row r="2776" spans="1:19" x14ac:dyDescent="0.25">
      <c r="A2776" t="s">
        <v>30</v>
      </c>
      <c r="B2776" t="s">
        <v>108</v>
      </c>
      <c r="C2776">
        <v>1020</v>
      </c>
      <c r="D2776" t="s">
        <v>340</v>
      </c>
      <c r="E2776">
        <v>30.8</v>
      </c>
      <c r="F2776">
        <v>20</v>
      </c>
      <c r="G2776">
        <v>20</v>
      </c>
      <c r="H2776">
        <v>40</v>
      </c>
      <c r="I2776" t="s">
        <v>344</v>
      </c>
      <c r="J2776">
        <v>33.409999999999997</v>
      </c>
      <c r="K2776">
        <v>-4.13</v>
      </c>
      <c r="L2776" t="s">
        <v>346</v>
      </c>
      <c r="M2776" s="1">
        <v>4.1300000000000003E-2</v>
      </c>
      <c r="N2776" t="s">
        <v>350</v>
      </c>
      <c r="O2776">
        <v>2.79</v>
      </c>
      <c r="P2776" t="s">
        <v>344</v>
      </c>
      <c r="Q2776">
        <v>-4.74</v>
      </c>
      <c r="R2776" t="s">
        <v>343</v>
      </c>
      <c r="S2776">
        <v>1</v>
      </c>
    </row>
    <row r="2777" spans="1:19" x14ac:dyDescent="0.25">
      <c r="A2777" t="s">
        <v>30</v>
      </c>
      <c r="B2777" t="s">
        <v>109</v>
      </c>
      <c r="C2777">
        <v>1040</v>
      </c>
      <c r="D2777" t="s">
        <v>340</v>
      </c>
      <c r="E2777">
        <v>30.8</v>
      </c>
      <c r="F2777">
        <v>20</v>
      </c>
      <c r="G2777">
        <v>20</v>
      </c>
      <c r="H2777">
        <v>40</v>
      </c>
      <c r="I2777" t="s">
        <v>344</v>
      </c>
      <c r="J2777">
        <v>33.22</v>
      </c>
      <c r="K2777">
        <v>-0.96</v>
      </c>
      <c r="L2777" t="s">
        <v>346</v>
      </c>
      <c r="M2777" s="1">
        <v>9.5999999999999992E-3</v>
      </c>
      <c r="N2777" t="s">
        <v>349</v>
      </c>
      <c r="O2777">
        <v>3.13</v>
      </c>
      <c r="P2777" t="s">
        <v>344</v>
      </c>
      <c r="Q2777">
        <v>-4.05</v>
      </c>
      <c r="R2777" t="s">
        <v>343</v>
      </c>
      <c r="S2777">
        <v>1</v>
      </c>
    </row>
    <row r="2778" spans="1:19" x14ac:dyDescent="0.25">
      <c r="A2778" t="s">
        <v>30</v>
      </c>
      <c r="B2778" t="s">
        <v>110</v>
      </c>
      <c r="C2778">
        <v>1060</v>
      </c>
      <c r="D2778" t="s">
        <v>340</v>
      </c>
      <c r="E2778">
        <v>30.8</v>
      </c>
      <c r="F2778">
        <v>20</v>
      </c>
      <c r="G2778">
        <v>20</v>
      </c>
      <c r="H2778">
        <v>40</v>
      </c>
      <c r="I2778" t="s">
        <v>344</v>
      </c>
      <c r="J2778">
        <v>33.33</v>
      </c>
      <c r="K2778">
        <v>0.55000000000000004</v>
      </c>
      <c r="L2778" t="s">
        <v>346</v>
      </c>
      <c r="M2778" s="1">
        <v>5.5000000000000014E-3</v>
      </c>
      <c r="N2778" t="s">
        <v>349</v>
      </c>
      <c r="O2778">
        <v>3.28</v>
      </c>
      <c r="P2778" t="s">
        <v>344</v>
      </c>
      <c r="Q2778">
        <v>-4.88</v>
      </c>
      <c r="R2778" t="s">
        <v>343</v>
      </c>
      <c r="S2778">
        <v>1</v>
      </c>
    </row>
    <row r="2779" spans="1:19" x14ac:dyDescent="0.25">
      <c r="A2779" t="s">
        <v>30</v>
      </c>
      <c r="B2779" t="s">
        <v>111</v>
      </c>
      <c r="C2779">
        <v>1080</v>
      </c>
      <c r="D2779" t="s">
        <v>340</v>
      </c>
      <c r="E2779">
        <v>30.8</v>
      </c>
      <c r="F2779">
        <v>20</v>
      </c>
      <c r="G2779">
        <v>20</v>
      </c>
      <c r="H2779">
        <v>40</v>
      </c>
      <c r="I2779" t="s">
        <v>344</v>
      </c>
      <c r="J2779">
        <v>35.020000000000003</v>
      </c>
      <c r="K2779">
        <v>8.48</v>
      </c>
      <c r="L2779" t="s">
        <v>347</v>
      </c>
      <c r="M2779" s="1">
        <v>8.48E-2</v>
      </c>
      <c r="N2779" t="s">
        <v>350</v>
      </c>
      <c r="O2779">
        <v>3.38</v>
      </c>
      <c r="P2779" t="s">
        <v>344</v>
      </c>
      <c r="Q2779">
        <v>0.57999999999999996</v>
      </c>
      <c r="R2779" t="s">
        <v>343</v>
      </c>
      <c r="S2779">
        <v>1</v>
      </c>
    </row>
    <row r="2780" spans="1:19" x14ac:dyDescent="0.25">
      <c r="A2780" t="s">
        <v>30</v>
      </c>
      <c r="B2780" t="s">
        <v>112</v>
      </c>
      <c r="C2780">
        <v>1100</v>
      </c>
      <c r="D2780" t="s">
        <v>340</v>
      </c>
      <c r="E2780">
        <v>30.8</v>
      </c>
      <c r="F2780">
        <v>20</v>
      </c>
      <c r="G2780">
        <v>20</v>
      </c>
      <c r="H2780">
        <v>40</v>
      </c>
      <c r="I2780" t="s">
        <v>344</v>
      </c>
      <c r="J2780">
        <v>32.83</v>
      </c>
      <c r="K2780">
        <v>-10.99</v>
      </c>
      <c r="L2780" t="s">
        <v>348</v>
      </c>
      <c r="M2780" s="1">
        <v>0.1099</v>
      </c>
      <c r="N2780" t="s">
        <v>350</v>
      </c>
      <c r="O2780">
        <v>5.3</v>
      </c>
      <c r="P2780" t="s">
        <v>343</v>
      </c>
      <c r="Q2780">
        <v>-3.9</v>
      </c>
      <c r="R2780" t="s">
        <v>344</v>
      </c>
      <c r="S2780">
        <v>1</v>
      </c>
    </row>
    <row r="2781" spans="1:19" x14ac:dyDescent="0.25">
      <c r="A2781" t="s">
        <v>30</v>
      </c>
      <c r="B2781" t="s">
        <v>113</v>
      </c>
      <c r="C2781">
        <v>1120</v>
      </c>
      <c r="D2781" t="s">
        <v>340</v>
      </c>
      <c r="E2781">
        <v>30.8</v>
      </c>
      <c r="F2781">
        <v>20</v>
      </c>
      <c r="G2781">
        <v>18.16</v>
      </c>
      <c r="H2781">
        <v>38.159999999999997</v>
      </c>
      <c r="I2781" t="s">
        <v>344</v>
      </c>
      <c r="J2781">
        <v>33.869999999999997</v>
      </c>
      <c r="K2781">
        <v>5.22</v>
      </c>
      <c r="L2781" t="s">
        <v>346</v>
      </c>
      <c r="M2781" s="1">
        <v>5.2200000000000003E-2</v>
      </c>
      <c r="N2781" t="s">
        <v>350</v>
      </c>
      <c r="O2781">
        <v>8.6</v>
      </c>
      <c r="P2781" t="s">
        <v>343</v>
      </c>
      <c r="Q2781">
        <v>-2.14</v>
      </c>
      <c r="R2781" t="s">
        <v>344</v>
      </c>
      <c r="S2781">
        <v>1</v>
      </c>
    </row>
    <row r="2782" spans="1:19" x14ac:dyDescent="0.25">
      <c r="A2782" t="s">
        <v>30</v>
      </c>
      <c r="B2782" t="s">
        <v>114</v>
      </c>
      <c r="C2782">
        <v>1140</v>
      </c>
      <c r="D2782" t="s">
        <v>340</v>
      </c>
      <c r="E2782">
        <v>30.8</v>
      </c>
      <c r="F2782">
        <v>20</v>
      </c>
      <c r="G2782">
        <v>18.02</v>
      </c>
      <c r="H2782">
        <v>38.020000000000003</v>
      </c>
      <c r="I2782" t="s">
        <v>344</v>
      </c>
      <c r="J2782">
        <v>32.450000000000003</v>
      </c>
      <c r="K2782">
        <v>-7.11</v>
      </c>
      <c r="L2782" t="s">
        <v>346</v>
      </c>
      <c r="M2782" s="1">
        <v>7.1099999999999997E-2</v>
      </c>
      <c r="N2782" t="s">
        <v>350</v>
      </c>
      <c r="O2782">
        <v>5.39</v>
      </c>
      <c r="P2782" t="s">
        <v>343</v>
      </c>
      <c r="Q2782">
        <v>-2.82</v>
      </c>
      <c r="R2782" t="s">
        <v>344</v>
      </c>
      <c r="S2782">
        <v>1</v>
      </c>
    </row>
    <row r="2783" spans="1:19" x14ac:dyDescent="0.25">
      <c r="A2783" t="s">
        <v>30</v>
      </c>
      <c r="B2783" t="s">
        <v>115</v>
      </c>
      <c r="C2783">
        <v>1160</v>
      </c>
      <c r="D2783" t="s">
        <v>340</v>
      </c>
      <c r="E2783">
        <v>30.8</v>
      </c>
      <c r="F2783">
        <v>20</v>
      </c>
      <c r="G2783">
        <v>18.16</v>
      </c>
      <c r="H2783">
        <v>38.159999999999997</v>
      </c>
      <c r="I2783" t="s">
        <v>344</v>
      </c>
      <c r="J2783">
        <v>32.450000000000003</v>
      </c>
      <c r="K2783">
        <v>0</v>
      </c>
      <c r="L2783" t="s">
        <v>346</v>
      </c>
      <c r="M2783" s="1">
        <v>0</v>
      </c>
      <c r="N2783" t="s">
        <v>349</v>
      </c>
      <c r="O2783">
        <v>4.8499999999999996</v>
      </c>
      <c r="P2783" t="s">
        <v>343</v>
      </c>
      <c r="Q2783">
        <v>-0.91</v>
      </c>
      <c r="R2783" t="s">
        <v>343</v>
      </c>
      <c r="S2783">
        <v>1</v>
      </c>
    </row>
    <row r="2784" spans="1:19" x14ac:dyDescent="0.25">
      <c r="A2784" t="s">
        <v>30</v>
      </c>
      <c r="B2784" t="s">
        <v>116</v>
      </c>
      <c r="C2784">
        <v>1180</v>
      </c>
      <c r="D2784" t="s">
        <v>340</v>
      </c>
      <c r="E2784">
        <v>30.8</v>
      </c>
      <c r="F2784">
        <v>16.16</v>
      </c>
      <c r="G2784">
        <v>18.18</v>
      </c>
      <c r="H2784">
        <v>34.340000000000003</v>
      </c>
      <c r="I2784" t="s">
        <v>344</v>
      </c>
      <c r="J2784">
        <v>32.43</v>
      </c>
      <c r="K2784">
        <v>-0.09</v>
      </c>
      <c r="L2784" t="s">
        <v>346</v>
      </c>
      <c r="M2784" s="1">
        <v>8.9999999999999998E-4</v>
      </c>
      <c r="N2784" t="s">
        <v>349</v>
      </c>
      <c r="O2784">
        <v>4.3899999999999997</v>
      </c>
      <c r="P2784" t="s">
        <v>343</v>
      </c>
      <c r="Q2784">
        <v>0.48</v>
      </c>
      <c r="R2784" t="s">
        <v>343</v>
      </c>
      <c r="S2784">
        <v>1</v>
      </c>
    </row>
    <row r="2785" spans="1:19" x14ac:dyDescent="0.25">
      <c r="A2785" t="s">
        <v>30</v>
      </c>
      <c r="B2785" t="s">
        <v>117</v>
      </c>
      <c r="C2785">
        <v>1200</v>
      </c>
      <c r="D2785" t="s">
        <v>340</v>
      </c>
      <c r="E2785">
        <v>30.8</v>
      </c>
      <c r="F2785">
        <v>15.99</v>
      </c>
      <c r="G2785">
        <v>17.850000000000001</v>
      </c>
      <c r="H2785">
        <v>33.840000000000003</v>
      </c>
      <c r="I2785" t="s">
        <v>344</v>
      </c>
      <c r="J2785">
        <v>31.9</v>
      </c>
      <c r="K2785">
        <v>-2.68</v>
      </c>
      <c r="L2785" t="s">
        <v>346</v>
      </c>
      <c r="M2785" s="1">
        <v>2.6800000000000001E-2</v>
      </c>
      <c r="N2785" t="s">
        <v>350</v>
      </c>
      <c r="O2785">
        <v>4.1900000000000004</v>
      </c>
      <c r="P2785" t="s">
        <v>343</v>
      </c>
      <c r="Q2785">
        <v>-2.13</v>
      </c>
      <c r="R2785" t="s">
        <v>344</v>
      </c>
      <c r="S2785">
        <v>1</v>
      </c>
    </row>
    <row r="2786" spans="1:19" x14ac:dyDescent="0.25">
      <c r="A2786" t="s">
        <v>30</v>
      </c>
      <c r="B2786" t="s">
        <v>118</v>
      </c>
      <c r="C2786">
        <v>1220</v>
      </c>
      <c r="D2786" t="s">
        <v>340</v>
      </c>
      <c r="E2786">
        <v>30.8</v>
      </c>
      <c r="F2786">
        <v>16.43</v>
      </c>
      <c r="G2786">
        <v>17.059999999999999</v>
      </c>
      <c r="H2786">
        <v>33.49</v>
      </c>
      <c r="I2786" t="s">
        <v>344</v>
      </c>
      <c r="J2786">
        <v>31.82</v>
      </c>
      <c r="K2786">
        <v>-0.41</v>
      </c>
      <c r="L2786" t="s">
        <v>346</v>
      </c>
      <c r="M2786" s="1">
        <v>4.0999999999999986E-3</v>
      </c>
      <c r="N2786" t="s">
        <v>349</v>
      </c>
      <c r="O2786">
        <v>3.08</v>
      </c>
      <c r="P2786" t="s">
        <v>344</v>
      </c>
      <c r="Q2786">
        <v>-4.01</v>
      </c>
      <c r="R2786" t="s">
        <v>343</v>
      </c>
      <c r="S2786">
        <v>1</v>
      </c>
    </row>
    <row r="2787" spans="1:19" x14ac:dyDescent="0.25">
      <c r="A2787" t="s">
        <v>30</v>
      </c>
      <c r="B2787" t="s">
        <v>119</v>
      </c>
      <c r="C2787">
        <v>1240</v>
      </c>
      <c r="D2787" t="s">
        <v>340</v>
      </c>
      <c r="E2787">
        <v>30.8</v>
      </c>
      <c r="F2787">
        <v>15.25</v>
      </c>
      <c r="G2787">
        <v>14.34</v>
      </c>
      <c r="H2787">
        <v>29.59</v>
      </c>
      <c r="I2787" t="s">
        <v>343</v>
      </c>
      <c r="J2787">
        <v>32.090000000000003</v>
      </c>
      <c r="K2787">
        <v>1.38</v>
      </c>
      <c r="L2787" t="s">
        <v>346</v>
      </c>
      <c r="M2787" s="1">
        <v>1.38E-2</v>
      </c>
      <c r="N2787" t="s">
        <v>349</v>
      </c>
      <c r="O2787">
        <v>4.29</v>
      </c>
      <c r="P2787" t="s">
        <v>343</v>
      </c>
      <c r="Q2787">
        <v>-2.9</v>
      </c>
      <c r="R2787" t="s">
        <v>344</v>
      </c>
      <c r="S2787">
        <v>1</v>
      </c>
    </row>
    <row r="2788" spans="1:19" x14ac:dyDescent="0.25">
      <c r="A2788" t="s">
        <v>30</v>
      </c>
      <c r="B2788" t="s">
        <v>120</v>
      </c>
      <c r="C2788">
        <v>1260</v>
      </c>
      <c r="D2788" t="s">
        <v>340</v>
      </c>
      <c r="E2788">
        <v>30.8</v>
      </c>
      <c r="F2788">
        <v>14.47</v>
      </c>
      <c r="G2788">
        <v>13.58</v>
      </c>
      <c r="H2788">
        <v>28.06</v>
      </c>
      <c r="I2788" t="s">
        <v>343</v>
      </c>
      <c r="J2788">
        <v>31.94</v>
      </c>
      <c r="K2788">
        <v>-0.74</v>
      </c>
      <c r="L2788" t="s">
        <v>346</v>
      </c>
      <c r="M2788" s="1">
        <v>7.4000000000000003E-3</v>
      </c>
      <c r="N2788" t="s">
        <v>349</v>
      </c>
      <c r="O2788">
        <v>5.39</v>
      </c>
      <c r="P2788" t="s">
        <v>343</v>
      </c>
      <c r="Q2788">
        <v>-3.33</v>
      </c>
      <c r="R2788" t="s">
        <v>344</v>
      </c>
      <c r="S2788">
        <v>1</v>
      </c>
    </row>
    <row r="2789" spans="1:19" x14ac:dyDescent="0.25">
      <c r="A2789" t="s">
        <v>30</v>
      </c>
      <c r="B2789" t="s">
        <v>121</v>
      </c>
      <c r="C2789">
        <v>1280</v>
      </c>
      <c r="D2789" t="s">
        <v>340</v>
      </c>
      <c r="E2789">
        <v>30.8</v>
      </c>
      <c r="F2789">
        <v>16.27</v>
      </c>
      <c r="G2789">
        <v>14.2</v>
      </c>
      <c r="H2789">
        <v>30.47</v>
      </c>
      <c r="I2789" t="s">
        <v>343</v>
      </c>
      <c r="J2789">
        <v>31.99</v>
      </c>
      <c r="K2789">
        <v>0.23</v>
      </c>
      <c r="L2789" t="s">
        <v>346</v>
      </c>
      <c r="M2789" s="1">
        <v>2.3E-3</v>
      </c>
      <c r="N2789" t="s">
        <v>349</v>
      </c>
      <c r="O2789">
        <v>5.01</v>
      </c>
      <c r="P2789" t="s">
        <v>343</v>
      </c>
      <c r="Q2789">
        <v>-3.45</v>
      </c>
      <c r="R2789" t="s">
        <v>344</v>
      </c>
      <c r="S2789">
        <v>1</v>
      </c>
    </row>
    <row r="2790" spans="1:19" x14ac:dyDescent="0.25">
      <c r="A2790" t="s">
        <v>30</v>
      </c>
      <c r="B2790" t="s">
        <v>123</v>
      </c>
      <c r="C2790">
        <v>1300</v>
      </c>
      <c r="D2790" t="s">
        <v>340</v>
      </c>
      <c r="E2790">
        <v>30.8</v>
      </c>
      <c r="F2790">
        <v>15.25</v>
      </c>
      <c r="G2790">
        <v>15.02</v>
      </c>
      <c r="H2790">
        <v>30.27</v>
      </c>
      <c r="I2790" t="s">
        <v>343</v>
      </c>
      <c r="J2790">
        <v>32.03</v>
      </c>
      <c r="K2790">
        <v>0.19</v>
      </c>
      <c r="L2790" t="s">
        <v>346</v>
      </c>
      <c r="M2790" s="1">
        <v>1.9E-3</v>
      </c>
      <c r="N2790" t="s">
        <v>349</v>
      </c>
      <c r="O2790">
        <v>5.6</v>
      </c>
      <c r="P2790" t="s">
        <v>343</v>
      </c>
      <c r="Q2790">
        <v>-6.23</v>
      </c>
      <c r="R2790" t="s">
        <v>343</v>
      </c>
      <c r="S2790">
        <v>1</v>
      </c>
    </row>
    <row r="2791" spans="1:19" x14ac:dyDescent="0.25">
      <c r="A2791" t="s">
        <v>30</v>
      </c>
      <c r="B2791" t="s">
        <v>124</v>
      </c>
      <c r="C2791">
        <v>1320</v>
      </c>
      <c r="D2791" t="s">
        <v>340</v>
      </c>
      <c r="E2791">
        <v>30.8</v>
      </c>
      <c r="F2791">
        <v>15.43</v>
      </c>
      <c r="G2791">
        <v>16.68</v>
      </c>
      <c r="H2791">
        <v>32.11</v>
      </c>
      <c r="I2791" t="s">
        <v>344</v>
      </c>
      <c r="J2791">
        <v>32.200000000000003</v>
      </c>
      <c r="K2791">
        <v>0.85</v>
      </c>
      <c r="L2791" t="s">
        <v>346</v>
      </c>
      <c r="M2791" s="1">
        <v>8.5000000000000006E-3</v>
      </c>
      <c r="N2791" t="s">
        <v>349</v>
      </c>
      <c r="O2791">
        <v>5.51</v>
      </c>
      <c r="P2791" t="s">
        <v>343</v>
      </c>
      <c r="Q2791">
        <v>-3.7</v>
      </c>
      <c r="R2791" t="s">
        <v>344</v>
      </c>
      <c r="S2791">
        <v>1</v>
      </c>
    </row>
    <row r="2792" spans="1:19" x14ac:dyDescent="0.25">
      <c r="A2792" t="s">
        <v>30</v>
      </c>
      <c r="B2792" t="s">
        <v>125</v>
      </c>
      <c r="C2792">
        <v>1340</v>
      </c>
      <c r="D2792" t="s">
        <v>340</v>
      </c>
      <c r="E2792">
        <v>30.8</v>
      </c>
      <c r="F2792">
        <v>16</v>
      </c>
      <c r="G2792">
        <v>17.09</v>
      </c>
      <c r="H2792">
        <v>33.090000000000003</v>
      </c>
      <c r="I2792" t="s">
        <v>344</v>
      </c>
      <c r="J2792">
        <v>32.74</v>
      </c>
      <c r="K2792">
        <v>2.72</v>
      </c>
      <c r="L2792" t="s">
        <v>346</v>
      </c>
      <c r="M2792" s="1">
        <v>2.7199999999999998E-2</v>
      </c>
      <c r="N2792" t="s">
        <v>350</v>
      </c>
      <c r="O2792">
        <v>4.84</v>
      </c>
      <c r="P2792" t="s">
        <v>343</v>
      </c>
      <c r="Q2792">
        <v>-2.0499999999999998</v>
      </c>
      <c r="R2792" t="s">
        <v>344</v>
      </c>
      <c r="S2792">
        <v>1</v>
      </c>
    </row>
    <row r="2793" spans="1:19" x14ac:dyDescent="0.25">
      <c r="A2793" t="s">
        <v>30</v>
      </c>
      <c r="B2793" t="s">
        <v>126</v>
      </c>
      <c r="C2793">
        <v>1360</v>
      </c>
      <c r="D2793" t="s">
        <v>340</v>
      </c>
      <c r="E2793">
        <v>30.8</v>
      </c>
      <c r="F2793">
        <v>16.899999999999999</v>
      </c>
      <c r="G2793">
        <v>20</v>
      </c>
      <c r="H2793">
        <v>36.9</v>
      </c>
      <c r="I2793" t="s">
        <v>344</v>
      </c>
      <c r="J2793">
        <v>32.770000000000003</v>
      </c>
      <c r="K2793">
        <v>0.15</v>
      </c>
      <c r="L2793" t="s">
        <v>346</v>
      </c>
      <c r="M2793" s="1">
        <v>1.5E-3</v>
      </c>
      <c r="N2793" t="s">
        <v>349</v>
      </c>
      <c r="O2793">
        <v>3.75</v>
      </c>
      <c r="P2793" t="s">
        <v>344</v>
      </c>
      <c r="Q2793">
        <v>-5.49</v>
      </c>
      <c r="R2793" t="s">
        <v>343</v>
      </c>
      <c r="S2793">
        <v>1</v>
      </c>
    </row>
    <row r="2794" spans="1:19" x14ac:dyDescent="0.25">
      <c r="A2794" t="s">
        <v>30</v>
      </c>
      <c r="B2794" t="s">
        <v>127</v>
      </c>
      <c r="C2794">
        <v>1380</v>
      </c>
      <c r="D2794" t="s">
        <v>340</v>
      </c>
      <c r="E2794">
        <v>30.8</v>
      </c>
      <c r="F2794">
        <v>20</v>
      </c>
      <c r="G2794">
        <v>20</v>
      </c>
      <c r="H2794">
        <v>40</v>
      </c>
      <c r="I2794" t="s">
        <v>344</v>
      </c>
      <c r="J2794">
        <v>33.479999999999997</v>
      </c>
      <c r="K2794">
        <v>3.53</v>
      </c>
      <c r="L2794" t="s">
        <v>346</v>
      </c>
      <c r="M2794" s="1">
        <v>3.5299999999999998E-2</v>
      </c>
      <c r="N2794" t="s">
        <v>350</v>
      </c>
      <c r="O2794">
        <v>4.9800000000000004</v>
      </c>
      <c r="P2794" t="s">
        <v>343</v>
      </c>
      <c r="Q2794">
        <v>-1.77</v>
      </c>
      <c r="R2794" t="s">
        <v>343</v>
      </c>
      <c r="S2794">
        <v>1</v>
      </c>
    </row>
    <row r="2795" spans="1:19" x14ac:dyDescent="0.25">
      <c r="A2795" t="s">
        <v>30</v>
      </c>
      <c r="B2795" t="s">
        <v>128</v>
      </c>
      <c r="C2795">
        <v>1400</v>
      </c>
      <c r="D2795" t="s">
        <v>340</v>
      </c>
      <c r="E2795">
        <v>30.8</v>
      </c>
      <c r="F2795">
        <v>20</v>
      </c>
      <c r="G2795">
        <v>20</v>
      </c>
      <c r="H2795">
        <v>40</v>
      </c>
      <c r="I2795" t="s">
        <v>344</v>
      </c>
      <c r="J2795">
        <v>34.54</v>
      </c>
      <c r="K2795">
        <v>5.32</v>
      </c>
      <c r="L2795" t="s">
        <v>346</v>
      </c>
      <c r="M2795" s="1">
        <v>5.3199999999999997E-2</v>
      </c>
      <c r="N2795" t="s">
        <v>350</v>
      </c>
      <c r="O2795">
        <v>5.4</v>
      </c>
      <c r="P2795" t="s">
        <v>343</v>
      </c>
      <c r="Q2795">
        <v>-2.17</v>
      </c>
      <c r="R2795" t="s">
        <v>344</v>
      </c>
      <c r="S2795">
        <v>1</v>
      </c>
    </row>
    <row r="2796" spans="1:19" x14ac:dyDescent="0.25">
      <c r="A2796" t="s">
        <v>30</v>
      </c>
      <c r="B2796" t="s">
        <v>129</v>
      </c>
      <c r="C2796">
        <v>1420</v>
      </c>
      <c r="D2796" t="s">
        <v>340</v>
      </c>
      <c r="E2796">
        <v>30.8</v>
      </c>
      <c r="F2796">
        <v>20</v>
      </c>
      <c r="G2796">
        <v>20</v>
      </c>
      <c r="H2796">
        <v>40</v>
      </c>
      <c r="I2796" t="s">
        <v>344</v>
      </c>
      <c r="J2796">
        <v>35.33</v>
      </c>
      <c r="K2796">
        <v>3.93</v>
      </c>
      <c r="L2796" t="s">
        <v>346</v>
      </c>
      <c r="M2796" s="1">
        <v>3.9300000000000002E-2</v>
      </c>
      <c r="N2796" t="s">
        <v>350</v>
      </c>
      <c r="O2796">
        <v>6.17</v>
      </c>
      <c r="P2796" t="s">
        <v>343</v>
      </c>
      <c r="Q2796">
        <v>-3.47</v>
      </c>
      <c r="R2796" t="s">
        <v>344</v>
      </c>
      <c r="S2796">
        <v>1</v>
      </c>
    </row>
    <row r="2797" spans="1:19" x14ac:dyDescent="0.25">
      <c r="A2797" t="s">
        <v>30</v>
      </c>
      <c r="B2797" t="s">
        <v>130</v>
      </c>
      <c r="C2797">
        <v>1440</v>
      </c>
      <c r="D2797" t="s">
        <v>340</v>
      </c>
      <c r="E2797">
        <v>30.8</v>
      </c>
      <c r="F2797">
        <v>14.83</v>
      </c>
      <c r="G2797">
        <v>20</v>
      </c>
      <c r="H2797">
        <v>34.83</v>
      </c>
      <c r="I2797" t="s">
        <v>344</v>
      </c>
      <c r="J2797">
        <v>37.43</v>
      </c>
      <c r="K2797">
        <v>10.53</v>
      </c>
      <c r="L2797" t="s">
        <v>348</v>
      </c>
      <c r="M2797" s="1">
        <v>0.1053</v>
      </c>
      <c r="N2797" t="s">
        <v>350</v>
      </c>
      <c r="O2797">
        <v>3.58</v>
      </c>
      <c r="P2797" t="s">
        <v>344</v>
      </c>
      <c r="Q2797">
        <v>-2.58</v>
      </c>
      <c r="R2797" t="s">
        <v>344</v>
      </c>
      <c r="S2797">
        <v>1</v>
      </c>
    </row>
    <row r="2798" spans="1:19" x14ac:dyDescent="0.25">
      <c r="A2798" t="s">
        <v>30</v>
      </c>
      <c r="B2798" t="s">
        <v>131</v>
      </c>
      <c r="C2798">
        <v>1460</v>
      </c>
      <c r="D2798" t="s">
        <v>340</v>
      </c>
      <c r="E2798">
        <v>30.8</v>
      </c>
      <c r="F2798">
        <v>14.6</v>
      </c>
      <c r="G2798">
        <v>13.33</v>
      </c>
      <c r="H2798">
        <v>27.93</v>
      </c>
      <c r="I2798" t="s">
        <v>343</v>
      </c>
      <c r="J2798">
        <v>35.9</v>
      </c>
      <c r="K2798">
        <v>-7.67</v>
      </c>
      <c r="L2798" t="s">
        <v>346</v>
      </c>
      <c r="M2798" s="1">
        <v>7.6700000000000004E-2</v>
      </c>
      <c r="N2798" t="s">
        <v>350</v>
      </c>
      <c r="O2798">
        <v>3.91</v>
      </c>
      <c r="P2798" t="s">
        <v>344</v>
      </c>
      <c r="Q2798">
        <v>-2.54</v>
      </c>
      <c r="R2798" t="s">
        <v>344</v>
      </c>
      <c r="S2798">
        <v>1</v>
      </c>
    </row>
    <row r="2799" spans="1:19" x14ac:dyDescent="0.25">
      <c r="A2799" t="s">
        <v>30</v>
      </c>
      <c r="B2799" t="s">
        <v>132</v>
      </c>
      <c r="C2799">
        <v>1480</v>
      </c>
      <c r="D2799" t="s">
        <v>340</v>
      </c>
      <c r="E2799">
        <v>30.8</v>
      </c>
      <c r="F2799">
        <v>15.14</v>
      </c>
      <c r="G2799">
        <v>12.34</v>
      </c>
      <c r="H2799">
        <v>27.48</v>
      </c>
      <c r="I2799" t="s">
        <v>343</v>
      </c>
      <c r="J2799">
        <v>35.9</v>
      </c>
      <c r="K2799">
        <v>-0.03</v>
      </c>
      <c r="L2799" t="s">
        <v>346</v>
      </c>
      <c r="M2799" s="1">
        <v>2.9999999999999997E-4</v>
      </c>
      <c r="N2799" t="s">
        <v>349</v>
      </c>
      <c r="O2799">
        <v>2.97</v>
      </c>
      <c r="P2799" t="s">
        <v>344</v>
      </c>
      <c r="Q2799">
        <v>-3.28</v>
      </c>
      <c r="R2799" t="s">
        <v>344</v>
      </c>
      <c r="S2799">
        <v>1</v>
      </c>
    </row>
    <row r="2800" spans="1:19" x14ac:dyDescent="0.25">
      <c r="A2800" t="s">
        <v>30</v>
      </c>
      <c r="B2800" t="s">
        <v>133</v>
      </c>
      <c r="C2800">
        <v>1500</v>
      </c>
      <c r="D2800" t="s">
        <v>340</v>
      </c>
      <c r="E2800">
        <v>30.8</v>
      </c>
      <c r="F2800">
        <v>15.5</v>
      </c>
      <c r="G2800">
        <v>10.72</v>
      </c>
      <c r="H2800">
        <v>26.23</v>
      </c>
      <c r="I2800" t="s">
        <v>343</v>
      </c>
      <c r="J2800">
        <v>36.01</v>
      </c>
      <c r="K2800">
        <v>0.56999999999999995</v>
      </c>
      <c r="L2800" t="s">
        <v>346</v>
      </c>
      <c r="M2800" s="1">
        <v>5.6999999999999993E-3</v>
      </c>
      <c r="N2800" t="s">
        <v>349</v>
      </c>
      <c r="O2800">
        <v>2.21</v>
      </c>
      <c r="P2800" t="s">
        <v>344</v>
      </c>
      <c r="Q2800">
        <v>-2.23</v>
      </c>
      <c r="R2800" t="s">
        <v>344</v>
      </c>
      <c r="S2800">
        <v>1</v>
      </c>
    </row>
    <row r="2801" spans="1:19" x14ac:dyDescent="0.25">
      <c r="A2801" t="s">
        <v>30</v>
      </c>
      <c r="B2801" t="s">
        <v>134</v>
      </c>
      <c r="C2801">
        <v>1520</v>
      </c>
      <c r="D2801" t="s">
        <v>340</v>
      </c>
      <c r="E2801">
        <v>30.8</v>
      </c>
      <c r="F2801">
        <v>14.87</v>
      </c>
      <c r="G2801">
        <v>10.98</v>
      </c>
      <c r="H2801">
        <v>25.84</v>
      </c>
      <c r="I2801" t="s">
        <v>343</v>
      </c>
      <c r="J2801">
        <v>36.18</v>
      </c>
      <c r="K2801">
        <v>0.83</v>
      </c>
      <c r="L2801" t="s">
        <v>346</v>
      </c>
      <c r="M2801" s="1">
        <v>8.3000000000000001E-3</v>
      </c>
      <c r="N2801" t="s">
        <v>349</v>
      </c>
      <c r="O2801">
        <v>1.8</v>
      </c>
      <c r="P2801" t="s">
        <v>343</v>
      </c>
      <c r="Q2801">
        <v>-2.72</v>
      </c>
      <c r="R2801" t="s">
        <v>344</v>
      </c>
      <c r="S2801">
        <v>1</v>
      </c>
    </row>
    <row r="2802" spans="1:19" x14ac:dyDescent="0.25">
      <c r="A2802" t="s">
        <v>30</v>
      </c>
      <c r="B2802" t="s">
        <v>135</v>
      </c>
      <c r="C2802">
        <v>1540</v>
      </c>
      <c r="D2802" t="s">
        <v>340</v>
      </c>
      <c r="E2802">
        <v>30.8</v>
      </c>
      <c r="F2802">
        <v>16.34</v>
      </c>
      <c r="G2802">
        <v>11.71</v>
      </c>
      <c r="H2802">
        <v>28.04</v>
      </c>
      <c r="I2802" t="s">
        <v>343</v>
      </c>
      <c r="J2802">
        <v>36.64</v>
      </c>
      <c r="K2802">
        <v>2.2999999999999998</v>
      </c>
      <c r="L2802" t="s">
        <v>346</v>
      </c>
      <c r="M2802" s="1">
        <v>2.3E-2</v>
      </c>
      <c r="N2802" t="s">
        <v>350</v>
      </c>
      <c r="O2802">
        <v>2.27</v>
      </c>
      <c r="P2802" t="s">
        <v>344</v>
      </c>
      <c r="Q2802">
        <v>-3.31</v>
      </c>
      <c r="R2802" t="s">
        <v>344</v>
      </c>
      <c r="S2802">
        <v>1</v>
      </c>
    </row>
    <row r="2803" spans="1:19" x14ac:dyDescent="0.25">
      <c r="A2803" t="s">
        <v>30</v>
      </c>
      <c r="B2803" t="s">
        <v>136</v>
      </c>
      <c r="C2803">
        <v>1560</v>
      </c>
      <c r="D2803" t="s">
        <v>340</v>
      </c>
      <c r="E2803">
        <v>30.8</v>
      </c>
      <c r="F2803">
        <v>15.68</v>
      </c>
      <c r="G2803">
        <v>13.02</v>
      </c>
      <c r="H2803">
        <v>28.69</v>
      </c>
      <c r="I2803" t="s">
        <v>343</v>
      </c>
      <c r="J2803">
        <v>37.369999999999997</v>
      </c>
      <c r="K2803">
        <v>3.69</v>
      </c>
      <c r="L2803" t="s">
        <v>346</v>
      </c>
      <c r="M2803" s="1">
        <v>3.6900000000000002E-2</v>
      </c>
      <c r="N2803" t="s">
        <v>350</v>
      </c>
      <c r="O2803">
        <v>2.86</v>
      </c>
      <c r="P2803" t="s">
        <v>344</v>
      </c>
      <c r="Q2803">
        <v>-3.74</v>
      </c>
      <c r="R2803" t="s">
        <v>344</v>
      </c>
      <c r="S2803">
        <v>1</v>
      </c>
    </row>
    <row r="2804" spans="1:19" x14ac:dyDescent="0.25">
      <c r="A2804" t="s">
        <v>30</v>
      </c>
      <c r="B2804" t="s">
        <v>137</v>
      </c>
      <c r="C2804">
        <v>1580</v>
      </c>
      <c r="D2804" t="s">
        <v>340</v>
      </c>
      <c r="E2804">
        <v>30.8</v>
      </c>
      <c r="F2804">
        <v>18.16</v>
      </c>
      <c r="G2804">
        <v>14.27</v>
      </c>
      <c r="H2804">
        <v>32.42</v>
      </c>
      <c r="I2804" t="s">
        <v>344</v>
      </c>
      <c r="J2804">
        <v>38.31</v>
      </c>
      <c r="K2804">
        <v>4.67</v>
      </c>
      <c r="L2804" t="s">
        <v>346</v>
      </c>
      <c r="M2804" s="1">
        <v>4.6699999999999998E-2</v>
      </c>
      <c r="N2804" t="s">
        <v>350</v>
      </c>
      <c r="O2804">
        <v>0.46</v>
      </c>
      <c r="P2804" t="s">
        <v>343</v>
      </c>
      <c r="Q2804">
        <v>-3.06</v>
      </c>
      <c r="R2804" t="s">
        <v>344</v>
      </c>
      <c r="S2804">
        <v>1</v>
      </c>
    </row>
    <row r="2805" spans="1:19" x14ac:dyDescent="0.25">
      <c r="A2805" t="s">
        <v>30</v>
      </c>
      <c r="B2805" t="s">
        <v>138</v>
      </c>
      <c r="C2805">
        <v>1600</v>
      </c>
      <c r="D2805" t="s">
        <v>340</v>
      </c>
      <c r="E2805">
        <v>30.8</v>
      </c>
      <c r="F2805">
        <v>16.91</v>
      </c>
      <c r="G2805">
        <v>18.34</v>
      </c>
      <c r="H2805">
        <v>35.24</v>
      </c>
      <c r="I2805" t="s">
        <v>344</v>
      </c>
      <c r="J2805">
        <v>40.840000000000003</v>
      </c>
      <c r="K2805">
        <v>12.67</v>
      </c>
      <c r="L2805" t="s">
        <v>348</v>
      </c>
      <c r="M2805" s="1">
        <v>0.12670000000000001</v>
      </c>
      <c r="N2805" t="s">
        <v>350</v>
      </c>
      <c r="O2805">
        <v>1.2</v>
      </c>
      <c r="P2805" t="s">
        <v>343</v>
      </c>
      <c r="Q2805">
        <v>-2.5499999999999998</v>
      </c>
      <c r="R2805" t="s">
        <v>344</v>
      </c>
      <c r="S2805">
        <v>1</v>
      </c>
    </row>
    <row r="2806" spans="1:19" x14ac:dyDescent="0.25">
      <c r="A2806" t="s">
        <v>30</v>
      </c>
      <c r="B2806" t="s">
        <v>139</v>
      </c>
      <c r="C2806">
        <v>1620</v>
      </c>
      <c r="D2806" t="s">
        <v>340</v>
      </c>
      <c r="E2806">
        <v>30.8</v>
      </c>
      <c r="F2806">
        <v>18.16</v>
      </c>
      <c r="G2806">
        <v>18.16</v>
      </c>
      <c r="H2806">
        <v>36.32</v>
      </c>
      <c r="I2806" t="s">
        <v>344</v>
      </c>
      <c r="J2806">
        <v>41.79</v>
      </c>
      <c r="K2806">
        <v>4.74</v>
      </c>
      <c r="L2806" t="s">
        <v>346</v>
      </c>
      <c r="M2806" s="1">
        <v>4.7399999999999998E-2</v>
      </c>
      <c r="N2806" t="s">
        <v>350</v>
      </c>
      <c r="O2806">
        <v>-1.1000000000000001</v>
      </c>
      <c r="P2806" t="s">
        <v>343</v>
      </c>
      <c r="Q2806">
        <v>-3.05</v>
      </c>
      <c r="R2806" t="s">
        <v>344</v>
      </c>
      <c r="S2806">
        <v>1</v>
      </c>
    </row>
    <row r="2807" spans="1:19" x14ac:dyDescent="0.25">
      <c r="A2807" t="s">
        <v>30</v>
      </c>
      <c r="B2807" t="s">
        <v>140</v>
      </c>
      <c r="C2807">
        <v>1640</v>
      </c>
      <c r="D2807" t="s">
        <v>340</v>
      </c>
      <c r="E2807">
        <v>30.8</v>
      </c>
      <c r="F2807">
        <v>18.170000000000002</v>
      </c>
      <c r="G2807">
        <v>20</v>
      </c>
      <c r="H2807">
        <v>38.17</v>
      </c>
      <c r="I2807" t="s">
        <v>344</v>
      </c>
      <c r="J2807">
        <v>40.97</v>
      </c>
      <c r="K2807">
        <v>-4.1100000000000003</v>
      </c>
      <c r="L2807" t="s">
        <v>346</v>
      </c>
      <c r="M2807" s="1">
        <v>4.1099999999999998E-2</v>
      </c>
      <c r="N2807" t="s">
        <v>350</v>
      </c>
      <c r="O2807">
        <v>0.59</v>
      </c>
      <c r="P2807" t="s">
        <v>343</v>
      </c>
      <c r="Q2807">
        <v>-4.67</v>
      </c>
      <c r="R2807" t="s">
        <v>343</v>
      </c>
      <c r="S2807">
        <v>1</v>
      </c>
    </row>
    <row r="2808" spans="1:19" x14ac:dyDescent="0.25">
      <c r="A2808" t="s">
        <v>30</v>
      </c>
      <c r="B2808" t="s">
        <v>141</v>
      </c>
      <c r="C2808">
        <v>1660</v>
      </c>
      <c r="D2808" t="s">
        <v>340</v>
      </c>
      <c r="E2808">
        <v>30.8</v>
      </c>
      <c r="F2808">
        <v>20</v>
      </c>
      <c r="G2808">
        <v>20</v>
      </c>
      <c r="H2808">
        <v>40</v>
      </c>
      <c r="I2808" t="s">
        <v>344</v>
      </c>
      <c r="J2808">
        <v>40.83</v>
      </c>
      <c r="K2808">
        <v>-0.7</v>
      </c>
      <c r="L2808" t="s">
        <v>346</v>
      </c>
      <c r="M2808" s="1">
        <v>6.9999999999999993E-3</v>
      </c>
      <c r="N2808" t="s">
        <v>349</v>
      </c>
      <c r="O2808">
        <v>2.34</v>
      </c>
      <c r="P2808" t="s">
        <v>344</v>
      </c>
      <c r="Q2808">
        <v>-4.08</v>
      </c>
      <c r="R2808" t="s">
        <v>343</v>
      </c>
      <c r="S2808">
        <v>1</v>
      </c>
    </row>
    <row r="2809" spans="1:19" x14ac:dyDescent="0.25">
      <c r="A2809" t="s">
        <v>30</v>
      </c>
      <c r="B2809" t="s">
        <v>142</v>
      </c>
      <c r="C2809">
        <v>1680</v>
      </c>
      <c r="D2809" t="s">
        <v>340</v>
      </c>
      <c r="E2809">
        <v>30.8</v>
      </c>
      <c r="F2809">
        <v>20</v>
      </c>
      <c r="G2809">
        <v>20</v>
      </c>
      <c r="H2809">
        <v>40</v>
      </c>
      <c r="I2809" t="s">
        <v>344</v>
      </c>
      <c r="J2809">
        <v>40.14</v>
      </c>
      <c r="K2809">
        <v>-3.45</v>
      </c>
      <c r="L2809" t="s">
        <v>346</v>
      </c>
      <c r="M2809" s="1">
        <v>3.4500000000000003E-2</v>
      </c>
      <c r="N2809" t="s">
        <v>350</v>
      </c>
      <c r="O2809">
        <v>3.09</v>
      </c>
      <c r="P2809" t="s">
        <v>344</v>
      </c>
      <c r="Q2809">
        <v>-4.4800000000000004</v>
      </c>
      <c r="R2809" t="s">
        <v>343</v>
      </c>
      <c r="S2809">
        <v>1</v>
      </c>
    </row>
    <row r="2810" spans="1:19" x14ac:dyDescent="0.25">
      <c r="A2810" t="s">
        <v>30</v>
      </c>
      <c r="B2810" t="s">
        <v>143</v>
      </c>
      <c r="C2810">
        <v>1700</v>
      </c>
      <c r="D2810" t="s">
        <v>340</v>
      </c>
      <c r="E2810">
        <v>30.8</v>
      </c>
      <c r="F2810">
        <v>20</v>
      </c>
      <c r="G2810">
        <v>20</v>
      </c>
      <c r="H2810">
        <v>40</v>
      </c>
      <c r="I2810" t="s">
        <v>344</v>
      </c>
      <c r="J2810">
        <v>41.88</v>
      </c>
      <c r="K2810">
        <v>8.73</v>
      </c>
      <c r="L2810" t="s">
        <v>347</v>
      </c>
      <c r="M2810" s="1">
        <v>8.7300000000000003E-2</v>
      </c>
      <c r="N2810" t="s">
        <v>350</v>
      </c>
      <c r="O2810">
        <v>2.71</v>
      </c>
      <c r="P2810" t="s">
        <v>344</v>
      </c>
      <c r="Q2810">
        <v>-4.08</v>
      </c>
      <c r="R2810" t="s">
        <v>343</v>
      </c>
      <c r="S2810">
        <v>1</v>
      </c>
    </row>
    <row r="2811" spans="1:19" x14ac:dyDescent="0.25">
      <c r="A2811" t="s">
        <v>30</v>
      </c>
      <c r="B2811" t="s">
        <v>144</v>
      </c>
      <c r="C2811">
        <v>1720</v>
      </c>
      <c r="D2811" t="s">
        <v>340</v>
      </c>
      <c r="E2811">
        <v>30.8</v>
      </c>
      <c r="F2811">
        <v>20</v>
      </c>
      <c r="G2811">
        <v>20</v>
      </c>
      <c r="H2811">
        <v>40</v>
      </c>
      <c r="I2811" t="s">
        <v>344</v>
      </c>
      <c r="J2811">
        <v>38.04</v>
      </c>
      <c r="K2811">
        <v>-19.239999999999998</v>
      </c>
      <c r="L2811" t="s">
        <v>348</v>
      </c>
      <c r="M2811" s="1">
        <v>0.19239999999999999</v>
      </c>
      <c r="N2811" t="s">
        <v>350</v>
      </c>
      <c r="O2811">
        <v>1.32</v>
      </c>
      <c r="P2811" t="s">
        <v>343</v>
      </c>
      <c r="Q2811">
        <v>-10.31</v>
      </c>
      <c r="R2811" t="s">
        <v>343</v>
      </c>
      <c r="S2811">
        <v>1</v>
      </c>
    </row>
    <row r="2812" spans="1:19" x14ac:dyDescent="0.25">
      <c r="A2812" t="s">
        <v>30</v>
      </c>
      <c r="B2812" t="s">
        <v>145</v>
      </c>
      <c r="C2812">
        <v>1740</v>
      </c>
      <c r="D2812" t="s">
        <v>340</v>
      </c>
      <c r="E2812">
        <v>30.8</v>
      </c>
      <c r="F2812">
        <v>16.87</v>
      </c>
      <c r="G2812">
        <v>20</v>
      </c>
      <c r="H2812">
        <v>36.869999999999997</v>
      </c>
      <c r="I2812" t="s">
        <v>344</v>
      </c>
      <c r="J2812">
        <v>36.340000000000003</v>
      </c>
      <c r="K2812">
        <v>-8.5</v>
      </c>
      <c r="L2812" t="s">
        <v>347</v>
      </c>
      <c r="M2812" s="1">
        <v>8.5000000000000006E-2</v>
      </c>
      <c r="N2812" t="s">
        <v>350</v>
      </c>
      <c r="O2812">
        <v>0.67</v>
      </c>
      <c r="P2812" t="s">
        <v>343</v>
      </c>
      <c r="Q2812">
        <v>-5.38</v>
      </c>
      <c r="R2812" t="s">
        <v>343</v>
      </c>
      <c r="S2812">
        <v>1</v>
      </c>
    </row>
    <row r="2813" spans="1:19" x14ac:dyDescent="0.25">
      <c r="A2813" t="s">
        <v>30</v>
      </c>
      <c r="B2813" t="s">
        <v>146</v>
      </c>
      <c r="C2813">
        <v>1760</v>
      </c>
      <c r="D2813" t="s">
        <v>340</v>
      </c>
      <c r="E2813">
        <v>30.8</v>
      </c>
      <c r="F2813">
        <v>16.510000000000002</v>
      </c>
      <c r="G2813">
        <v>20</v>
      </c>
      <c r="H2813">
        <v>36.51</v>
      </c>
      <c r="I2813" t="s">
        <v>344</v>
      </c>
      <c r="J2813">
        <v>34.67</v>
      </c>
      <c r="K2813">
        <v>-8.33</v>
      </c>
      <c r="L2813" t="s">
        <v>347</v>
      </c>
      <c r="M2813" s="1">
        <v>8.3299999999999999E-2</v>
      </c>
      <c r="N2813" t="s">
        <v>350</v>
      </c>
      <c r="O2813">
        <v>0.02</v>
      </c>
      <c r="P2813" t="s">
        <v>343</v>
      </c>
      <c r="Q2813">
        <v>-2.74</v>
      </c>
      <c r="R2813" t="s">
        <v>344</v>
      </c>
      <c r="S2813">
        <v>1</v>
      </c>
    </row>
    <row r="2814" spans="1:19" x14ac:dyDescent="0.25">
      <c r="A2814" t="s">
        <v>30</v>
      </c>
      <c r="B2814" t="s">
        <v>336</v>
      </c>
      <c r="C2814">
        <v>1774.922</v>
      </c>
      <c r="D2814" t="s">
        <v>340</v>
      </c>
      <c r="E2814">
        <v>30.8</v>
      </c>
      <c r="F2814">
        <v>15.34</v>
      </c>
      <c r="G2814">
        <v>20</v>
      </c>
      <c r="H2814">
        <v>35.340000000000003</v>
      </c>
      <c r="I2814" t="s">
        <v>344</v>
      </c>
      <c r="J2814">
        <v>33.65</v>
      </c>
      <c r="K2814">
        <v>-6.8</v>
      </c>
      <c r="L2814" t="s">
        <v>346</v>
      </c>
      <c r="M2814" s="1">
        <v>6.8000000000000005E-2</v>
      </c>
      <c r="N2814" t="s">
        <v>350</v>
      </c>
      <c r="O2814">
        <v>0.4</v>
      </c>
      <c r="P2814" t="s">
        <v>343</v>
      </c>
      <c r="Q2814">
        <v>-2.0299999999999998</v>
      </c>
      <c r="R2814" t="s">
        <v>344</v>
      </c>
      <c r="S2814">
        <v>0</v>
      </c>
    </row>
    <row r="2815" spans="1:19" x14ac:dyDescent="0.25">
      <c r="A2815" t="s">
        <v>54</v>
      </c>
      <c r="B2815" t="s">
        <v>56</v>
      </c>
      <c r="C2815">
        <v>0</v>
      </c>
      <c r="D2815" t="s">
        <v>342</v>
      </c>
      <c r="E2815">
        <v>24.15</v>
      </c>
      <c r="F2815">
        <v>15.57</v>
      </c>
      <c r="G2815">
        <v>20</v>
      </c>
      <c r="H2815">
        <v>35.57</v>
      </c>
      <c r="I2815" t="s">
        <v>344</v>
      </c>
      <c r="J2815">
        <v>57.02</v>
      </c>
      <c r="L2815" t="s">
        <v>345</v>
      </c>
      <c r="N2815" t="s">
        <v>345</v>
      </c>
      <c r="O2815">
        <v>-4.28</v>
      </c>
      <c r="P2815" t="s">
        <v>343</v>
      </c>
      <c r="Q2815">
        <v>7.01</v>
      </c>
      <c r="R2815" t="s">
        <v>343</v>
      </c>
      <c r="S2815">
        <v>1</v>
      </c>
    </row>
    <row r="2816" spans="1:19" x14ac:dyDescent="0.25">
      <c r="A2816" t="s">
        <v>54</v>
      </c>
      <c r="B2816" t="s">
        <v>57</v>
      </c>
      <c r="C2816">
        <v>20</v>
      </c>
      <c r="D2816" t="s">
        <v>342</v>
      </c>
      <c r="E2816">
        <v>24.15</v>
      </c>
      <c r="F2816">
        <v>15.18</v>
      </c>
      <c r="G2816">
        <v>14.24</v>
      </c>
      <c r="H2816">
        <v>29.42</v>
      </c>
      <c r="I2816" t="s">
        <v>344</v>
      </c>
      <c r="J2816">
        <v>58.63</v>
      </c>
      <c r="K2816">
        <v>8.06</v>
      </c>
      <c r="L2816" t="s">
        <v>347</v>
      </c>
      <c r="M2816" s="1">
        <v>8.0600000000000005E-2</v>
      </c>
      <c r="N2816" t="s">
        <v>350</v>
      </c>
      <c r="O2816">
        <v>-1.63</v>
      </c>
      <c r="P2816" t="s">
        <v>343</v>
      </c>
      <c r="Q2816">
        <v>1.97</v>
      </c>
      <c r="R2816" t="s">
        <v>343</v>
      </c>
      <c r="S2816">
        <v>1</v>
      </c>
    </row>
    <row r="2817" spans="1:19" x14ac:dyDescent="0.25">
      <c r="A2817" t="s">
        <v>54</v>
      </c>
      <c r="B2817" t="s">
        <v>58</v>
      </c>
      <c r="C2817">
        <v>40</v>
      </c>
      <c r="D2817" t="s">
        <v>342</v>
      </c>
      <c r="E2817">
        <v>24.15</v>
      </c>
      <c r="F2817">
        <v>18.059999999999999</v>
      </c>
      <c r="G2817">
        <v>13.46</v>
      </c>
      <c r="H2817">
        <v>31.52</v>
      </c>
      <c r="I2817" t="s">
        <v>344</v>
      </c>
      <c r="J2817">
        <v>57.61</v>
      </c>
      <c r="K2817">
        <v>-5.09</v>
      </c>
      <c r="L2817" t="s">
        <v>346</v>
      </c>
      <c r="M2817" s="1">
        <v>5.0900000000000001E-2</v>
      </c>
      <c r="N2817" t="s">
        <v>350</v>
      </c>
      <c r="O2817">
        <v>-0.31</v>
      </c>
      <c r="P2817" t="s">
        <v>343</v>
      </c>
      <c r="Q2817">
        <v>-0.86</v>
      </c>
      <c r="R2817" t="s">
        <v>343</v>
      </c>
      <c r="S2817">
        <v>1</v>
      </c>
    </row>
    <row r="2818" spans="1:19" x14ac:dyDescent="0.25">
      <c r="A2818" t="s">
        <v>54</v>
      </c>
      <c r="B2818" t="s">
        <v>59</v>
      </c>
      <c r="C2818">
        <v>60</v>
      </c>
      <c r="D2818" t="s">
        <v>342</v>
      </c>
      <c r="E2818">
        <v>24.15</v>
      </c>
      <c r="F2818">
        <v>16.09</v>
      </c>
      <c r="G2818">
        <v>13.42</v>
      </c>
      <c r="H2818">
        <v>29.51</v>
      </c>
      <c r="I2818" t="s">
        <v>344</v>
      </c>
      <c r="J2818">
        <v>57.74</v>
      </c>
      <c r="K2818">
        <v>0.64</v>
      </c>
      <c r="L2818" t="s">
        <v>346</v>
      </c>
      <c r="M2818" s="1">
        <v>6.4000000000000003E-3</v>
      </c>
      <c r="N2818" t="s">
        <v>349</v>
      </c>
      <c r="O2818">
        <v>1.37</v>
      </c>
      <c r="P2818" t="s">
        <v>343</v>
      </c>
      <c r="Q2818">
        <v>-0.02</v>
      </c>
      <c r="R2818" t="s">
        <v>343</v>
      </c>
      <c r="S2818">
        <v>1</v>
      </c>
    </row>
    <row r="2819" spans="1:19" x14ac:dyDescent="0.25">
      <c r="A2819" t="s">
        <v>54</v>
      </c>
      <c r="B2819" t="s">
        <v>60</v>
      </c>
      <c r="C2819">
        <v>80</v>
      </c>
      <c r="D2819" t="s">
        <v>342</v>
      </c>
      <c r="E2819">
        <v>24.15</v>
      </c>
      <c r="F2819">
        <v>16.09</v>
      </c>
      <c r="G2819">
        <v>13.46</v>
      </c>
      <c r="H2819">
        <v>29.55</v>
      </c>
      <c r="I2819" t="s">
        <v>344</v>
      </c>
      <c r="J2819">
        <v>57.44</v>
      </c>
      <c r="K2819">
        <v>-1.49</v>
      </c>
      <c r="L2819" t="s">
        <v>346</v>
      </c>
      <c r="M2819" s="1">
        <v>1.49E-2</v>
      </c>
      <c r="N2819" t="s">
        <v>349</v>
      </c>
      <c r="O2819">
        <v>0.93</v>
      </c>
      <c r="P2819" t="s">
        <v>343</v>
      </c>
      <c r="Q2819">
        <v>-0.73</v>
      </c>
      <c r="R2819" t="s">
        <v>343</v>
      </c>
      <c r="S2819">
        <v>1</v>
      </c>
    </row>
    <row r="2820" spans="1:19" x14ac:dyDescent="0.25">
      <c r="A2820" t="s">
        <v>54</v>
      </c>
      <c r="B2820" t="s">
        <v>61</v>
      </c>
      <c r="C2820">
        <v>100</v>
      </c>
      <c r="D2820" t="s">
        <v>342</v>
      </c>
      <c r="E2820">
        <v>24.15</v>
      </c>
      <c r="F2820">
        <v>16.09</v>
      </c>
      <c r="G2820">
        <v>13.42</v>
      </c>
      <c r="H2820">
        <v>29.51</v>
      </c>
      <c r="I2820" t="s">
        <v>344</v>
      </c>
      <c r="J2820">
        <v>57</v>
      </c>
      <c r="K2820">
        <v>-2.21</v>
      </c>
      <c r="L2820" t="s">
        <v>346</v>
      </c>
      <c r="M2820" s="1">
        <v>2.2100000000000002E-2</v>
      </c>
      <c r="N2820" t="s">
        <v>350</v>
      </c>
      <c r="O2820">
        <v>0.92</v>
      </c>
      <c r="P2820" t="s">
        <v>343</v>
      </c>
      <c r="Q2820">
        <v>-0.34</v>
      </c>
      <c r="R2820" t="s">
        <v>343</v>
      </c>
      <c r="S2820">
        <v>1</v>
      </c>
    </row>
    <row r="2821" spans="1:19" x14ac:dyDescent="0.25">
      <c r="A2821" t="s">
        <v>54</v>
      </c>
      <c r="B2821" t="s">
        <v>62</v>
      </c>
      <c r="C2821">
        <v>120</v>
      </c>
      <c r="D2821" t="s">
        <v>342</v>
      </c>
      <c r="E2821">
        <v>24.15</v>
      </c>
      <c r="F2821">
        <v>14.44</v>
      </c>
      <c r="G2821">
        <v>13.04</v>
      </c>
      <c r="H2821">
        <v>27.48</v>
      </c>
      <c r="I2821" t="s">
        <v>344</v>
      </c>
      <c r="J2821">
        <v>56.46</v>
      </c>
      <c r="K2821">
        <v>-2.71</v>
      </c>
      <c r="L2821" t="s">
        <v>346</v>
      </c>
      <c r="M2821" s="1">
        <v>2.7099999999999999E-2</v>
      </c>
      <c r="N2821" t="s">
        <v>350</v>
      </c>
      <c r="O2821">
        <v>1.3</v>
      </c>
      <c r="P2821" t="s">
        <v>343</v>
      </c>
      <c r="Q2821">
        <v>0.56000000000000005</v>
      </c>
      <c r="R2821" t="s">
        <v>343</v>
      </c>
      <c r="S2821">
        <v>1</v>
      </c>
    </row>
    <row r="2822" spans="1:19" x14ac:dyDescent="0.25">
      <c r="A2822" t="s">
        <v>54</v>
      </c>
      <c r="B2822" t="s">
        <v>63</v>
      </c>
      <c r="C2822">
        <v>140</v>
      </c>
      <c r="D2822" t="s">
        <v>342</v>
      </c>
      <c r="E2822">
        <v>24.15</v>
      </c>
      <c r="F2822">
        <v>14.24</v>
      </c>
      <c r="G2822">
        <v>11.84</v>
      </c>
      <c r="H2822">
        <v>26.08</v>
      </c>
      <c r="I2822" t="s">
        <v>344</v>
      </c>
      <c r="J2822">
        <v>55.69</v>
      </c>
      <c r="K2822">
        <v>-3.81</v>
      </c>
      <c r="L2822" t="s">
        <v>346</v>
      </c>
      <c r="M2822" s="1">
        <v>3.8100000000000002E-2</v>
      </c>
      <c r="N2822" t="s">
        <v>350</v>
      </c>
      <c r="O2822">
        <v>2.58</v>
      </c>
      <c r="P2822" t="s">
        <v>344</v>
      </c>
      <c r="Q2822">
        <v>0.03</v>
      </c>
      <c r="R2822" t="s">
        <v>343</v>
      </c>
      <c r="S2822">
        <v>1</v>
      </c>
    </row>
    <row r="2823" spans="1:19" x14ac:dyDescent="0.25">
      <c r="A2823" t="s">
        <v>54</v>
      </c>
      <c r="B2823" t="s">
        <v>64</v>
      </c>
      <c r="C2823">
        <v>160</v>
      </c>
      <c r="D2823" t="s">
        <v>342</v>
      </c>
      <c r="E2823">
        <v>24.15</v>
      </c>
      <c r="F2823">
        <v>13.55</v>
      </c>
      <c r="G2823">
        <v>11.92</v>
      </c>
      <c r="H2823">
        <v>25.46</v>
      </c>
      <c r="I2823" t="s">
        <v>344</v>
      </c>
      <c r="J2823">
        <v>54.59</v>
      </c>
      <c r="K2823">
        <v>-5.53</v>
      </c>
      <c r="L2823" t="s">
        <v>346</v>
      </c>
      <c r="M2823" s="1">
        <v>5.5300000000000002E-2</v>
      </c>
      <c r="N2823" t="s">
        <v>350</v>
      </c>
      <c r="O2823">
        <v>2.56</v>
      </c>
      <c r="P2823" t="s">
        <v>344</v>
      </c>
      <c r="Q2823">
        <v>0.15</v>
      </c>
      <c r="R2823" t="s">
        <v>343</v>
      </c>
      <c r="S2823">
        <v>1</v>
      </c>
    </row>
    <row r="2824" spans="1:19" x14ac:dyDescent="0.25">
      <c r="A2824" t="s">
        <v>54</v>
      </c>
      <c r="B2824" t="s">
        <v>65</v>
      </c>
      <c r="C2824">
        <v>180</v>
      </c>
      <c r="D2824" t="s">
        <v>342</v>
      </c>
      <c r="E2824">
        <v>24.15</v>
      </c>
      <c r="F2824">
        <v>13.56</v>
      </c>
      <c r="G2824">
        <v>11.52</v>
      </c>
      <c r="H2824">
        <v>25.08</v>
      </c>
      <c r="I2824" t="s">
        <v>344</v>
      </c>
      <c r="J2824">
        <v>53.41</v>
      </c>
      <c r="K2824">
        <v>-5.88</v>
      </c>
      <c r="L2824" t="s">
        <v>346</v>
      </c>
      <c r="M2824" s="1">
        <v>5.8799999999999998E-2</v>
      </c>
      <c r="N2824" t="s">
        <v>350</v>
      </c>
      <c r="O2824">
        <v>1.88</v>
      </c>
      <c r="P2824" t="s">
        <v>343</v>
      </c>
      <c r="Q2824">
        <v>1.03</v>
      </c>
      <c r="R2824" t="s">
        <v>343</v>
      </c>
      <c r="S2824">
        <v>1</v>
      </c>
    </row>
    <row r="2825" spans="1:19" x14ac:dyDescent="0.25">
      <c r="A2825" t="s">
        <v>54</v>
      </c>
      <c r="B2825" t="s">
        <v>66</v>
      </c>
      <c r="C2825">
        <v>200</v>
      </c>
      <c r="D2825" t="s">
        <v>342</v>
      </c>
      <c r="E2825">
        <v>24.15</v>
      </c>
      <c r="F2825">
        <v>13.79</v>
      </c>
      <c r="G2825">
        <v>12.13</v>
      </c>
      <c r="H2825">
        <v>25.92</v>
      </c>
      <c r="I2825" t="s">
        <v>344</v>
      </c>
      <c r="J2825">
        <v>52.07</v>
      </c>
      <c r="K2825">
        <v>-6.73</v>
      </c>
      <c r="L2825" t="s">
        <v>346</v>
      </c>
      <c r="M2825" s="1">
        <v>6.7299999999999999E-2</v>
      </c>
      <c r="N2825" t="s">
        <v>350</v>
      </c>
      <c r="O2825">
        <v>1.1599999999999999</v>
      </c>
      <c r="P2825" t="s">
        <v>343</v>
      </c>
      <c r="Q2825">
        <v>2.2200000000000002</v>
      </c>
      <c r="R2825" t="s">
        <v>344</v>
      </c>
      <c r="S2825">
        <v>1</v>
      </c>
    </row>
    <row r="2826" spans="1:19" x14ac:dyDescent="0.25">
      <c r="A2826" t="s">
        <v>54</v>
      </c>
      <c r="B2826" t="s">
        <v>67</v>
      </c>
      <c r="C2826">
        <v>220</v>
      </c>
      <c r="D2826" t="s">
        <v>342</v>
      </c>
      <c r="E2826">
        <v>24.15</v>
      </c>
      <c r="F2826">
        <v>13.68</v>
      </c>
      <c r="G2826">
        <v>12.9</v>
      </c>
      <c r="H2826">
        <v>26.58</v>
      </c>
      <c r="I2826" t="s">
        <v>344</v>
      </c>
      <c r="J2826">
        <v>50.54</v>
      </c>
      <c r="K2826">
        <v>-7.65</v>
      </c>
      <c r="L2826" t="s">
        <v>346</v>
      </c>
      <c r="M2826" s="1">
        <v>7.6499999999999999E-2</v>
      </c>
      <c r="N2826" t="s">
        <v>350</v>
      </c>
      <c r="O2826">
        <v>1.48</v>
      </c>
      <c r="P2826" t="s">
        <v>343</v>
      </c>
      <c r="Q2826">
        <v>2.64</v>
      </c>
      <c r="R2826" t="s">
        <v>344</v>
      </c>
      <c r="S2826">
        <v>1</v>
      </c>
    </row>
    <row r="2827" spans="1:19" x14ac:dyDescent="0.25">
      <c r="A2827" t="s">
        <v>54</v>
      </c>
      <c r="B2827" t="s">
        <v>68</v>
      </c>
      <c r="C2827">
        <v>240</v>
      </c>
      <c r="D2827" t="s">
        <v>342</v>
      </c>
      <c r="E2827">
        <v>24.15</v>
      </c>
      <c r="F2827">
        <v>14.17</v>
      </c>
      <c r="G2827">
        <v>14.05</v>
      </c>
      <c r="H2827">
        <v>28.22</v>
      </c>
      <c r="I2827" t="s">
        <v>344</v>
      </c>
      <c r="J2827">
        <v>48.95</v>
      </c>
      <c r="K2827">
        <v>-7.95</v>
      </c>
      <c r="L2827" t="s">
        <v>346</v>
      </c>
      <c r="M2827" s="1">
        <v>7.9500000000000001E-2</v>
      </c>
      <c r="N2827" t="s">
        <v>350</v>
      </c>
      <c r="O2827">
        <v>1.02</v>
      </c>
      <c r="P2827" t="s">
        <v>343</v>
      </c>
      <c r="Q2827">
        <v>2.34</v>
      </c>
      <c r="R2827" t="s">
        <v>344</v>
      </c>
      <c r="S2827">
        <v>1</v>
      </c>
    </row>
    <row r="2828" spans="1:19" x14ac:dyDescent="0.25">
      <c r="A2828" t="s">
        <v>54</v>
      </c>
      <c r="B2828" t="s">
        <v>69</v>
      </c>
      <c r="C2828">
        <v>260</v>
      </c>
      <c r="D2828" t="s">
        <v>342</v>
      </c>
      <c r="E2828">
        <v>24.15</v>
      </c>
      <c r="F2828">
        <v>14.15</v>
      </c>
      <c r="G2828">
        <v>14.25</v>
      </c>
      <c r="H2828">
        <v>28.4</v>
      </c>
      <c r="I2828" t="s">
        <v>344</v>
      </c>
      <c r="J2828">
        <v>47.34</v>
      </c>
      <c r="K2828">
        <v>-8.0299999999999994</v>
      </c>
      <c r="L2828" t="s">
        <v>347</v>
      </c>
      <c r="M2828" s="1">
        <v>8.0299999999999996E-2</v>
      </c>
      <c r="N2828" t="s">
        <v>350</v>
      </c>
      <c r="O2828">
        <v>-0.22</v>
      </c>
      <c r="P2828" t="s">
        <v>343</v>
      </c>
      <c r="Q2828">
        <v>3.75</v>
      </c>
      <c r="R2828" t="s">
        <v>344</v>
      </c>
      <c r="S2828">
        <v>1</v>
      </c>
    </row>
    <row r="2829" spans="1:19" x14ac:dyDescent="0.25">
      <c r="A2829" t="s">
        <v>54</v>
      </c>
      <c r="B2829" t="s">
        <v>70</v>
      </c>
      <c r="C2829">
        <v>280</v>
      </c>
      <c r="D2829" t="s">
        <v>342</v>
      </c>
      <c r="E2829">
        <v>24.15</v>
      </c>
      <c r="F2829">
        <v>13.5</v>
      </c>
      <c r="G2829">
        <v>15.26</v>
      </c>
      <c r="H2829">
        <v>28.76</v>
      </c>
      <c r="I2829" t="s">
        <v>344</v>
      </c>
      <c r="J2829">
        <v>45.73</v>
      </c>
      <c r="K2829">
        <v>-8.0399999999999991</v>
      </c>
      <c r="L2829" t="s">
        <v>347</v>
      </c>
      <c r="M2829" s="1">
        <v>8.0399999999999985E-2</v>
      </c>
      <c r="N2829" t="s">
        <v>350</v>
      </c>
      <c r="O2829">
        <v>-0.46</v>
      </c>
      <c r="P2829" t="s">
        <v>343</v>
      </c>
      <c r="Q2829">
        <v>4.3099999999999996</v>
      </c>
      <c r="R2829" t="s">
        <v>343</v>
      </c>
      <c r="S2829">
        <v>1</v>
      </c>
    </row>
    <row r="2830" spans="1:19" x14ac:dyDescent="0.25">
      <c r="A2830" t="s">
        <v>54</v>
      </c>
      <c r="B2830" t="s">
        <v>71</v>
      </c>
      <c r="C2830">
        <v>300</v>
      </c>
      <c r="D2830" t="s">
        <v>342</v>
      </c>
      <c r="E2830">
        <v>24.15</v>
      </c>
      <c r="F2830">
        <v>13.36</v>
      </c>
      <c r="G2830">
        <v>16.350000000000001</v>
      </c>
      <c r="H2830">
        <v>29.7</v>
      </c>
      <c r="I2830" t="s">
        <v>344</v>
      </c>
      <c r="J2830">
        <v>44.18</v>
      </c>
      <c r="K2830">
        <v>-7.77</v>
      </c>
      <c r="L2830" t="s">
        <v>346</v>
      </c>
      <c r="M2830" s="1">
        <v>7.7699999999999991E-2</v>
      </c>
      <c r="N2830" t="s">
        <v>350</v>
      </c>
      <c r="O2830">
        <v>0</v>
      </c>
      <c r="P2830" t="s">
        <v>343</v>
      </c>
      <c r="Q2830">
        <v>4.3499999999999996</v>
      </c>
      <c r="R2830" t="s">
        <v>343</v>
      </c>
      <c r="S2830">
        <v>1</v>
      </c>
    </row>
    <row r="2831" spans="1:19" x14ac:dyDescent="0.25">
      <c r="A2831" t="s">
        <v>54</v>
      </c>
      <c r="B2831" t="s">
        <v>72</v>
      </c>
      <c r="C2831">
        <v>320</v>
      </c>
      <c r="D2831" t="s">
        <v>342</v>
      </c>
      <c r="E2831">
        <v>24.15</v>
      </c>
      <c r="F2831">
        <v>13.05</v>
      </c>
      <c r="G2831">
        <v>16.11</v>
      </c>
      <c r="H2831">
        <v>29.16</v>
      </c>
      <c r="I2831" t="s">
        <v>344</v>
      </c>
      <c r="J2831">
        <v>42.68</v>
      </c>
      <c r="K2831">
        <v>-7.5</v>
      </c>
      <c r="L2831" t="s">
        <v>346</v>
      </c>
      <c r="M2831" s="1">
        <v>7.4999999999999997E-2</v>
      </c>
      <c r="N2831" t="s">
        <v>350</v>
      </c>
      <c r="O2831">
        <v>0.23</v>
      </c>
      <c r="P2831" t="s">
        <v>343</v>
      </c>
      <c r="Q2831">
        <v>3.32</v>
      </c>
      <c r="R2831" t="s">
        <v>344</v>
      </c>
      <c r="S2831">
        <v>1</v>
      </c>
    </row>
    <row r="2832" spans="1:19" x14ac:dyDescent="0.25">
      <c r="A2832" t="s">
        <v>54</v>
      </c>
      <c r="B2832" t="s">
        <v>73</v>
      </c>
      <c r="C2832">
        <v>340</v>
      </c>
      <c r="D2832" t="s">
        <v>342</v>
      </c>
      <c r="E2832">
        <v>24.15</v>
      </c>
      <c r="F2832">
        <v>13.34</v>
      </c>
      <c r="G2832">
        <v>15.87</v>
      </c>
      <c r="H2832">
        <v>29.21</v>
      </c>
      <c r="I2832" t="s">
        <v>344</v>
      </c>
      <c r="J2832">
        <v>41.27</v>
      </c>
      <c r="K2832">
        <v>-7.02</v>
      </c>
      <c r="L2832" t="s">
        <v>346</v>
      </c>
      <c r="M2832" s="1">
        <v>7.0199999999999999E-2</v>
      </c>
      <c r="N2832" t="s">
        <v>350</v>
      </c>
      <c r="O2832">
        <v>-0.21</v>
      </c>
      <c r="P2832" t="s">
        <v>343</v>
      </c>
      <c r="Q2832">
        <v>3.94</v>
      </c>
      <c r="R2832" t="s">
        <v>344</v>
      </c>
      <c r="S2832">
        <v>1</v>
      </c>
    </row>
    <row r="2833" spans="1:19" x14ac:dyDescent="0.25">
      <c r="A2833" t="s">
        <v>54</v>
      </c>
      <c r="B2833" t="s">
        <v>74</v>
      </c>
      <c r="C2833">
        <v>360</v>
      </c>
      <c r="D2833" t="s">
        <v>342</v>
      </c>
      <c r="E2833">
        <v>24.15</v>
      </c>
      <c r="F2833">
        <v>13.54</v>
      </c>
      <c r="G2833">
        <v>15.38</v>
      </c>
      <c r="H2833">
        <v>28.92</v>
      </c>
      <c r="I2833" t="s">
        <v>344</v>
      </c>
      <c r="J2833">
        <v>39.86</v>
      </c>
      <c r="K2833">
        <v>-7.08</v>
      </c>
      <c r="L2833" t="s">
        <v>346</v>
      </c>
      <c r="M2833" s="1">
        <v>7.0800000000000002E-2</v>
      </c>
      <c r="N2833" t="s">
        <v>350</v>
      </c>
      <c r="O2833">
        <v>-1.56</v>
      </c>
      <c r="P2833" t="s">
        <v>343</v>
      </c>
      <c r="Q2833">
        <v>3.5</v>
      </c>
      <c r="R2833" t="s">
        <v>344</v>
      </c>
      <c r="S2833">
        <v>1</v>
      </c>
    </row>
    <row r="2834" spans="1:19" x14ac:dyDescent="0.25">
      <c r="A2834" t="s">
        <v>54</v>
      </c>
      <c r="B2834" t="s">
        <v>75</v>
      </c>
      <c r="C2834">
        <v>380</v>
      </c>
      <c r="D2834" t="s">
        <v>342</v>
      </c>
      <c r="E2834">
        <v>24.15</v>
      </c>
      <c r="F2834">
        <v>13.91</v>
      </c>
      <c r="G2834">
        <v>15.14</v>
      </c>
      <c r="H2834">
        <v>29.05</v>
      </c>
      <c r="I2834" t="s">
        <v>344</v>
      </c>
      <c r="J2834">
        <v>38.51</v>
      </c>
      <c r="K2834">
        <v>-6.75</v>
      </c>
      <c r="L2834" t="s">
        <v>346</v>
      </c>
      <c r="M2834" s="1">
        <v>6.7500000000000004E-2</v>
      </c>
      <c r="N2834" t="s">
        <v>350</v>
      </c>
      <c r="O2834">
        <v>-2.0099999999999998</v>
      </c>
      <c r="P2834" t="s">
        <v>344</v>
      </c>
      <c r="Q2834">
        <v>3.76</v>
      </c>
      <c r="R2834" t="s">
        <v>344</v>
      </c>
      <c r="S2834">
        <v>1</v>
      </c>
    </row>
    <row r="2835" spans="1:19" x14ac:dyDescent="0.25">
      <c r="A2835" t="s">
        <v>54</v>
      </c>
      <c r="B2835" t="s">
        <v>76</v>
      </c>
      <c r="C2835">
        <v>400</v>
      </c>
      <c r="D2835" t="s">
        <v>342</v>
      </c>
      <c r="E2835">
        <v>24.15</v>
      </c>
      <c r="F2835">
        <v>13.91</v>
      </c>
      <c r="G2835">
        <v>15.28</v>
      </c>
      <c r="H2835">
        <v>29.19</v>
      </c>
      <c r="I2835" t="s">
        <v>344</v>
      </c>
      <c r="J2835">
        <v>37.26</v>
      </c>
      <c r="K2835">
        <v>-6.23</v>
      </c>
      <c r="L2835" t="s">
        <v>346</v>
      </c>
      <c r="M2835" s="1">
        <v>6.2300000000000001E-2</v>
      </c>
      <c r="N2835" t="s">
        <v>350</v>
      </c>
      <c r="O2835">
        <v>-1.98</v>
      </c>
      <c r="P2835" t="s">
        <v>343</v>
      </c>
      <c r="Q2835">
        <v>3.77</v>
      </c>
      <c r="R2835" t="s">
        <v>344</v>
      </c>
      <c r="S2835">
        <v>1</v>
      </c>
    </row>
    <row r="2836" spans="1:19" x14ac:dyDescent="0.25">
      <c r="A2836" t="s">
        <v>54</v>
      </c>
      <c r="B2836" t="s">
        <v>77</v>
      </c>
      <c r="C2836">
        <v>420</v>
      </c>
      <c r="D2836" t="s">
        <v>342</v>
      </c>
      <c r="E2836">
        <v>24.15</v>
      </c>
      <c r="F2836">
        <v>14.03</v>
      </c>
      <c r="G2836">
        <v>15.41</v>
      </c>
      <c r="H2836">
        <v>29.44</v>
      </c>
      <c r="I2836" t="s">
        <v>344</v>
      </c>
      <c r="J2836">
        <v>36.380000000000003</v>
      </c>
      <c r="K2836">
        <v>-4.3899999999999997</v>
      </c>
      <c r="L2836" t="s">
        <v>346</v>
      </c>
      <c r="M2836" s="1">
        <v>4.3899999999999988E-2</v>
      </c>
      <c r="N2836" t="s">
        <v>350</v>
      </c>
      <c r="O2836">
        <v>-2.19</v>
      </c>
      <c r="P2836" t="s">
        <v>344</v>
      </c>
      <c r="Q2836">
        <v>1.27</v>
      </c>
      <c r="R2836" t="s">
        <v>343</v>
      </c>
      <c r="S2836">
        <v>1</v>
      </c>
    </row>
    <row r="2837" spans="1:19" x14ac:dyDescent="0.25">
      <c r="A2837" t="s">
        <v>54</v>
      </c>
      <c r="B2837" t="s">
        <v>78</v>
      </c>
      <c r="C2837">
        <v>440</v>
      </c>
      <c r="D2837" t="s">
        <v>342</v>
      </c>
      <c r="E2837">
        <v>24.15</v>
      </c>
      <c r="F2837">
        <v>13.78</v>
      </c>
      <c r="G2837">
        <v>14.42</v>
      </c>
      <c r="H2837">
        <v>28.2</v>
      </c>
      <c r="I2837" t="s">
        <v>344</v>
      </c>
      <c r="J2837">
        <v>35.82</v>
      </c>
      <c r="K2837">
        <v>-2.83</v>
      </c>
      <c r="L2837" t="s">
        <v>346</v>
      </c>
      <c r="M2837" s="1">
        <v>2.8299999999999999E-2</v>
      </c>
      <c r="N2837" t="s">
        <v>350</v>
      </c>
      <c r="O2837">
        <v>-1.44</v>
      </c>
      <c r="P2837" t="s">
        <v>343</v>
      </c>
      <c r="Q2837">
        <v>1.39</v>
      </c>
      <c r="R2837" t="s">
        <v>343</v>
      </c>
      <c r="S2837">
        <v>1</v>
      </c>
    </row>
    <row r="2838" spans="1:19" x14ac:dyDescent="0.25">
      <c r="A2838" t="s">
        <v>54</v>
      </c>
      <c r="B2838" t="s">
        <v>79</v>
      </c>
      <c r="C2838">
        <v>460</v>
      </c>
      <c r="D2838" t="s">
        <v>342</v>
      </c>
      <c r="E2838">
        <v>24.15</v>
      </c>
      <c r="F2838">
        <v>13.33</v>
      </c>
      <c r="G2838">
        <v>15.57</v>
      </c>
      <c r="H2838">
        <v>28.9</v>
      </c>
      <c r="I2838" t="s">
        <v>344</v>
      </c>
      <c r="J2838">
        <v>35.39</v>
      </c>
      <c r="K2838">
        <v>-2.12</v>
      </c>
      <c r="L2838" t="s">
        <v>346</v>
      </c>
      <c r="M2838" s="1">
        <v>2.12E-2</v>
      </c>
      <c r="N2838" t="s">
        <v>350</v>
      </c>
      <c r="O2838">
        <v>-1.37</v>
      </c>
      <c r="P2838" t="s">
        <v>343</v>
      </c>
      <c r="Q2838">
        <v>3.98</v>
      </c>
      <c r="R2838" t="s">
        <v>344</v>
      </c>
      <c r="S2838">
        <v>1</v>
      </c>
    </row>
    <row r="2839" spans="1:19" x14ac:dyDescent="0.25">
      <c r="A2839" t="s">
        <v>54</v>
      </c>
      <c r="B2839" t="s">
        <v>80</v>
      </c>
      <c r="C2839">
        <v>480</v>
      </c>
      <c r="D2839" t="s">
        <v>342</v>
      </c>
      <c r="E2839">
        <v>24.15</v>
      </c>
      <c r="F2839">
        <v>13.17</v>
      </c>
      <c r="G2839">
        <v>15.94</v>
      </c>
      <c r="H2839">
        <v>29.11</v>
      </c>
      <c r="I2839" t="s">
        <v>344</v>
      </c>
      <c r="J2839">
        <v>35.020000000000003</v>
      </c>
      <c r="K2839">
        <v>-1.88</v>
      </c>
      <c r="L2839" t="s">
        <v>346</v>
      </c>
      <c r="M2839" s="1">
        <v>1.8800000000000001E-2</v>
      </c>
      <c r="N2839" t="s">
        <v>349</v>
      </c>
      <c r="O2839">
        <v>-1.87</v>
      </c>
      <c r="P2839" t="s">
        <v>343</v>
      </c>
      <c r="Q2839">
        <v>3.71</v>
      </c>
      <c r="R2839" t="s">
        <v>344</v>
      </c>
      <c r="S2839">
        <v>1</v>
      </c>
    </row>
    <row r="2840" spans="1:19" x14ac:dyDescent="0.25">
      <c r="A2840" t="s">
        <v>54</v>
      </c>
      <c r="B2840" t="s">
        <v>81</v>
      </c>
      <c r="C2840">
        <v>500</v>
      </c>
      <c r="D2840" t="s">
        <v>342</v>
      </c>
      <c r="E2840">
        <v>24.15</v>
      </c>
      <c r="F2840">
        <v>13.27</v>
      </c>
      <c r="G2840">
        <v>16.82</v>
      </c>
      <c r="H2840">
        <v>30.09</v>
      </c>
      <c r="I2840" t="s">
        <v>344</v>
      </c>
      <c r="J2840">
        <v>34.770000000000003</v>
      </c>
      <c r="K2840">
        <v>-1.24</v>
      </c>
      <c r="L2840" t="s">
        <v>346</v>
      </c>
      <c r="M2840" s="1">
        <v>1.24E-2</v>
      </c>
      <c r="N2840" t="s">
        <v>349</v>
      </c>
      <c r="O2840">
        <v>-2.78</v>
      </c>
      <c r="P2840" t="s">
        <v>344</v>
      </c>
      <c r="Q2840">
        <v>3.05</v>
      </c>
      <c r="R2840" t="s">
        <v>344</v>
      </c>
      <c r="S2840">
        <v>1</v>
      </c>
    </row>
    <row r="2841" spans="1:19" x14ac:dyDescent="0.25">
      <c r="A2841" t="s">
        <v>54</v>
      </c>
      <c r="B2841" t="s">
        <v>82</v>
      </c>
      <c r="C2841">
        <v>520</v>
      </c>
      <c r="D2841" t="s">
        <v>342</v>
      </c>
      <c r="E2841">
        <v>24.15</v>
      </c>
      <c r="F2841">
        <v>12.41</v>
      </c>
      <c r="G2841">
        <v>16.95</v>
      </c>
      <c r="H2841">
        <v>29.36</v>
      </c>
      <c r="I2841" t="s">
        <v>344</v>
      </c>
      <c r="J2841">
        <v>34.799999999999997</v>
      </c>
      <c r="K2841">
        <v>0.15</v>
      </c>
      <c r="L2841" t="s">
        <v>346</v>
      </c>
      <c r="M2841" s="1">
        <v>1.5E-3</v>
      </c>
      <c r="N2841" t="s">
        <v>349</v>
      </c>
      <c r="O2841">
        <v>-1.51</v>
      </c>
      <c r="P2841" t="s">
        <v>343</v>
      </c>
      <c r="Q2841">
        <v>4.03</v>
      </c>
      <c r="R2841" t="s">
        <v>343</v>
      </c>
      <c r="S2841">
        <v>1</v>
      </c>
    </row>
    <row r="2842" spans="1:19" x14ac:dyDescent="0.25">
      <c r="A2842" t="s">
        <v>54</v>
      </c>
      <c r="B2842" t="s">
        <v>83</v>
      </c>
      <c r="C2842">
        <v>540</v>
      </c>
      <c r="D2842" t="s">
        <v>342</v>
      </c>
      <c r="E2842">
        <v>24.15</v>
      </c>
      <c r="F2842">
        <v>12.8</v>
      </c>
      <c r="G2842">
        <v>15.85</v>
      </c>
      <c r="H2842">
        <v>28.66</v>
      </c>
      <c r="I2842" t="s">
        <v>344</v>
      </c>
      <c r="J2842">
        <v>35.76</v>
      </c>
      <c r="K2842">
        <v>4.79</v>
      </c>
      <c r="L2842" t="s">
        <v>346</v>
      </c>
      <c r="M2842" s="1">
        <v>4.7899999999999998E-2</v>
      </c>
      <c r="N2842" t="s">
        <v>350</v>
      </c>
      <c r="O2842">
        <v>-0.37</v>
      </c>
      <c r="P2842" t="s">
        <v>343</v>
      </c>
      <c r="Q2842">
        <v>4.17</v>
      </c>
      <c r="R2842" t="s">
        <v>343</v>
      </c>
      <c r="S2842">
        <v>1</v>
      </c>
    </row>
    <row r="2843" spans="1:19" x14ac:dyDescent="0.25">
      <c r="A2843" t="s">
        <v>54</v>
      </c>
      <c r="B2843" t="s">
        <v>84</v>
      </c>
      <c r="C2843">
        <v>560</v>
      </c>
      <c r="D2843" t="s">
        <v>342</v>
      </c>
      <c r="E2843">
        <v>24.15</v>
      </c>
      <c r="F2843">
        <v>11.57</v>
      </c>
      <c r="G2843">
        <v>14.67</v>
      </c>
      <c r="H2843">
        <v>26.24</v>
      </c>
      <c r="I2843" t="s">
        <v>344</v>
      </c>
      <c r="J2843">
        <v>35.880000000000003</v>
      </c>
      <c r="K2843">
        <v>0.61</v>
      </c>
      <c r="L2843" t="s">
        <v>346</v>
      </c>
      <c r="M2843" s="1">
        <v>6.1000000000000004E-3</v>
      </c>
      <c r="N2843" t="s">
        <v>349</v>
      </c>
      <c r="O2843">
        <v>-2.5499999999999998</v>
      </c>
      <c r="P2843" t="s">
        <v>344</v>
      </c>
      <c r="Q2843">
        <v>4.8099999999999996</v>
      </c>
      <c r="R2843" t="s">
        <v>343</v>
      </c>
      <c r="S2843">
        <v>1</v>
      </c>
    </row>
    <row r="2844" spans="1:19" x14ac:dyDescent="0.25">
      <c r="A2844" t="s">
        <v>54</v>
      </c>
      <c r="B2844" t="s">
        <v>85</v>
      </c>
      <c r="C2844">
        <v>580</v>
      </c>
      <c r="D2844" t="s">
        <v>342</v>
      </c>
      <c r="E2844">
        <v>24.15</v>
      </c>
      <c r="F2844">
        <v>11.45</v>
      </c>
      <c r="G2844">
        <v>12.84</v>
      </c>
      <c r="H2844">
        <v>24.29</v>
      </c>
      <c r="I2844" t="s">
        <v>344</v>
      </c>
      <c r="J2844">
        <v>34.03</v>
      </c>
      <c r="K2844">
        <v>-9.24</v>
      </c>
      <c r="L2844" t="s">
        <v>348</v>
      </c>
      <c r="M2844" s="1">
        <v>9.2399999999999996E-2</v>
      </c>
      <c r="N2844" t="s">
        <v>350</v>
      </c>
      <c r="O2844">
        <v>-2.69</v>
      </c>
      <c r="P2844" t="s">
        <v>344</v>
      </c>
      <c r="Q2844">
        <v>5.08</v>
      </c>
      <c r="R2844" t="s">
        <v>343</v>
      </c>
      <c r="S2844">
        <v>1</v>
      </c>
    </row>
    <row r="2845" spans="1:19" x14ac:dyDescent="0.25">
      <c r="A2845" t="s">
        <v>54</v>
      </c>
      <c r="B2845" t="s">
        <v>86</v>
      </c>
      <c r="C2845">
        <v>600</v>
      </c>
      <c r="D2845" t="s">
        <v>342</v>
      </c>
      <c r="E2845">
        <v>24.15</v>
      </c>
      <c r="F2845">
        <v>11.56</v>
      </c>
      <c r="G2845">
        <v>12.86</v>
      </c>
      <c r="H2845">
        <v>24.42</v>
      </c>
      <c r="I2845" t="s">
        <v>344</v>
      </c>
      <c r="J2845">
        <v>33.799999999999997</v>
      </c>
      <c r="K2845">
        <v>-1.1499999999999999</v>
      </c>
      <c r="L2845" t="s">
        <v>346</v>
      </c>
      <c r="M2845" s="1">
        <v>1.15E-2</v>
      </c>
      <c r="N2845" t="s">
        <v>349</v>
      </c>
      <c r="O2845">
        <v>-0.38</v>
      </c>
      <c r="P2845" t="s">
        <v>343</v>
      </c>
      <c r="Q2845">
        <v>4.26</v>
      </c>
      <c r="R2845" t="s">
        <v>343</v>
      </c>
      <c r="S2845">
        <v>1</v>
      </c>
    </row>
    <row r="2846" spans="1:19" x14ac:dyDescent="0.25">
      <c r="A2846" t="s">
        <v>54</v>
      </c>
      <c r="B2846" t="s">
        <v>87</v>
      </c>
      <c r="C2846">
        <v>620</v>
      </c>
      <c r="D2846" t="s">
        <v>342</v>
      </c>
      <c r="E2846">
        <v>24.15</v>
      </c>
      <c r="F2846">
        <v>14.14</v>
      </c>
      <c r="G2846">
        <v>12.08</v>
      </c>
      <c r="H2846">
        <v>26.22</v>
      </c>
      <c r="I2846" t="s">
        <v>344</v>
      </c>
      <c r="J2846">
        <v>33.85</v>
      </c>
      <c r="K2846">
        <v>0.22</v>
      </c>
      <c r="L2846" t="s">
        <v>346</v>
      </c>
      <c r="M2846" s="1">
        <v>2.2000000000000001E-3</v>
      </c>
      <c r="N2846" t="s">
        <v>349</v>
      </c>
      <c r="O2846">
        <v>-1.71</v>
      </c>
      <c r="P2846" t="s">
        <v>343</v>
      </c>
      <c r="Q2846">
        <v>4.55</v>
      </c>
      <c r="R2846" t="s">
        <v>343</v>
      </c>
      <c r="S2846">
        <v>1</v>
      </c>
    </row>
    <row r="2847" spans="1:19" x14ac:dyDescent="0.25">
      <c r="A2847" t="s">
        <v>54</v>
      </c>
      <c r="B2847" t="s">
        <v>88</v>
      </c>
      <c r="C2847">
        <v>640</v>
      </c>
      <c r="D2847" t="s">
        <v>342</v>
      </c>
      <c r="E2847">
        <v>24.15</v>
      </c>
      <c r="F2847">
        <v>15.73</v>
      </c>
      <c r="G2847">
        <v>12.03</v>
      </c>
      <c r="H2847">
        <v>27.76</v>
      </c>
      <c r="I2847" t="s">
        <v>344</v>
      </c>
      <c r="J2847">
        <v>34.020000000000003</v>
      </c>
      <c r="K2847">
        <v>0.86</v>
      </c>
      <c r="L2847" t="s">
        <v>346</v>
      </c>
      <c r="M2847" s="1">
        <v>8.6E-3</v>
      </c>
      <c r="N2847" t="s">
        <v>349</v>
      </c>
      <c r="O2847">
        <v>-1.51</v>
      </c>
      <c r="P2847" t="s">
        <v>343</v>
      </c>
      <c r="Q2847">
        <v>4.0199999999999996</v>
      </c>
      <c r="R2847" t="s">
        <v>343</v>
      </c>
      <c r="S2847">
        <v>1</v>
      </c>
    </row>
    <row r="2848" spans="1:19" x14ac:dyDescent="0.25">
      <c r="A2848" t="s">
        <v>54</v>
      </c>
      <c r="B2848" t="s">
        <v>89</v>
      </c>
      <c r="C2848">
        <v>660</v>
      </c>
      <c r="D2848" t="s">
        <v>342</v>
      </c>
      <c r="E2848">
        <v>24.15</v>
      </c>
      <c r="F2848">
        <v>15.77</v>
      </c>
      <c r="G2848">
        <v>13.62</v>
      </c>
      <c r="H2848">
        <v>29.38</v>
      </c>
      <c r="I2848" t="s">
        <v>344</v>
      </c>
      <c r="J2848">
        <v>34.090000000000003</v>
      </c>
      <c r="K2848">
        <v>0.38</v>
      </c>
      <c r="L2848" t="s">
        <v>346</v>
      </c>
      <c r="M2848" s="1">
        <v>3.8E-3</v>
      </c>
      <c r="N2848" t="s">
        <v>349</v>
      </c>
      <c r="O2848">
        <v>-1.1000000000000001</v>
      </c>
      <c r="P2848" t="s">
        <v>343</v>
      </c>
      <c r="Q2848">
        <v>3.98</v>
      </c>
      <c r="R2848" t="s">
        <v>344</v>
      </c>
      <c r="S2848">
        <v>1</v>
      </c>
    </row>
    <row r="2849" spans="1:19" x14ac:dyDescent="0.25">
      <c r="A2849" t="s">
        <v>54</v>
      </c>
      <c r="B2849" t="s">
        <v>90</v>
      </c>
      <c r="C2849">
        <v>680</v>
      </c>
      <c r="D2849" t="s">
        <v>342</v>
      </c>
      <c r="E2849">
        <v>24.15</v>
      </c>
      <c r="F2849">
        <v>14.9</v>
      </c>
      <c r="G2849">
        <v>12.7</v>
      </c>
      <c r="H2849">
        <v>27.6</v>
      </c>
      <c r="I2849" t="s">
        <v>344</v>
      </c>
      <c r="J2849">
        <v>33.409999999999997</v>
      </c>
      <c r="K2849">
        <v>-3.41</v>
      </c>
      <c r="L2849" t="s">
        <v>346</v>
      </c>
      <c r="M2849" s="1">
        <v>3.4099999999999998E-2</v>
      </c>
      <c r="N2849" t="s">
        <v>350</v>
      </c>
      <c r="O2849">
        <v>-0.95</v>
      </c>
      <c r="P2849" t="s">
        <v>343</v>
      </c>
      <c r="Q2849">
        <v>2.48</v>
      </c>
      <c r="R2849" t="s">
        <v>344</v>
      </c>
      <c r="S2849">
        <v>1</v>
      </c>
    </row>
    <row r="2850" spans="1:19" x14ac:dyDescent="0.25">
      <c r="A2850" t="s">
        <v>54</v>
      </c>
      <c r="B2850" t="s">
        <v>91</v>
      </c>
      <c r="C2850">
        <v>700</v>
      </c>
      <c r="D2850" t="s">
        <v>342</v>
      </c>
      <c r="E2850">
        <v>24.15</v>
      </c>
      <c r="F2850">
        <v>13.83</v>
      </c>
      <c r="G2850">
        <v>12.7</v>
      </c>
      <c r="H2850">
        <v>26.53</v>
      </c>
      <c r="I2850" t="s">
        <v>344</v>
      </c>
      <c r="J2850">
        <v>32.43</v>
      </c>
      <c r="K2850">
        <v>-4.88</v>
      </c>
      <c r="L2850" t="s">
        <v>346</v>
      </c>
      <c r="M2850" s="1">
        <v>4.8800000000000003E-2</v>
      </c>
      <c r="N2850" t="s">
        <v>350</v>
      </c>
      <c r="O2850">
        <v>-0.84</v>
      </c>
      <c r="P2850" t="s">
        <v>343</v>
      </c>
      <c r="Q2850">
        <v>2.2000000000000002</v>
      </c>
      <c r="R2850" t="s">
        <v>344</v>
      </c>
      <c r="S2850">
        <v>1</v>
      </c>
    </row>
    <row r="2851" spans="1:19" x14ac:dyDescent="0.25">
      <c r="A2851" t="s">
        <v>54</v>
      </c>
      <c r="B2851" t="s">
        <v>92</v>
      </c>
      <c r="C2851">
        <v>720</v>
      </c>
      <c r="D2851" t="s">
        <v>342</v>
      </c>
      <c r="E2851">
        <v>24.15</v>
      </c>
      <c r="F2851">
        <v>11.74</v>
      </c>
      <c r="G2851">
        <v>12.2</v>
      </c>
      <c r="H2851">
        <v>23.93</v>
      </c>
      <c r="I2851" t="s">
        <v>343</v>
      </c>
      <c r="J2851">
        <v>32.119999999999997</v>
      </c>
      <c r="K2851">
        <v>-1.58</v>
      </c>
      <c r="L2851" t="s">
        <v>346</v>
      </c>
      <c r="M2851" s="1">
        <v>1.5800000000000002E-2</v>
      </c>
      <c r="N2851" t="s">
        <v>349</v>
      </c>
      <c r="O2851">
        <v>1.18</v>
      </c>
      <c r="P2851" t="s">
        <v>343</v>
      </c>
      <c r="Q2851">
        <v>1.93</v>
      </c>
      <c r="R2851" t="s">
        <v>343</v>
      </c>
      <c r="S2851">
        <v>1</v>
      </c>
    </row>
    <row r="2852" spans="1:19" x14ac:dyDescent="0.25">
      <c r="A2852" t="s">
        <v>54</v>
      </c>
      <c r="B2852" t="s">
        <v>93</v>
      </c>
      <c r="C2852">
        <v>740</v>
      </c>
      <c r="D2852" t="s">
        <v>342</v>
      </c>
      <c r="E2852">
        <v>24.15</v>
      </c>
      <c r="F2852">
        <v>10.23</v>
      </c>
      <c r="G2852">
        <v>11.81</v>
      </c>
      <c r="H2852">
        <v>22.04</v>
      </c>
      <c r="I2852" t="s">
        <v>343</v>
      </c>
      <c r="J2852">
        <v>31.93</v>
      </c>
      <c r="K2852">
        <v>-0.96</v>
      </c>
      <c r="L2852" t="s">
        <v>346</v>
      </c>
      <c r="M2852" s="1">
        <v>9.5999999999999992E-3</v>
      </c>
      <c r="N2852" t="s">
        <v>349</v>
      </c>
      <c r="O2852">
        <v>-0.89</v>
      </c>
      <c r="P2852" t="s">
        <v>343</v>
      </c>
      <c r="Q2852">
        <v>1.79</v>
      </c>
      <c r="R2852" t="s">
        <v>343</v>
      </c>
      <c r="S2852">
        <v>1</v>
      </c>
    </row>
    <row r="2853" spans="1:19" x14ac:dyDescent="0.25">
      <c r="A2853" t="s">
        <v>54</v>
      </c>
      <c r="B2853" t="s">
        <v>94</v>
      </c>
      <c r="C2853">
        <v>760</v>
      </c>
      <c r="D2853" t="s">
        <v>342</v>
      </c>
      <c r="E2853">
        <v>24.15</v>
      </c>
      <c r="F2853">
        <v>10.85</v>
      </c>
      <c r="G2853">
        <v>11.81</v>
      </c>
      <c r="H2853">
        <v>22.66</v>
      </c>
      <c r="I2853" t="s">
        <v>343</v>
      </c>
      <c r="J2853">
        <v>32.020000000000003</v>
      </c>
      <c r="K2853">
        <v>0.45</v>
      </c>
      <c r="L2853" t="s">
        <v>346</v>
      </c>
      <c r="M2853" s="1">
        <v>4.5000000000000014E-3</v>
      </c>
      <c r="N2853" t="s">
        <v>349</v>
      </c>
      <c r="O2853">
        <v>-0.98</v>
      </c>
      <c r="P2853" t="s">
        <v>343</v>
      </c>
      <c r="Q2853">
        <v>4.3600000000000003</v>
      </c>
      <c r="R2853" t="s">
        <v>343</v>
      </c>
      <c r="S2853">
        <v>1</v>
      </c>
    </row>
    <row r="2854" spans="1:19" x14ac:dyDescent="0.25">
      <c r="A2854" t="s">
        <v>54</v>
      </c>
      <c r="B2854" t="s">
        <v>95</v>
      </c>
      <c r="C2854">
        <v>780</v>
      </c>
      <c r="D2854" t="s">
        <v>342</v>
      </c>
      <c r="E2854">
        <v>24.15</v>
      </c>
      <c r="F2854">
        <v>10.33</v>
      </c>
      <c r="G2854">
        <v>11.23</v>
      </c>
      <c r="H2854">
        <v>21.56</v>
      </c>
      <c r="I2854" t="s">
        <v>343</v>
      </c>
      <c r="J2854">
        <v>32.32</v>
      </c>
      <c r="K2854">
        <v>1.51</v>
      </c>
      <c r="L2854" t="s">
        <v>346</v>
      </c>
      <c r="M2854" s="1">
        <v>1.5100000000000001E-2</v>
      </c>
      <c r="N2854" t="s">
        <v>349</v>
      </c>
      <c r="O2854">
        <v>-3.28</v>
      </c>
      <c r="P2854" t="s">
        <v>344</v>
      </c>
      <c r="Q2854">
        <v>6.24</v>
      </c>
      <c r="R2854" t="s">
        <v>343</v>
      </c>
      <c r="S2854">
        <v>1</v>
      </c>
    </row>
    <row r="2855" spans="1:19" x14ac:dyDescent="0.25">
      <c r="A2855" t="s">
        <v>54</v>
      </c>
      <c r="B2855" t="s">
        <v>96</v>
      </c>
      <c r="C2855">
        <v>800</v>
      </c>
      <c r="D2855" t="s">
        <v>342</v>
      </c>
      <c r="E2855">
        <v>24.15</v>
      </c>
      <c r="F2855">
        <v>10.050000000000001</v>
      </c>
      <c r="G2855">
        <v>10.43</v>
      </c>
      <c r="H2855">
        <v>20.47</v>
      </c>
      <c r="I2855" t="s">
        <v>343</v>
      </c>
      <c r="J2855">
        <v>32.96</v>
      </c>
      <c r="K2855">
        <v>3.21</v>
      </c>
      <c r="L2855" t="s">
        <v>346</v>
      </c>
      <c r="M2855" s="1">
        <v>3.2099999999999997E-2</v>
      </c>
      <c r="N2855" t="s">
        <v>350</v>
      </c>
      <c r="O2855">
        <v>-2.83</v>
      </c>
      <c r="P2855" t="s">
        <v>344</v>
      </c>
      <c r="Q2855">
        <v>3.68</v>
      </c>
      <c r="R2855" t="s">
        <v>344</v>
      </c>
      <c r="S2855">
        <v>1</v>
      </c>
    </row>
    <row r="2856" spans="1:19" x14ac:dyDescent="0.25">
      <c r="A2856" t="s">
        <v>54</v>
      </c>
      <c r="B2856" t="s">
        <v>97</v>
      </c>
      <c r="C2856">
        <v>820</v>
      </c>
      <c r="D2856" t="s">
        <v>342</v>
      </c>
      <c r="E2856">
        <v>24.15</v>
      </c>
      <c r="F2856">
        <v>10.65</v>
      </c>
      <c r="G2856">
        <v>10.29</v>
      </c>
      <c r="H2856">
        <v>20.94</v>
      </c>
      <c r="I2856" t="s">
        <v>343</v>
      </c>
      <c r="J2856">
        <v>34.049999999999997</v>
      </c>
      <c r="K2856">
        <v>5.45</v>
      </c>
      <c r="L2856" t="s">
        <v>346</v>
      </c>
      <c r="M2856" s="1">
        <v>5.45E-2</v>
      </c>
      <c r="N2856" t="s">
        <v>350</v>
      </c>
      <c r="O2856">
        <v>-2.21</v>
      </c>
      <c r="P2856" t="s">
        <v>344</v>
      </c>
      <c r="Q2856">
        <v>1.81</v>
      </c>
      <c r="R2856" t="s">
        <v>343</v>
      </c>
      <c r="S2856">
        <v>1</v>
      </c>
    </row>
    <row r="2857" spans="1:19" x14ac:dyDescent="0.25">
      <c r="A2857" t="s">
        <v>54</v>
      </c>
      <c r="B2857" t="s">
        <v>98</v>
      </c>
      <c r="C2857">
        <v>840</v>
      </c>
      <c r="D2857" t="s">
        <v>342</v>
      </c>
      <c r="E2857">
        <v>24.15</v>
      </c>
      <c r="F2857">
        <v>10.24</v>
      </c>
      <c r="G2857">
        <v>9.75</v>
      </c>
      <c r="H2857">
        <v>19.989999999999998</v>
      </c>
      <c r="I2857" t="s">
        <v>343</v>
      </c>
      <c r="J2857">
        <v>34.85</v>
      </c>
      <c r="K2857">
        <v>4.03</v>
      </c>
      <c r="L2857" t="s">
        <v>346</v>
      </c>
      <c r="M2857" s="1">
        <v>4.0300000000000002E-2</v>
      </c>
      <c r="N2857" t="s">
        <v>350</v>
      </c>
      <c r="O2857">
        <v>0.2</v>
      </c>
      <c r="P2857" t="s">
        <v>343</v>
      </c>
      <c r="Q2857">
        <v>2.94</v>
      </c>
      <c r="R2857" t="s">
        <v>344</v>
      </c>
      <c r="S2857">
        <v>1</v>
      </c>
    </row>
    <row r="2858" spans="1:19" x14ac:dyDescent="0.25">
      <c r="A2858" t="s">
        <v>54</v>
      </c>
      <c r="B2858" t="s">
        <v>99</v>
      </c>
      <c r="C2858">
        <v>860</v>
      </c>
      <c r="D2858" t="s">
        <v>342</v>
      </c>
      <c r="E2858">
        <v>24.15</v>
      </c>
      <c r="F2858">
        <v>10.49</v>
      </c>
      <c r="G2858">
        <v>9.75</v>
      </c>
      <c r="H2858">
        <v>20.239999999999998</v>
      </c>
      <c r="I2858" t="s">
        <v>343</v>
      </c>
      <c r="J2858">
        <v>34.909999999999997</v>
      </c>
      <c r="K2858">
        <v>0.27</v>
      </c>
      <c r="L2858" t="s">
        <v>346</v>
      </c>
      <c r="M2858" s="1">
        <v>2.7000000000000001E-3</v>
      </c>
      <c r="N2858" t="s">
        <v>349</v>
      </c>
      <c r="O2858">
        <v>1.38</v>
      </c>
      <c r="P2858" t="s">
        <v>343</v>
      </c>
      <c r="Q2858">
        <v>0.37</v>
      </c>
      <c r="R2858" t="s">
        <v>343</v>
      </c>
      <c r="S2858">
        <v>1</v>
      </c>
    </row>
    <row r="2859" spans="1:19" x14ac:dyDescent="0.25">
      <c r="A2859" t="s">
        <v>54</v>
      </c>
      <c r="B2859" t="s">
        <v>100</v>
      </c>
      <c r="C2859">
        <v>880</v>
      </c>
      <c r="D2859" t="s">
        <v>342</v>
      </c>
      <c r="E2859">
        <v>24.15</v>
      </c>
      <c r="F2859">
        <v>9.93</v>
      </c>
      <c r="G2859">
        <v>9.75</v>
      </c>
      <c r="H2859">
        <v>19.68</v>
      </c>
      <c r="I2859" t="s">
        <v>343</v>
      </c>
      <c r="J2859">
        <v>34.74</v>
      </c>
      <c r="K2859">
        <v>-0.83</v>
      </c>
      <c r="L2859" t="s">
        <v>346</v>
      </c>
      <c r="M2859" s="1">
        <v>8.3000000000000001E-3</v>
      </c>
      <c r="N2859" t="s">
        <v>349</v>
      </c>
      <c r="O2859">
        <v>-0.06</v>
      </c>
      <c r="P2859" t="s">
        <v>343</v>
      </c>
      <c r="Q2859">
        <v>104.04</v>
      </c>
      <c r="R2859" t="s">
        <v>343</v>
      </c>
      <c r="S2859">
        <v>1</v>
      </c>
    </row>
    <row r="2860" spans="1:19" x14ac:dyDescent="0.25">
      <c r="A2860" t="s">
        <v>54</v>
      </c>
      <c r="B2860" t="s">
        <v>101</v>
      </c>
      <c r="C2860">
        <v>900</v>
      </c>
      <c r="D2860" t="s">
        <v>342</v>
      </c>
      <c r="E2860">
        <v>24.15</v>
      </c>
      <c r="F2860">
        <v>11.55</v>
      </c>
      <c r="G2860">
        <v>9.3000000000000007</v>
      </c>
      <c r="H2860">
        <v>20.85</v>
      </c>
      <c r="I2860" t="s">
        <v>343</v>
      </c>
      <c r="J2860">
        <v>34.75</v>
      </c>
      <c r="K2860">
        <v>0.02</v>
      </c>
      <c r="L2860" t="s">
        <v>346</v>
      </c>
      <c r="M2860" s="1">
        <v>2.0000000000000001E-4</v>
      </c>
      <c r="N2860" t="s">
        <v>349</v>
      </c>
      <c r="O2860">
        <v>0.28000000000000003</v>
      </c>
      <c r="P2860" t="s">
        <v>343</v>
      </c>
      <c r="Q2860">
        <v>0.27</v>
      </c>
      <c r="R2860" t="s">
        <v>343</v>
      </c>
      <c r="S2860">
        <v>1</v>
      </c>
    </row>
    <row r="2861" spans="1:19" x14ac:dyDescent="0.25">
      <c r="A2861" t="s">
        <v>54</v>
      </c>
      <c r="B2861" t="s">
        <v>102</v>
      </c>
      <c r="C2861">
        <v>920</v>
      </c>
      <c r="D2861" t="s">
        <v>342</v>
      </c>
      <c r="E2861">
        <v>24.15</v>
      </c>
      <c r="F2861">
        <v>12.27</v>
      </c>
      <c r="G2861">
        <v>10.55</v>
      </c>
      <c r="H2861">
        <v>22.82</v>
      </c>
      <c r="I2861" t="s">
        <v>343</v>
      </c>
      <c r="J2861">
        <v>34.64</v>
      </c>
      <c r="K2861">
        <v>-0.53</v>
      </c>
      <c r="L2861" t="s">
        <v>346</v>
      </c>
      <c r="M2861" s="1">
        <v>5.3E-3</v>
      </c>
      <c r="N2861" t="s">
        <v>349</v>
      </c>
      <c r="O2861">
        <v>0.26</v>
      </c>
      <c r="P2861" t="s">
        <v>343</v>
      </c>
      <c r="Q2861">
        <v>0.28000000000000003</v>
      </c>
      <c r="R2861" t="s">
        <v>343</v>
      </c>
      <c r="S2861">
        <v>1</v>
      </c>
    </row>
    <row r="2862" spans="1:19" x14ac:dyDescent="0.25">
      <c r="A2862" t="s">
        <v>54</v>
      </c>
      <c r="B2862" t="s">
        <v>103</v>
      </c>
      <c r="C2862">
        <v>940</v>
      </c>
      <c r="D2862" t="s">
        <v>342</v>
      </c>
      <c r="E2862">
        <v>24.15</v>
      </c>
      <c r="F2862">
        <v>11.8</v>
      </c>
      <c r="G2862">
        <v>9.94</v>
      </c>
      <c r="H2862">
        <v>21.74</v>
      </c>
      <c r="I2862" t="s">
        <v>343</v>
      </c>
      <c r="J2862">
        <v>34.479999999999997</v>
      </c>
      <c r="K2862">
        <v>-0.81</v>
      </c>
      <c r="L2862" t="s">
        <v>346</v>
      </c>
      <c r="M2862" s="1">
        <v>8.1000000000000013E-3</v>
      </c>
      <c r="N2862" t="s">
        <v>349</v>
      </c>
      <c r="O2862">
        <v>1.31</v>
      </c>
      <c r="P2862" t="s">
        <v>343</v>
      </c>
      <c r="Q2862">
        <v>-0.56999999999999995</v>
      </c>
      <c r="R2862" t="s">
        <v>343</v>
      </c>
      <c r="S2862">
        <v>1</v>
      </c>
    </row>
    <row r="2863" spans="1:19" x14ac:dyDescent="0.25">
      <c r="A2863" t="s">
        <v>54</v>
      </c>
      <c r="B2863" t="s">
        <v>104</v>
      </c>
      <c r="C2863">
        <v>960</v>
      </c>
      <c r="D2863" t="s">
        <v>342</v>
      </c>
      <c r="E2863">
        <v>24.15</v>
      </c>
      <c r="F2863">
        <v>11.68</v>
      </c>
      <c r="G2863">
        <v>10.44</v>
      </c>
      <c r="H2863">
        <v>22.12</v>
      </c>
      <c r="I2863" t="s">
        <v>343</v>
      </c>
      <c r="J2863">
        <v>34.47</v>
      </c>
      <c r="K2863">
        <v>-0.04</v>
      </c>
      <c r="L2863" t="s">
        <v>346</v>
      </c>
      <c r="M2863" s="1">
        <v>4.0000000000000002E-4</v>
      </c>
      <c r="N2863" t="s">
        <v>349</v>
      </c>
      <c r="O2863">
        <v>2.1800000000000002</v>
      </c>
      <c r="P2863" t="s">
        <v>344</v>
      </c>
      <c r="Q2863">
        <v>-1.6</v>
      </c>
      <c r="R2863" t="s">
        <v>343</v>
      </c>
      <c r="S2863">
        <v>1</v>
      </c>
    </row>
    <row r="2864" spans="1:19" x14ac:dyDescent="0.25">
      <c r="A2864" t="s">
        <v>54</v>
      </c>
      <c r="B2864" t="s">
        <v>105</v>
      </c>
      <c r="C2864">
        <v>980</v>
      </c>
      <c r="D2864" t="s">
        <v>342</v>
      </c>
      <c r="E2864">
        <v>24.15</v>
      </c>
      <c r="F2864">
        <v>12.46</v>
      </c>
      <c r="G2864">
        <v>12.44</v>
      </c>
      <c r="H2864">
        <v>24.91</v>
      </c>
      <c r="I2864" t="s">
        <v>344</v>
      </c>
      <c r="J2864">
        <v>34.369999999999997</v>
      </c>
      <c r="K2864">
        <v>-0.5</v>
      </c>
      <c r="L2864" t="s">
        <v>346</v>
      </c>
      <c r="M2864" s="1">
        <v>5.0000000000000001E-3</v>
      </c>
      <c r="N2864" t="s">
        <v>349</v>
      </c>
      <c r="O2864">
        <v>2.66</v>
      </c>
      <c r="P2864" t="s">
        <v>344</v>
      </c>
      <c r="Q2864">
        <v>-0.79</v>
      </c>
      <c r="R2864" t="s">
        <v>343</v>
      </c>
      <c r="S2864">
        <v>1</v>
      </c>
    </row>
    <row r="2865" spans="1:19" x14ac:dyDescent="0.25">
      <c r="A2865" t="s">
        <v>54</v>
      </c>
      <c r="B2865" t="s">
        <v>106</v>
      </c>
      <c r="C2865">
        <v>1000</v>
      </c>
      <c r="D2865" t="s">
        <v>342</v>
      </c>
      <c r="E2865">
        <v>24.15</v>
      </c>
      <c r="F2865">
        <v>11.87</v>
      </c>
      <c r="G2865">
        <v>12.44</v>
      </c>
      <c r="H2865">
        <v>24.32</v>
      </c>
      <c r="I2865" t="s">
        <v>344</v>
      </c>
      <c r="J2865">
        <v>33.94</v>
      </c>
      <c r="K2865">
        <v>-2.17</v>
      </c>
      <c r="L2865" t="s">
        <v>346</v>
      </c>
      <c r="M2865" s="1">
        <v>2.1700000000000001E-2</v>
      </c>
      <c r="N2865" t="s">
        <v>350</v>
      </c>
      <c r="O2865">
        <v>1.79</v>
      </c>
      <c r="P2865" t="s">
        <v>343</v>
      </c>
      <c r="Q2865">
        <v>-1.51</v>
      </c>
      <c r="R2865" t="s">
        <v>343</v>
      </c>
      <c r="S2865">
        <v>1</v>
      </c>
    </row>
    <row r="2866" spans="1:19" x14ac:dyDescent="0.25">
      <c r="A2866" t="s">
        <v>54</v>
      </c>
      <c r="B2866" t="s">
        <v>108</v>
      </c>
      <c r="C2866">
        <v>1020</v>
      </c>
      <c r="D2866" t="s">
        <v>342</v>
      </c>
      <c r="E2866">
        <v>24.15</v>
      </c>
      <c r="F2866">
        <v>12.63</v>
      </c>
      <c r="G2866">
        <v>14.59</v>
      </c>
      <c r="H2866">
        <v>27.22</v>
      </c>
      <c r="I2866" t="s">
        <v>344</v>
      </c>
      <c r="J2866">
        <v>33.799999999999997</v>
      </c>
      <c r="K2866">
        <v>-0.7</v>
      </c>
      <c r="L2866" t="s">
        <v>346</v>
      </c>
      <c r="M2866" s="1">
        <v>6.9999999999999993E-3</v>
      </c>
      <c r="N2866" t="s">
        <v>349</v>
      </c>
      <c r="O2866">
        <v>1.1000000000000001</v>
      </c>
      <c r="P2866" t="s">
        <v>343</v>
      </c>
      <c r="Q2866">
        <v>-1.49</v>
      </c>
      <c r="R2866" t="s">
        <v>343</v>
      </c>
      <c r="S2866">
        <v>1</v>
      </c>
    </row>
    <row r="2867" spans="1:19" x14ac:dyDescent="0.25">
      <c r="A2867" t="s">
        <v>54</v>
      </c>
      <c r="B2867" t="s">
        <v>109</v>
      </c>
      <c r="C2867">
        <v>1040</v>
      </c>
      <c r="D2867" t="s">
        <v>342</v>
      </c>
      <c r="E2867">
        <v>24.15</v>
      </c>
      <c r="F2867">
        <v>13.22</v>
      </c>
      <c r="G2867">
        <v>11.98</v>
      </c>
      <c r="H2867">
        <v>25.2</v>
      </c>
      <c r="I2867" t="s">
        <v>344</v>
      </c>
      <c r="J2867">
        <v>33.81</v>
      </c>
      <c r="K2867">
        <v>0.05</v>
      </c>
      <c r="L2867" t="s">
        <v>346</v>
      </c>
      <c r="M2867" s="1">
        <v>5.0000000000000001E-4</v>
      </c>
      <c r="N2867" t="s">
        <v>349</v>
      </c>
      <c r="O2867">
        <v>0.48</v>
      </c>
      <c r="P2867" t="s">
        <v>343</v>
      </c>
      <c r="Q2867">
        <v>-0.16</v>
      </c>
      <c r="R2867" t="s">
        <v>343</v>
      </c>
      <c r="S2867">
        <v>1</v>
      </c>
    </row>
    <row r="2868" spans="1:19" x14ac:dyDescent="0.25">
      <c r="A2868" t="s">
        <v>54</v>
      </c>
      <c r="B2868" t="s">
        <v>110</v>
      </c>
      <c r="C2868">
        <v>1060</v>
      </c>
      <c r="D2868" t="s">
        <v>342</v>
      </c>
      <c r="E2868">
        <v>24.15</v>
      </c>
      <c r="F2868">
        <v>13.13</v>
      </c>
      <c r="G2868">
        <v>13.14</v>
      </c>
      <c r="H2868">
        <v>26.26</v>
      </c>
      <c r="I2868" t="s">
        <v>344</v>
      </c>
      <c r="J2868">
        <v>33.9</v>
      </c>
      <c r="K2868">
        <v>0.46</v>
      </c>
      <c r="L2868" t="s">
        <v>346</v>
      </c>
      <c r="M2868" s="1">
        <v>4.5999999999999999E-3</v>
      </c>
      <c r="N2868" t="s">
        <v>349</v>
      </c>
      <c r="O2868">
        <v>1.42</v>
      </c>
      <c r="P2868" t="s">
        <v>343</v>
      </c>
      <c r="Q2868">
        <v>2.74</v>
      </c>
      <c r="R2868" t="s">
        <v>344</v>
      </c>
      <c r="S2868">
        <v>1</v>
      </c>
    </row>
    <row r="2869" spans="1:19" x14ac:dyDescent="0.25">
      <c r="A2869" t="s">
        <v>54</v>
      </c>
      <c r="B2869" t="s">
        <v>111</v>
      </c>
      <c r="C2869">
        <v>1080</v>
      </c>
      <c r="D2869" t="s">
        <v>342</v>
      </c>
      <c r="E2869">
        <v>24.15</v>
      </c>
      <c r="F2869">
        <v>13.35</v>
      </c>
      <c r="G2869">
        <v>13.33</v>
      </c>
      <c r="H2869">
        <v>26.69</v>
      </c>
      <c r="I2869" t="s">
        <v>344</v>
      </c>
      <c r="J2869">
        <v>34.06</v>
      </c>
      <c r="K2869">
        <v>0.8</v>
      </c>
      <c r="L2869" t="s">
        <v>346</v>
      </c>
      <c r="M2869" s="1">
        <v>8.0000000000000002E-3</v>
      </c>
      <c r="N2869" t="s">
        <v>349</v>
      </c>
      <c r="O2869">
        <v>0.09</v>
      </c>
      <c r="P2869" t="s">
        <v>343</v>
      </c>
      <c r="Q2869">
        <v>0.52</v>
      </c>
      <c r="R2869" t="s">
        <v>343</v>
      </c>
      <c r="S2869">
        <v>1</v>
      </c>
    </row>
    <row r="2870" spans="1:19" x14ac:dyDescent="0.25">
      <c r="A2870" t="s">
        <v>54</v>
      </c>
      <c r="B2870" t="s">
        <v>112</v>
      </c>
      <c r="C2870">
        <v>1100</v>
      </c>
      <c r="D2870" t="s">
        <v>342</v>
      </c>
      <c r="E2870">
        <v>24.15</v>
      </c>
      <c r="F2870">
        <v>13.57</v>
      </c>
      <c r="G2870">
        <v>13.06</v>
      </c>
      <c r="H2870">
        <v>26.63</v>
      </c>
      <c r="I2870" t="s">
        <v>344</v>
      </c>
      <c r="J2870">
        <v>34.299999999999997</v>
      </c>
      <c r="K2870">
        <v>1.21</v>
      </c>
      <c r="L2870" t="s">
        <v>346</v>
      </c>
      <c r="M2870" s="1">
        <v>1.21E-2</v>
      </c>
      <c r="N2870" t="s">
        <v>349</v>
      </c>
      <c r="O2870">
        <v>-0.32</v>
      </c>
      <c r="P2870" t="s">
        <v>343</v>
      </c>
      <c r="Q2870">
        <v>1.1399999999999999</v>
      </c>
      <c r="R2870" t="s">
        <v>343</v>
      </c>
      <c r="S2870">
        <v>1</v>
      </c>
    </row>
    <row r="2871" spans="1:19" x14ac:dyDescent="0.25">
      <c r="A2871" t="s">
        <v>54</v>
      </c>
      <c r="B2871" t="s">
        <v>113</v>
      </c>
      <c r="C2871">
        <v>1120</v>
      </c>
      <c r="D2871" t="s">
        <v>342</v>
      </c>
      <c r="E2871">
        <v>24.15</v>
      </c>
      <c r="F2871">
        <v>13.32</v>
      </c>
      <c r="G2871">
        <v>14.25</v>
      </c>
      <c r="H2871">
        <v>27.56</v>
      </c>
      <c r="I2871" t="s">
        <v>344</v>
      </c>
      <c r="J2871">
        <v>34.93</v>
      </c>
      <c r="K2871">
        <v>3.13</v>
      </c>
      <c r="L2871" t="s">
        <v>346</v>
      </c>
      <c r="M2871" s="1">
        <v>3.1300000000000001E-2</v>
      </c>
      <c r="N2871" t="s">
        <v>350</v>
      </c>
      <c r="O2871">
        <v>-0.86</v>
      </c>
      <c r="P2871" t="s">
        <v>343</v>
      </c>
      <c r="Q2871">
        <v>2.36</v>
      </c>
      <c r="R2871" t="s">
        <v>344</v>
      </c>
      <c r="S2871">
        <v>1</v>
      </c>
    </row>
    <row r="2872" spans="1:19" x14ac:dyDescent="0.25">
      <c r="A2872" t="s">
        <v>54</v>
      </c>
      <c r="B2872" t="s">
        <v>114</v>
      </c>
      <c r="C2872">
        <v>1140</v>
      </c>
      <c r="D2872" t="s">
        <v>342</v>
      </c>
      <c r="E2872">
        <v>24.15</v>
      </c>
      <c r="F2872">
        <v>12.72</v>
      </c>
      <c r="G2872">
        <v>13.02</v>
      </c>
      <c r="H2872">
        <v>25.74</v>
      </c>
      <c r="I2872" t="s">
        <v>344</v>
      </c>
      <c r="J2872">
        <v>36.659999999999997</v>
      </c>
      <c r="K2872">
        <v>8.65</v>
      </c>
      <c r="L2872" t="s">
        <v>347</v>
      </c>
      <c r="M2872" s="1">
        <v>8.6500000000000007E-2</v>
      </c>
      <c r="N2872" t="s">
        <v>350</v>
      </c>
      <c r="O2872">
        <v>0.08</v>
      </c>
      <c r="P2872" t="s">
        <v>343</v>
      </c>
      <c r="Q2872">
        <v>0.1</v>
      </c>
      <c r="R2872" t="s">
        <v>343</v>
      </c>
      <c r="S2872">
        <v>1</v>
      </c>
    </row>
    <row r="2873" spans="1:19" x14ac:dyDescent="0.25">
      <c r="A2873" t="s">
        <v>54</v>
      </c>
      <c r="B2873" t="s">
        <v>115</v>
      </c>
      <c r="C2873">
        <v>1160</v>
      </c>
      <c r="D2873" t="s">
        <v>342</v>
      </c>
      <c r="E2873">
        <v>24.15</v>
      </c>
      <c r="F2873">
        <v>12.38</v>
      </c>
      <c r="G2873">
        <v>12.48</v>
      </c>
      <c r="H2873">
        <v>24.86</v>
      </c>
      <c r="I2873" t="s">
        <v>344</v>
      </c>
      <c r="J2873">
        <v>36.04</v>
      </c>
      <c r="K2873">
        <v>-3.1</v>
      </c>
      <c r="L2873" t="s">
        <v>346</v>
      </c>
      <c r="M2873" s="1">
        <v>3.1E-2</v>
      </c>
      <c r="N2873" t="s">
        <v>350</v>
      </c>
      <c r="O2873">
        <v>-1.23</v>
      </c>
      <c r="P2873" t="s">
        <v>343</v>
      </c>
      <c r="Q2873">
        <v>4.8899999999999997</v>
      </c>
      <c r="R2873" t="s">
        <v>343</v>
      </c>
      <c r="S2873">
        <v>1</v>
      </c>
    </row>
    <row r="2874" spans="1:19" x14ac:dyDescent="0.25">
      <c r="A2874" t="s">
        <v>54</v>
      </c>
      <c r="B2874" t="s">
        <v>116</v>
      </c>
      <c r="C2874">
        <v>1180</v>
      </c>
      <c r="D2874" t="s">
        <v>342</v>
      </c>
      <c r="E2874">
        <v>24.15</v>
      </c>
      <c r="F2874">
        <v>14.41</v>
      </c>
      <c r="G2874">
        <v>13.82</v>
      </c>
      <c r="H2874">
        <v>28.23</v>
      </c>
      <c r="I2874" t="s">
        <v>344</v>
      </c>
      <c r="J2874">
        <v>36.19</v>
      </c>
      <c r="K2874">
        <v>0.77</v>
      </c>
      <c r="L2874" t="s">
        <v>346</v>
      </c>
      <c r="M2874" s="1">
        <v>7.7000000000000002E-3</v>
      </c>
      <c r="N2874" t="s">
        <v>349</v>
      </c>
      <c r="O2874">
        <v>-0.47</v>
      </c>
      <c r="P2874" t="s">
        <v>343</v>
      </c>
      <c r="Q2874">
        <v>-0.15</v>
      </c>
      <c r="R2874" t="s">
        <v>343</v>
      </c>
      <c r="S2874">
        <v>1</v>
      </c>
    </row>
    <row r="2875" spans="1:19" x14ac:dyDescent="0.25">
      <c r="A2875" t="s">
        <v>54</v>
      </c>
      <c r="B2875" t="s">
        <v>117</v>
      </c>
      <c r="C2875">
        <v>1200</v>
      </c>
      <c r="D2875" t="s">
        <v>342</v>
      </c>
      <c r="E2875">
        <v>24.15</v>
      </c>
      <c r="F2875">
        <v>13</v>
      </c>
      <c r="G2875">
        <v>14.37</v>
      </c>
      <c r="H2875">
        <v>27.37</v>
      </c>
      <c r="I2875" t="s">
        <v>344</v>
      </c>
      <c r="J2875">
        <v>35.36</v>
      </c>
      <c r="K2875">
        <v>-4.16</v>
      </c>
      <c r="L2875" t="s">
        <v>346</v>
      </c>
      <c r="M2875" s="1">
        <v>4.1599999999999998E-2</v>
      </c>
      <c r="N2875" t="s">
        <v>350</v>
      </c>
      <c r="O2875">
        <v>-4.5</v>
      </c>
      <c r="P2875" t="s">
        <v>343</v>
      </c>
      <c r="Q2875">
        <v>-0.51</v>
      </c>
      <c r="R2875" t="s">
        <v>343</v>
      </c>
      <c r="S2875">
        <v>1</v>
      </c>
    </row>
    <row r="2876" spans="1:19" x14ac:dyDescent="0.25">
      <c r="A2876" t="s">
        <v>54</v>
      </c>
      <c r="B2876" t="s">
        <v>118</v>
      </c>
      <c r="C2876">
        <v>1220</v>
      </c>
      <c r="D2876" t="s">
        <v>342</v>
      </c>
      <c r="E2876">
        <v>24.15</v>
      </c>
      <c r="F2876">
        <v>13.02</v>
      </c>
      <c r="G2876">
        <v>14.37</v>
      </c>
      <c r="H2876">
        <v>27.39</v>
      </c>
      <c r="I2876" t="s">
        <v>344</v>
      </c>
      <c r="J2876">
        <v>34.700000000000003</v>
      </c>
      <c r="K2876">
        <v>-3.29</v>
      </c>
      <c r="L2876" t="s">
        <v>346</v>
      </c>
      <c r="M2876" s="1">
        <v>3.2899999999999999E-2</v>
      </c>
      <c r="N2876" t="s">
        <v>350</v>
      </c>
      <c r="O2876">
        <v>-3.9</v>
      </c>
      <c r="P2876" t="s">
        <v>344</v>
      </c>
      <c r="Q2876">
        <v>5.73</v>
      </c>
      <c r="R2876" t="s">
        <v>343</v>
      </c>
      <c r="S2876">
        <v>1</v>
      </c>
    </row>
    <row r="2877" spans="1:19" x14ac:dyDescent="0.25">
      <c r="A2877" t="s">
        <v>54</v>
      </c>
      <c r="B2877" t="s">
        <v>119</v>
      </c>
      <c r="C2877">
        <v>1240</v>
      </c>
      <c r="D2877" t="s">
        <v>342</v>
      </c>
      <c r="E2877">
        <v>24.15</v>
      </c>
      <c r="F2877">
        <v>12.17</v>
      </c>
      <c r="G2877">
        <v>14.54</v>
      </c>
      <c r="H2877">
        <v>26.71</v>
      </c>
      <c r="I2877" t="s">
        <v>344</v>
      </c>
      <c r="J2877">
        <v>32.57</v>
      </c>
      <c r="K2877">
        <v>-10.64</v>
      </c>
      <c r="L2877" t="s">
        <v>348</v>
      </c>
      <c r="M2877" s="1">
        <v>0.10639999999999999</v>
      </c>
      <c r="N2877" t="s">
        <v>350</v>
      </c>
      <c r="O2877">
        <v>-1.68</v>
      </c>
      <c r="P2877" t="s">
        <v>343</v>
      </c>
      <c r="Q2877">
        <v>4.6500000000000004</v>
      </c>
      <c r="R2877" t="s">
        <v>343</v>
      </c>
      <c r="S2877">
        <v>1</v>
      </c>
    </row>
    <row r="2878" spans="1:19" x14ac:dyDescent="0.25">
      <c r="A2878" t="s">
        <v>54</v>
      </c>
      <c r="B2878" t="s">
        <v>120</v>
      </c>
      <c r="C2878">
        <v>1260</v>
      </c>
      <c r="D2878" t="s">
        <v>342</v>
      </c>
      <c r="E2878">
        <v>24.15</v>
      </c>
      <c r="F2878">
        <v>11.27</v>
      </c>
      <c r="G2878">
        <v>13.04</v>
      </c>
      <c r="H2878">
        <v>24.32</v>
      </c>
      <c r="I2878" t="s">
        <v>344</v>
      </c>
      <c r="J2878">
        <v>30.92</v>
      </c>
      <c r="K2878">
        <v>-8.25</v>
      </c>
      <c r="L2878" t="s">
        <v>347</v>
      </c>
      <c r="M2878" s="1">
        <v>8.2500000000000004E-2</v>
      </c>
      <c r="N2878" t="s">
        <v>350</v>
      </c>
      <c r="O2878">
        <v>-4.38</v>
      </c>
      <c r="P2878" t="s">
        <v>343</v>
      </c>
      <c r="Q2878">
        <v>3.75</v>
      </c>
      <c r="R2878" t="s">
        <v>344</v>
      </c>
      <c r="S2878">
        <v>1</v>
      </c>
    </row>
    <row r="2879" spans="1:19" x14ac:dyDescent="0.25">
      <c r="A2879" t="s">
        <v>54</v>
      </c>
      <c r="B2879" t="s">
        <v>121</v>
      </c>
      <c r="C2879">
        <v>1280</v>
      </c>
      <c r="D2879" t="s">
        <v>342</v>
      </c>
      <c r="E2879">
        <v>24.15</v>
      </c>
      <c r="F2879">
        <v>10.69</v>
      </c>
      <c r="G2879">
        <v>12.43</v>
      </c>
      <c r="H2879">
        <v>23.12</v>
      </c>
      <c r="I2879" t="s">
        <v>343</v>
      </c>
      <c r="J2879">
        <v>29.68</v>
      </c>
      <c r="K2879">
        <v>-6.21</v>
      </c>
      <c r="L2879" t="s">
        <v>346</v>
      </c>
      <c r="M2879" s="1">
        <v>6.2100000000000002E-2</v>
      </c>
      <c r="N2879" t="s">
        <v>350</v>
      </c>
      <c r="O2879">
        <v>-3.18</v>
      </c>
      <c r="P2879" t="s">
        <v>344</v>
      </c>
      <c r="Q2879">
        <v>3.57</v>
      </c>
      <c r="R2879" t="s">
        <v>344</v>
      </c>
      <c r="S2879">
        <v>1</v>
      </c>
    </row>
    <row r="2880" spans="1:19" x14ac:dyDescent="0.25">
      <c r="A2880" t="s">
        <v>54</v>
      </c>
      <c r="B2880" t="s">
        <v>123</v>
      </c>
      <c r="C2880">
        <v>1300</v>
      </c>
      <c r="D2880" t="s">
        <v>342</v>
      </c>
      <c r="E2880">
        <v>24.15</v>
      </c>
      <c r="F2880">
        <v>11</v>
      </c>
      <c r="G2880">
        <v>13.04</v>
      </c>
      <c r="H2880">
        <v>24.04</v>
      </c>
      <c r="I2880" t="s">
        <v>343</v>
      </c>
      <c r="J2880">
        <v>28.51</v>
      </c>
      <c r="K2880">
        <v>-5.86</v>
      </c>
      <c r="L2880" t="s">
        <v>346</v>
      </c>
      <c r="M2880" s="1">
        <v>5.8600000000000013E-2</v>
      </c>
      <c r="N2880" t="s">
        <v>350</v>
      </c>
      <c r="O2880">
        <v>-2.2200000000000002</v>
      </c>
      <c r="P2880" t="s">
        <v>344</v>
      </c>
      <c r="Q2880">
        <v>-0.17</v>
      </c>
      <c r="R2880" t="s">
        <v>343</v>
      </c>
      <c r="S2880">
        <v>1</v>
      </c>
    </row>
    <row r="2881" spans="1:19" x14ac:dyDescent="0.25">
      <c r="A2881" t="s">
        <v>54</v>
      </c>
      <c r="B2881" t="s">
        <v>124</v>
      </c>
      <c r="C2881">
        <v>1320</v>
      </c>
      <c r="D2881" t="s">
        <v>342</v>
      </c>
      <c r="E2881">
        <v>24.15</v>
      </c>
      <c r="F2881">
        <v>13.39</v>
      </c>
      <c r="G2881">
        <v>13.82</v>
      </c>
      <c r="H2881">
        <v>27.21</v>
      </c>
      <c r="I2881" t="s">
        <v>344</v>
      </c>
      <c r="J2881">
        <v>27.62</v>
      </c>
      <c r="K2881">
        <v>-4.43</v>
      </c>
      <c r="L2881" t="s">
        <v>346</v>
      </c>
      <c r="M2881" s="1">
        <v>4.4299999999999999E-2</v>
      </c>
      <c r="N2881" t="s">
        <v>350</v>
      </c>
      <c r="O2881">
        <v>-0.31</v>
      </c>
      <c r="P2881" t="s">
        <v>343</v>
      </c>
      <c r="Q2881">
        <v>0.28000000000000003</v>
      </c>
      <c r="R2881" t="s">
        <v>343</v>
      </c>
      <c r="S2881">
        <v>1</v>
      </c>
    </row>
    <row r="2882" spans="1:19" x14ac:dyDescent="0.25">
      <c r="A2882" t="s">
        <v>54</v>
      </c>
      <c r="B2882" t="s">
        <v>125</v>
      </c>
      <c r="C2882">
        <v>1340</v>
      </c>
      <c r="D2882" t="s">
        <v>342</v>
      </c>
      <c r="E2882">
        <v>24.15</v>
      </c>
      <c r="F2882">
        <v>14.59</v>
      </c>
      <c r="G2882">
        <v>13.82</v>
      </c>
      <c r="H2882">
        <v>28.41</v>
      </c>
      <c r="I2882" t="s">
        <v>344</v>
      </c>
      <c r="J2882">
        <v>26.97</v>
      </c>
      <c r="K2882">
        <v>-3.27</v>
      </c>
      <c r="L2882" t="s">
        <v>346</v>
      </c>
      <c r="M2882" s="1">
        <v>3.27E-2</v>
      </c>
      <c r="N2882" t="s">
        <v>350</v>
      </c>
      <c r="O2882">
        <v>-1.28</v>
      </c>
      <c r="P2882" t="s">
        <v>343</v>
      </c>
      <c r="Q2882">
        <v>-0.92</v>
      </c>
      <c r="R2882" t="s">
        <v>343</v>
      </c>
      <c r="S2882">
        <v>1</v>
      </c>
    </row>
    <row r="2883" spans="1:19" x14ac:dyDescent="0.25">
      <c r="A2883" t="s">
        <v>54</v>
      </c>
      <c r="B2883" t="s">
        <v>126</v>
      </c>
      <c r="C2883">
        <v>1360</v>
      </c>
      <c r="D2883" t="s">
        <v>342</v>
      </c>
      <c r="E2883">
        <v>24.15</v>
      </c>
      <c r="F2883">
        <v>15.47</v>
      </c>
      <c r="G2883">
        <v>14.86</v>
      </c>
      <c r="H2883">
        <v>30.32</v>
      </c>
      <c r="I2883" t="s">
        <v>344</v>
      </c>
      <c r="J2883">
        <v>26.36</v>
      </c>
      <c r="K2883">
        <v>-3.04</v>
      </c>
      <c r="L2883" t="s">
        <v>346</v>
      </c>
      <c r="M2883" s="1">
        <v>3.04E-2</v>
      </c>
      <c r="N2883" t="s">
        <v>350</v>
      </c>
      <c r="O2883">
        <v>-1.1200000000000001</v>
      </c>
      <c r="P2883" t="s">
        <v>343</v>
      </c>
      <c r="Q2883">
        <v>-0.96</v>
      </c>
      <c r="R2883" t="s">
        <v>343</v>
      </c>
      <c r="S2883">
        <v>1</v>
      </c>
    </row>
    <row r="2884" spans="1:19" x14ac:dyDescent="0.25">
      <c r="A2884" t="s">
        <v>54</v>
      </c>
      <c r="B2884" t="s">
        <v>127</v>
      </c>
      <c r="C2884">
        <v>1380</v>
      </c>
      <c r="D2884" t="s">
        <v>342</v>
      </c>
      <c r="E2884">
        <v>24.15</v>
      </c>
      <c r="F2884">
        <v>14.83</v>
      </c>
      <c r="G2884">
        <v>16.98</v>
      </c>
      <c r="H2884">
        <v>31.81</v>
      </c>
      <c r="I2884" t="s">
        <v>344</v>
      </c>
      <c r="J2884">
        <v>25.89</v>
      </c>
      <c r="K2884">
        <v>-2.33</v>
      </c>
      <c r="L2884" t="s">
        <v>346</v>
      </c>
      <c r="M2884" s="1">
        <v>2.3300000000000001E-2</v>
      </c>
      <c r="N2884" t="s">
        <v>350</v>
      </c>
      <c r="O2884">
        <v>-0.95</v>
      </c>
      <c r="P2884" t="s">
        <v>343</v>
      </c>
      <c r="Q2884">
        <v>-1.6</v>
      </c>
      <c r="R2884" t="s">
        <v>343</v>
      </c>
      <c r="S2884">
        <v>1</v>
      </c>
    </row>
    <row r="2885" spans="1:19" x14ac:dyDescent="0.25">
      <c r="A2885" t="s">
        <v>54</v>
      </c>
      <c r="B2885" t="s">
        <v>128</v>
      </c>
      <c r="C2885">
        <v>1400</v>
      </c>
      <c r="D2885" t="s">
        <v>342</v>
      </c>
      <c r="E2885">
        <v>24.15</v>
      </c>
      <c r="F2885">
        <v>13.52</v>
      </c>
      <c r="G2885">
        <v>16.760000000000002</v>
      </c>
      <c r="H2885">
        <v>30.27</v>
      </c>
      <c r="I2885" t="s">
        <v>344</v>
      </c>
      <c r="J2885">
        <v>25.44</v>
      </c>
      <c r="K2885">
        <v>-2.25</v>
      </c>
      <c r="L2885" t="s">
        <v>346</v>
      </c>
      <c r="M2885" s="1">
        <v>2.2499999999999999E-2</v>
      </c>
      <c r="N2885" t="s">
        <v>350</v>
      </c>
      <c r="O2885">
        <v>-2.14</v>
      </c>
      <c r="P2885" t="s">
        <v>344</v>
      </c>
      <c r="Q2885">
        <v>-0.97</v>
      </c>
      <c r="R2885" t="s">
        <v>343</v>
      </c>
      <c r="S2885">
        <v>1</v>
      </c>
    </row>
    <row r="2886" spans="1:19" x14ac:dyDescent="0.25">
      <c r="A2886" t="s">
        <v>54</v>
      </c>
      <c r="B2886" t="s">
        <v>129</v>
      </c>
      <c r="C2886">
        <v>1420</v>
      </c>
      <c r="D2886" t="s">
        <v>342</v>
      </c>
      <c r="E2886">
        <v>24.15</v>
      </c>
      <c r="F2886">
        <v>12.88</v>
      </c>
      <c r="G2886">
        <v>16.059999999999999</v>
      </c>
      <c r="H2886">
        <v>28.94</v>
      </c>
      <c r="I2886" t="s">
        <v>344</v>
      </c>
      <c r="J2886">
        <v>25.11</v>
      </c>
      <c r="K2886">
        <v>-1.67</v>
      </c>
      <c r="L2886" t="s">
        <v>346</v>
      </c>
      <c r="M2886" s="1">
        <v>1.67E-2</v>
      </c>
      <c r="N2886" t="s">
        <v>349</v>
      </c>
      <c r="O2886">
        <v>-1.96</v>
      </c>
      <c r="P2886" t="s">
        <v>343</v>
      </c>
      <c r="Q2886">
        <v>-0.25</v>
      </c>
      <c r="R2886" t="s">
        <v>343</v>
      </c>
      <c r="S2886">
        <v>1</v>
      </c>
    </row>
    <row r="2887" spans="1:19" x14ac:dyDescent="0.25">
      <c r="A2887" t="s">
        <v>54</v>
      </c>
      <c r="B2887" t="s">
        <v>130</v>
      </c>
      <c r="C2887">
        <v>1440</v>
      </c>
      <c r="D2887" t="s">
        <v>342</v>
      </c>
      <c r="E2887">
        <v>24.15</v>
      </c>
      <c r="F2887">
        <v>11.77</v>
      </c>
      <c r="G2887">
        <v>14.82</v>
      </c>
      <c r="H2887">
        <v>26.59</v>
      </c>
      <c r="I2887" t="s">
        <v>344</v>
      </c>
      <c r="J2887">
        <v>24.44</v>
      </c>
      <c r="K2887">
        <v>-3.33</v>
      </c>
      <c r="L2887" t="s">
        <v>346</v>
      </c>
      <c r="M2887" s="1">
        <v>3.3300000000000003E-2</v>
      </c>
      <c r="N2887" t="s">
        <v>350</v>
      </c>
      <c r="O2887">
        <v>-2.42</v>
      </c>
      <c r="P2887" t="s">
        <v>344</v>
      </c>
      <c r="Q2887">
        <v>0.28000000000000003</v>
      </c>
      <c r="R2887" t="s">
        <v>343</v>
      </c>
      <c r="S2887">
        <v>1</v>
      </c>
    </row>
    <row r="2888" spans="1:19" x14ac:dyDescent="0.25">
      <c r="A2888" t="s">
        <v>54</v>
      </c>
      <c r="B2888" t="s">
        <v>131</v>
      </c>
      <c r="C2888">
        <v>1460</v>
      </c>
      <c r="D2888" t="s">
        <v>342</v>
      </c>
      <c r="E2888">
        <v>24.15</v>
      </c>
      <c r="F2888">
        <v>10.78</v>
      </c>
      <c r="G2888">
        <v>14.55</v>
      </c>
      <c r="H2888">
        <v>25.33</v>
      </c>
      <c r="I2888" t="s">
        <v>344</v>
      </c>
      <c r="J2888">
        <v>23.69</v>
      </c>
      <c r="K2888">
        <v>-3.76</v>
      </c>
      <c r="L2888" t="s">
        <v>346</v>
      </c>
      <c r="M2888" s="1">
        <v>3.7599999999999988E-2</v>
      </c>
      <c r="N2888" t="s">
        <v>350</v>
      </c>
      <c r="O2888">
        <v>-1.65</v>
      </c>
      <c r="P2888" t="s">
        <v>343</v>
      </c>
      <c r="Q2888">
        <v>1.89</v>
      </c>
      <c r="R2888" t="s">
        <v>343</v>
      </c>
      <c r="S2888">
        <v>1</v>
      </c>
    </row>
    <row r="2889" spans="1:19" x14ac:dyDescent="0.25">
      <c r="A2889" t="s">
        <v>54</v>
      </c>
      <c r="B2889" t="s">
        <v>132</v>
      </c>
      <c r="C2889">
        <v>1480</v>
      </c>
      <c r="D2889" t="s">
        <v>342</v>
      </c>
      <c r="E2889">
        <v>24.15</v>
      </c>
      <c r="F2889">
        <v>10.37</v>
      </c>
      <c r="G2889">
        <v>13.03</v>
      </c>
      <c r="H2889">
        <v>23.41</v>
      </c>
      <c r="I2889" t="s">
        <v>343</v>
      </c>
      <c r="J2889">
        <v>22.69</v>
      </c>
      <c r="K2889">
        <v>-5.01</v>
      </c>
      <c r="L2889" t="s">
        <v>346</v>
      </c>
      <c r="M2889" s="1">
        <v>5.0099999999999999E-2</v>
      </c>
      <c r="N2889" t="s">
        <v>350</v>
      </c>
      <c r="O2889">
        <v>-1.32</v>
      </c>
      <c r="P2889" t="s">
        <v>343</v>
      </c>
      <c r="Q2889">
        <v>1.66</v>
      </c>
      <c r="R2889" t="s">
        <v>343</v>
      </c>
      <c r="S2889">
        <v>1</v>
      </c>
    </row>
    <row r="2890" spans="1:19" x14ac:dyDescent="0.25">
      <c r="A2890" t="s">
        <v>54</v>
      </c>
      <c r="B2890" t="s">
        <v>133</v>
      </c>
      <c r="C2890">
        <v>1500</v>
      </c>
      <c r="D2890" t="s">
        <v>342</v>
      </c>
      <c r="E2890">
        <v>24.15</v>
      </c>
      <c r="F2890">
        <v>10.54</v>
      </c>
      <c r="G2890">
        <v>12.89</v>
      </c>
      <c r="H2890">
        <v>23.44</v>
      </c>
      <c r="I2890" t="s">
        <v>343</v>
      </c>
      <c r="J2890">
        <v>21.41</v>
      </c>
      <c r="K2890">
        <v>-6.41</v>
      </c>
      <c r="L2890" t="s">
        <v>346</v>
      </c>
      <c r="M2890" s="1">
        <v>6.4100000000000004E-2</v>
      </c>
      <c r="N2890" t="s">
        <v>350</v>
      </c>
      <c r="O2890">
        <v>-1.18</v>
      </c>
      <c r="P2890" t="s">
        <v>343</v>
      </c>
      <c r="Q2890">
        <v>0.24</v>
      </c>
      <c r="R2890" t="s">
        <v>343</v>
      </c>
      <c r="S2890">
        <v>1</v>
      </c>
    </row>
    <row r="2891" spans="1:19" x14ac:dyDescent="0.25">
      <c r="A2891" t="s">
        <v>54</v>
      </c>
      <c r="B2891" t="s">
        <v>134</v>
      </c>
      <c r="C2891">
        <v>1520</v>
      </c>
      <c r="D2891" t="s">
        <v>342</v>
      </c>
      <c r="E2891">
        <v>24.15</v>
      </c>
      <c r="F2891">
        <v>10.48</v>
      </c>
      <c r="G2891">
        <v>12.91</v>
      </c>
      <c r="H2891">
        <v>23.39</v>
      </c>
      <c r="I2891" t="s">
        <v>343</v>
      </c>
      <c r="J2891">
        <v>20.09</v>
      </c>
      <c r="K2891">
        <v>-6.6</v>
      </c>
      <c r="L2891" t="s">
        <v>346</v>
      </c>
      <c r="M2891" s="1">
        <v>6.6000000000000003E-2</v>
      </c>
      <c r="N2891" t="s">
        <v>350</v>
      </c>
      <c r="O2891">
        <v>-1.08</v>
      </c>
      <c r="P2891" t="s">
        <v>343</v>
      </c>
      <c r="Q2891">
        <v>0.6</v>
      </c>
      <c r="R2891" t="s">
        <v>343</v>
      </c>
      <c r="S2891">
        <v>1</v>
      </c>
    </row>
    <row r="2892" spans="1:19" x14ac:dyDescent="0.25">
      <c r="A2892" t="s">
        <v>54</v>
      </c>
      <c r="B2892" t="s">
        <v>135</v>
      </c>
      <c r="C2892">
        <v>1540</v>
      </c>
      <c r="D2892" t="s">
        <v>342</v>
      </c>
      <c r="E2892">
        <v>24.15</v>
      </c>
      <c r="F2892">
        <v>9.84</v>
      </c>
      <c r="G2892">
        <v>12.64</v>
      </c>
      <c r="H2892">
        <v>22.48</v>
      </c>
      <c r="I2892" t="s">
        <v>343</v>
      </c>
      <c r="J2892">
        <v>18.89</v>
      </c>
      <c r="K2892">
        <v>-5.97</v>
      </c>
      <c r="L2892" t="s">
        <v>346</v>
      </c>
      <c r="M2892" s="1">
        <v>5.9700000000000003E-2</v>
      </c>
      <c r="N2892" t="s">
        <v>350</v>
      </c>
      <c r="O2892">
        <v>-0.34</v>
      </c>
      <c r="P2892" t="s">
        <v>343</v>
      </c>
      <c r="Q2892">
        <v>2.1</v>
      </c>
      <c r="R2892" t="s">
        <v>344</v>
      </c>
      <c r="S2892">
        <v>1</v>
      </c>
    </row>
    <row r="2893" spans="1:19" x14ac:dyDescent="0.25">
      <c r="A2893" t="s">
        <v>54</v>
      </c>
      <c r="B2893" t="s">
        <v>136</v>
      </c>
      <c r="C2893">
        <v>1560</v>
      </c>
      <c r="D2893" t="s">
        <v>342</v>
      </c>
      <c r="E2893">
        <v>24.15</v>
      </c>
      <c r="F2893">
        <v>9.48</v>
      </c>
      <c r="G2893">
        <v>13.72</v>
      </c>
      <c r="H2893">
        <v>23.2</v>
      </c>
      <c r="I2893" t="s">
        <v>343</v>
      </c>
      <c r="J2893">
        <v>17.82</v>
      </c>
      <c r="K2893">
        <v>-5.36</v>
      </c>
      <c r="L2893" t="s">
        <v>346</v>
      </c>
      <c r="M2893" s="1">
        <v>5.3600000000000002E-2</v>
      </c>
      <c r="N2893" t="s">
        <v>350</v>
      </c>
      <c r="O2893">
        <v>-0.84</v>
      </c>
      <c r="P2893" t="s">
        <v>343</v>
      </c>
      <c r="Q2893">
        <v>2.7</v>
      </c>
      <c r="R2893" t="s">
        <v>344</v>
      </c>
      <c r="S2893">
        <v>1</v>
      </c>
    </row>
    <row r="2894" spans="1:19" x14ac:dyDescent="0.25">
      <c r="A2894" t="s">
        <v>54</v>
      </c>
      <c r="B2894" t="s">
        <v>137</v>
      </c>
      <c r="C2894">
        <v>1580</v>
      </c>
      <c r="D2894" t="s">
        <v>342</v>
      </c>
      <c r="E2894">
        <v>24.15</v>
      </c>
      <c r="F2894">
        <v>9.2799999999999994</v>
      </c>
      <c r="G2894">
        <v>13.2</v>
      </c>
      <c r="H2894">
        <v>22.48</v>
      </c>
      <c r="I2894" t="s">
        <v>343</v>
      </c>
      <c r="J2894">
        <v>16.71</v>
      </c>
      <c r="K2894">
        <v>-5.58</v>
      </c>
      <c r="L2894" t="s">
        <v>346</v>
      </c>
      <c r="M2894" s="1">
        <v>5.5800000000000002E-2</v>
      </c>
      <c r="N2894" t="s">
        <v>350</v>
      </c>
      <c r="O2894">
        <v>-1.44</v>
      </c>
      <c r="P2894" t="s">
        <v>343</v>
      </c>
      <c r="Q2894">
        <v>1.75</v>
      </c>
      <c r="R2894" t="s">
        <v>343</v>
      </c>
      <c r="S2894">
        <v>1</v>
      </c>
    </row>
    <row r="2895" spans="1:19" x14ac:dyDescent="0.25">
      <c r="A2895" t="s">
        <v>54</v>
      </c>
      <c r="B2895" t="s">
        <v>138</v>
      </c>
      <c r="C2895">
        <v>1600</v>
      </c>
      <c r="D2895" t="s">
        <v>342</v>
      </c>
      <c r="E2895">
        <v>24.15</v>
      </c>
      <c r="F2895">
        <v>11.32</v>
      </c>
      <c r="G2895">
        <v>13.05</v>
      </c>
      <c r="H2895">
        <v>24.37</v>
      </c>
      <c r="I2895" t="s">
        <v>344</v>
      </c>
      <c r="J2895">
        <v>15.83</v>
      </c>
      <c r="K2895">
        <v>-4.4000000000000004</v>
      </c>
      <c r="L2895" t="s">
        <v>346</v>
      </c>
      <c r="M2895" s="1">
        <v>4.3999999999999997E-2</v>
      </c>
      <c r="N2895" t="s">
        <v>350</v>
      </c>
      <c r="O2895">
        <v>1.65</v>
      </c>
      <c r="P2895" t="s">
        <v>343</v>
      </c>
      <c r="Q2895">
        <v>0.33</v>
      </c>
      <c r="R2895" t="s">
        <v>343</v>
      </c>
      <c r="S2895">
        <v>1</v>
      </c>
    </row>
    <row r="2896" spans="1:19" x14ac:dyDescent="0.25">
      <c r="A2896" t="s">
        <v>54</v>
      </c>
      <c r="B2896" t="s">
        <v>139</v>
      </c>
      <c r="C2896">
        <v>1620</v>
      </c>
      <c r="D2896" t="s">
        <v>342</v>
      </c>
      <c r="E2896">
        <v>24.15</v>
      </c>
      <c r="F2896">
        <v>13</v>
      </c>
      <c r="G2896">
        <v>13</v>
      </c>
      <c r="H2896">
        <v>26</v>
      </c>
      <c r="I2896" t="s">
        <v>344</v>
      </c>
      <c r="J2896">
        <v>15.11</v>
      </c>
      <c r="K2896">
        <v>-3.58</v>
      </c>
      <c r="L2896" t="s">
        <v>346</v>
      </c>
      <c r="M2896" s="1">
        <v>3.5799999999999998E-2</v>
      </c>
      <c r="N2896" t="s">
        <v>350</v>
      </c>
      <c r="O2896">
        <v>2.29</v>
      </c>
      <c r="P2896" t="s">
        <v>344</v>
      </c>
      <c r="Q2896">
        <v>-0.31</v>
      </c>
      <c r="R2896" t="s">
        <v>343</v>
      </c>
      <c r="S2896">
        <v>1</v>
      </c>
    </row>
    <row r="2897" spans="1:19" x14ac:dyDescent="0.25">
      <c r="A2897" t="s">
        <v>54</v>
      </c>
      <c r="B2897" t="s">
        <v>140</v>
      </c>
      <c r="C2897">
        <v>1640</v>
      </c>
      <c r="D2897" t="s">
        <v>342</v>
      </c>
      <c r="E2897">
        <v>24.15</v>
      </c>
      <c r="F2897">
        <v>13.16</v>
      </c>
      <c r="G2897">
        <v>13.08</v>
      </c>
      <c r="H2897">
        <v>26.23</v>
      </c>
      <c r="I2897" t="s">
        <v>344</v>
      </c>
      <c r="J2897">
        <v>14.48</v>
      </c>
      <c r="K2897">
        <v>-3.14</v>
      </c>
      <c r="L2897" t="s">
        <v>346</v>
      </c>
      <c r="M2897" s="1">
        <v>3.1399999999999997E-2</v>
      </c>
      <c r="N2897" t="s">
        <v>350</v>
      </c>
      <c r="O2897">
        <v>-0.6</v>
      </c>
      <c r="P2897" t="s">
        <v>343</v>
      </c>
      <c r="Q2897">
        <v>-2.02</v>
      </c>
      <c r="R2897" t="s">
        <v>344</v>
      </c>
      <c r="S2897">
        <v>1</v>
      </c>
    </row>
    <row r="2898" spans="1:19" x14ac:dyDescent="0.25">
      <c r="A2898" t="s">
        <v>54</v>
      </c>
      <c r="B2898" t="s">
        <v>141</v>
      </c>
      <c r="C2898">
        <v>1660</v>
      </c>
      <c r="D2898" t="s">
        <v>342</v>
      </c>
      <c r="E2898">
        <v>24.15</v>
      </c>
      <c r="F2898">
        <v>12.44</v>
      </c>
      <c r="G2898">
        <v>12.79</v>
      </c>
      <c r="H2898">
        <v>25.23</v>
      </c>
      <c r="I2898" t="s">
        <v>344</v>
      </c>
      <c r="J2898">
        <v>14.16</v>
      </c>
      <c r="K2898">
        <v>-1.63</v>
      </c>
      <c r="L2898" t="s">
        <v>346</v>
      </c>
      <c r="M2898" s="1">
        <v>1.6299999999999999E-2</v>
      </c>
      <c r="N2898" t="s">
        <v>349</v>
      </c>
      <c r="O2898">
        <v>0.13</v>
      </c>
      <c r="P2898" t="s">
        <v>343</v>
      </c>
      <c r="Q2898">
        <v>-0.47</v>
      </c>
      <c r="R2898" t="s">
        <v>343</v>
      </c>
      <c r="S2898">
        <v>1</v>
      </c>
    </row>
    <row r="2899" spans="1:19" x14ac:dyDescent="0.25">
      <c r="A2899" t="s">
        <v>54</v>
      </c>
      <c r="B2899" t="s">
        <v>142</v>
      </c>
      <c r="C2899">
        <v>1680</v>
      </c>
      <c r="D2899" t="s">
        <v>342</v>
      </c>
      <c r="E2899">
        <v>24.15</v>
      </c>
      <c r="F2899">
        <v>12.25</v>
      </c>
      <c r="G2899">
        <v>12.41</v>
      </c>
      <c r="H2899">
        <v>24.66</v>
      </c>
      <c r="I2899" t="s">
        <v>344</v>
      </c>
      <c r="J2899">
        <v>13.46</v>
      </c>
      <c r="K2899">
        <v>-3.49</v>
      </c>
      <c r="L2899" t="s">
        <v>346</v>
      </c>
      <c r="M2899" s="1">
        <v>3.49E-2</v>
      </c>
      <c r="N2899" t="s">
        <v>350</v>
      </c>
      <c r="O2899">
        <v>-1.0900000000000001</v>
      </c>
      <c r="P2899" t="s">
        <v>343</v>
      </c>
      <c r="Q2899">
        <v>0.63</v>
      </c>
      <c r="R2899" t="s">
        <v>343</v>
      </c>
      <c r="S2899">
        <v>1</v>
      </c>
    </row>
    <row r="2900" spans="1:19" x14ac:dyDescent="0.25">
      <c r="A2900" t="s">
        <v>54</v>
      </c>
      <c r="B2900" t="s">
        <v>143</v>
      </c>
      <c r="C2900">
        <v>1700</v>
      </c>
      <c r="D2900" t="s">
        <v>342</v>
      </c>
      <c r="E2900">
        <v>24.15</v>
      </c>
      <c r="F2900">
        <v>11.9</v>
      </c>
      <c r="G2900">
        <v>13.64</v>
      </c>
      <c r="H2900">
        <v>25.54</v>
      </c>
      <c r="I2900" t="s">
        <v>344</v>
      </c>
      <c r="J2900">
        <v>12.58</v>
      </c>
      <c r="K2900">
        <v>-4.41</v>
      </c>
      <c r="L2900" t="s">
        <v>346</v>
      </c>
      <c r="M2900" s="1">
        <v>4.41E-2</v>
      </c>
      <c r="N2900" t="s">
        <v>350</v>
      </c>
      <c r="O2900">
        <v>-1.72</v>
      </c>
      <c r="P2900" t="s">
        <v>343</v>
      </c>
      <c r="Q2900">
        <v>0.87</v>
      </c>
      <c r="R2900" t="s">
        <v>343</v>
      </c>
      <c r="S2900">
        <v>1</v>
      </c>
    </row>
    <row r="2901" spans="1:19" x14ac:dyDescent="0.25">
      <c r="A2901" t="s">
        <v>54</v>
      </c>
      <c r="B2901" t="s">
        <v>144</v>
      </c>
      <c r="C2901">
        <v>1720</v>
      </c>
      <c r="D2901" t="s">
        <v>342</v>
      </c>
      <c r="E2901">
        <v>24.15</v>
      </c>
      <c r="F2901">
        <v>11.5</v>
      </c>
      <c r="G2901">
        <v>14.01</v>
      </c>
      <c r="H2901">
        <v>25.51</v>
      </c>
      <c r="I2901" t="s">
        <v>344</v>
      </c>
      <c r="J2901">
        <v>11.78</v>
      </c>
      <c r="K2901">
        <v>-3.96</v>
      </c>
      <c r="L2901" t="s">
        <v>346</v>
      </c>
      <c r="M2901" s="1">
        <v>3.9600000000000003E-2</v>
      </c>
      <c r="N2901" t="s">
        <v>350</v>
      </c>
      <c r="O2901">
        <v>-1.0900000000000001</v>
      </c>
      <c r="P2901" t="s">
        <v>343</v>
      </c>
      <c r="Q2901">
        <v>3.07</v>
      </c>
      <c r="R2901" t="s">
        <v>344</v>
      </c>
      <c r="S2901">
        <v>1</v>
      </c>
    </row>
    <row r="2902" spans="1:19" x14ac:dyDescent="0.25">
      <c r="A2902" t="s">
        <v>54</v>
      </c>
      <c r="B2902" t="s">
        <v>145</v>
      </c>
      <c r="C2902">
        <v>1740</v>
      </c>
      <c r="D2902" t="s">
        <v>342</v>
      </c>
      <c r="E2902">
        <v>24.15</v>
      </c>
      <c r="F2902">
        <v>11.17</v>
      </c>
      <c r="G2902">
        <v>13.89</v>
      </c>
      <c r="H2902">
        <v>25.06</v>
      </c>
      <c r="I2902" t="s">
        <v>344</v>
      </c>
      <c r="J2902">
        <v>10.69</v>
      </c>
      <c r="K2902">
        <v>-5.48</v>
      </c>
      <c r="L2902" t="s">
        <v>346</v>
      </c>
      <c r="M2902" s="1">
        <v>5.4800000000000001E-2</v>
      </c>
      <c r="N2902" t="s">
        <v>350</v>
      </c>
      <c r="O2902">
        <v>0.46</v>
      </c>
      <c r="P2902" t="s">
        <v>343</v>
      </c>
      <c r="Q2902">
        <v>0.7</v>
      </c>
      <c r="R2902" t="s">
        <v>343</v>
      </c>
      <c r="S2902">
        <v>1</v>
      </c>
    </row>
    <row r="2903" spans="1:19" x14ac:dyDescent="0.25">
      <c r="A2903" t="s">
        <v>54</v>
      </c>
      <c r="B2903" t="s">
        <v>146</v>
      </c>
      <c r="C2903">
        <v>1760</v>
      </c>
      <c r="D2903" t="s">
        <v>342</v>
      </c>
      <c r="E2903">
        <v>24.15</v>
      </c>
      <c r="F2903">
        <v>12.13</v>
      </c>
      <c r="G2903">
        <v>14.28</v>
      </c>
      <c r="H2903">
        <v>26.41</v>
      </c>
      <c r="I2903" t="s">
        <v>344</v>
      </c>
      <c r="J2903">
        <v>9.5500000000000007</v>
      </c>
      <c r="K2903">
        <v>-5.71</v>
      </c>
      <c r="L2903" t="s">
        <v>346</v>
      </c>
      <c r="M2903" s="1">
        <v>5.7099999999999998E-2</v>
      </c>
      <c r="N2903" t="s">
        <v>350</v>
      </c>
      <c r="O2903">
        <v>-1.04</v>
      </c>
      <c r="P2903" t="s">
        <v>343</v>
      </c>
      <c r="Q2903">
        <v>-1.17</v>
      </c>
      <c r="R2903" t="s">
        <v>343</v>
      </c>
      <c r="S2903">
        <v>1</v>
      </c>
    </row>
    <row r="2904" spans="1:19" x14ac:dyDescent="0.25">
      <c r="A2904" t="s">
        <v>54</v>
      </c>
      <c r="B2904" t="s">
        <v>147</v>
      </c>
      <c r="C2904">
        <v>1780</v>
      </c>
      <c r="D2904" t="s">
        <v>342</v>
      </c>
      <c r="E2904">
        <v>24.15</v>
      </c>
      <c r="F2904">
        <v>12.26</v>
      </c>
      <c r="G2904">
        <v>14.23</v>
      </c>
      <c r="H2904">
        <v>26.5</v>
      </c>
      <c r="I2904" t="s">
        <v>344</v>
      </c>
      <c r="J2904">
        <v>8.6</v>
      </c>
      <c r="K2904">
        <v>-4.7300000000000004</v>
      </c>
      <c r="L2904" t="s">
        <v>346</v>
      </c>
      <c r="M2904" s="1">
        <v>4.7300000000000002E-2</v>
      </c>
      <c r="N2904" t="s">
        <v>350</v>
      </c>
      <c r="O2904">
        <v>-0.39</v>
      </c>
      <c r="P2904" t="s">
        <v>343</v>
      </c>
      <c r="Q2904">
        <v>-1.1299999999999999</v>
      </c>
      <c r="R2904" t="s">
        <v>343</v>
      </c>
      <c r="S2904">
        <v>1</v>
      </c>
    </row>
    <row r="2905" spans="1:19" x14ac:dyDescent="0.25">
      <c r="A2905" t="s">
        <v>54</v>
      </c>
      <c r="B2905" t="s">
        <v>148</v>
      </c>
      <c r="C2905">
        <v>1800</v>
      </c>
      <c r="D2905" t="s">
        <v>342</v>
      </c>
      <c r="E2905">
        <v>24.15</v>
      </c>
      <c r="F2905">
        <v>13.11</v>
      </c>
      <c r="G2905">
        <v>14.78</v>
      </c>
      <c r="H2905">
        <v>27.9</v>
      </c>
      <c r="I2905" t="s">
        <v>344</v>
      </c>
      <c r="J2905">
        <v>7.82</v>
      </c>
      <c r="K2905">
        <v>-3.9</v>
      </c>
      <c r="L2905" t="s">
        <v>346</v>
      </c>
      <c r="M2905" s="1">
        <v>3.9E-2</v>
      </c>
      <c r="N2905" t="s">
        <v>350</v>
      </c>
      <c r="O2905">
        <v>-1.43</v>
      </c>
      <c r="P2905" t="s">
        <v>343</v>
      </c>
      <c r="Q2905">
        <v>-0.8</v>
      </c>
      <c r="R2905" t="s">
        <v>343</v>
      </c>
      <c r="S2905">
        <v>1</v>
      </c>
    </row>
    <row r="2906" spans="1:19" x14ac:dyDescent="0.25">
      <c r="A2906" t="s">
        <v>54</v>
      </c>
      <c r="B2906" t="s">
        <v>149</v>
      </c>
      <c r="C2906">
        <v>1820</v>
      </c>
      <c r="D2906" t="s">
        <v>342</v>
      </c>
      <c r="E2906">
        <v>24.15</v>
      </c>
      <c r="F2906">
        <v>14.34</v>
      </c>
      <c r="G2906">
        <v>14.9</v>
      </c>
      <c r="H2906">
        <v>29.23</v>
      </c>
      <c r="I2906" t="s">
        <v>344</v>
      </c>
      <c r="J2906">
        <v>7.37</v>
      </c>
      <c r="K2906">
        <v>-2.27</v>
      </c>
      <c r="L2906" t="s">
        <v>346</v>
      </c>
      <c r="M2906" s="1">
        <v>2.2700000000000001E-2</v>
      </c>
      <c r="N2906" t="s">
        <v>350</v>
      </c>
      <c r="O2906">
        <v>-1.32</v>
      </c>
      <c r="P2906" t="s">
        <v>343</v>
      </c>
      <c r="Q2906">
        <v>2.42</v>
      </c>
      <c r="R2906" t="s">
        <v>344</v>
      </c>
      <c r="S2906">
        <v>1</v>
      </c>
    </row>
    <row r="2907" spans="1:19" x14ac:dyDescent="0.25">
      <c r="A2907" t="s">
        <v>54</v>
      </c>
      <c r="B2907" t="s">
        <v>150</v>
      </c>
      <c r="C2907">
        <v>1840</v>
      </c>
      <c r="D2907" t="s">
        <v>342</v>
      </c>
      <c r="E2907">
        <v>24.15</v>
      </c>
      <c r="F2907">
        <v>13.7</v>
      </c>
      <c r="G2907">
        <v>13.53</v>
      </c>
      <c r="H2907">
        <v>27.23</v>
      </c>
      <c r="I2907" t="s">
        <v>344</v>
      </c>
      <c r="J2907">
        <v>6.62</v>
      </c>
      <c r="K2907">
        <v>-3.76</v>
      </c>
      <c r="L2907" t="s">
        <v>346</v>
      </c>
      <c r="M2907" s="1">
        <v>3.7599999999999988E-2</v>
      </c>
      <c r="N2907" t="s">
        <v>350</v>
      </c>
      <c r="O2907">
        <v>-2.75</v>
      </c>
      <c r="P2907" t="s">
        <v>344</v>
      </c>
      <c r="Q2907">
        <v>1.43</v>
      </c>
      <c r="R2907" t="s">
        <v>343</v>
      </c>
      <c r="S2907">
        <v>1</v>
      </c>
    </row>
    <row r="2908" spans="1:19" x14ac:dyDescent="0.25">
      <c r="A2908" t="s">
        <v>54</v>
      </c>
      <c r="B2908" t="s">
        <v>151</v>
      </c>
      <c r="C2908">
        <v>1860</v>
      </c>
      <c r="D2908" t="s">
        <v>342</v>
      </c>
      <c r="E2908">
        <v>24.15</v>
      </c>
      <c r="F2908">
        <v>13.85</v>
      </c>
      <c r="G2908">
        <v>14.55</v>
      </c>
      <c r="H2908">
        <v>28.4</v>
      </c>
      <c r="I2908" t="s">
        <v>344</v>
      </c>
      <c r="J2908">
        <v>5.87</v>
      </c>
      <c r="K2908">
        <v>-3.7</v>
      </c>
      <c r="L2908" t="s">
        <v>346</v>
      </c>
      <c r="M2908" s="1">
        <v>3.7000000000000012E-2</v>
      </c>
      <c r="N2908" t="s">
        <v>350</v>
      </c>
      <c r="O2908">
        <v>-2.83</v>
      </c>
      <c r="P2908" t="s">
        <v>344</v>
      </c>
      <c r="Q2908">
        <v>2.39</v>
      </c>
      <c r="R2908" t="s">
        <v>344</v>
      </c>
      <c r="S2908">
        <v>1</v>
      </c>
    </row>
    <row r="2909" spans="1:19" x14ac:dyDescent="0.25">
      <c r="A2909" t="s">
        <v>54</v>
      </c>
      <c r="B2909" t="s">
        <v>152</v>
      </c>
      <c r="C2909">
        <v>1880</v>
      </c>
      <c r="D2909" t="s">
        <v>342</v>
      </c>
      <c r="E2909">
        <v>24.15</v>
      </c>
      <c r="F2909">
        <v>13.97</v>
      </c>
      <c r="G2909">
        <v>13.57</v>
      </c>
      <c r="H2909">
        <v>27.54</v>
      </c>
      <c r="I2909" t="s">
        <v>344</v>
      </c>
      <c r="J2909">
        <v>5.35</v>
      </c>
      <c r="K2909">
        <v>-2.62</v>
      </c>
      <c r="L2909" t="s">
        <v>346</v>
      </c>
      <c r="M2909" s="1">
        <v>2.6200000000000001E-2</v>
      </c>
      <c r="N2909" t="s">
        <v>350</v>
      </c>
      <c r="O2909">
        <v>-3.03</v>
      </c>
      <c r="P2909" t="s">
        <v>344</v>
      </c>
      <c r="Q2909">
        <v>1.92</v>
      </c>
      <c r="R2909" t="s">
        <v>343</v>
      </c>
      <c r="S2909">
        <v>1</v>
      </c>
    </row>
    <row r="2910" spans="1:19" x14ac:dyDescent="0.25">
      <c r="A2910" t="s">
        <v>54</v>
      </c>
      <c r="B2910" t="s">
        <v>153</v>
      </c>
      <c r="C2910">
        <v>1900</v>
      </c>
      <c r="D2910" t="s">
        <v>342</v>
      </c>
      <c r="E2910">
        <v>24.15</v>
      </c>
      <c r="F2910">
        <v>14.47</v>
      </c>
      <c r="G2910">
        <v>12.97</v>
      </c>
      <c r="H2910">
        <v>27.45</v>
      </c>
      <c r="I2910" t="s">
        <v>344</v>
      </c>
      <c r="J2910">
        <v>4.75</v>
      </c>
      <c r="K2910">
        <v>-2.98</v>
      </c>
      <c r="L2910" t="s">
        <v>346</v>
      </c>
      <c r="M2910" s="1">
        <v>2.98E-2</v>
      </c>
      <c r="N2910" t="s">
        <v>350</v>
      </c>
      <c r="O2910">
        <v>-1.99</v>
      </c>
      <c r="P2910" t="s">
        <v>343</v>
      </c>
      <c r="Q2910">
        <v>2.04</v>
      </c>
      <c r="R2910" t="s">
        <v>344</v>
      </c>
      <c r="S2910">
        <v>1</v>
      </c>
    </row>
    <row r="2911" spans="1:19" x14ac:dyDescent="0.25">
      <c r="A2911" t="s">
        <v>54</v>
      </c>
      <c r="B2911" t="s">
        <v>154</v>
      </c>
      <c r="C2911">
        <v>1920</v>
      </c>
      <c r="D2911" t="s">
        <v>342</v>
      </c>
      <c r="E2911">
        <v>24.15</v>
      </c>
      <c r="F2911">
        <v>13.5</v>
      </c>
      <c r="G2911">
        <v>12.85</v>
      </c>
      <c r="H2911">
        <v>26.35</v>
      </c>
      <c r="I2911" t="s">
        <v>344</v>
      </c>
      <c r="J2911">
        <v>4.26</v>
      </c>
      <c r="K2911">
        <v>-2.4500000000000002</v>
      </c>
      <c r="L2911" t="s">
        <v>346</v>
      </c>
      <c r="M2911" s="1">
        <v>2.4500000000000001E-2</v>
      </c>
      <c r="N2911" t="s">
        <v>350</v>
      </c>
      <c r="O2911">
        <v>-2.2200000000000002</v>
      </c>
      <c r="P2911" t="s">
        <v>344</v>
      </c>
      <c r="Q2911">
        <v>0.7</v>
      </c>
      <c r="R2911" t="s">
        <v>343</v>
      </c>
      <c r="S2911">
        <v>1</v>
      </c>
    </row>
    <row r="2912" spans="1:19" x14ac:dyDescent="0.25">
      <c r="A2912" t="s">
        <v>54</v>
      </c>
      <c r="B2912" t="s">
        <v>155</v>
      </c>
      <c r="C2912">
        <v>1940</v>
      </c>
      <c r="D2912" t="s">
        <v>342</v>
      </c>
      <c r="E2912">
        <v>24.15</v>
      </c>
      <c r="F2912">
        <v>13.5</v>
      </c>
      <c r="G2912">
        <v>14.4</v>
      </c>
      <c r="H2912">
        <v>27.89</v>
      </c>
      <c r="I2912" t="s">
        <v>344</v>
      </c>
      <c r="J2912">
        <v>3.95</v>
      </c>
      <c r="K2912">
        <v>-1.58</v>
      </c>
      <c r="L2912" t="s">
        <v>346</v>
      </c>
      <c r="M2912" s="1">
        <v>1.5800000000000002E-2</v>
      </c>
      <c r="N2912" t="s">
        <v>349</v>
      </c>
      <c r="O2912">
        <v>-2.93</v>
      </c>
      <c r="P2912" t="s">
        <v>344</v>
      </c>
      <c r="Q2912">
        <v>2.14</v>
      </c>
      <c r="R2912" t="s">
        <v>344</v>
      </c>
      <c r="S2912">
        <v>1</v>
      </c>
    </row>
    <row r="2913" spans="1:19" x14ac:dyDescent="0.25">
      <c r="A2913" t="s">
        <v>54</v>
      </c>
      <c r="B2913" t="s">
        <v>337</v>
      </c>
      <c r="C2913">
        <v>1942.4349999999999</v>
      </c>
      <c r="D2913" t="s">
        <v>342</v>
      </c>
      <c r="E2913">
        <v>24.15</v>
      </c>
      <c r="F2913">
        <v>13.5</v>
      </c>
      <c r="G2913">
        <v>14.3</v>
      </c>
      <c r="H2913">
        <v>27.79</v>
      </c>
      <c r="I2913" t="s">
        <v>344</v>
      </c>
      <c r="J2913">
        <v>3.95</v>
      </c>
      <c r="K2913">
        <v>-0.03</v>
      </c>
      <c r="L2913" t="s">
        <v>346</v>
      </c>
      <c r="M2913" s="1">
        <v>2.9999999999999997E-4</v>
      </c>
      <c r="N2913" t="s">
        <v>349</v>
      </c>
      <c r="O2913">
        <v>-2.74</v>
      </c>
      <c r="P2913" t="s">
        <v>344</v>
      </c>
      <c r="Q2913">
        <v>2.65</v>
      </c>
      <c r="R2913" t="s">
        <v>344</v>
      </c>
      <c r="S2913">
        <v>0</v>
      </c>
    </row>
    <row r="2914" spans="1:19" x14ac:dyDescent="0.25">
      <c r="A2914" t="s">
        <v>55</v>
      </c>
      <c r="B2914" t="s">
        <v>56</v>
      </c>
      <c r="C2914">
        <v>0</v>
      </c>
      <c r="D2914" t="s">
        <v>342</v>
      </c>
      <c r="E2914">
        <v>24.15</v>
      </c>
      <c r="F2914">
        <v>20</v>
      </c>
      <c r="G2914">
        <v>9</v>
      </c>
      <c r="H2914">
        <v>29</v>
      </c>
      <c r="I2914" t="s">
        <v>344</v>
      </c>
      <c r="J2914">
        <v>-32.369999999999997</v>
      </c>
      <c r="L2914" t="s">
        <v>345</v>
      </c>
      <c r="N2914" t="s">
        <v>345</v>
      </c>
      <c r="O2914">
        <v>-1.1599999999999999</v>
      </c>
      <c r="P2914" t="s">
        <v>343</v>
      </c>
      <c r="Q2914">
        <v>-2.99</v>
      </c>
      <c r="R2914" t="s">
        <v>344</v>
      </c>
      <c r="S2914">
        <v>1</v>
      </c>
    </row>
    <row r="2915" spans="1:19" x14ac:dyDescent="0.25">
      <c r="A2915" t="s">
        <v>55</v>
      </c>
      <c r="B2915" t="s">
        <v>57</v>
      </c>
      <c r="C2915">
        <v>20</v>
      </c>
      <c r="D2915" t="s">
        <v>342</v>
      </c>
      <c r="E2915">
        <v>24.15</v>
      </c>
      <c r="F2915">
        <v>20</v>
      </c>
      <c r="G2915">
        <v>9</v>
      </c>
      <c r="H2915">
        <v>29</v>
      </c>
      <c r="I2915" t="s">
        <v>344</v>
      </c>
      <c r="J2915">
        <v>-32.15</v>
      </c>
      <c r="K2915">
        <v>1.1000000000000001</v>
      </c>
      <c r="L2915" t="s">
        <v>346</v>
      </c>
      <c r="M2915" s="1">
        <v>1.0999999999999999E-2</v>
      </c>
      <c r="N2915" t="s">
        <v>349</v>
      </c>
      <c r="O2915">
        <v>-4.25</v>
      </c>
      <c r="P2915" t="s">
        <v>343</v>
      </c>
      <c r="Q2915">
        <v>-2.34</v>
      </c>
      <c r="R2915" t="s">
        <v>344</v>
      </c>
      <c r="S2915">
        <v>1</v>
      </c>
    </row>
    <row r="2916" spans="1:19" x14ac:dyDescent="0.25">
      <c r="A2916" t="s">
        <v>55</v>
      </c>
      <c r="B2916" t="s">
        <v>338</v>
      </c>
      <c r="C2916">
        <v>24.742999999999999</v>
      </c>
      <c r="D2916" t="s">
        <v>342</v>
      </c>
      <c r="E2916">
        <v>24.15</v>
      </c>
      <c r="F2916">
        <v>20</v>
      </c>
      <c r="G2916">
        <v>8.5</v>
      </c>
      <c r="H2916">
        <v>28.5</v>
      </c>
      <c r="I2916" t="s">
        <v>344</v>
      </c>
      <c r="J2916">
        <v>-31.84</v>
      </c>
      <c r="K2916">
        <v>6.53</v>
      </c>
      <c r="L2916" t="s">
        <v>346</v>
      </c>
      <c r="M2916" s="1">
        <v>6.5299999999999997E-2</v>
      </c>
      <c r="N2916" t="s">
        <v>350</v>
      </c>
      <c r="O2916">
        <v>-3.3</v>
      </c>
      <c r="P2916" t="s">
        <v>344</v>
      </c>
      <c r="Q2916">
        <v>-4.29</v>
      </c>
      <c r="R2916" t="s">
        <v>343</v>
      </c>
      <c r="S2916">
        <v>0</v>
      </c>
    </row>
    <row r="2917" spans="1:19" x14ac:dyDescent="0.25">
      <c r="A2917" t="s">
        <v>55</v>
      </c>
      <c r="B2917" t="s">
        <v>56</v>
      </c>
      <c r="C2917">
        <v>0</v>
      </c>
      <c r="D2917" t="s">
        <v>342</v>
      </c>
      <c r="E2917">
        <v>24.15</v>
      </c>
      <c r="F2917">
        <v>20</v>
      </c>
      <c r="G2917">
        <v>20</v>
      </c>
      <c r="H2917">
        <v>40</v>
      </c>
      <c r="I2917" t="s">
        <v>344</v>
      </c>
      <c r="J2917">
        <v>-31.88</v>
      </c>
      <c r="L2917" t="s">
        <v>345</v>
      </c>
      <c r="N2917" t="s">
        <v>345</v>
      </c>
      <c r="O2917">
        <v>-7.48</v>
      </c>
      <c r="P2917" t="s">
        <v>343</v>
      </c>
      <c r="Q2917">
        <v>1.94</v>
      </c>
      <c r="R2917" t="s">
        <v>343</v>
      </c>
      <c r="S2917">
        <v>1</v>
      </c>
    </row>
    <row r="2918" spans="1:19" x14ac:dyDescent="0.25">
      <c r="A2918" t="s">
        <v>55</v>
      </c>
      <c r="B2918" t="s">
        <v>57</v>
      </c>
      <c r="C2918">
        <v>20</v>
      </c>
      <c r="D2918" t="s">
        <v>342</v>
      </c>
      <c r="E2918">
        <v>24.15</v>
      </c>
      <c r="F2918">
        <v>9.42</v>
      </c>
      <c r="G2918">
        <v>20</v>
      </c>
      <c r="H2918">
        <v>29.42</v>
      </c>
      <c r="I2918" t="s">
        <v>344</v>
      </c>
      <c r="J2918">
        <v>-31.65</v>
      </c>
      <c r="K2918">
        <v>1.1499999999999999</v>
      </c>
      <c r="L2918" t="s">
        <v>346</v>
      </c>
      <c r="M2918" s="1">
        <v>1.15E-2</v>
      </c>
      <c r="N2918" t="s">
        <v>349</v>
      </c>
      <c r="O2918">
        <v>-11.57</v>
      </c>
      <c r="P2918" t="s">
        <v>343</v>
      </c>
      <c r="Q2918">
        <v>1.61</v>
      </c>
      <c r="R2918" t="s">
        <v>343</v>
      </c>
      <c r="S2918">
        <v>1</v>
      </c>
    </row>
    <row r="2919" spans="1:19" x14ac:dyDescent="0.25">
      <c r="A2919" t="s">
        <v>55</v>
      </c>
      <c r="B2919" t="s">
        <v>58</v>
      </c>
      <c r="C2919">
        <v>40</v>
      </c>
      <c r="D2919" t="s">
        <v>342</v>
      </c>
      <c r="E2919">
        <v>24.15</v>
      </c>
      <c r="F2919">
        <v>7.83</v>
      </c>
      <c r="G2919">
        <v>20</v>
      </c>
      <c r="H2919">
        <v>27.83</v>
      </c>
      <c r="I2919" t="s">
        <v>344</v>
      </c>
      <c r="J2919">
        <v>-30.78</v>
      </c>
      <c r="K2919">
        <v>4.3499999999999996</v>
      </c>
      <c r="L2919" t="s">
        <v>346</v>
      </c>
      <c r="M2919" s="1">
        <v>4.3499999999999997E-2</v>
      </c>
      <c r="N2919" t="s">
        <v>350</v>
      </c>
      <c r="O2919">
        <v>2.78</v>
      </c>
      <c r="P2919" t="s">
        <v>344</v>
      </c>
      <c r="Q2919">
        <v>1.38</v>
      </c>
      <c r="R2919" t="s">
        <v>343</v>
      </c>
      <c r="S2919">
        <v>1</v>
      </c>
    </row>
    <row r="2920" spans="1:19" x14ac:dyDescent="0.25">
      <c r="A2920" t="s">
        <v>55</v>
      </c>
      <c r="B2920" t="s">
        <v>339</v>
      </c>
      <c r="C2920">
        <v>52.771000000000001</v>
      </c>
      <c r="D2920" t="s">
        <v>342</v>
      </c>
      <c r="E2920">
        <v>24.15</v>
      </c>
      <c r="F2920">
        <v>9.42</v>
      </c>
      <c r="G2920">
        <v>20</v>
      </c>
      <c r="H2920">
        <v>29.42</v>
      </c>
      <c r="I2920" t="s">
        <v>344</v>
      </c>
      <c r="J2920">
        <v>-30.55</v>
      </c>
      <c r="K2920">
        <v>1.8</v>
      </c>
      <c r="L2920" t="s">
        <v>346</v>
      </c>
      <c r="M2920" s="1">
        <v>1.7999999999999999E-2</v>
      </c>
      <c r="N2920" t="s">
        <v>349</v>
      </c>
      <c r="O2920">
        <v>0.97</v>
      </c>
      <c r="P2920" t="s">
        <v>343</v>
      </c>
      <c r="Q2920">
        <v>1.69</v>
      </c>
      <c r="R2920" t="s">
        <v>343</v>
      </c>
      <c r="S292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758"/>
  <sheetViews>
    <sheetView workbookViewId="0"/>
  </sheetViews>
  <sheetFormatPr defaultRowHeight="15" x14ac:dyDescent="0.25"/>
  <sheetData>
    <row r="1" spans="1:6" x14ac:dyDescent="0.25">
      <c r="A1" s="3" t="s">
        <v>351</v>
      </c>
      <c r="B1" s="3" t="s">
        <v>0</v>
      </c>
      <c r="C1" s="3" t="s">
        <v>1</v>
      </c>
      <c r="D1" s="3" t="s">
        <v>352</v>
      </c>
      <c r="E1" s="3" t="s">
        <v>353</v>
      </c>
      <c r="F1" s="3" t="s">
        <v>354</v>
      </c>
    </row>
    <row r="2" spans="1:6" x14ac:dyDescent="0.25">
      <c r="A2" t="s">
        <v>355</v>
      </c>
      <c r="B2" t="s">
        <v>19</v>
      </c>
      <c r="C2" t="s">
        <v>56</v>
      </c>
      <c r="D2" t="s">
        <v>3217</v>
      </c>
      <c r="E2">
        <v>0</v>
      </c>
      <c r="F2">
        <v>101.25</v>
      </c>
    </row>
    <row r="3" spans="1:6" x14ac:dyDescent="0.25">
      <c r="A3" t="s">
        <v>355</v>
      </c>
      <c r="B3" t="s">
        <v>19</v>
      </c>
      <c r="C3" t="s">
        <v>56</v>
      </c>
      <c r="D3" t="s">
        <v>3218</v>
      </c>
      <c r="E3">
        <v>16.010000000000002</v>
      </c>
      <c r="F3">
        <v>101.04</v>
      </c>
    </row>
    <row r="4" spans="1:6" x14ac:dyDescent="0.25">
      <c r="A4" t="s">
        <v>355</v>
      </c>
      <c r="B4" t="s">
        <v>19</v>
      </c>
      <c r="C4" t="s">
        <v>56</v>
      </c>
      <c r="D4" t="s">
        <v>3219</v>
      </c>
      <c r="E4">
        <v>30.27</v>
      </c>
      <c r="F4">
        <v>100.09</v>
      </c>
    </row>
    <row r="5" spans="1:6" x14ac:dyDescent="0.25">
      <c r="A5" t="s">
        <v>356</v>
      </c>
      <c r="B5" t="s">
        <v>19</v>
      </c>
      <c r="C5" t="s">
        <v>57</v>
      </c>
      <c r="D5" t="s">
        <v>3217</v>
      </c>
      <c r="E5">
        <v>0</v>
      </c>
      <c r="F5">
        <v>101.36</v>
      </c>
    </row>
    <row r="6" spans="1:6" x14ac:dyDescent="0.25">
      <c r="A6" t="s">
        <v>356</v>
      </c>
      <c r="B6" t="s">
        <v>19</v>
      </c>
      <c r="C6" t="s">
        <v>57</v>
      </c>
      <c r="D6" t="s">
        <v>3218</v>
      </c>
      <c r="E6">
        <v>18.11</v>
      </c>
      <c r="F6">
        <v>100.68</v>
      </c>
    </row>
    <row r="7" spans="1:6" x14ac:dyDescent="0.25">
      <c r="A7" t="s">
        <v>356</v>
      </c>
      <c r="B7" t="s">
        <v>19</v>
      </c>
      <c r="C7" t="s">
        <v>57</v>
      </c>
      <c r="D7" t="s">
        <v>3219</v>
      </c>
      <c r="E7">
        <v>31.87</v>
      </c>
      <c r="F7">
        <v>100.17</v>
      </c>
    </row>
    <row r="8" spans="1:6" x14ac:dyDescent="0.25">
      <c r="A8" t="s">
        <v>357</v>
      </c>
      <c r="B8" t="s">
        <v>19</v>
      </c>
      <c r="C8" t="s">
        <v>58</v>
      </c>
      <c r="D8" t="s">
        <v>3217</v>
      </c>
      <c r="E8">
        <v>0</v>
      </c>
      <c r="F8">
        <v>100.79</v>
      </c>
    </row>
    <row r="9" spans="1:6" x14ac:dyDescent="0.25">
      <c r="A9" t="s">
        <v>357</v>
      </c>
      <c r="B9" t="s">
        <v>19</v>
      </c>
      <c r="C9" t="s">
        <v>58</v>
      </c>
      <c r="D9" t="s">
        <v>3218</v>
      </c>
      <c r="E9">
        <v>16.22</v>
      </c>
      <c r="F9">
        <v>100.53</v>
      </c>
    </row>
    <row r="10" spans="1:6" x14ac:dyDescent="0.25">
      <c r="A10" t="s">
        <v>357</v>
      </c>
      <c r="B10" t="s">
        <v>19</v>
      </c>
      <c r="C10" t="s">
        <v>58</v>
      </c>
      <c r="D10" t="s">
        <v>3219</v>
      </c>
      <c r="E10">
        <v>32.049999999999997</v>
      </c>
      <c r="F10">
        <v>100.03</v>
      </c>
    </row>
    <row r="11" spans="1:6" x14ac:dyDescent="0.25">
      <c r="A11" t="s">
        <v>358</v>
      </c>
      <c r="B11" t="s">
        <v>19</v>
      </c>
      <c r="C11" t="s">
        <v>59</v>
      </c>
      <c r="D11" t="s">
        <v>3217</v>
      </c>
      <c r="E11">
        <v>0</v>
      </c>
      <c r="F11">
        <v>100.62</v>
      </c>
    </row>
    <row r="12" spans="1:6" x14ac:dyDescent="0.25">
      <c r="A12" t="s">
        <v>358</v>
      </c>
      <c r="B12" t="s">
        <v>19</v>
      </c>
      <c r="C12" t="s">
        <v>59</v>
      </c>
      <c r="D12" t="s">
        <v>3218</v>
      </c>
      <c r="E12">
        <v>16.22</v>
      </c>
      <c r="F12">
        <v>100.99</v>
      </c>
    </row>
    <row r="13" spans="1:6" x14ac:dyDescent="0.25">
      <c r="A13" t="s">
        <v>358</v>
      </c>
      <c r="B13" t="s">
        <v>19</v>
      </c>
      <c r="C13" t="s">
        <v>59</v>
      </c>
      <c r="D13" t="s">
        <v>3219</v>
      </c>
      <c r="E13">
        <v>36.22</v>
      </c>
      <c r="F13">
        <v>99.45</v>
      </c>
    </row>
    <row r="14" spans="1:6" x14ac:dyDescent="0.25">
      <c r="A14" t="s">
        <v>359</v>
      </c>
      <c r="B14" t="s">
        <v>19</v>
      </c>
      <c r="C14" t="s">
        <v>60</v>
      </c>
      <c r="D14" t="s">
        <v>3217</v>
      </c>
      <c r="E14">
        <v>0</v>
      </c>
      <c r="F14">
        <v>100.58</v>
      </c>
    </row>
    <row r="15" spans="1:6" x14ac:dyDescent="0.25">
      <c r="A15" t="s">
        <v>359</v>
      </c>
      <c r="B15" t="s">
        <v>19</v>
      </c>
      <c r="C15" t="s">
        <v>60</v>
      </c>
      <c r="D15" t="s">
        <v>3218</v>
      </c>
      <c r="E15">
        <v>15.12</v>
      </c>
      <c r="F15">
        <v>100.22</v>
      </c>
    </row>
    <row r="16" spans="1:6" x14ac:dyDescent="0.25">
      <c r="A16" t="s">
        <v>359</v>
      </c>
      <c r="B16" t="s">
        <v>19</v>
      </c>
      <c r="C16" t="s">
        <v>60</v>
      </c>
      <c r="D16" t="s">
        <v>3219</v>
      </c>
      <c r="E16">
        <v>35.119999999999997</v>
      </c>
      <c r="F16">
        <v>99</v>
      </c>
    </row>
    <row r="17" spans="1:6" x14ac:dyDescent="0.25">
      <c r="A17" t="s">
        <v>360</v>
      </c>
      <c r="B17" t="s">
        <v>19</v>
      </c>
      <c r="C17" t="s">
        <v>61</v>
      </c>
      <c r="D17" t="s">
        <v>3217</v>
      </c>
      <c r="E17">
        <v>0</v>
      </c>
      <c r="F17">
        <v>100.52</v>
      </c>
    </row>
    <row r="18" spans="1:6" x14ac:dyDescent="0.25">
      <c r="A18" t="s">
        <v>360</v>
      </c>
      <c r="B18" t="s">
        <v>19</v>
      </c>
      <c r="C18" t="s">
        <v>61</v>
      </c>
      <c r="D18" t="s">
        <v>3218</v>
      </c>
      <c r="E18">
        <v>15.63</v>
      </c>
      <c r="F18">
        <v>99.92</v>
      </c>
    </row>
    <row r="19" spans="1:6" x14ac:dyDescent="0.25">
      <c r="A19" t="s">
        <v>360</v>
      </c>
      <c r="B19" t="s">
        <v>19</v>
      </c>
      <c r="C19" t="s">
        <v>61</v>
      </c>
      <c r="D19" t="s">
        <v>3219</v>
      </c>
      <c r="E19">
        <v>35.630000000000003</v>
      </c>
      <c r="F19">
        <v>98.84</v>
      </c>
    </row>
    <row r="20" spans="1:6" x14ac:dyDescent="0.25">
      <c r="A20" t="s">
        <v>361</v>
      </c>
      <c r="B20" t="s">
        <v>19</v>
      </c>
      <c r="C20" t="s">
        <v>62</v>
      </c>
      <c r="D20" t="s">
        <v>3217</v>
      </c>
      <c r="E20">
        <v>0</v>
      </c>
      <c r="F20">
        <v>100.29</v>
      </c>
    </row>
    <row r="21" spans="1:6" x14ac:dyDescent="0.25">
      <c r="A21" t="s">
        <v>361</v>
      </c>
      <c r="B21" t="s">
        <v>19</v>
      </c>
      <c r="C21" t="s">
        <v>62</v>
      </c>
      <c r="D21" t="s">
        <v>3218</v>
      </c>
      <c r="E21">
        <v>16.82</v>
      </c>
      <c r="F21">
        <v>99.76</v>
      </c>
    </row>
    <row r="22" spans="1:6" x14ac:dyDescent="0.25">
      <c r="A22" t="s">
        <v>361</v>
      </c>
      <c r="B22" t="s">
        <v>19</v>
      </c>
      <c r="C22" t="s">
        <v>62</v>
      </c>
      <c r="D22" t="s">
        <v>3219</v>
      </c>
      <c r="E22">
        <v>36.82</v>
      </c>
      <c r="F22">
        <v>99.32</v>
      </c>
    </row>
    <row r="23" spans="1:6" x14ac:dyDescent="0.25">
      <c r="A23" t="s">
        <v>362</v>
      </c>
      <c r="B23" t="s">
        <v>19</v>
      </c>
      <c r="C23" t="s">
        <v>63</v>
      </c>
      <c r="D23" t="s">
        <v>3217</v>
      </c>
      <c r="E23">
        <v>0</v>
      </c>
      <c r="F23">
        <v>100.39</v>
      </c>
    </row>
    <row r="24" spans="1:6" x14ac:dyDescent="0.25">
      <c r="A24" t="s">
        <v>362</v>
      </c>
      <c r="B24" t="s">
        <v>19</v>
      </c>
      <c r="C24" t="s">
        <v>63</v>
      </c>
      <c r="D24" t="s">
        <v>3218</v>
      </c>
      <c r="E24">
        <v>17.53</v>
      </c>
      <c r="F24">
        <v>99.77</v>
      </c>
    </row>
    <row r="25" spans="1:6" x14ac:dyDescent="0.25">
      <c r="A25" t="s">
        <v>362</v>
      </c>
      <c r="B25" t="s">
        <v>19</v>
      </c>
      <c r="C25" t="s">
        <v>63</v>
      </c>
      <c r="D25" t="s">
        <v>3219</v>
      </c>
      <c r="E25">
        <v>35.44</v>
      </c>
      <c r="F25">
        <v>99.21</v>
      </c>
    </row>
    <row r="26" spans="1:6" x14ac:dyDescent="0.25">
      <c r="A26" t="s">
        <v>363</v>
      </c>
      <c r="B26" t="s">
        <v>19</v>
      </c>
      <c r="C26" t="s">
        <v>64</v>
      </c>
      <c r="D26" t="s">
        <v>3217</v>
      </c>
      <c r="E26">
        <v>0</v>
      </c>
      <c r="F26">
        <v>100.25</v>
      </c>
    </row>
    <row r="27" spans="1:6" x14ac:dyDescent="0.25">
      <c r="A27" t="s">
        <v>363</v>
      </c>
      <c r="B27" t="s">
        <v>19</v>
      </c>
      <c r="C27" t="s">
        <v>64</v>
      </c>
      <c r="D27" t="s">
        <v>3218</v>
      </c>
      <c r="E27">
        <v>17.09</v>
      </c>
      <c r="F27">
        <v>99.84</v>
      </c>
    </row>
    <row r="28" spans="1:6" x14ac:dyDescent="0.25">
      <c r="A28" t="s">
        <v>363</v>
      </c>
      <c r="B28" t="s">
        <v>19</v>
      </c>
      <c r="C28" t="s">
        <v>64</v>
      </c>
      <c r="D28" t="s">
        <v>3219</v>
      </c>
      <c r="E28">
        <v>33.54</v>
      </c>
      <c r="F28">
        <v>99.45</v>
      </c>
    </row>
    <row r="29" spans="1:6" x14ac:dyDescent="0.25">
      <c r="A29" t="s">
        <v>364</v>
      </c>
      <c r="B29" t="s">
        <v>19</v>
      </c>
      <c r="C29" t="s">
        <v>65</v>
      </c>
      <c r="D29" t="s">
        <v>3217</v>
      </c>
      <c r="E29">
        <v>0</v>
      </c>
      <c r="F29">
        <v>100.14</v>
      </c>
    </row>
    <row r="30" spans="1:6" x14ac:dyDescent="0.25">
      <c r="A30" t="s">
        <v>364</v>
      </c>
      <c r="B30" t="s">
        <v>19</v>
      </c>
      <c r="C30" t="s">
        <v>65</v>
      </c>
      <c r="D30" t="s">
        <v>3218</v>
      </c>
      <c r="E30">
        <v>17.04</v>
      </c>
      <c r="F30">
        <v>99.94</v>
      </c>
    </row>
    <row r="31" spans="1:6" x14ac:dyDescent="0.25">
      <c r="A31" t="s">
        <v>364</v>
      </c>
      <c r="B31" t="s">
        <v>19</v>
      </c>
      <c r="C31" t="s">
        <v>65</v>
      </c>
      <c r="D31" t="s">
        <v>3219</v>
      </c>
      <c r="E31">
        <v>32.51</v>
      </c>
      <c r="F31">
        <v>99.56</v>
      </c>
    </row>
    <row r="32" spans="1:6" x14ac:dyDescent="0.25">
      <c r="A32" t="s">
        <v>365</v>
      </c>
      <c r="B32" t="s">
        <v>19</v>
      </c>
      <c r="C32" t="s">
        <v>66</v>
      </c>
      <c r="D32" t="s">
        <v>3217</v>
      </c>
      <c r="E32">
        <v>0</v>
      </c>
      <c r="F32">
        <v>100.21</v>
      </c>
    </row>
    <row r="33" spans="1:6" x14ac:dyDescent="0.25">
      <c r="A33" t="s">
        <v>365</v>
      </c>
      <c r="B33" t="s">
        <v>19</v>
      </c>
      <c r="C33" t="s">
        <v>66</v>
      </c>
      <c r="D33" t="s">
        <v>3218</v>
      </c>
      <c r="E33">
        <v>17</v>
      </c>
      <c r="F33">
        <v>100.21</v>
      </c>
    </row>
    <row r="34" spans="1:6" x14ac:dyDescent="0.25">
      <c r="A34" t="s">
        <v>365</v>
      </c>
      <c r="B34" t="s">
        <v>19</v>
      </c>
      <c r="C34" t="s">
        <v>66</v>
      </c>
      <c r="D34" t="s">
        <v>3219</v>
      </c>
      <c r="E34">
        <v>32.51</v>
      </c>
      <c r="F34">
        <v>99.75</v>
      </c>
    </row>
    <row r="35" spans="1:6" x14ac:dyDescent="0.25">
      <c r="A35" t="s">
        <v>366</v>
      </c>
      <c r="B35" t="s">
        <v>19</v>
      </c>
      <c r="C35" t="s">
        <v>67</v>
      </c>
      <c r="D35" t="s">
        <v>3217</v>
      </c>
      <c r="E35">
        <v>0</v>
      </c>
      <c r="F35">
        <v>100.49</v>
      </c>
    </row>
    <row r="36" spans="1:6" x14ac:dyDescent="0.25">
      <c r="A36" t="s">
        <v>366</v>
      </c>
      <c r="B36" t="s">
        <v>19</v>
      </c>
      <c r="C36" t="s">
        <v>67</v>
      </c>
      <c r="D36" t="s">
        <v>3218</v>
      </c>
      <c r="E36">
        <v>17.329999999999998</v>
      </c>
      <c r="F36">
        <v>100.51</v>
      </c>
    </row>
    <row r="37" spans="1:6" x14ac:dyDescent="0.25">
      <c r="A37" t="s">
        <v>366</v>
      </c>
      <c r="B37" t="s">
        <v>19</v>
      </c>
      <c r="C37" t="s">
        <v>67</v>
      </c>
      <c r="D37" t="s">
        <v>3219</v>
      </c>
      <c r="E37">
        <v>34.299999999999997</v>
      </c>
      <c r="F37">
        <v>99.78</v>
      </c>
    </row>
    <row r="38" spans="1:6" x14ac:dyDescent="0.25">
      <c r="A38" t="s">
        <v>367</v>
      </c>
      <c r="B38" t="s">
        <v>19</v>
      </c>
      <c r="C38" t="s">
        <v>68</v>
      </c>
      <c r="D38" t="s">
        <v>3217</v>
      </c>
      <c r="E38">
        <v>0</v>
      </c>
      <c r="F38">
        <v>100.81</v>
      </c>
    </row>
    <row r="39" spans="1:6" x14ac:dyDescent="0.25">
      <c r="A39" t="s">
        <v>367</v>
      </c>
      <c r="B39" t="s">
        <v>19</v>
      </c>
      <c r="C39" t="s">
        <v>68</v>
      </c>
      <c r="D39" t="s">
        <v>3218</v>
      </c>
      <c r="E39">
        <v>17.14</v>
      </c>
      <c r="F39">
        <v>100.64</v>
      </c>
    </row>
    <row r="40" spans="1:6" x14ac:dyDescent="0.25">
      <c r="A40" t="s">
        <v>367</v>
      </c>
      <c r="B40" t="s">
        <v>19</v>
      </c>
      <c r="C40" t="s">
        <v>68</v>
      </c>
      <c r="D40" t="s">
        <v>3219</v>
      </c>
      <c r="E40">
        <v>34.119999999999997</v>
      </c>
      <c r="F40">
        <v>100</v>
      </c>
    </row>
    <row r="41" spans="1:6" x14ac:dyDescent="0.25">
      <c r="A41" t="s">
        <v>368</v>
      </c>
      <c r="B41" t="s">
        <v>19</v>
      </c>
      <c r="C41" t="s">
        <v>69</v>
      </c>
      <c r="D41" t="s">
        <v>3217</v>
      </c>
      <c r="E41">
        <v>0</v>
      </c>
      <c r="F41">
        <v>100.86</v>
      </c>
    </row>
    <row r="42" spans="1:6" x14ac:dyDescent="0.25">
      <c r="A42" t="s">
        <v>368</v>
      </c>
      <c r="B42" t="s">
        <v>19</v>
      </c>
      <c r="C42" t="s">
        <v>69</v>
      </c>
      <c r="D42" t="s">
        <v>3218</v>
      </c>
      <c r="E42">
        <v>16.14</v>
      </c>
      <c r="F42">
        <v>100.7</v>
      </c>
    </row>
    <row r="43" spans="1:6" x14ac:dyDescent="0.25">
      <c r="A43" t="s">
        <v>368</v>
      </c>
      <c r="B43" t="s">
        <v>19</v>
      </c>
      <c r="C43" t="s">
        <v>69</v>
      </c>
      <c r="D43" t="s">
        <v>3219</v>
      </c>
      <c r="E43">
        <v>36.14</v>
      </c>
      <c r="F43">
        <v>100.03</v>
      </c>
    </row>
    <row r="44" spans="1:6" x14ac:dyDescent="0.25">
      <c r="A44" t="s">
        <v>369</v>
      </c>
      <c r="B44" t="s">
        <v>19</v>
      </c>
      <c r="C44" t="s">
        <v>70</v>
      </c>
      <c r="D44" t="s">
        <v>3217</v>
      </c>
      <c r="E44">
        <v>0</v>
      </c>
      <c r="F44">
        <v>101.26</v>
      </c>
    </row>
    <row r="45" spans="1:6" x14ac:dyDescent="0.25">
      <c r="A45" t="s">
        <v>369</v>
      </c>
      <c r="B45" t="s">
        <v>19</v>
      </c>
      <c r="C45" t="s">
        <v>70</v>
      </c>
      <c r="D45" t="s">
        <v>3218</v>
      </c>
      <c r="E45">
        <v>15.13</v>
      </c>
      <c r="F45">
        <v>100.79</v>
      </c>
    </row>
    <row r="46" spans="1:6" x14ac:dyDescent="0.25">
      <c r="A46" t="s">
        <v>369</v>
      </c>
      <c r="B46" t="s">
        <v>19</v>
      </c>
      <c r="C46" t="s">
        <v>70</v>
      </c>
      <c r="D46" t="s">
        <v>3219</v>
      </c>
      <c r="E46">
        <v>35.130000000000003</v>
      </c>
      <c r="F46">
        <v>100.3</v>
      </c>
    </row>
    <row r="47" spans="1:6" x14ac:dyDescent="0.25">
      <c r="A47" t="s">
        <v>370</v>
      </c>
      <c r="B47" t="s">
        <v>19</v>
      </c>
      <c r="C47" t="s">
        <v>71</v>
      </c>
      <c r="D47" t="s">
        <v>3217</v>
      </c>
      <c r="E47">
        <v>0</v>
      </c>
      <c r="F47">
        <v>101.28</v>
      </c>
    </row>
    <row r="48" spans="1:6" x14ac:dyDescent="0.25">
      <c r="A48" t="s">
        <v>370</v>
      </c>
      <c r="B48" t="s">
        <v>19</v>
      </c>
      <c r="C48" t="s">
        <v>71</v>
      </c>
      <c r="D48" t="s">
        <v>3218</v>
      </c>
      <c r="E48">
        <v>14.9</v>
      </c>
      <c r="F48">
        <v>100.94</v>
      </c>
    </row>
    <row r="49" spans="1:6" x14ac:dyDescent="0.25">
      <c r="A49" t="s">
        <v>370</v>
      </c>
      <c r="B49" t="s">
        <v>19</v>
      </c>
      <c r="C49" t="s">
        <v>71</v>
      </c>
      <c r="D49" t="s">
        <v>3219</v>
      </c>
      <c r="E49">
        <v>34.9</v>
      </c>
      <c r="F49">
        <v>100.06</v>
      </c>
    </row>
    <row r="50" spans="1:6" x14ac:dyDescent="0.25">
      <c r="A50" t="s">
        <v>371</v>
      </c>
      <c r="B50" t="s">
        <v>19</v>
      </c>
      <c r="C50" t="s">
        <v>72</v>
      </c>
      <c r="D50" t="s">
        <v>3217</v>
      </c>
      <c r="E50">
        <v>0</v>
      </c>
      <c r="F50">
        <v>101.38</v>
      </c>
    </row>
    <row r="51" spans="1:6" x14ac:dyDescent="0.25">
      <c r="A51" t="s">
        <v>371</v>
      </c>
      <c r="B51" t="s">
        <v>19</v>
      </c>
      <c r="C51" t="s">
        <v>72</v>
      </c>
      <c r="D51" t="s">
        <v>3218</v>
      </c>
      <c r="E51">
        <v>15.05</v>
      </c>
      <c r="F51">
        <v>101.02</v>
      </c>
    </row>
    <row r="52" spans="1:6" x14ac:dyDescent="0.25">
      <c r="A52" t="s">
        <v>371</v>
      </c>
      <c r="B52" t="s">
        <v>19</v>
      </c>
      <c r="C52" t="s">
        <v>72</v>
      </c>
      <c r="D52" t="s">
        <v>3219</v>
      </c>
      <c r="E52">
        <v>35.049999999999997</v>
      </c>
      <c r="F52">
        <v>100.08</v>
      </c>
    </row>
    <row r="53" spans="1:6" x14ac:dyDescent="0.25">
      <c r="A53" t="s">
        <v>372</v>
      </c>
      <c r="B53" t="s">
        <v>19</v>
      </c>
      <c r="C53" t="s">
        <v>73</v>
      </c>
      <c r="D53" t="s">
        <v>3217</v>
      </c>
      <c r="E53">
        <v>0</v>
      </c>
      <c r="F53">
        <v>101.43</v>
      </c>
    </row>
    <row r="54" spans="1:6" x14ac:dyDescent="0.25">
      <c r="A54" t="s">
        <v>372</v>
      </c>
      <c r="B54" t="s">
        <v>19</v>
      </c>
      <c r="C54" t="s">
        <v>73</v>
      </c>
      <c r="D54" t="s">
        <v>3218</v>
      </c>
      <c r="E54">
        <v>15.82</v>
      </c>
      <c r="F54">
        <v>101.14</v>
      </c>
    </row>
    <row r="55" spans="1:6" x14ac:dyDescent="0.25">
      <c r="A55" t="s">
        <v>372</v>
      </c>
      <c r="B55" t="s">
        <v>19</v>
      </c>
      <c r="C55" t="s">
        <v>73</v>
      </c>
      <c r="D55" t="s">
        <v>3219</v>
      </c>
      <c r="E55">
        <v>35.82</v>
      </c>
      <c r="F55">
        <v>100.02</v>
      </c>
    </row>
    <row r="56" spans="1:6" x14ac:dyDescent="0.25">
      <c r="A56" t="s">
        <v>373</v>
      </c>
      <c r="B56" t="s">
        <v>19</v>
      </c>
      <c r="C56" t="s">
        <v>74</v>
      </c>
      <c r="D56" t="s">
        <v>3217</v>
      </c>
      <c r="E56">
        <v>0</v>
      </c>
      <c r="F56">
        <v>101.49</v>
      </c>
    </row>
    <row r="57" spans="1:6" x14ac:dyDescent="0.25">
      <c r="A57" t="s">
        <v>373</v>
      </c>
      <c r="B57" t="s">
        <v>19</v>
      </c>
      <c r="C57" t="s">
        <v>74</v>
      </c>
      <c r="D57" t="s">
        <v>3218</v>
      </c>
      <c r="E57">
        <v>16.579999999999998</v>
      </c>
      <c r="F57">
        <v>101.24</v>
      </c>
    </row>
    <row r="58" spans="1:6" x14ac:dyDescent="0.25">
      <c r="A58" t="s">
        <v>373</v>
      </c>
      <c r="B58" t="s">
        <v>19</v>
      </c>
      <c r="C58" t="s">
        <v>74</v>
      </c>
      <c r="D58" t="s">
        <v>3219</v>
      </c>
      <c r="E58">
        <v>36.58</v>
      </c>
      <c r="F58">
        <v>100.11</v>
      </c>
    </row>
    <row r="59" spans="1:6" x14ac:dyDescent="0.25">
      <c r="A59" t="s">
        <v>374</v>
      </c>
      <c r="B59" t="s">
        <v>19</v>
      </c>
      <c r="C59" t="s">
        <v>75</v>
      </c>
      <c r="D59" t="s">
        <v>3217</v>
      </c>
      <c r="E59">
        <v>0</v>
      </c>
      <c r="F59">
        <v>101.85</v>
      </c>
    </row>
    <row r="60" spans="1:6" x14ac:dyDescent="0.25">
      <c r="A60" t="s">
        <v>374</v>
      </c>
      <c r="B60" t="s">
        <v>19</v>
      </c>
      <c r="C60" t="s">
        <v>75</v>
      </c>
      <c r="D60" t="s">
        <v>3218</v>
      </c>
      <c r="E60">
        <v>17.52</v>
      </c>
      <c r="F60">
        <v>101.17</v>
      </c>
    </row>
    <row r="61" spans="1:6" x14ac:dyDescent="0.25">
      <c r="A61" t="s">
        <v>374</v>
      </c>
      <c r="B61" t="s">
        <v>19</v>
      </c>
      <c r="C61" t="s">
        <v>75</v>
      </c>
      <c r="D61" t="s">
        <v>3219</v>
      </c>
      <c r="E61">
        <v>37.520000000000003</v>
      </c>
      <c r="F61">
        <v>100.15</v>
      </c>
    </row>
    <row r="62" spans="1:6" x14ac:dyDescent="0.25">
      <c r="A62" t="s">
        <v>375</v>
      </c>
      <c r="B62" t="s">
        <v>19</v>
      </c>
      <c r="C62" t="s">
        <v>76</v>
      </c>
      <c r="D62" t="s">
        <v>3217</v>
      </c>
      <c r="E62">
        <v>0</v>
      </c>
      <c r="F62">
        <v>101.77</v>
      </c>
    </row>
    <row r="63" spans="1:6" x14ac:dyDescent="0.25">
      <c r="A63" t="s">
        <v>375</v>
      </c>
      <c r="B63" t="s">
        <v>19</v>
      </c>
      <c r="C63" t="s">
        <v>76</v>
      </c>
      <c r="D63" t="s">
        <v>3218</v>
      </c>
      <c r="E63">
        <v>20</v>
      </c>
      <c r="F63">
        <v>101.08</v>
      </c>
    </row>
    <row r="64" spans="1:6" x14ac:dyDescent="0.25">
      <c r="A64" t="s">
        <v>375</v>
      </c>
      <c r="B64" t="s">
        <v>19</v>
      </c>
      <c r="C64" t="s">
        <v>76</v>
      </c>
      <c r="D64" t="s">
        <v>3219</v>
      </c>
      <c r="E64">
        <v>38.520000000000003</v>
      </c>
      <c r="F64">
        <v>100.32</v>
      </c>
    </row>
    <row r="65" spans="1:6" x14ac:dyDescent="0.25">
      <c r="A65" t="s">
        <v>376</v>
      </c>
      <c r="B65" t="s">
        <v>19</v>
      </c>
      <c r="C65" t="s">
        <v>77</v>
      </c>
      <c r="D65" t="s">
        <v>3217</v>
      </c>
      <c r="E65">
        <v>0</v>
      </c>
      <c r="F65">
        <v>101.44</v>
      </c>
    </row>
    <row r="66" spans="1:6" x14ac:dyDescent="0.25">
      <c r="A66" t="s">
        <v>376</v>
      </c>
      <c r="B66" t="s">
        <v>19</v>
      </c>
      <c r="C66" t="s">
        <v>77</v>
      </c>
      <c r="D66" t="s">
        <v>3218</v>
      </c>
      <c r="E66">
        <v>20</v>
      </c>
      <c r="F66">
        <v>101.08</v>
      </c>
    </row>
    <row r="67" spans="1:6" x14ac:dyDescent="0.25">
      <c r="A67" t="s">
        <v>376</v>
      </c>
      <c r="B67" t="s">
        <v>19</v>
      </c>
      <c r="C67" t="s">
        <v>77</v>
      </c>
      <c r="D67" t="s">
        <v>3219</v>
      </c>
      <c r="E67">
        <v>40</v>
      </c>
      <c r="F67">
        <v>100.27</v>
      </c>
    </row>
    <row r="68" spans="1:6" x14ac:dyDescent="0.25">
      <c r="A68" t="s">
        <v>377</v>
      </c>
      <c r="B68" t="s">
        <v>19</v>
      </c>
      <c r="C68" t="s">
        <v>78</v>
      </c>
      <c r="D68" t="s">
        <v>3217</v>
      </c>
      <c r="E68">
        <v>0</v>
      </c>
      <c r="F68">
        <v>101.5</v>
      </c>
    </row>
    <row r="69" spans="1:6" x14ac:dyDescent="0.25">
      <c r="A69" t="s">
        <v>377</v>
      </c>
      <c r="B69" t="s">
        <v>19</v>
      </c>
      <c r="C69" t="s">
        <v>78</v>
      </c>
      <c r="D69" t="s">
        <v>3218</v>
      </c>
      <c r="E69">
        <v>17.52</v>
      </c>
      <c r="F69">
        <v>101.36</v>
      </c>
    </row>
    <row r="70" spans="1:6" x14ac:dyDescent="0.25">
      <c r="A70" t="s">
        <v>377</v>
      </c>
      <c r="B70" t="s">
        <v>19</v>
      </c>
      <c r="C70" t="s">
        <v>78</v>
      </c>
      <c r="D70" t="s">
        <v>3219</v>
      </c>
      <c r="E70">
        <v>37.520000000000003</v>
      </c>
      <c r="F70">
        <v>100.22</v>
      </c>
    </row>
    <row r="71" spans="1:6" x14ac:dyDescent="0.25">
      <c r="A71" t="s">
        <v>378</v>
      </c>
      <c r="B71" t="s">
        <v>19</v>
      </c>
      <c r="C71" t="s">
        <v>79</v>
      </c>
      <c r="D71" t="s">
        <v>3217</v>
      </c>
      <c r="E71">
        <v>0</v>
      </c>
      <c r="F71">
        <v>101.48</v>
      </c>
    </row>
    <row r="72" spans="1:6" x14ac:dyDescent="0.25">
      <c r="A72" t="s">
        <v>378</v>
      </c>
      <c r="B72" t="s">
        <v>19</v>
      </c>
      <c r="C72" t="s">
        <v>79</v>
      </c>
      <c r="D72" t="s">
        <v>3218</v>
      </c>
      <c r="E72">
        <v>16.170000000000002</v>
      </c>
      <c r="F72">
        <v>100.96</v>
      </c>
    </row>
    <row r="73" spans="1:6" x14ac:dyDescent="0.25">
      <c r="A73" t="s">
        <v>378</v>
      </c>
      <c r="B73" t="s">
        <v>19</v>
      </c>
      <c r="C73" t="s">
        <v>79</v>
      </c>
      <c r="D73" t="s">
        <v>3219</v>
      </c>
      <c r="E73">
        <v>36.17</v>
      </c>
      <c r="F73">
        <v>100.25</v>
      </c>
    </row>
    <row r="74" spans="1:6" x14ac:dyDescent="0.25">
      <c r="A74" t="s">
        <v>379</v>
      </c>
      <c r="B74" t="s">
        <v>19</v>
      </c>
      <c r="C74" t="s">
        <v>80</v>
      </c>
      <c r="D74" t="s">
        <v>3217</v>
      </c>
      <c r="E74">
        <v>0</v>
      </c>
      <c r="F74">
        <v>101.39</v>
      </c>
    </row>
    <row r="75" spans="1:6" x14ac:dyDescent="0.25">
      <c r="A75" t="s">
        <v>379</v>
      </c>
      <c r="B75" t="s">
        <v>19</v>
      </c>
      <c r="C75" t="s">
        <v>80</v>
      </c>
      <c r="D75" t="s">
        <v>3218</v>
      </c>
      <c r="E75">
        <v>16.28</v>
      </c>
      <c r="F75">
        <v>100.87</v>
      </c>
    </row>
    <row r="76" spans="1:6" x14ac:dyDescent="0.25">
      <c r="A76" t="s">
        <v>379</v>
      </c>
      <c r="B76" t="s">
        <v>19</v>
      </c>
      <c r="C76" t="s">
        <v>80</v>
      </c>
      <c r="D76" t="s">
        <v>3219</v>
      </c>
      <c r="E76">
        <v>36.28</v>
      </c>
      <c r="F76">
        <v>100.12</v>
      </c>
    </row>
    <row r="77" spans="1:6" x14ac:dyDescent="0.25">
      <c r="A77" t="s">
        <v>380</v>
      </c>
      <c r="B77" t="s">
        <v>19</v>
      </c>
      <c r="C77" t="s">
        <v>81</v>
      </c>
      <c r="D77" t="s">
        <v>3217</v>
      </c>
      <c r="E77">
        <v>0</v>
      </c>
      <c r="F77">
        <v>101.7</v>
      </c>
    </row>
    <row r="78" spans="1:6" x14ac:dyDescent="0.25">
      <c r="A78" t="s">
        <v>380</v>
      </c>
      <c r="B78" t="s">
        <v>19</v>
      </c>
      <c r="C78" t="s">
        <v>81</v>
      </c>
      <c r="D78" t="s">
        <v>3218</v>
      </c>
      <c r="E78">
        <v>16.559999999999999</v>
      </c>
      <c r="F78">
        <v>100.92</v>
      </c>
    </row>
    <row r="79" spans="1:6" x14ac:dyDescent="0.25">
      <c r="A79" t="s">
        <v>380</v>
      </c>
      <c r="B79" t="s">
        <v>19</v>
      </c>
      <c r="C79" t="s">
        <v>81</v>
      </c>
      <c r="D79" t="s">
        <v>3219</v>
      </c>
      <c r="E79">
        <v>36.56</v>
      </c>
      <c r="F79">
        <v>100.16</v>
      </c>
    </row>
    <row r="80" spans="1:6" x14ac:dyDescent="0.25">
      <c r="A80" t="s">
        <v>381</v>
      </c>
      <c r="B80" t="s">
        <v>19</v>
      </c>
      <c r="C80" t="s">
        <v>82</v>
      </c>
      <c r="D80" t="s">
        <v>3217</v>
      </c>
      <c r="E80">
        <v>0</v>
      </c>
      <c r="F80">
        <v>101.58</v>
      </c>
    </row>
    <row r="81" spans="1:6" x14ac:dyDescent="0.25">
      <c r="A81" t="s">
        <v>381</v>
      </c>
      <c r="B81" t="s">
        <v>19</v>
      </c>
      <c r="C81" t="s">
        <v>82</v>
      </c>
      <c r="D81" t="s">
        <v>3218</v>
      </c>
      <c r="E81">
        <v>20</v>
      </c>
      <c r="F81">
        <v>100.84</v>
      </c>
    </row>
    <row r="82" spans="1:6" x14ac:dyDescent="0.25">
      <c r="A82" t="s">
        <v>381</v>
      </c>
      <c r="B82" t="s">
        <v>19</v>
      </c>
      <c r="C82" t="s">
        <v>82</v>
      </c>
      <c r="D82" t="s">
        <v>3219</v>
      </c>
      <c r="E82">
        <v>40</v>
      </c>
      <c r="F82">
        <v>100.07</v>
      </c>
    </row>
    <row r="83" spans="1:6" x14ac:dyDescent="0.25">
      <c r="A83" t="s">
        <v>382</v>
      </c>
      <c r="B83" t="s">
        <v>19</v>
      </c>
      <c r="C83" t="s">
        <v>83</v>
      </c>
      <c r="D83" t="s">
        <v>3217</v>
      </c>
      <c r="E83">
        <v>0</v>
      </c>
      <c r="F83">
        <v>101.44</v>
      </c>
    </row>
    <row r="84" spans="1:6" x14ac:dyDescent="0.25">
      <c r="A84" t="s">
        <v>382</v>
      </c>
      <c r="B84" t="s">
        <v>19</v>
      </c>
      <c r="C84" t="s">
        <v>83</v>
      </c>
      <c r="D84" t="s">
        <v>3218</v>
      </c>
      <c r="E84">
        <v>20</v>
      </c>
      <c r="F84">
        <v>100.81</v>
      </c>
    </row>
    <row r="85" spans="1:6" x14ac:dyDescent="0.25">
      <c r="A85" t="s">
        <v>382</v>
      </c>
      <c r="B85" t="s">
        <v>19</v>
      </c>
      <c r="C85" t="s">
        <v>83</v>
      </c>
      <c r="D85" t="s">
        <v>3219</v>
      </c>
      <c r="E85">
        <v>40</v>
      </c>
      <c r="F85">
        <v>100</v>
      </c>
    </row>
    <row r="86" spans="1:6" x14ac:dyDescent="0.25">
      <c r="A86" t="s">
        <v>383</v>
      </c>
      <c r="B86" t="s">
        <v>19</v>
      </c>
      <c r="C86" t="s">
        <v>84</v>
      </c>
      <c r="D86" t="s">
        <v>3217</v>
      </c>
      <c r="E86">
        <v>0</v>
      </c>
      <c r="F86">
        <v>101.53</v>
      </c>
    </row>
    <row r="87" spans="1:6" x14ac:dyDescent="0.25">
      <c r="A87" t="s">
        <v>383</v>
      </c>
      <c r="B87" t="s">
        <v>19</v>
      </c>
      <c r="C87" t="s">
        <v>84</v>
      </c>
      <c r="D87" t="s">
        <v>3218</v>
      </c>
      <c r="E87">
        <v>20</v>
      </c>
      <c r="F87">
        <v>101.35</v>
      </c>
    </row>
    <row r="88" spans="1:6" x14ac:dyDescent="0.25">
      <c r="A88" t="s">
        <v>383</v>
      </c>
      <c r="B88" t="s">
        <v>19</v>
      </c>
      <c r="C88" t="s">
        <v>84</v>
      </c>
      <c r="D88" t="s">
        <v>3219</v>
      </c>
      <c r="E88">
        <v>40</v>
      </c>
      <c r="F88">
        <v>99.95</v>
      </c>
    </row>
    <row r="89" spans="1:6" x14ac:dyDescent="0.25">
      <c r="A89" t="s">
        <v>384</v>
      </c>
      <c r="B89" t="s">
        <v>19</v>
      </c>
      <c r="C89" t="s">
        <v>85</v>
      </c>
      <c r="D89" t="s">
        <v>3217</v>
      </c>
      <c r="E89">
        <v>0</v>
      </c>
      <c r="F89">
        <v>101.43</v>
      </c>
    </row>
    <row r="90" spans="1:6" x14ac:dyDescent="0.25">
      <c r="A90" t="s">
        <v>384</v>
      </c>
      <c r="B90" t="s">
        <v>19</v>
      </c>
      <c r="C90" t="s">
        <v>85</v>
      </c>
      <c r="D90" t="s">
        <v>3218</v>
      </c>
      <c r="E90">
        <v>20</v>
      </c>
      <c r="F90">
        <v>100.64</v>
      </c>
    </row>
    <row r="91" spans="1:6" x14ac:dyDescent="0.25">
      <c r="A91" t="s">
        <v>384</v>
      </c>
      <c r="B91" t="s">
        <v>19</v>
      </c>
      <c r="C91" t="s">
        <v>85</v>
      </c>
      <c r="D91" t="s">
        <v>3219</v>
      </c>
      <c r="E91">
        <v>40</v>
      </c>
      <c r="F91">
        <v>100.24</v>
      </c>
    </row>
    <row r="92" spans="1:6" x14ac:dyDescent="0.25">
      <c r="A92" t="s">
        <v>385</v>
      </c>
      <c r="B92" t="s">
        <v>19</v>
      </c>
      <c r="C92" t="s">
        <v>86</v>
      </c>
      <c r="D92" t="s">
        <v>3217</v>
      </c>
      <c r="E92">
        <v>0</v>
      </c>
      <c r="F92">
        <v>101.55</v>
      </c>
    </row>
    <row r="93" spans="1:6" x14ac:dyDescent="0.25">
      <c r="A93" t="s">
        <v>385</v>
      </c>
      <c r="B93" t="s">
        <v>19</v>
      </c>
      <c r="C93" t="s">
        <v>86</v>
      </c>
      <c r="D93" t="s">
        <v>3218</v>
      </c>
      <c r="E93">
        <v>20</v>
      </c>
      <c r="F93">
        <v>100.8</v>
      </c>
    </row>
    <row r="94" spans="1:6" x14ac:dyDescent="0.25">
      <c r="A94" t="s">
        <v>385</v>
      </c>
      <c r="B94" t="s">
        <v>19</v>
      </c>
      <c r="C94" t="s">
        <v>86</v>
      </c>
      <c r="D94" t="s">
        <v>3219</v>
      </c>
      <c r="E94">
        <v>40</v>
      </c>
      <c r="F94">
        <v>99.9</v>
      </c>
    </row>
    <row r="95" spans="1:6" x14ac:dyDescent="0.25">
      <c r="A95" t="s">
        <v>386</v>
      </c>
      <c r="B95" t="s">
        <v>19</v>
      </c>
      <c r="C95" t="s">
        <v>87</v>
      </c>
      <c r="D95" t="s">
        <v>3217</v>
      </c>
      <c r="E95">
        <v>0</v>
      </c>
      <c r="F95">
        <v>101.63</v>
      </c>
    </row>
    <row r="96" spans="1:6" x14ac:dyDescent="0.25">
      <c r="A96" t="s">
        <v>386</v>
      </c>
      <c r="B96" t="s">
        <v>19</v>
      </c>
      <c r="C96" t="s">
        <v>87</v>
      </c>
      <c r="D96" t="s">
        <v>3218</v>
      </c>
      <c r="E96">
        <v>20</v>
      </c>
      <c r="F96">
        <v>100.83</v>
      </c>
    </row>
    <row r="97" spans="1:6" x14ac:dyDescent="0.25">
      <c r="A97" t="s">
        <v>386</v>
      </c>
      <c r="B97" t="s">
        <v>19</v>
      </c>
      <c r="C97" t="s">
        <v>87</v>
      </c>
      <c r="D97" t="s">
        <v>3219</v>
      </c>
      <c r="E97">
        <v>40</v>
      </c>
      <c r="F97">
        <v>100.02</v>
      </c>
    </row>
    <row r="98" spans="1:6" x14ac:dyDescent="0.25">
      <c r="A98" t="s">
        <v>387</v>
      </c>
      <c r="B98" t="s">
        <v>19</v>
      </c>
      <c r="C98" t="s">
        <v>88</v>
      </c>
      <c r="D98" t="s">
        <v>3217</v>
      </c>
      <c r="E98">
        <v>0</v>
      </c>
      <c r="F98">
        <v>101.52</v>
      </c>
    </row>
    <row r="99" spans="1:6" x14ac:dyDescent="0.25">
      <c r="A99" t="s">
        <v>387</v>
      </c>
      <c r="B99" t="s">
        <v>19</v>
      </c>
      <c r="C99" t="s">
        <v>88</v>
      </c>
      <c r="D99" t="s">
        <v>3218</v>
      </c>
      <c r="E99">
        <v>20</v>
      </c>
      <c r="F99">
        <v>100.59</v>
      </c>
    </row>
    <row r="100" spans="1:6" x14ac:dyDescent="0.25">
      <c r="A100" t="s">
        <v>387</v>
      </c>
      <c r="B100" t="s">
        <v>19</v>
      </c>
      <c r="C100" t="s">
        <v>88</v>
      </c>
      <c r="D100" t="s">
        <v>3219</v>
      </c>
      <c r="E100">
        <v>40</v>
      </c>
      <c r="F100">
        <v>100.93</v>
      </c>
    </row>
    <row r="101" spans="1:6" x14ac:dyDescent="0.25">
      <c r="A101" t="s">
        <v>388</v>
      </c>
      <c r="B101" t="s">
        <v>19</v>
      </c>
      <c r="C101" t="s">
        <v>89</v>
      </c>
      <c r="D101" t="s">
        <v>3217</v>
      </c>
      <c r="E101">
        <v>0</v>
      </c>
      <c r="F101">
        <v>101.47</v>
      </c>
    </row>
    <row r="102" spans="1:6" x14ac:dyDescent="0.25">
      <c r="A102" t="s">
        <v>388</v>
      </c>
      <c r="B102" t="s">
        <v>19</v>
      </c>
      <c r="C102" t="s">
        <v>89</v>
      </c>
      <c r="D102" t="s">
        <v>3218</v>
      </c>
      <c r="E102">
        <v>20</v>
      </c>
      <c r="F102">
        <v>100.35</v>
      </c>
    </row>
    <row r="103" spans="1:6" x14ac:dyDescent="0.25">
      <c r="A103" t="s">
        <v>388</v>
      </c>
      <c r="B103" t="s">
        <v>19</v>
      </c>
      <c r="C103" t="s">
        <v>89</v>
      </c>
      <c r="D103" t="s">
        <v>3219</v>
      </c>
      <c r="E103">
        <v>40</v>
      </c>
      <c r="F103">
        <v>100.34</v>
      </c>
    </row>
    <row r="104" spans="1:6" x14ac:dyDescent="0.25">
      <c r="A104" t="s">
        <v>389</v>
      </c>
      <c r="B104" t="s">
        <v>19</v>
      </c>
      <c r="C104" t="s">
        <v>90</v>
      </c>
      <c r="D104" t="s">
        <v>3217</v>
      </c>
      <c r="E104">
        <v>0</v>
      </c>
      <c r="F104">
        <v>101.48</v>
      </c>
    </row>
    <row r="105" spans="1:6" x14ac:dyDescent="0.25">
      <c r="A105" t="s">
        <v>389</v>
      </c>
      <c r="B105" t="s">
        <v>19</v>
      </c>
      <c r="C105" t="s">
        <v>90</v>
      </c>
      <c r="D105" t="s">
        <v>3218</v>
      </c>
      <c r="E105">
        <v>20</v>
      </c>
      <c r="F105">
        <v>100.52</v>
      </c>
    </row>
    <row r="106" spans="1:6" x14ac:dyDescent="0.25">
      <c r="A106" t="s">
        <v>389</v>
      </c>
      <c r="B106" t="s">
        <v>19</v>
      </c>
      <c r="C106" t="s">
        <v>90</v>
      </c>
      <c r="D106" t="s">
        <v>3219</v>
      </c>
      <c r="E106">
        <v>36.11</v>
      </c>
      <c r="F106">
        <v>101.65</v>
      </c>
    </row>
    <row r="107" spans="1:6" x14ac:dyDescent="0.25">
      <c r="A107" t="s">
        <v>390</v>
      </c>
      <c r="B107" t="s">
        <v>19</v>
      </c>
      <c r="C107" t="s">
        <v>91</v>
      </c>
      <c r="D107" t="s">
        <v>3217</v>
      </c>
      <c r="E107">
        <v>0</v>
      </c>
      <c r="F107">
        <v>101.09</v>
      </c>
    </row>
    <row r="108" spans="1:6" x14ac:dyDescent="0.25">
      <c r="A108" t="s">
        <v>390</v>
      </c>
      <c r="B108" t="s">
        <v>19</v>
      </c>
      <c r="C108" t="s">
        <v>91</v>
      </c>
      <c r="D108" t="s">
        <v>3218</v>
      </c>
      <c r="E108">
        <v>20</v>
      </c>
      <c r="F108">
        <v>100.53</v>
      </c>
    </row>
    <row r="109" spans="1:6" x14ac:dyDescent="0.25">
      <c r="A109" t="s">
        <v>390</v>
      </c>
      <c r="B109" t="s">
        <v>19</v>
      </c>
      <c r="C109" t="s">
        <v>91</v>
      </c>
      <c r="D109" t="s">
        <v>3219</v>
      </c>
      <c r="E109">
        <v>36.85</v>
      </c>
      <c r="F109">
        <v>100.2</v>
      </c>
    </row>
    <row r="110" spans="1:6" x14ac:dyDescent="0.25">
      <c r="A110" t="s">
        <v>391</v>
      </c>
      <c r="B110" t="s">
        <v>19</v>
      </c>
      <c r="C110" t="s">
        <v>92</v>
      </c>
      <c r="D110" t="s">
        <v>3217</v>
      </c>
      <c r="E110">
        <v>0</v>
      </c>
      <c r="F110">
        <v>100.69</v>
      </c>
    </row>
    <row r="111" spans="1:6" x14ac:dyDescent="0.25">
      <c r="A111" t="s">
        <v>391</v>
      </c>
      <c r="B111" t="s">
        <v>19</v>
      </c>
      <c r="C111" t="s">
        <v>92</v>
      </c>
      <c r="D111" t="s">
        <v>3218</v>
      </c>
      <c r="E111">
        <v>17.61</v>
      </c>
      <c r="F111">
        <v>99.74</v>
      </c>
    </row>
    <row r="112" spans="1:6" x14ac:dyDescent="0.25">
      <c r="A112" t="s">
        <v>391</v>
      </c>
      <c r="B112" t="s">
        <v>19</v>
      </c>
      <c r="C112" t="s">
        <v>92</v>
      </c>
      <c r="D112" t="s">
        <v>3219</v>
      </c>
      <c r="E112">
        <v>33.72</v>
      </c>
      <c r="F112">
        <v>99.35</v>
      </c>
    </row>
    <row r="113" spans="1:6" x14ac:dyDescent="0.25">
      <c r="A113" t="s">
        <v>392</v>
      </c>
      <c r="B113" t="s">
        <v>19</v>
      </c>
      <c r="C113" t="s">
        <v>93</v>
      </c>
      <c r="D113" t="s">
        <v>3217</v>
      </c>
      <c r="E113">
        <v>0</v>
      </c>
      <c r="F113">
        <v>99.23</v>
      </c>
    </row>
    <row r="114" spans="1:6" x14ac:dyDescent="0.25">
      <c r="A114" t="s">
        <v>392</v>
      </c>
      <c r="B114" t="s">
        <v>19</v>
      </c>
      <c r="C114" t="s">
        <v>93</v>
      </c>
      <c r="D114" t="s">
        <v>3218</v>
      </c>
      <c r="E114">
        <v>16.850000000000001</v>
      </c>
      <c r="F114">
        <v>98.91</v>
      </c>
    </row>
    <row r="115" spans="1:6" x14ac:dyDescent="0.25">
      <c r="A115" t="s">
        <v>392</v>
      </c>
      <c r="B115" t="s">
        <v>19</v>
      </c>
      <c r="C115" t="s">
        <v>93</v>
      </c>
      <c r="D115" t="s">
        <v>3219</v>
      </c>
      <c r="E115">
        <v>33.700000000000003</v>
      </c>
      <c r="F115">
        <v>98.11</v>
      </c>
    </row>
    <row r="116" spans="1:6" x14ac:dyDescent="0.25">
      <c r="A116" t="s">
        <v>393</v>
      </c>
      <c r="B116" t="s">
        <v>19</v>
      </c>
      <c r="C116" t="s">
        <v>94</v>
      </c>
      <c r="D116" t="s">
        <v>3217</v>
      </c>
      <c r="E116">
        <v>0</v>
      </c>
      <c r="F116">
        <v>98.53</v>
      </c>
    </row>
    <row r="117" spans="1:6" x14ac:dyDescent="0.25">
      <c r="A117" t="s">
        <v>393</v>
      </c>
      <c r="B117" t="s">
        <v>19</v>
      </c>
      <c r="C117" t="s">
        <v>94</v>
      </c>
      <c r="D117" t="s">
        <v>3218</v>
      </c>
      <c r="E117">
        <v>15.86</v>
      </c>
      <c r="F117">
        <v>98.03</v>
      </c>
    </row>
    <row r="118" spans="1:6" x14ac:dyDescent="0.25">
      <c r="A118" t="s">
        <v>393</v>
      </c>
      <c r="B118" t="s">
        <v>19</v>
      </c>
      <c r="C118" t="s">
        <v>94</v>
      </c>
      <c r="D118" t="s">
        <v>3219</v>
      </c>
      <c r="E118">
        <v>32.619999999999997</v>
      </c>
      <c r="F118">
        <v>97.19</v>
      </c>
    </row>
    <row r="119" spans="1:6" x14ac:dyDescent="0.25">
      <c r="A119" t="s">
        <v>394</v>
      </c>
      <c r="B119" t="s">
        <v>19</v>
      </c>
      <c r="C119" t="s">
        <v>95</v>
      </c>
      <c r="D119" t="s">
        <v>3217</v>
      </c>
      <c r="E119">
        <v>0</v>
      </c>
      <c r="F119">
        <v>97.85</v>
      </c>
    </row>
    <row r="120" spans="1:6" x14ac:dyDescent="0.25">
      <c r="A120" t="s">
        <v>394</v>
      </c>
      <c r="B120" t="s">
        <v>19</v>
      </c>
      <c r="C120" t="s">
        <v>95</v>
      </c>
      <c r="D120" t="s">
        <v>3218</v>
      </c>
      <c r="E120">
        <v>16.850000000000001</v>
      </c>
      <c r="F120">
        <v>97.35</v>
      </c>
    </row>
    <row r="121" spans="1:6" x14ac:dyDescent="0.25">
      <c r="A121" t="s">
        <v>394</v>
      </c>
      <c r="B121" t="s">
        <v>19</v>
      </c>
      <c r="C121" t="s">
        <v>95</v>
      </c>
      <c r="D121" t="s">
        <v>3219</v>
      </c>
      <c r="E121">
        <v>34.04</v>
      </c>
      <c r="F121">
        <v>96.71</v>
      </c>
    </row>
    <row r="122" spans="1:6" x14ac:dyDescent="0.25">
      <c r="A122" t="s">
        <v>395</v>
      </c>
      <c r="B122" t="s">
        <v>19</v>
      </c>
      <c r="C122" t="s">
        <v>96</v>
      </c>
      <c r="D122" t="s">
        <v>3217</v>
      </c>
      <c r="E122">
        <v>0</v>
      </c>
      <c r="F122">
        <v>96.75</v>
      </c>
    </row>
    <row r="123" spans="1:6" x14ac:dyDescent="0.25">
      <c r="A123" t="s">
        <v>395</v>
      </c>
      <c r="B123" t="s">
        <v>19</v>
      </c>
      <c r="C123" t="s">
        <v>96</v>
      </c>
      <c r="D123" t="s">
        <v>3218</v>
      </c>
      <c r="E123">
        <v>15.86</v>
      </c>
      <c r="F123">
        <v>96.48</v>
      </c>
    </row>
    <row r="124" spans="1:6" x14ac:dyDescent="0.25">
      <c r="A124" t="s">
        <v>395</v>
      </c>
      <c r="B124" t="s">
        <v>19</v>
      </c>
      <c r="C124" t="s">
        <v>96</v>
      </c>
      <c r="D124" t="s">
        <v>3219</v>
      </c>
      <c r="E124">
        <v>33.15</v>
      </c>
      <c r="F124">
        <v>95.78</v>
      </c>
    </row>
    <row r="125" spans="1:6" x14ac:dyDescent="0.25">
      <c r="A125" t="s">
        <v>396</v>
      </c>
      <c r="B125" t="s">
        <v>19</v>
      </c>
      <c r="C125" t="s">
        <v>97</v>
      </c>
      <c r="D125" t="s">
        <v>3217</v>
      </c>
      <c r="E125">
        <v>0</v>
      </c>
      <c r="F125">
        <v>95.83</v>
      </c>
    </row>
    <row r="126" spans="1:6" x14ac:dyDescent="0.25">
      <c r="A126" t="s">
        <v>396</v>
      </c>
      <c r="B126" t="s">
        <v>19</v>
      </c>
      <c r="C126" t="s">
        <v>97</v>
      </c>
      <c r="D126" t="s">
        <v>3218</v>
      </c>
      <c r="E126">
        <v>16.25</v>
      </c>
      <c r="F126">
        <v>95.41</v>
      </c>
    </row>
    <row r="127" spans="1:6" x14ac:dyDescent="0.25">
      <c r="A127" t="s">
        <v>396</v>
      </c>
      <c r="B127" t="s">
        <v>19</v>
      </c>
      <c r="C127" t="s">
        <v>97</v>
      </c>
      <c r="D127" t="s">
        <v>3219</v>
      </c>
      <c r="E127">
        <v>34.409999999999997</v>
      </c>
      <c r="F127">
        <v>94.5</v>
      </c>
    </row>
    <row r="128" spans="1:6" x14ac:dyDescent="0.25">
      <c r="A128" t="s">
        <v>397</v>
      </c>
      <c r="B128" t="s">
        <v>19</v>
      </c>
      <c r="C128" t="s">
        <v>98</v>
      </c>
      <c r="D128" t="s">
        <v>3217</v>
      </c>
      <c r="E128">
        <v>0</v>
      </c>
      <c r="F128">
        <v>94.9</v>
      </c>
    </row>
    <row r="129" spans="1:6" x14ac:dyDescent="0.25">
      <c r="A129" t="s">
        <v>397</v>
      </c>
      <c r="B129" t="s">
        <v>19</v>
      </c>
      <c r="C129" t="s">
        <v>98</v>
      </c>
      <c r="D129" t="s">
        <v>3218</v>
      </c>
      <c r="E129">
        <v>20</v>
      </c>
      <c r="F129">
        <v>94.67</v>
      </c>
    </row>
    <row r="130" spans="1:6" x14ac:dyDescent="0.25">
      <c r="A130" t="s">
        <v>397</v>
      </c>
      <c r="B130" t="s">
        <v>19</v>
      </c>
      <c r="C130" t="s">
        <v>98</v>
      </c>
      <c r="D130" t="s">
        <v>3219</v>
      </c>
      <c r="E130">
        <v>37.01</v>
      </c>
      <c r="F130">
        <v>93.58</v>
      </c>
    </row>
    <row r="131" spans="1:6" x14ac:dyDescent="0.25">
      <c r="A131" t="s">
        <v>398</v>
      </c>
      <c r="B131" t="s">
        <v>19</v>
      </c>
      <c r="C131" t="s">
        <v>99</v>
      </c>
      <c r="D131" t="s">
        <v>3217</v>
      </c>
      <c r="E131">
        <v>0</v>
      </c>
      <c r="F131">
        <v>93.94</v>
      </c>
    </row>
    <row r="132" spans="1:6" x14ac:dyDescent="0.25">
      <c r="A132" t="s">
        <v>398</v>
      </c>
      <c r="B132" t="s">
        <v>19</v>
      </c>
      <c r="C132" t="s">
        <v>99</v>
      </c>
      <c r="D132" t="s">
        <v>3218</v>
      </c>
      <c r="E132">
        <v>20</v>
      </c>
      <c r="F132">
        <v>93.19</v>
      </c>
    </row>
    <row r="133" spans="1:6" x14ac:dyDescent="0.25">
      <c r="A133" t="s">
        <v>398</v>
      </c>
      <c r="B133" t="s">
        <v>19</v>
      </c>
      <c r="C133" t="s">
        <v>99</v>
      </c>
      <c r="D133" t="s">
        <v>3219</v>
      </c>
      <c r="E133">
        <v>36</v>
      </c>
      <c r="F133">
        <v>92.62</v>
      </c>
    </row>
    <row r="134" spans="1:6" x14ac:dyDescent="0.25">
      <c r="A134" t="s">
        <v>399</v>
      </c>
      <c r="B134" t="s">
        <v>19</v>
      </c>
      <c r="C134" t="s">
        <v>100</v>
      </c>
      <c r="D134" t="s">
        <v>3217</v>
      </c>
      <c r="E134">
        <v>0</v>
      </c>
      <c r="F134">
        <v>93.19</v>
      </c>
    </row>
    <row r="135" spans="1:6" x14ac:dyDescent="0.25">
      <c r="A135" t="s">
        <v>399</v>
      </c>
      <c r="B135" t="s">
        <v>19</v>
      </c>
      <c r="C135" t="s">
        <v>100</v>
      </c>
      <c r="D135" t="s">
        <v>3218</v>
      </c>
      <c r="E135">
        <v>20</v>
      </c>
      <c r="F135">
        <v>92.2</v>
      </c>
    </row>
    <row r="136" spans="1:6" x14ac:dyDescent="0.25">
      <c r="A136" t="s">
        <v>399</v>
      </c>
      <c r="B136" t="s">
        <v>19</v>
      </c>
      <c r="C136" t="s">
        <v>100</v>
      </c>
      <c r="D136" t="s">
        <v>3219</v>
      </c>
      <c r="E136">
        <v>36.799999999999997</v>
      </c>
      <c r="F136">
        <v>91.91</v>
      </c>
    </row>
    <row r="137" spans="1:6" x14ac:dyDescent="0.25">
      <c r="A137" t="s">
        <v>400</v>
      </c>
      <c r="B137" t="s">
        <v>19</v>
      </c>
      <c r="C137" t="s">
        <v>101</v>
      </c>
      <c r="D137" t="s">
        <v>3217</v>
      </c>
      <c r="E137">
        <v>0</v>
      </c>
      <c r="F137">
        <v>92.35</v>
      </c>
    </row>
    <row r="138" spans="1:6" x14ac:dyDescent="0.25">
      <c r="A138" t="s">
        <v>400</v>
      </c>
      <c r="B138" t="s">
        <v>19</v>
      </c>
      <c r="C138" t="s">
        <v>101</v>
      </c>
      <c r="D138" t="s">
        <v>3218</v>
      </c>
      <c r="E138">
        <v>20</v>
      </c>
      <c r="F138">
        <v>91.93</v>
      </c>
    </row>
    <row r="139" spans="1:6" x14ac:dyDescent="0.25">
      <c r="A139" t="s">
        <v>400</v>
      </c>
      <c r="B139" t="s">
        <v>19</v>
      </c>
      <c r="C139" t="s">
        <v>101</v>
      </c>
      <c r="D139" t="s">
        <v>3219</v>
      </c>
      <c r="E139">
        <v>37.89</v>
      </c>
      <c r="F139">
        <v>91.28</v>
      </c>
    </row>
    <row r="140" spans="1:6" x14ac:dyDescent="0.25">
      <c r="A140" t="s">
        <v>401</v>
      </c>
      <c r="B140" t="s">
        <v>19</v>
      </c>
      <c r="C140" t="s">
        <v>102</v>
      </c>
      <c r="D140" t="s">
        <v>3217</v>
      </c>
      <c r="E140">
        <v>0</v>
      </c>
      <c r="F140">
        <v>92.35</v>
      </c>
    </row>
    <row r="141" spans="1:6" x14ac:dyDescent="0.25">
      <c r="A141" t="s">
        <v>401</v>
      </c>
      <c r="B141" t="s">
        <v>19</v>
      </c>
      <c r="C141" t="s">
        <v>102</v>
      </c>
      <c r="D141" t="s">
        <v>3218</v>
      </c>
      <c r="E141">
        <v>20</v>
      </c>
      <c r="F141">
        <v>91.37</v>
      </c>
    </row>
    <row r="142" spans="1:6" x14ac:dyDescent="0.25">
      <c r="A142" t="s">
        <v>401</v>
      </c>
      <c r="B142" t="s">
        <v>19</v>
      </c>
      <c r="C142" t="s">
        <v>102</v>
      </c>
      <c r="D142" t="s">
        <v>3219</v>
      </c>
      <c r="E142">
        <v>37.74</v>
      </c>
      <c r="F142">
        <v>90.57</v>
      </c>
    </row>
    <row r="143" spans="1:6" x14ac:dyDescent="0.25">
      <c r="A143" t="s">
        <v>402</v>
      </c>
      <c r="B143" t="s">
        <v>19</v>
      </c>
      <c r="C143" t="s">
        <v>103</v>
      </c>
      <c r="D143" t="s">
        <v>3217</v>
      </c>
      <c r="E143">
        <v>0</v>
      </c>
      <c r="F143">
        <v>90.42</v>
      </c>
    </row>
    <row r="144" spans="1:6" x14ac:dyDescent="0.25">
      <c r="A144" t="s">
        <v>402</v>
      </c>
      <c r="B144" t="s">
        <v>19</v>
      </c>
      <c r="C144" t="s">
        <v>103</v>
      </c>
      <c r="D144" t="s">
        <v>3218</v>
      </c>
      <c r="E144">
        <v>16.41</v>
      </c>
      <c r="F144">
        <v>90.24</v>
      </c>
    </row>
    <row r="145" spans="1:6" x14ac:dyDescent="0.25">
      <c r="A145" t="s">
        <v>402</v>
      </c>
      <c r="B145" t="s">
        <v>19</v>
      </c>
      <c r="C145" t="s">
        <v>103</v>
      </c>
      <c r="D145" t="s">
        <v>3219</v>
      </c>
      <c r="E145">
        <v>31.94</v>
      </c>
      <c r="F145">
        <v>89.95</v>
      </c>
    </row>
    <row r="146" spans="1:6" x14ac:dyDescent="0.25">
      <c r="A146" t="s">
        <v>403</v>
      </c>
      <c r="B146" t="s">
        <v>19</v>
      </c>
      <c r="C146" t="s">
        <v>104</v>
      </c>
      <c r="D146" t="s">
        <v>3217</v>
      </c>
      <c r="E146">
        <v>0</v>
      </c>
      <c r="F146">
        <v>89.25</v>
      </c>
    </row>
    <row r="147" spans="1:6" x14ac:dyDescent="0.25">
      <c r="A147" t="s">
        <v>403</v>
      </c>
      <c r="B147" t="s">
        <v>19</v>
      </c>
      <c r="C147" t="s">
        <v>104</v>
      </c>
      <c r="D147" t="s">
        <v>3218</v>
      </c>
      <c r="E147">
        <v>16.059999999999999</v>
      </c>
      <c r="F147">
        <v>89.25</v>
      </c>
    </row>
    <row r="148" spans="1:6" x14ac:dyDescent="0.25">
      <c r="A148" t="s">
        <v>403</v>
      </c>
      <c r="B148" t="s">
        <v>19</v>
      </c>
      <c r="C148" t="s">
        <v>104</v>
      </c>
      <c r="D148" t="s">
        <v>3219</v>
      </c>
      <c r="E148">
        <v>32.04</v>
      </c>
      <c r="F148">
        <v>89.11</v>
      </c>
    </row>
    <row r="149" spans="1:6" x14ac:dyDescent="0.25">
      <c r="A149" t="s">
        <v>404</v>
      </c>
      <c r="B149" t="s">
        <v>19</v>
      </c>
      <c r="C149" t="s">
        <v>105</v>
      </c>
      <c r="D149" t="s">
        <v>3217</v>
      </c>
      <c r="E149">
        <v>0</v>
      </c>
      <c r="F149">
        <v>88.2</v>
      </c>
    </row>
    <row r="150" spans="1:6" x14ac:dyDescent="0.25">
      <c r="A150" t="s">
        <v>404</v>
      </c>
      <c r="B150" t="s">
        <v>19</v>
      </c>
      <c r="C150" t="s">
        <v>105</v>
      </c>
      <c r="D150" t="s">
        <v>3218</v>
      </c>
      <c r="E150">
        <v>16.21</v>
      </c>
      <c r="F150">
        <v>88.49</v>
      </c>
    </row>
    <row r="151" spans="1:6" x14ac:dyDescent="0.25">
      <c r="A151" t="s">
        <v>404</v>
      </c>
      <c r="B151" t="s">
        <v>19</v>
      </c>
      <c r="C151" t="s">
        <v>105</v>
      </c>
      <c r="D151" t="s">
        <v>3219</v>
      </c>
      <c r="E151">
        <v>32.200000000000003</v>
      </c>
      <c r="F151">
        <v>88.24</v>
      </c>
    </row>
    <row r="152" spans="1:6" x14ac:dyDescent="0.25">
      <c r="A152" t="s">
        <v>405</v>
      </c>
      <c r="B152" t="s">
        <v>19</v>
      </c>
      <c r="C152" t="s">
        <v>106</v>
      </c>
      <c r="D152" t="s">
        <v>3217</v>
      </c>
      <c r="E152">
        <v>0</v>
      </c>
      <c r="F152">
        <v>87.1</v>
      </c>
    </row>
    <row r="153" spans="1:6" x14ac:dyDescent="0.25">
      <c r="A153" t="s">
        <v>405</v>
      </c>
      <c r="B153" t="s">
        <v>19</v>
      </c>
      <c r="C153" t="s">
        <v>106</v>
      </c>
      <c r="D153" t="s">
        <v>3218</v>
      </c>
      <c r="E153">
        <v>16.54</v>
      </c>
      <c r="F153">
        <v>87.4</v>
      </c>
    </row>
    <row r="154" spans="1:6" x14ac:dyDescent="0.25">
      <c r="A154" t="s">
        <v>405</v>
      </c>
      <c r="B154" t="s">
        <v>19</v>
      </c>
      <c r="C154" t="s">
        <v>106</v>
      </c>
      <c r="D154" t="s">
        <v>3219</v>
      </c>
      <c r="E154">
        <v>36.54</v>
      </c>
      <c r="F154">
        <v>87.41</v>
      </c>
    </row>
    <row r="155" spans="1:6" x14ac:dyDescent="0.25">
      <c r="A155" t="s">
        <v>406</v>
      </c>
      <c r="B155" t="s">
        <v>19</v>
      </c>
      <c r="C155" t="s">
        <v>107</v>
      </c>
      <c r="D155" t="s">
        <v>3217</v>
      </c>
      <c r="E155">
        <v>0</v>
      </c>
      <c r="F155">
        <v>86.73</v>
      </c>
    </row>
    <row r="156" spans="1:6" x14ac:dyDescent="0.25">
      <c r="A156" t="s">
        <v>406</v>
      </c>
      <c r="B156" t="s">
        <v>19</v>
      </c>
      <c r="C156" t="s">
        <v>107</v>
      </c>
      <c r="D156" t="s">
        <v>3218</v>
      </c>
      <c r="E156">
        <v>17.059999999999999</v>
      </c>
      <c r="F156">
        <v>87.2</v>
      </c>
    </row>
    <row r="157" spans="1:6" x14ac:dyDescent="0.25">
      <c r="A157" t="s">
        <v>406</v>
      </c>
      <c r="B157" t="s">
        <v>19</v>
      </c>
      <c r="C157" t="s">
        <v>107</v>
      </c>
      <c r="D157" t="s">
        <v>3219</v>
      </c>
      <c r="E157">
        <v>37.06</v>
      </c>
      <c r="F157">
        <v>87.1</v>
      </c>
    </row>
    <row r="158" spans="1:6" x14ac:dyDescent="0.25">
      <c r="A158" t="s">
        <v>407</v>
      </c>
      <c r="B158" t="s">
        <v>20</v>
      </c>
      <c r="C158" t="s">
        <v>56</v>
      </c>
      <c r="D158" t="s">
        <v>3217</v>
      </c>
      <c r="E158">
        <v>0</v>
      </c>
      <c r="F158">
        <v>99.45</v>
      </c>
    </row>
    <row r="159" spans="1:6" x14ac:dyDescent="0.25">
      <c r="A159" t="s">
        <v>407</v>
      </c>
      <c r="B159" t="s">
        <v>20</v>
      </c>
      <c r="C159" t="s">
        <v>56</v>
      </c>
      <c r="D159" t="s">
        <v>3218</v>
      </c>
      <c r="E159">
        <v>20</v>
      </c>
      <c r="F159">
        <v>99.21</v>
      </c>
    </row>
    <row r="160" spans="1:6" x14ac:dyDescent="0.25">
      <c r="A160" t="s">
        <v>407</v>
      </c>
      <c r="B160" t="s">
        <v>20</v>
      </c>
      <c r="C160" t="s">
        <v>56</v>
      </c>
      <c r="D160" t="s">
        <v>3219</v>
      </c>
      <c r="E160">
        <v>40</v>
      </c>
      <c r="F160">
        <v>99.91</v>
      </c>
    </row>
    <row r="161" spans="1:6" x14ac:dyDescent="0.25">
      <c r="A161" t="s">
        <v>408</v>
      </c>
      <c r="B161" t="s">
        <v>20</v>
      </c>
      <c r="C161" t="s">
        <v>57</v>
      </c>
      <c r="D161" t="s">
        <v>3217</v>
      </c>
      <c r="E161">
        <v>0</v>
      </c>
      <c r="F161">
        <v>97.3</v>
      </c>
    </row>
    <row r="162" spans="1:6" x14ac:dyDescent="0.25">
      <c r="A162" t="s">
        <v>408</v>
      </c>
      <c r="B162" t="s">
        <v>20</v>
      </c>
      <c r="C162" t="s">
        <v>57</v>
      </c>
      <c r="D162" t="s">
        <v>3218</v>
      </c>
      <c r="E162">
        <v>20</v>
      </c>
      <c r="F162">
        <v>98.05</v>
      </c>
    </row>
    <row r="163" spans="1:6" x14ac:dyDescent="0.25">
      <c r="A163" t="s">
        <v>408</v>
      </c>
      <c r="B163" t="s">
        <v>20</v>
      </c>
      <c r="C163" t="s">
        <v>57</v>
      </c>
      <c r="D163" t="s">
        <v>3219</v>
      </c>
      <c r="E163">
        <v>40</v>
      </c>
      <c r="F163">
        <v>98.66</v>
      </c>
    </row>
    <row r="164" spans="1:6" x14ac:dyDescent="0.25">
      <c r="A164" t="s">
        <v>409</v>
      </c>
      <c r="B164" t="s">
        <v>20</v>
      </c>
      <c r="C164" t="s">
        <v>58</v>
      </c>
      <c r="D164" t="s">
        <v>3217</v>
      </c>
      <c r="E164">
        <v>0</v>
      </c>
      <c r="F164">
        <v>96.31</v>
      </c>
    </row>
    <row r="165" spans="1:6" x14ac:dyDescent="0.25">
      <c r="A165" t="s">
        <v>409</v>
      </c>
      <c r="B165" t="s">
        <v>20</v>
      </c>
      <c r="C165" t="s">
        <v>58</v>
      </c>
      <c r="D165" t="s">
        <v>3218</v>
      </c>
      <c r="E165">
        <v>20</v>
      </c>
      <c r="F165">
        <v>96.68</v>
      </c>
    </row>
    <row r="166" spans="1:6" x14ac:dyDescent="0.25">
      <c r="A166" t="s">
        <v>409</v>
      </c>
      <c r="B166" t="s">
        <v>20</v>
      </c>
      <c r="C166" t="s">
        <v>58</v>
      </c>
      <c r="D166" t="s">
        <v>3219</v>
      </c>
      <c r="E166">
        <v>36.97</v>
      </c>
      <c r="F166">
        <v>96.82</v>
      </c>
    </row>
    <row r="167" spans="1:6" x14ac:dyDescent="0.25">
      <c r="A167" t="s">
        <v>410</v>
      </c>
      <c r="B167" t="s">
        <v>20</v>
      </c>
      <c r="C167" t="s">
        <v>59</v>
      </c>
      <c r="D167" t="s">
        <v>3217</v>
      </c>
      <c r="E167">
        <v>0</v>
      </c>
      <c r="F167">
        <v>95.08</v>
      </c>
    </row>
    <row r="168" spans="1:6" x14ac:dyDescent="0.25">
      <c r="A168" t="s">
        <v>410</v>
      </c>
      <c r="B168" t="s">
        <v>20</v>
      </c>
      <c r="C168" t="s">
        <v>59</v>
      </c>
      <c r="D168" t="s">
        <v>3218</v>
      </c>
      <c r="E168">
        <v>16.54</v>
      </c>
      <c r="F168">
        <v>95.39</v>
      </c>
    </row>
    <row r="169" spans="1:6" x14ac:dyDescent="0.25">
      <c r="A169" t="s">
        <v>410</v>
      </c>
      <c r="B169" t="s">
        <v>20</v>
      </c>
      <c r="C169" t="s">
        <v>59</v>
      </c>
      <c r="D169" t="s">
        <v>3219</v>
      </c>
      <c r="E169">
        <v>32.229999999999997</v>
      </c>
      <c r="F169">
        <v>96.99</v>
      </c>
    </row>
    <row r="170" spans="1:6" x14ac:dyDescent="0.25">
      <c r="A170" t="s">
        <v>411</v>
      </c>
      <c r="B170" t="s">
        <v>20</v>
      </c>
      <c r="C170" t="s">
        <v>60</v>
      </c>
      <c r="D170" t="s">
        <v>3217</v>
      </c>
      <c r="E170">
        <v>0</v>
      </c>
      <c r="F170">
        <v>93.81</v>
      </c>
    </row>
    <row r="171" spans="1:6" x14ac:dyDescent="0.25">
      <c r="A171" t="s">
        <v>411</v>
      </c>
      <c r="B171" t="s">
        <v>20</v>
      </c>
      <c r="C171" t="s">
        <v>60</v>
      </c>
      <c r="D171" t="s">
        <v>3218</v>
      </c>
      <c r="E171">
        <v>13.73</v>
      </c>
      <c r="F171">
        <v>94.01</v>
      </c>
    </row>
    <row r="172" spans="1:6" x14ac:dyDescent="0.25">
      <c r="A172" t="s">
        <v>411</v>
      </c>
      <c r="B172" t="s">
        <v>20</v>
      </c>
      <c r="C172" t="s">
        <v>60</v>
      </c>
      <c r="D172" t="s">
        <v>3219</v>
      </c>
      <c r="E172">
        <v>28.02</v>
      </c>
      <c r="F172">
        <v>93.87</v>
      </c>
    </row>
    <row r="173" spans="1:6" x14ac:dyDescent="0.25">
      <c r="A173" t="s">
        <v>412</v>
      </c>
      <c r="B173" t="s">
        <v>20</v>
      </c>
      <c r="C173" t="s">
        <v>61</v>
      </c>
      <c r="D173" t="s">
        <v>3217</v>
      </c>
      <c r="E173">
        <v>0</v>
      </c>
      <c r="F173">
        <v>92.17</v>
      </c>
    </row>
    <row r="174" spans="1:6" x14ac:dyDescent="0.25">
      <c r="A174" t="s">
        <v>412</v>
      </c>
      <c r="B174" t="s">
        <v>20</v>
      </c>
      <c r="C174" t="s">
        <v>61</v>
      </c>
      <c r="D174" t="s">
        <v>3218</v>
      </c>
      <c r="E174">
        <v>11.94</v>
      </c>
      <c r="F174">
        <v>92.6</v>
      </c>
    </row>
    <row r="175" spans="1:6" x14ac:dyDescent="0.25">
      <c r="A175" t="s">
        <v>412</v>
      </c>
      <c r="B175" t="s">
        <v>20</v>
      </c>
      <c r="C175" t="s">
        <v>61</v>
      </c>
      <c r="D175" t="s">
        <v>3219</v>
      </c>
      <c r="E175">
        <v>27.63</v>
      </c>
      <c r="F175">
        <v>92.72</v>
      </c>
    </row>
    <row r="176" spans="1:6" x14ac:dyDescent="0.25">
      <c r="A176" t="s">
        <v>413</v>
      </c>
      <c r="B176" t="s">
        <v>20</v>
      </c>
      <c r="C176" t="s">
        <v>62</v>
      </c>
      <c r="D176" t="s">
        <v>3217</v>
      </c>
      <c r="E176">
        <v>0</v>
      </c>
      <c r="F176">
        <v>90.83</v>
      </c>
    </row>
    <row r="177" spans="1:6" x14ac:dyDescent="0.25">
      <c r="A177" t="s">
        <v>413</v>
      </c>
      <c r="B177" t="s">
        <v>20</v>
      </c>
      <c r="C177" t="s">
        <v>62</v>
      </c>
      <c r="D177" t="s">
        <v>3218</v>
      </c>
      <c r="E177">
        <v>11.67</v>
      </c>
      <c r="F177">
        <v>91.2</v>
      </c>
    </row>
    <row r="178" spans="1:6" x14ac:dyDescent="0.25">
      <c r="A178" t="s">
        <v>413</v>
      </c>
      <c r="B178" t="s">
        <v>20</v>
      </c>
      <c r="C178" t="s">
        <v>62</v>
      </c>
      <c r="D178" t="s">
        <v>3219</v>
      </c>
      <c r="E178">
        <v>27.02</v>
      </c>
      <c r="F178">
        <v>91.43</v>
      </c>
    </row>
    <row r="179" spans="1:6" x14ac:dyDescent="0.25">
      <c r="A179" t="s">
        <v>414</v>
      </c>
      <c r="B179" t="s">
        <v>20</v>
      </c>
      <c r="C179" t="s">
        <v>63</v>
      </c>
      <c r="D179" t="s">
        <v>3217</v>
      </c>
      <c r="E179">
        <v>0</v>
      </c>
      <c r="F179">
        <v>89.67</v>
      </c>
    </row>
    <row r="180" spans="1:6" x14ac:dyDescent="0.25">
      <c r="A180" t="s">
        <v>414</v>
      </c>
      <c r="B180" t="s">
        <v>20</v>
      </c>
      <c r="C180" t="s">
        <v>63</v>
      </c>
      <c r="D180" t="s">
        <v>3218</v>
      </c>
      <c r="E180">
        <v>11.92</v>
      </c>
      <c r="F180">
        <v>90.09</v>
      </c>
    </row>
    <row r="181" spans="1:6" x14ac:dyDescent="0.25">
      <c r="A181" t="s">
        <v>414</v>
      </c>
      <c r="B181" t="s">
        <v>20</v>
      </c>
      <c r="C181" t="s">
        <v>63</v>
      </c>
      <c r="D181" t="s">
        <v>3219</v>
      </c>
      <c r="E181">
        <v>28.19</v>
      </c>
      <c r="F181">
        <v>90.24</v>
      </c>
    </row>
    <row r="182" spans="1:6" x14ac:dyDescent="0.25">
      <c r="A182" t="s">
        <v>415</v>
      </c>
      <c r="B182" t="s">
        <v>20</v>
      </c>
      <c r="C182" t="s">
        <v>64</v>
      </c>
      <c r="D182" t="s">
        <v>3217</v>
      </c>
      <c r="E182">
        <v>0</v>
      </c>
      <c r="F182">
        <v>88.34</v>
      </c>
    </row>
    <row r="183" spans="1:6" x14ac:dyDescent="0.25">
      <c r="A183" t="s">
        <v>415</v>
      </c>
      <c r="B183" t="s">
        <v>20</v>
      </c>
      <c r="C183" t="s">
        <v>64</v>
      </c>
      <c r="D183" t="s">
        <v>3218</v>
      </c>
      <c r="E183">
        <v>14.14</v>
      </c>
      <c r="F183">
        <v>88.51</v>
      </c>
    </row>
    <row r="184" spans="1:6" x14ac:dyDescent="0.25">
      <c r="A184" t="s">
        <v>415</v>
      </c>
      <c r="B184" t="s">
        <v>20</v>
      </c>
      <c r="C184" t="s">
        <v>64</v>
      </c>
      <c r="D184" t="s">
        <v>3219</v>
      </c>
      <c r="E184">
        <v>30.41</v>
      </c>
      <c r="F184">
        <v>89.22</v>
      </c>
    </row>
    <row r="185" spans="1:6" x14ac:dyDescent="0.25">
      <c r="A185" t="s">
        <v>416</v>
      </c>
      <c r="B185" t="s">
        <v>20</v>
      </c>
      <c r="C185" t="s">
        <v>65</v>
      </c>
      <c r="D185" t="s">
        <v>3217</v>
      </c>
      <c r="E185">
        <v>0</v>
      </c>
      <c r="F185">
        <v>87.29</v>
      </c>
    </row>
    <row r="186" spans="1:6" x14ac:dyDescent="0.25">
      <c r="A186" t="s">
        <v>416</v>
      </c>
      <c r="B186" t="s">
        <v>20</v>
      </c>
      <c r="C186" t="s">
        <v>65</v>
      </c>
      <c r="D186" t="s">
        <v>3218</v>
      </c>
      <c r="E186">
        <v>14.67</v>
      </c>
      <c r="F186">
        <v>87.61</v>
      </c>
    </row>
    <row r="187" spans="1:6" x14ac:dyDescent="0.25">
      <c r="A187" t="s">
        <v>416</v>
      </c>
      <c r="B187" t="s">
        <v>20</v>
      </c>
      <c r="C187" t="s">
        <v>65</v>
      </c>
      <c r="D187" t="s">
        <v>3219</v>
      </c>
      <c r="E187">
        <v>31.28</v>
      </c>
      <c r="F187">
        <v>88.2</v>
      </c>
    </row>
    <row r="188" spans="1:6" x14ac:dyDescent="0.25">
      <c r="A188" t="s">
        <v>417</v>
      </c>
      <c r="B188" t="s">
        <v>20</v>
      </c>
      <c r="C188" t="s">
        <v>66</v>
      </c>
      <c r="D188" t="s">
        <v>3217</v>
      </c>
      <c r="E188">
        <v>0</v>
      </c>
      <c r="F188">
        <v>86.11</v>
      </c>
    </row>
    <row r="189" spans="1:6" x14ac:dyDescent="0.25">
      <c r="A189" t="s">
        <v>417</v>
      </c>
      <c r="B189" t="s">
        <v>20</v>
      </c>
      <c r="C189" t="s">
        <v>66</v>
      </c>
      <c r="D189" t="s">
        <v>3218</v>
      </c>
      <c r="E189">
        <v>15.13</v>
      </c>
      <c r="F189">
        <v>86.6</v>
      </c>
    </row>
    <row r="190" spans="1:6" x14ac:dyDescent="0.25">
      <c r="A190" t="s">
        <v>417</v>
      </c>
      <c r="B190" t="s">
        <v>20</v>
      </c>
      <c r="C190" t="s">
        <v>66</v>
      </c>
      <c r="D190" t="s">
        <v>3219</v>
      </c>
      <c r="E190">
        <v>31.13</v>
      </c>
      <c r="F190">
        <v>86.85</v>
      </c>
    </row>
    <row r="191" spans="1:6" x14ac:dyDescent="0.25">
      <c r="A191" t="s">
        <v>418</v>
      </c>
      <c r="B191" t="s">
        <v>20</v>
      </c>
      <c r="C191" t="s">
        <v>67</v>
      </c>
      <c r="D191" t="s">
        <v>3217</v>
      </c>
      <c r="E191">
        <v>0</v>
      </c>
      <c r="F191">
        <v>85.15</v>
      </c>
    </row>
    <row r="192" spans="1:6" x14ac:dyDescent="0.25">
      <c r="A192" t="s">
        <v>418</v>
      </c>
      <c r="B192" t="s">
        <v>20</v>
      </c>
      <c r="C192" t="s">
        <v>67</v>
      </c>
      <c r="D192" t="s">
        <v>3218</v>
      </c>
      <c r="E192">
        <v>15.42</v>
      </c>
      <c r="F192">
        <v>85.57</v>
      </c>
    </row>
    <row r="193" spans="1:6" x14ac:dyDescent="0.25">
      <c r="A193" t="s">
        <v>418</v>
      </c>
      <c r="B193" t="s">
        <v>20</v>
      </c>
      <c r="C193" t="s">
        <v>67</v>
      </c>
      <c r="D193" t="s">
        <v>3219</v>
      </c>
      <c r="E193">
        <v>31.57</v>
      </c>
      <c r="F193">
        <v>85.94</v>
      </c>
    </row>
    <row r="194" spans="1:6" x14ac:dyDescent="0.25">
      <c r="A194" t="s">
        <v>419</v>
      </c>
      <c r="B194" t="s">
        <v>20</v>
      </c>
      <c r="C194" t="s">
        <v>68</v>
      </c>
      <c r="D194" t="s">
        <v>3217</v>
      </c>
      <c r="E194">
        <v>0</v>
      </c>
      <c r="F194">
        <v>84.29</v>
      </c>
    </row>
    <row r="195" spans="1:6" x14ac:dyDescent="0.25">
      <c r="A195" t="s">
        <v>419</v>
      </c>
      <c r="B195" t="s">
        <v>20</v>
      </c>
      <c r="C195" t="s">
        <v>68</v>
      </c>
      <c r="D195" t="s">
        <v>3218</v>
      </c>
      <c r="E195">
        <v>15</v>
      </c>
      <c r="F195">
        <v>84.81</v>
      </c>
    </row>
    <row r="196" spans="1:6" x14ac:dyDescent="0.25">
      <c r="A196" t="s">
        <v>419</v>
      </c>
      <c r="B196" t="s">
        <v>20</v>
      </c>
      <c r="C196" t="s">
        <v>68</v>
      </c>
      <c r="D196" t="s">
        <v>3219</v>
      </c>
      <c r="E196">
        <v>31.4</v>
      </c>
      <c r="F196">
        <v>84.87</v>
      </c>
    </row>
    <row r="197" spans="1:6" x14ac:dyDescent="0.25">
      <c r="A197" t="s">
        <v>420</v>
      </c>
      <c r="B197" t="s">
        <v>20</v>
      </c>
      <c r="C197" t="s">
        <v>69</v>
      </c>
      <c r="D197" t="s">
        <v>3217</v>
      </c>
      <c r="E197">
        <v>0</v>
      </c>
      <c r="F197">
        <v>83.63</v>
      </c>
    </row>
    <row r="198" spans="1:6" x14ac:dyDescent="0.25">
      <c r="A198" t="s">
        <v>420</v>
      </c>
      <c r="B198" t="s">
        <v>20</v>
      </c>
      <c r="C198" t="s">
        <v>69</v>
      </c>
      <c r="D198" t="s">
        <v>3218</v>
      </c>
      <c r="E198">
        <v>14.89</v>
      </c>
      <c r="F198">
        <v>84.05</v>
      </c>
    </row>
    <row r="199" spans="1:6" x14ac:dyDescent="0.25">
      <c r="A199" t="s">
        <v>420</v>
      </c>
      <c r="B199" t="s">
        <v>20</v>
      </c>
      <c r="C199" t="s">
        <v>69</v>
      </c>
      <c r="D199" t="s">
        <v>3219</v>
      </c>
      <c r="E199">
        <v>30.39</v>
      </c>
      <c r="F199">
        <v>83.95</v>
      </c>
    </row>
    <row r="200" spans="1:6" x14ac:dyDescent="0.25">
      <c r="A200" t="s">
        <v>421</v>
      </c>
      <c r="B200" t="s">
        <v>20</v>
      </c>
      <c r="C200" t="s">
        <v>70</v>
      </c>
      <c r="D200" t="s">
        <v>3217</v>
      </c>
      <c r="E200">
        <v>0</v>
      </c>
      <c r="F200">
        <v>83.26</v>
      </c>
    </row>
    <row r="201" spans="1:6" x14ac:dyDescent="0.25">
      <c r="A201" t="s">
        <v>421</v>
      </c>
      <c r="B201" t="s">
        <v>20</v>
      </c>
      <c r="C201" t="s">
        <v>70</v>
      </c>
      <c r="D201" t="s">
        <v>3218</v>
      </c>
      <c r="E201">
        <v>15.59</v>
      </c>
      <c r="F201">
        <v>83.37</v>
      </c>
    </row>
    <row r="202" spans="1:6" x14ac:dyDescent="0.25">
      <c r="A202" t="s">
        <v>421</v>
      </c>
      <c r="B202" t="s">
        <v>20</v>
      </c>
      <c r="C202" t="s">
        <v>70</v>
      </c>
      <c r="D202" t="s">
        <v>3219</v>
      </c>
      <c r="E202">
        <v>30.31</v>
      </c>
      <c r="F202">
        <v>83.12</v>
      </c>
    </row>
    <row r="203" spans="1:6" x14ac:dyDescent="0.25">
      <c r="A203" t="s">
        <v>422</v>
      </c>
      <c r="B203" t="s">
        <v>20</v>
      </c>
      <c r="C203" t="s">
        <v>71</v>
      </c>
      <c r="D203" t="s">
        <v>3217</v>
      </c>
      <c r="E203">
        <v>0</v>
      </c>
      <c r="F203">
        <v>82.7</v>
      </c>
    </row>
    <row r="204" spans="1:6" x14ac:dyDescent="0.25">
      <c r="A204" t="s">
        <v>422</v>
      </c>
      <c r="B204" t="s">
        <v>20</v>
      </c>
      <c r="C204" t="s">
        <v>71</v>
      </c>
      <c r="D204" t="s">
        <v>3218</v>
      </c>
      <c r="E204">
        <v>16.350000000000001</v>
      </c>
      <c r="F204">
        <v>82.82</v>
      </c>
    </row>
    <row r="205" spans="1:6" x14ac:dyDescent="0.25">
      <c r="A205" t="s">
        <v>422</v>
      </c>
      <c r="B205" t="s">
        <v>20</v>
      </c>
      <c r="C205" t="s">
        <v>71</v>
      </c>
      <c r="D205" t="s">
        <v>3219</v>
      </c>
      <c r="E205">
        <v>31.85</v>
      </c>
      <c r="F205">
        <v>82.7</v>
      </c>
    </row>
    <row r="206" spans="1:6" x14ac:dyDescent="0.25">
      <c r="A206" t="s">
        <v>423</v>
      </c>
      <c r="B206" t="s">
        <v>20</v>
      </c>
      <c r="C206" t="s">
        <v>72</v>
      </c>
      <c r="D206" t="s">
        <v>3217</v>
      </c>
      <c r="E206">
        <v>0</v>
      </c>
      <c r="F206">
        <v>82.4</v>
      </c>
    </row>
    <row r="207" spans="1:6" x14ac:dyDescent="0.25">
      <c r="A207" t="s">
        <v>423</v>
      </c>
      <c r="B207" t="s">
        <v>20</v>
      </c>
      <c r="C207" t="s">
        <v>72</v>
      </c>
      <c r="D207" t="s">
        <v>3218</v>
      </c>
      <c r="E207">
        <v>14.66</v>
      </c>
      <c r="F207">
        <v>82.56</v>
      </c>
    </row>
    <row r="208" spans="1:6" x14ac:dyDescent="0.25">
      <c r="A208" t="s">
        <v>423</v>
      </c>
      <c r="B208" t="s">
        <v>20</v>
      </c>
      <c r="C208" t="s">
        <v>72</v>
      </c>
      <c r="D208" t="s">
        <v>3219</v>
      </c>
      <c r="E208">
        <v>30.18</v>
      </c>
      <c r="F208">
        <v>82.46</v>
      </c>
    </row>
    <row r="209" spans="1:6" x14ac:dyDescent="0.25">
      <c r="A209" t="s">
        <v>424</v>
      </c>
      <c r="B209" t="s">
        <v>20</v>
      </c>
      <c r="C209" t="s">
        <v>73</v>
      </c>
      <c r="D209" t="s">
        <v>3217</v>
      </c>
      <c r="E209">
        <v>0</v>
      </c>
      <c r="F209">
        <v>82.11</v>
      </c>
    </row>
    <row r="210" spans="1:6" x14ac:dyDescent="0.25">
      <c r="A210" t="s">
        <v>424</v>
      </c>
      <c r="B210" t="s">
        <v>20</v>
      </c>
      <c r="C210" t="s">
        <v>73</v>
      </c>
      <c r="D210" t="s">
        <v>3218</v>
      </c>
      <c r="E210">
        <v>13.11</v>
      </c>
      <c r="F210">
        <v>82.27</v>
      </c>
    </row>
    <row r="211" spans="1:6" x14ac:dyDescent="0.25">
      <c r="A211" t="s">
        <v>424</v>
      </c>
      <c r="B211" t="s">
        <v>20</v>
      </c>
      <c r="C211" t="s">
        <v>73</v>
      </c>
      <c r="D211" t="s">
        <v>3219</v>
      </c>
      <c r="E211">
        <v>29.38</v>
      </c>
      <c r="F211">
        <v>82.3</v>
      </c>
    </row>
    <row r="212" spans="1:6" x14ac:dyDescent="0.25">
      <c r="A212" t="s">
        <v>425</v>
      </c>
      <c r="B212" t="s">
        <v>20</v>
      </c>
      <c r="C212" t="s">
        <v>74</v>
      </c>
      <c r="D212" t="s">
        <v>3217</v>
      </c>
      <c r="E212">
        <v>0</v>
      </c>
      <c r="F212">
        <v>82.03</v>
      </c>
    </row>
    <row r="213" spans="1:6" x14ac:dyDescent="0.25">
      <c r="A213" t="s">
        <v>425</v>
      </c>
      <c r="B213" t="s">
        <v>20</v>
      </c>
      <c r="C213" t="s">
        <v>74</v>
      </c>
      <c r="D213" t="s">
        <v>3218</v>
      </c>
      <c r="E213">
        <v>12.33</v>
      </c>
      <c r="F213">
        <v>82.2</v>
      </c>
    </row>
    <row r="214" spans="1:6" x14ac:dyDescent="0.25">
      <c r="A214" t="s">
        <v>425</v>
      </c>
      <c r="B214" t="s">
        <v>20</v>
      </c>
      <c r="C214" t="s">
        <v>74</v>
      </c>
      <c r="D214" t="s">
        <v>3219</v>
      </c>
      <c r="E214">
        <v>27.06</v>
      </c>
      <c r="F214">
        <v>82.19</v>
      </c>
    </row>
    <row r="215" spans="1:6" x14ac:dyDescent="0.25">
      <c r="A215" t="s">
        <v>426</v>
      </c>
      <c r="B215" t="s">
        <v>20</v>
      </c>
      <c r="C215" t="s">
        <v>75</v>
      </c>
      <c r="D215" t="s">
        <v>3217</v>
      </c>
      <c r="E215">
        <v>0</v>
      </c>
      <c r="F215">
        <v>81.94</v>
      </c>
    </row>
    <row r="216" spans="1:6" x14ac:dyDescent="0.25">
      <c r="A216" t="s">
        <v>426</v>
      </c>
      <c r="B216" t="s">
        <v>20</v>
      </c>
      <c r="C216" t="s">
        <v>75</v>
      </c>
      <c r="D216" t="s">
        <v>3218</v>
      </c>
      <c r="E216">
        <v>11.34</v>
      </c>
      <c r="F216">
        <v>82.2</v>
      </c>
    </row>
    <row r="217" spans="1:6" x14ac:dyDescent="0.25">
      <c r="A217" t="s">
        <v>426</v>
      </c>
      <c r="B217" t="s">
        <v>20</v>
      </c>
      <c r="C217" t="s">
        <v>75</v>
      </c>
      <c r="D217" t="s">
        <v>3219</v>
      </c>
      <c r="E217">
        <v>27.01</v>
      </c>
      <c r="F217">
        <v>82.26</v>
      </c>
    </row>
    <row r="218" spans="1:6" x14ac:dyDescent="0.25">
      <c r="A218" t="s">
        <v>427</v>
      </c>
      <c r="B218" t="s">
        <v>20</v>
      </c>
      <c r="C218" t="s">
        <v>76</v>
      </c>
      <c r="D218" t="s">
        <v>3217</v>
      </c>
      <c r="E218">
        <v>0</v>
      </c>
      <c r="F218">
        <v>81.91</v>
      </c>
    </row>
    <row r="219" spans="1:6" x14ac:dyDescent="0.25">
      <c r="A219" t="s">
        <v>427</v>
      </c>
      <c r="B219" t="s">
        <v>20</v>
      </c>
      <c r="C219" t="s">
        <v>76</v>
      </c>
      <c r="D219" t="s">
        <v>3218</v>
      </c>
      <c r="E219">
        <v>11.86</v>
      </c>
      <c r="F219">
        <v>82.13</v>
      </c>
    </row>
    <row r="220" spans="1:6" x14ac:dyDescent="0.25">
      <c r="A220" t="s">
        <v>427</v>
      </c>
      <c r="B220" t="s">
        <v>20</v>
      </c>
      <c r="C220" t="s">
        <v>76</v>
      </c>
      <c r="D220" t="s">
        <v>3219</v>
      </c>
      <c r="E220">
        <v>28.75</v>
      </c>
      <c r="F220">
        <v>82.38</v>
      </c>
    </row>
    <row r="221" spans="1:6" x14ac:dyDescent="0.25">
      <c r="A221" t="s">
        <v>428</v>
      </c>
      <c r="B221" t="s">
        <v>20</v>
      </c>
      <c r="C221" t="s">
        <v>77</v>
      </c>
      <c r="D221" t="s">
        <v>3217</v>
      </c>
      <c r="E221">
        <v>0</v>
      </c>
      <c r="F221">
        <v>81.75</v>
      </c>
    </row>
    <row r="222" spans="1:6" x14ac:dyDescent="0.25">
      <c r="A222" t="s">
        <v>428</v>
      </c>
      <c r="B222" t="s">
        <v>20</v>
      </c>
      <c r="C222" t="s">
        <v>77</v>
      </c>
      <c r="D222" t="s">
        <v>3218</v>
      </c>
      <c r="E222">
        <v>12.72</v>
      </c>
      <c r="F222">
        <v>82.14</v>
      </c>
    </row>
    <row r="223" spans="1:6" x14ac:dyDescent="0.25">
      <c r="A223" t="s">
        <v>428</v>
      </c>
      <c r="B223" t="s">
        <v>20</v>
      </c>
      <c r="C223" t="s">
        <v>77</v>
      </c>
      <c r="D223" t="s">
        <v>3219</v>
      </c>
      <c r="E223">
        <v>29.82</v>
      </c>
      <c r="F223">
        <v>82.48</v>
      </c>
    </row>
    <row r="224" spans="1:6" x14ac:dyDescent="0.25">
      <c r="A224" t="s">
        <v>429</v>
      </c>
      <c r="B224" t="s">
        <v>20</v>
      </c>
      <c r="C224" t="s">
        <v>78</v>
      </c>
      <c r="D224" t="s">
        <v>3217</v>
      </c>
      <c r="E224">
        <v>0</v>
      </c>
      <c r="F224">
        <v>81.52</v>
      </c>
    </row>
    <row r="225" spans="1:6" x14ac:dyDescent="0.25">
      <c r="A225" t="s">
        <v>429</v>
      </c>
      <c r="B225" t="s">
        <v>20</v>
      </c>
      <c r="C225" t="s">
        <v>78</v>
      </c>
      <c r="D225" t="s">
        <v>3218</v>
      </c>
      <c r="E225">
        <v>12.75</v>
      </c>
      <c r="F225">
        <v>82.07</v>
      </c>
    </row>
    <row r="226" spans="1:6" x14ac:dyDescent="0.25">
      <c r="A226" t="s">
        <v>429</v>
      </c>
      <c r="B226" t="s">
        <v>20</v>
      </c>
      <c r="C226" t="s">
        <v>78</v>
      </c>
      <c r="D226" t="s">
        <v>3219</v>
      </c>
      <c r="E226">
        <v>28.75</v>
      </c>
      <c r="F226">
        <v>82.57</v>
      </c>
    </row>
    <row r="227" spans="1:6" x14ac:dyDescent="0.25">
      <c r="A227" t="s">
        <v>430</v>
      </c>
      <c r="B227" t="s">
        <v>20</v>
      </c>
      <c r="C227" t="s">
        <v>79</v>
      </c>
      <c r="D227" t="s">
        <v>3217</v>
      </c>
      <c r="E227">
        <v>0</v>
      </c>
      <c r="F227">
        <v>81.37</v>
      </c>
    </row>
    <row r="228" spans="1:6" x14ac:dyDescent="0.25">
      <c r="A228" t="s">
        <v>430</v>
      </c>
      <c r="B228" t="s">
        <v>20</v>
      </c>
      <c r="C228" t="s">
        <v>79</v>
      </c>
      <c r="D228" t="s">
        <v>3218</v>
      </c>
      <c r="E228">
        <v>12.58</v>
      </c>
      <c r="F228">
        <v>82.04</v>
      </c>
    </row>
    <row r="229" spans="1:6" x14ac:dyDescent="0.25">
      <c r="A229" t="s">
        <v>430</v>
      </c>
      <c r="B229" t="s">
        <v>20</v>
      </c>
      <c r="C229" t="s">
        <v>79</v>
      </c>
      <c r="D229" t="s">
        <v>3219</v>
      </c>
      <c r="E229">
        <v>29</v>
      </c>
      <c r="F229">
        <v>82.56</v>
      </c>
    </row>
    <row r="230" spans="1:6" x14ac:dyDescent="0.25">
      <c r="A230" t="s">
        <v>431</v>
      </c>
      <c r="B230" t="s">
        <v>20</v>
      </c>
      <c r="C230" t="s">
        <v>80</v>
      </c>
      <c r="D230" t="s">
        <v>3217</v>
      </c>
      <c r="E230">
        <v>0</v>
      </c>
      <c r="F230">
        <v>81.510000000000005</v>
      </c>
    </row>
    <row r="231" spans="1:6" x14ac:dyDescent="0.25">
      <c r="A231" t="s">
        <v>431</v>
      </c>
      <c r="B231" t="s">
        <v>20</v>
      </c>
      <c r="C231" t="s">
        <v>80</v>
      </c>
      <c r="D231" t="s">
        <v>3218</v>
      </c>
      <c r="E231">
        <v>13.49</v>
      </c>
      <c r="F231">
        <v>82.23</v>
      </c>
    </row>
    <row r="232" spans="1:6" x14ac:dyDescent="0.25">
      <c r="A232" t="s">
        <v>431</v>
      </c>
      <c r="B232" t="s">
        <v>20</v>
      </c>
      <c r="C232" t="s">
        <v>80</v>
      </c>
      <c r="D232" t="s">
        <v>3219</v>
      </c>
      <c r="E232">
        <v>29.22</v>
      </c>
      <c r="F232">
        <v>82.64</v>
      </c>
    </row>
    <row r="233" spans="1:6" x14ac:dyDescent="0.25">
      <c r="A233" t="s">
        <v>432</v>
      </c>
      <c r="B233" t="s">
        <v>20</v>
      </c>
      <c r="C233" t="s">
        <v>81</v>
      </c>
      <c r="D233" t="s">
        <v>3217</v>
      </c>
      <c r="E233">
        <v>0</v>
      </c>
      <c r="F233">
        <v>81.760000000000005</v>
      </c>
    </row>
    <row r="234" spans="1:6" x14ac:dyDescent="0.25">
      <c r="A234" t="s">
        <v>432</v>
      </c>
      <c r="B234" t="s">
        <v>20</v>
      </c>
      <c r="C234" t="s">
        <v>81</v>
      </c>
      <c r="D234" t="s">
        <v>3218</v>
      </c>
      <c r="E234">
        <v>16.25</v>
      </c>
      <c r="F234">
        <v>82.58</v>
      </c>
    </row>
    <row r="235" spans="1:6" x14ac:dyDescent="0.25">
      <c r="A235" t="s">
        <v>432</v>
      </c>
      <c r="B235" t="s">
        <v>20</v>
      </c>
      <c r="C235" t="s">
        <v>81</v>
      </c>
      <c r="D235" t="s">
        <v>3219</v>
      </c>
      <c r="E235">
        <v>29.71</v>
      </c>
      <c r="F235">
        <v>82.83</v>
      </c>
    </row>
    <row r="236" spans="1:6" x14ac:dyDescent="0.25">
      <c r="A236" t="s">
        <v>433</v>
      </c>
      <c r="B236" t="s">
        <v>20</v>
      </c>
      <c r="C236" t="s">
        <v>82</v>
      </c>
      <c r="D236" t="s">
        <v>3217</v>
      </c>
      <c r="E236">
        <v>0</v>
      </c>
      <c r="F236">
        <v>82</v>
      </c>
    </row>
    <row r="237" spans="1:6" x14ac:dyDescent="0.25">
      <c r="A237" t="s">
        <v>433</v>
      </c>
      <c r="B237" t="s">
        <v>20</v>
      </c>
      <c r="C237" t="s">
        <v>82</v>
      </c>
      <c r="D237" t="s">
        <v>3218</v>
      </c>
      <c r="E237">
        <v>17.32</v>
      </c>
      <c r="F237">
        <v>82.71</v>
      </c>
    </row>
    <row r="238" spans="1:6" x14ac:dyDescent="0.25">
      <c r="A238" t="s">
        <v>433</v>
      </c>
      <c r="B238" t="s">
        <v>20</v>
      </c>
      <c r="C238" t="s">
        <v>82</v>
      </c>
      <c r="D238" t="s">
        <v>3219</v>
      </c>
      <c r="E238">
        <v>30.61</v>
      </c>
      <c r="F238">
        <v>82.75</v>
      </c>
    </row>
    <row r="239" spans="1:6" x14ac:dyDescent="0.25">
      <c r="A239" t="s">
        <v>434</v>
      </c>
      <c r="B239" t="s">
        <v>20</v>
      </c>
      <c r="C239" t="s">
        <v>83</v>
      </c>
      <c r="D239" t="s">
        <v>3217</v>
      </c>
      <c r="E239">
        <v>0</v>
      </c>
      <c r="F239">
        <v>82.07</v>
      </c>
    </row>
    <row r="240" spans="1:6" x14ac:dyDescent="0.25">
      <c r="A240" t="s">
        <v>434</v>
      </c>
      <c r="B240" t="s">
        <v>20</v>
      </c>
      <c r="C240" t="s">
        <v>83</v>
      </c>
      <c r="D240" t="s">
        <v>3218</v>
      </c>
      <c r="E240">
        <v>17.95</v>
      </c>
      <c r="F240">
        <v>82.87</v>
      </c>
    </row>
    <row r="241" spans="1:6" x14ac:dyDescent="0.25">
      <c r="A241" t="s">
        <v>434</v>
      </c>
      <c r="B241" t="s">
        <v>20</v>
      </c>
      <c r="C241" t="s">
        <v>83</v>
      </c>
      <c r="D241" t="s">
        <v>3219</v>
      </c>
      <c r="E241">
        <v>31</v>
      </c>
      <c r="F241">
        <v>82.89</v>
      </c>
    </row>
    <row r="242" spans="1:6" x14ac:dyDescent="0.25">
      <c r="A242" t="s">
        <v>435</v>
      </c>
      <c r="B242" t="s">
        <v>20</v>
      </c>
      <c r="C242" t="s">
        <v>84</v>
      </c>
      <c r="D242" t="s">
        <v>3217</v>
      </c>
      <c r="E242">
        <v>0</v>
      </c>
      <c r="F242">
        <v>82.08</v>
      </c>
    </row>
    <row r="243" spans="1:6" x14ac:dyDescent="0.25">
      <c r="A243" t="s">
        <v>435</v>
      </c>
      <c r="B243" t="s">
        <v>20</v>
      </c>
      <c r="C243" t="s">
        <v>84</v>
      </c>
      <c r="D243" t="s">
        <v>3218</v>
      </c>
      <c r="E243">
        <v>18.309999999999999</v>
      </c>
      <c r="F243">
        <v>82.6</v>
      </c>
    </row>
    <row r="244" spans="1:6" x14ac:dyDescent="0.25">
      <c r="A244" t="s">
        <v>435</v>
      </c>
      <c r="B244" t="s">
        <v>20</v>
      </c>
      <c r="C244" t="s">
        <v>84</v>
      </c>
      <c r="D244" t="s">
        <v>3219</v>
      </c>
      <c r="E244">
        <v>31.57</v>
      </c>
      <c r="F244">
        <v>82.65</v>
      </c>
    </row>
    <row r="245" spans="1:6" x14ac:dyDescent="0.25">
      <c r="A245" t="s">
        <v>436</v>
      </c>
      <c r="B245" t="s">
        <v>20</v>
      </c>
      <c r="C245" t="s">
        <v>85</v>
      </c>
      <c r="D245" t="s">
        <v>3217</v>
      </c>
      <c r="E245">
        <v>0</v>
      </c>
      <c r="F245">
        <v>81.77</v>
      </c>
    </row>
    <row r="246" spans="1:6" x14ac:dyDescent="0.25">
      <c r="A246" t="s">
        <v>436</v>
      </c>
      <c r="B246" t="s">
        <v>20</v>
      </c>
      <c r="C246" t="s">
        <v>85</v>
      </c>
      <c r="D246" t="s">
        <v>3218</v>
      </c>
      <c r="E246">
        <v>18.309999999999999</v>
      </c>
      <c r="F246">
        <v>82.13</v>
      </c>
    </row>
    <row r="247" spans="1:6" x14ac:dyDescent="0.25">
      <c r="A247" t="s">
        <v>436</v>
      </c>
      <c r="B247" t="s">
        <v>20</v>
      </c>
      <c r="C247" t="s">
        <v>85</v>
      </c>
      <c r="D247" t="s">
        <v>3219</v>
      </c>
      <c r="E247">
        <v>31.35</v>
      </c>
      <c r="F247">
        <v>82.16</v>
      </c>
    </row>
    <row r="248" spans="1:6" x14ac:dyDescent="0.25">
      <c r="A248" t="s">
        <v>437</v>
      </c>
      <c r="B248" t="s">
        <v>20</v>
      </c>
      <c r="C248" t="s">
        <v>86</v>
      </c>
      <c r="D248" t="s">
        <v>3217</v>
      </c>
      <c r="E248">
        <v>0</v>
      </c>
      <c r="F248">
        <v>81.569999999999993</v>
      </c>
    </row>
    <row r="249" spans="1:6" x14ac:dyDescent="0.25">
      <c r="A249" t="s">
        <v>437</v>
      </c>
      <c r="B249" t="s">
        <v>20</v>
      </c>
      <c r="C249" t="s">
        <v>86</v>
      </c>
      <c r="D249" t="s">
        <v>3218</v>
      </c>
      <c r="E249">
        <v>18.309999999999999</v>
      </c>
      <c r="F249">
        <v>81.93</v>
      </c>
    </row>
    <row r="250" spans="1:6" x14ac:dyDescent="0.25">
      <c r="A250" t="s">
        <v>437</v>
      </c>
      <c r="B250" t="s">
        <v>20</v>
      </c>
      <c r="C250" t="s">
        <v>86</v>
      </c>
      <c r="D250" t="s">
        <v>3219</v>
      </c>
      <c r="E250">
        <v>32.950000000000003</v>
      </c>
      <c r="F250">
        <v>81.849999999999994</v>
      </c>
    </row>
    <row r="251" spans="1:6" x14ac:dyDescent="0.25">
      <c r="A251" t="s">
        <v>438</v>
      </c>
      <c r="B251" t="s">
        <v>20</v>
      </c>
      <c r="C251" t="s">
        <v>87</v>
      </c>
      <c r="D251" t="s">
        <v>3217</v>
      </c>
      <c r="E251">
        <v>0</v>
      </c>
      <c r="F251">
        <v>81.2</v>
      </c>
    </row>
    <row r="252" spans="1:6" x14ac:dyDescent="0.25">
      <c r="A252" t="s">
        <v>438</v>
      </c>
      <c r="B252" t="s">
        <v>20</v>
      </c>
      <c r="C252" t="s">
        <v>87</v>
      </c>
      <c r="D252" t="s">
        <v>3218</v>
      </c>
      <c r="E252">
        <v>18.12</v>
      </c>
      <c r="F252">
        <v>81.790000000000006</v>
      </c>
    </row>
    <row r="253" spans="1:6" x14ac:dyDescent="0.25">
      <c r="A253" t="s">
        <v>438</v>
      </c>
      <c r="B253" t="s">
        <v>20</v>
      </c>
      <c r="C253" t="s">
        <v>87</v>
      </c>
      <c r="D253" t="s">
        <v>3219</v>
      </c>
      <c r="E253">
        <v>33.71</v>
      </c>
      <c r="F253">
        <v>81.8</v>
      </c>
    </row>
    <row r="254" spans="1:6" x14ac:dyDescent="0.25">
      <c r="A254" t="s">
        <v>439</v>
      </c>
      <c r="B254" t="s">
        <v>20</v>
      </c>
      <c r="C254" t="s">
        <v>88</v>
      </c>
      <c r="D254" t="s">
        <v>3217</v>
      </c>
      <c r="E254">
        <v>0</v>
      </c>
      <c r="F254">
        <v>80.900000000000006</v>
      </c>
    </row>
    <row r="255" spans="1:6" x14ac:dyDescent="0.25">
      <c r="A255" t="s">
        <v>439</v>
      </c>
      <c r="B255" t="s">
        <v>20</v>
      </c>
      <c r="C255" t="s">
        <v>88</v>
      </c>
      <c r="D255" t="s">
        <v>3218</v>
      </c>
      <c r="E255">
        <v>18.170000000000002</v>
      </c>
      <c r="F255">
        <v>81.56</v>
      </c>
    </row>
    <row r="256" spans="1:6" x14ac:dyDescent="0.25">
      <c r="A256" t="s">
        <v>439</v>
      </c>
      <c r="B256" t="s">
        <v>20</v>
      </c>
      <c r="C256" t="s">
        <v>88</v>
      </c>
      <c r="D256" t="s">
        <v>3219</v>
      </c>
      <c r="E256">
        <v>34.549999999999997</v>
      </c>
      <c r="F256">
        <v>81.67</v>
      </c>
    </row>
    <row r="257" spans="1:6" x14ac:dyDescent="0.25">
      <c r="A257" t="s">
        <v>440</v>
      </c>
      <c r="B257" t="s">
        <v>20</v>
      </c>
      <c r="C257" t="s">
        <v>89</v>
      </c>
      <c r="D257" t="s">
        <v>3217</v>
      </c>
      <c r="E257">
        <v>0</v>
      </c>
      <c r="F257">
        <v>80.78</v>
      </c>
    </row>
    <row r="258" spans="1:6" x14ac:dyDescent="0.25">
      <c r="A258" t="s">
        <v>440</v>
      </c>
      <c r="B258" t="s">
        <v>20</v>
      </c>
      <c r="C258" t="s">
        <v>89</v>
      </c>
      <c r="D258" t="s">
        <v>3218</v>
      </c>
      <c r="E258">
        <v>18.149999999999999</v>
      </c>
      <c r="F258">
        <v>81.349999999999994</v>
      </c>
    </row>
    <row r="259" spans="1:6" x14ac:dyDescent="0.25">
      <c r="A259" t="s">
        <v>440</v>
      </c>
      <c r="B259" t="s">
        <v>20</v>
      </c>
      <c r="C259" t="s">
        <v>89</v>
      </c>
      <c r="D259" t="s">
        <v>3219</v>
      </c>
      <c r="E259">
        <v>35.44</v>
      </c>
      <c r="F259">
        <v>81.53</v>
      </c>
    </row>
    <row r="260" spans="1:6" x14ac:dyDescent="0.25">
      <c r="A260" t="s">
        <v>441</v>
      </c>
      <c r="B260" t="s">
        <v>20</v>
      </c>
      <c r="C260" t="s">
        <v>90</v>
      </c>
      <c r="D260" t="s">
        <v>3217</v>
      </c>
      <c r="E260">
        <v>0</v>
      </c>
      <c r="F260">
        <v>80.62</v>
      </c>
    </row>
    <row r="261" spans="1:6" x14ac:dyDescent="0.25">
      <c r="A261" t="s">
        <v>441</v>
      </c>
      <c r="B261" t="s">
        <v>20</v>
      </c>
      <c r="C261" t="s">
        <v>90</v>
      </c>
      <c r="D261" t="s">
        <v>3218</v>
      </c>
      <c r="E261">
        <v>20</v>
      </c>
      <c r="F261">
        <v>81.069999999999993</v>
      </c>
    </row>
    <row r="262" spans="1:6" x14ac:dyDescent="0.25">
      <c r="A262" t="s">
        <v>441</v>
      </c>
      <c r="B262" t="s">
        <v>20</v>
      </c>
      <c r="C262" t="s">
        <v>90</v>
      </c>
      <c r="D262" t="s">
        <v>3219</v>
      </c>
      <c r="E262">
        <v>40</v>
      </c>
      <c r="F262">
        <v>81.52</v>
      </c>
    </row>
    <row r="263" spans="1:6" x14ac:dyDescent="0.25">
      <c r="A263" t="s">
        <v>442</v>
      </c>
      <c r="B263" t="s">
        <v>20</v>
      </c>
      <c r="C263" t="s">
        <v>91</v>
      </c>
      <c r="D263" t="s">
        <v>3217</v>
      </c>
      <c r="E263">
        <v>0</v>
      </c>
      <c r="F263">
        <v>80.44</v>
      </c>
    </row>
    <row r="264" spans="1:6" x14ac:dyDescent="0.25">
      <c r="A264" t="s">
        <v>442</v>
      </c>
      <c r="B264" t="s">
        <v>20</v>
      </c>
      <c r="C264" t="s">
        <v>91</v>
      </c>
      <c r="D264" t="s">
        <v>3218</v>
      </c>
      <c r="E264">
        <v>20</v>
      </c>
      <c r="F264">
        <v>81.05</v>
      </c>
    </row>
    <row r="265" spans="1:6" x14ac:dyDescent="0.25">
      <c r="A265" t="s">
        <v>442</v>
      </c>
      <c r="B265" t="s">
        <v>20</v>
      </c>
      <c r="C265" t="s">
        <v>91</v>
      </c>
      <c r="D265" t="s">
        <v>3219</v>
      </c>
      <c r="E265">
        <v>40</v>
      </c>
      <c r="F265">
        <v>81.72</v>
      </c>
    </row>
    <row r="266" spans="1:6" x14ac:dyDescent="0.25">
      <c r="A266" t="s">
        <v>443</v>
      </c>
      <c r="B266" t="s">
        <v>20</v>
      </c>
      <c r="C266" t="s">
        <v>92</v>
      </c>
      <c r="D266" t="s">
        <v>3217</v>
      </c>
      <c r="E266">
        <v>0</v>
      </c>
      <c r="F266">
        <v>80.44</v>
      </c>
    </row>
    <row r="267" spans="1:6" x14ac:dyDescent="0.25">
      <c r="A267" t="s">
        <v>443</v>
      </c>
      <c r="B267" t="s">
        <v>20</v>
      </c>
      <c r="C267" t="s">
        <v>92</v>
      </c>
      <c r="D267" t="s">
        <v>3218</v>
      </c>
      <c r="E267">
        <v>20</v>
      </c>
      <c r="F267">
        <v>80.56</v>
      </c>
    </row>
    <row r="268" spans="1:6" x14ac:dyDescent="0.25">
      <c r="A268" t="s">
        <v>443</v>
      </c>
      <c r="B268" t="s">
        <v>20</v>
      </c>
      <c r="C268" t="s">
        <v>92</v>
      </c>
      <c r="D268" t="s">
        <v>3219</v>
      </c>
      <c r="E268">
        <v>40</v>
      </c>
      <c r="F268">
        <v>81.569999999999993</v>
      </c>
    </row>
    <row r="269" spans="1:6" x14ac:dyDescent="0.25">
      <c r="A269" t="s">
        <v>444</v>
      </c>
      <c r="B269" t="s">
        <v>20</v>
      </c>
      <c r="C269" t="s">
        <v>93</v>
      </c>
      <c r="D269" t="s">
        <v>3217</v>
      </c>
      <c r="E269">
        <v>0</v>
      </c>
      <c r="F269">
        <v>79.91</v>
      </c>
    </row>
    <row r="270" spans="1:6" x14ac:dyDescent="0.25">
      <c r="A270" t="s">
        <v>444</v>
      </c>
      <c r="B270" t="s">
        <v>20</v>
      </c>
      <c r="C270" t="s">
        <v>93</v>
      </c>
      <c r="D270" t="s">
        <v>3218</v>
      </c>
      <c r="E270">
        <v>20</v>
      </c>
      <c r="F270">
        <v>80.150000000000006</v>
      </c>
    </row>
    <row r="271" spans="1:6" x14ac:dyDescent="0.25">
      <c r="A271" t="s">
        <v>444</v>
      </c>
      <c r="B271" t="s">
        <v>20</v>
      </c>
      <c r="C271" t="s">
        <v>93</v>
      </c>
      <c r="D271" t="s">
        <v>3219</v>
      </c>
      <c r="E271">
        <v>38.18</v>
      </c>
      <c r="F271">
        <v>81.069999999999993</v>
      </c>
    </row>
    <row r="272" spans="1:6" x14ac:dyDescent="0.25">
      <c r="A272" t="s">
        <v>445</v>
      </c>
      <c r="B272" t="s">
        <v>20</v>
      </c>
      <c r="C272" t="s">
        <v>94</v>
      </c>
      <c r="D272" t="s">
        <v>3217</v>
      </c>
      <c r="E272">
        <v>0</v>
      </c>
      <c r="F272">
        <v>79.739999999999995</v>
      </c>
    </row>
    <row r="273" spans="1:6" x14ac:dyDescent="0.25">
      <c r="A273" t="s">
        <v>445</v>
      </c>
      <c r="B273" t="s">
        <v>20</v>
      </c>
      <c r="C273" t="s">
        <v>94</v>
      </c>
      <c r="D273" t="s">
        <v>3218</v>
      </c>
      <c r="E273">
        <v>20</v>
      </c>
      <c r="F273">
        <v>80.11</v>
      </c>
    </row>
    <row r="274" spans="1:6" x14ac:dyDescent="0.25">
      <c r="A274" t="s">
        <v>445</v>
      </c>
      <c r="B274" t="s">
        <v>20</v>
      </c>
      <c r="C274" t="s">
        <v>94</v>
      </c>
      <c r="D274" t="s">
        <v>3219</v>
      </c>
      <c r="E274">
        <v>35.4</v>
      </c>
      <c r="F274">
        <v>80.83</v>
      </c>
    </row>
    <row r="275" spans="1:6" x14ac:dyDescent="0.25">
      <c r="A275" t="s">
        <v>446</v>
      </c>
      <c r="B275" t="s">
        <v>20</v>
      </c>
      <c r="C275" t="s">
        <v>95</v>
      </c>
      <c r="D275" t="s">
        <v>3217</v>
      </c>
      <c r="E275">
        <v>0</v>
      </c>
      <c r="F275">
        <v>79.75</v>
      </c>
    </row>
    <row r="276" spans="1:6" x14ac:dyDescent="0.25">
      <c r="A276" t="s">
        <v>446</v>
      </c>
      <c r="B276" t="s">
        <v>20</v>
      </c>
      <c r="C276" t="s">
        <v>95</v>
      </c>
      <c r="D276" t="s">
        <v>3218</v>
      </c>
      <c r="E276">
        <v>17.510000000000002</v>
      </c>
      <c r="F276">
        <v>80.38</v>
      </c>
    </row>
    <row r="277" spans="1:6" x14ac:dyDescent="0.25">
      <c r="A277" t="s">
        <v>446</v>
      </c>
      <c r="B277" t="s">
        <v>20</v>
      </c>
      <c r="C277" t="s">
        <v>95</v>
      </c>
      <c r="D277" t="s">
        <v>3219</v>
      </c>
      <c r="E277">
        <v>32.42</v>
      </c>
      <c r="F277">
        <v>80.319999999999993</v>
      </c>
    </row>
    <row r="278" spans="1:6" x14ac:dyDescent="0.25">
      <c r="A278" t="s">
        <v>447</v>
      </c>
      <c r="B278" t="s">
        <v>20</v>
      </c>
      <c r="C278" t="s">
        <v>96</v>
      </c>
      <c r="D278" t="s">
        <v>3217</v>
      </c>
      <c r="E278">
        <v>0</v>
      </c>
      <c r="F278">
        <v>79.36</v>
      </c>
    </row>
    <row r="279" spans="1:6" x14ac:dyDescent="0.25">
      <c r="A279" t="s">
        <v>447</v>
      </c>
      <c r="B279" t="s">
        <v>20</v>
      </c>
      <c r="C279" t="s">
        <v>96</v>
      </c>
      <c r="D279" t="s">
        <v>3218</v>
      </c>
      <c r="E279">
        <v>14.84</v>
      </c>
      <c r="F279">
        <v>79.900000000000006</v>
      </c>
    </row>
    <row r="280" spans="1:6" x14ac:dyDescent="0.25">
      <c r="A280" t="s">
        <v>447</v>
      </c>
      <c r="B280" t="s">
        <v>20</v>
      </c>
      <c r="C280" t="s">
        <v>96</v>
      </c>
      <c r="D280" t="s">
        <v>3219</v>
      </c>
      <c r="E280">
        <v>30.48</v>
      </c>
      <c r="F280">
        <v>79.89</v>
      </c>
    </row>
    <row r="281" spans="1:6" x14ac:dyDescent="0.25">
      <c r="A281" t="s">
        <v>448</v>
      </c>
      <c r="B281" t="s">
        <v>20</v>
      </c>
      <c r="C281" t="s">
        <v>97</v>
      </c>
      <c r="D281" t="s">
        <v>3217</v>
      </c>
      <c r="E281">
        <v>0</v>
      </c>
      <c r="F281">
        <v>78.989999999999995</v>
      </c>
    </row>
    <row r="282" spans="1:6" x14ac:dyDescent="0.25">
      <c r="A282" t="s">
        <v>448</v>
      </c>
      <c r="B282" t="s">
        <v>20</v>
      </c>
      <c r="C282" t="s">
        <v>97</v>
      </c>
      <c r="D282" t="s">
        <v>3218</v>
      </c>
      <c r="E282">
        <v>14.05</v>
      </c>
      <c r="F282">
        <v>79.36</v>
      </c>
    </row>
    <row r="283" spans="1:6" x14ac:dyDescent="0.25">
      <c r="A283" t="s">
        <v>448</v>
      </c>
      <c r="B283" t="s">
        <v>20</v>
      </c>
      <c r="C283" t="s">
        <v>97</v>
      </c>
      <c r="D283" t="s">
        <v>3219</v>
      </c>
      <c r="E283">
        <v>30.4</v>
      </c>
      <c r="F283">
        <v>79.59</v>
      </c>
    </row>
    <row r="284" spans="1:6" x14ac:dyDescent="0.25">
      <c r="A284" t="s">
        <v>449</v>
      </c>
      <c r="B284" t="s">
        <v>20</v>
      </c>
      <c r="C284" t="s">
        <v>98</v>
      </c>
      <c r="D284" t="s">
        <v>3217</v>
      </c>
      <c r="E284">
        <v>0</v>
      </c>
      <c r="F284">
        <v>78.709999999999994</v>
      </c>
    </row>
    <row r="285" spans="1:6" x14ac:dyDescent="0.25">
      <c r="A285" t="s">
        <v>449</v>
      </c>
      <c r="B285" t="s">
        <v>20</v>
      </c>
      <c r="C285" t="s">
        <v>98</v>
      </c>
      <c r="D285" t="s">
        <v>3218</v>
      </c>
      <c r="E285">
        <v>12.46</v>
      </c>
      <c r="F285">
        <v>79.099999999999994</v>
      </c>
    </row>
    <row r="286" spans="1:6" x14ac:dyDescent="0.25">
      <c r="A286" t="s">
        <v>449</v>
      </c>
      <c r="B286" t="s">
        <v>20</v>
      </c>
      <c r="C286" t="s">
        <v>98</v>
      </c>
      <c r="D286" t="s">
        <v>3219</v>
      </c>
      <c r="E286">
        <v>28.1</v>
      </c>
      <c r="F286">
        <v>79.66</v>
      </c>
    </row>
    <row r="287" spans="1:6" x14ac:dyDescent="0.25">
      <c r="A287" t="s">
        <v>450</v>
      </c>
      <c r="B287" t="s">
        <v>20</v>
      </c>
      <c r="C287" t="s">
        <v>99</v>
      </c>
      <c r="D287" t="s">
        <v>3217</v>
      </c>
      <c r="E287">
        <v>0</v>
      </c>
      <c r="F287">
        <v>78.430000000000007</v>
      </c>
    </row>
    <row r="288" spans="1:6" x14ac:dyDescent="0.25">
      <c r="A288" t="s">
        <v>450</v>
      </c>
      <c r="B288" t="s">
        <v>20</v>
      </c>
      <c r="C288" t="s">
        <v>99</v>
      </c>
      <c r="D288" t="s">
        <v>3218</v>
      </c>
      <c r="E288">
        <v>11.32</v>
      </c>
      <c r="F288">
        <v>78.86</v>
      </c>
    </row>
    <row r="289" spans="1:6" x14ac:dyDescent="0.25">
      <c r="A289" t="s">
        <v>450</v>
      </c>
      <c r="B289" t="s">
        <v>20</v>
      </c>
      <c r="C289" t="s">
        <v>99</v>
      </c>
      <c r="D289" t="s">
        <v>3219</v>
      </c>
      <c r="E289">
        <v>23.98</v>
      </c>
      <c r="F289">
        <v>78.86</v>
      </c>
    </row>
    <row r="290" spans="1:6" x14ac:dyDescent="0.25">
      <c r="A290" t="s">
        <v>451</v>
      </c>
      <c r="B290" t="s">
        <v>20</v>
      </c>
      <c r="C290" t="s">
        <v>100</v>
      </c>
      <c r="D290" t="s">
        <v>3217</v>
      </c>
      <c r="E290">
        <v>0</v>
      </c>
      <c r="F290">
        <v>78.099999999999994</v>
      </c>
    </row>
    <row r="291" spans="1:6" x14ac:dyDescent="0.25">
      <c r="A291" t="s">
        <v>451</v>
      </c>
      <c r="B291" t="s">
        <v>20</v>
      </c>
      <c r="C291" t="s">
        <v>100</v>
      </c>
      <c r="D291" t="s">
        <v>3218</v>
      </c>
      <c r="E291">
        <v>11.78</v>
      </c>
      <c r="F291">
        <v>78.5</v>
      </c>
    </row>
    <row r="292" spans="1:6" x14ac:dyDescent="0.25">
      <c r="A292" t="s">
        <v>451</v>
      </c>
      <c r="B292" t="s">
        <v>20</v>
      </c>
      <c r="C292" t="s">
        <v>100</v>
      </c>
      <c r="D292" t="s">
        <v>3219</v>
      </c>
      <c r="E292">
        <v>24.43</v>
      </c>
      <c r="F292">
        <v>78.569999999999993</v>
      </c>
    </row>
    <row r="293" spans="1:6" x14ac:dyDescent="0.25">
      <c r="A293" t="s">
        <v>452</v>
      </c>
      <c r="B293" t="s">
        <v>20</v>
      </c>
      <c r="C293" t="s">
        <v>101</v>
      </c>
      <c r="D293" t="s">
        <v>3217</v>
      </c>
      <c r="E293">
        <v>0</v>
      </c>
      <c r="F293">
        <v>77.739999999999995</v>
      </c>
    </row>
    <row r="294" spans="1:6" x14ac:dyDescent="0.25">
      <c r="A294" t="s">
        <v>452</v>
      </c>
      <c r="B294" t="s">
        <v>20</v>
      </c>
      <c r="C294" t="s">
        <v>101</v>
      </c>
      <c r="D294" t="s">
        <v>3218</v>
      </c>
      <c r="E294">
        <v>12.82</v>
      </c>
      <c r="F294">
        <v>78.239999999999995</v>
      </c>
    </row>
    <row r="295" spans="1:6" x14ac:dyDescent="0.25">
      <c r="A295" t="s">
        <v>452</v>
      </c>
      <c r="B295" t="s">
        <v>20</v>
      </c>
      <c r="C295" t="s">
        <v>101</v>
      </c>
      <c r="D295" t="s">
        <v>3219</v>
      </c>
      <c r="E295">
        <v>25.4</v>
      </c>
      <c r="F295">
        <v>78.34</v>
      </c>
    </row>
    <row r="296" spans="1:6" x14ac:dyDescent="0.25">
      <c r="A296" t="s">
        <v>453</v>
      </c>
      <c r="B296" t="s">
        <v>20</v>
      </c>
      <c r="C296" t="s">
        <v>102</v>
      </c>
      <c r="D296" t="s">
        <v>3217</v>
      </c>
      <c r="E296">
        <v>0</v>
      </c>
      <c r="F296">
        <v>77.52</v>
      </c>
    </row>
    <row r="297" spans="1:6" x14ac:dyDescent="0.25">
      <c r="A297" t="s">
        <v>453</v>
      </c>
      <c r="B297" t="s">
        <v>20</v>
      </c>
      <c r="C297" t="s">
        <v>102</v>
      </c>
      <c r="D297" t="s">
        <v>3218</v>
      </c>
      <c r="E297">
        <v>14.67</v>
      </c>
      <c r="F297">
        <v>78.13</v>
      </c>
    </row>
    <row r="298" spans="1:6" x14ac:dyDescent="0.25">
      <c r="A298" t="s">
        <v>453</v>
      </c>
      <c r="B298" t="s">
        <v>20</v>
      </c>
      <c r="C298" t="s">
        <v>102</v>
      </c>
      <c r="D298" t="s">
        <v>3219</v>
      </c>
      <c r="E298">
        <v>26.66</v>
      </c>
      <c r="F298">
        <v>78.22</v>
      </c>
    </row>
    <row r="299" spans="1:6" x14ac:dyDescent="0.25">
      <c r="A299" t="s">
        <v>454</v>
      </c>
      <c r="B299" t="s">
        <v>20</v>
      </c>
      <c r="C299" t="s">
        <v>103</v>
      </c>
      <c r="D299" t="s">
        <v>3217</v>
      </c>
      <c r="E299">
        <v>0</v>
      </c>
      <c r="F299">
        <v>77.17</v>
      </c>
    </row>
    <row r="300" spans="1:6" x14ac:dyDescent="0.25">
      <c r="A300" t="s">
        <v>454</v>
      </c>
      <c r="B300" t="s">
        <v>20</v>
      </c>
      <c r="C300" t="s">
        <v>103</v>
      </c>
      <c r="D300" t="s">
        <v>3218</v>
      </c>
      <c r="E300">
        <v>15.97</v>
      </c>
      <c r="F300">
        <v>78.14</v>
      </c>
    </row>
    <row r="301" spans="1:6" x14ac:dyDescent="0.25">
      <c r="A301" t="s">
        <v>454</v>
      </c>
      <c r="B301" t="s">
        <v>20</v>
      </c>
      <c r="C301" t="s">
        <v>103</v>
      </c>
      <c r="D301" t="s">
        <v>3219</v>
      </c>
      <c r="E301">
        <v>28.42</v>
      </c>
      <c r="F301">
        <v>78.17</v>
      </c>
    </row>
    <row r="302" spans="1:6" x14ac:dyDescent="0.25">
      <c r="A302" t="s">
        <v>455</v>
      </c>
      <c r="B302" t="s">
        <v>20</v>
      </c>
      <c r="C302" t="s">
        <v>104</v>
      </c>
      <c r="D302" t="s">
        <v>3217</v>
      </c>
      <c r="E302">
        <v>0</v>
      </c>
      <c r="F302">
        <v>77.17</v>
      </c>
    </row>
    <row r="303" spans="1:6" x14ac:dyDescent="0.25">
      <c r="A303" t="s">
        <v>455</v>
      </c>
      <c r="B303" t="s">
        <v>20</v>
      </c>
      <c r="C303" t="s">
        <v>104</v>
      </c>
      <c r="D303" t="s">
        <v>3218</v>
      </c>
      <c r="E303">
        <v>15.75</v>
      </c>
      <c r="F303">
        <v>78.05</v>
      </c>
    </row>
    <row r="304" spans="1:6" x14ac:dyDescent="0.25">
      <c r="A304" t="s">
        <v>455</v>
      </c>
      <c r="B304" t="s">
        <v>20</v>
      </c>
      <c r="C304" t="s">
        <v>104</v>
      </c>
      <c r="D304" t="s">
        <v>3219</v>
      </c>
      <c r="E304">
        <v>29.41</v>
      </c>
      <c r="F304">
        <v>78.14</v>
      </c>
    </row>
    <row r="305" spans="1:6" x14ac:dyDescent="0.25">
      <c r="A305" t="s">
        <v>456</v>
      </c>
      <c r="B305" t="s">
        <v>20</v>
      </c>
      <c r="C305" t="s">
        <v>105</v>
      </c>
      <c r="D305" t="s">
        <v>3217</v>
      </c>
      <c r="E305">
        <v>0</v>
      </c>
      <c r="F305">
        <v>77.48</v>
      </c>
    </row>
    <row r="306" spans="1:6" x14ac:dyDescent="0.25">
      <c r="A306" t="s">
        <v>456</v>
      </c>
      <c r="B306" t="s">
        <v>20</v>
      </c>
      <c r="C306" t="s">
        <v>105</v>
      </c>
      <c r="D306" t="s">
        <v>3218</v>
      </c>
      <c r="E306">
        <v>15.75</v>
      </c>
      <c r="F306">
        <v>77.930000000000007</v>
      </c>
    </row>
    <row r="307" spans="1:6" x14ac:dyDescent="0.25">
      <c r="A307" t="s">
        <v>456</v>
      </c>
      <c r="B307" t="s">
        <v>20</v>
      </c>
      <c r="C307" t="s">
        <v>105</v>
      </c>
      <c r="D307" t="s">
        <v>3219</v>
      </c>
      <c r="E307">
        <v>30.42</v>
      </c>
      <c r="F307">
        <v>78.489999999999995</v>
      </c>
    </row>
    <row r="308" spans="1:6" x14ac:dyDescent="0.25">
      <c r="A308" t="s">
        <v>457</v>
      </c>
      <c r="B308" t="s">
        <v>20</v>
      </c>
      <c r="C308" t="s">
        <v>106</v>
      </c>
      <c r="D308" t="s">
        <v>3217</v>
      </c>
      <c r="E308">
        <v>0</v>
      </c>
      <c r="F308">
        <v>78.010000000000005</v>
      </c>
    </row>
    <row r="309" spans="1:6" x14ac:dyDescent="0.25">
      <c r="A309" t="s">
        <v>457</v>
      </c>
      <c r="B309" t="s">
        <v>20</v>
      </c>
      <c r="C309" t="s">
        <v>106</v>
      </c>
      <c r="D309" t="s">
        <v>3218</v>
      </c>
      <c r="E309">
        <v>14.72</v>
      </c>
      <c r="F309">
        <v>78.53</v>
      </c>
    </row>
    <row r="310" spans="1:6" x14ac:dyDescent="0.25">
      <c r="A310" t="s">
        <v>457</v>
      </c>
      <c r="B310" t="s">
        <v>20</v>
      </c>
      <c r="C310" t="s">
        <v>106</v>
      </c>
      <c r="D310" t="s">
        <v>3219</v>
      </c>
      <c r="E310">
        <v>29.4</v>
      </c>
      <c r="F310">
        <v>78.53</v>
      </c>
    </row>
    <row r="311" spans="1:6" x14ac:dyDescent="0.25">
      <c r="A311" t="s">
        <v>458</v>
      </c>
      <c r="B311" t="s">
        <v>20</v>
      </c>
      <c r="C311" t="s">
        <v>108</v>
      </c>
      <c r="D311" t="s">
        <v>3217</v>
      </c>
      <c r="E311">
        <v>0</v>
      </c>
      <c r="F311">
        <v>78.33</v>
      </c>
    </row>
    <row r="312" spans="1:6" x14ac:dyDescent="0.25">
      <c r="A312" t="s">
        <v>458</v>
      </c>
      <c r="B312" t="s">
        <v>20</v>
      </c>
      <c r="C312" t="s">
        <v>108</v>
      </c>
      <c r="D312" t="s">
        <v>3218</v>
      </c>
      <c r="E312">
        <v>15.1</v>
      </c>
      <c r="F312">
        <v>78.680000000000007</v>
      </c>
    </row>
    <row r="313" spans="1:6" x14ac:dyDescent="0.25">
      <c r="A313" t="s">
        <v>458</v>
      </c>
      <c r="B313" t="s">
        <v>20</v>
      </c>
      <c r="C313" t="s">
        <v>108</v>
      </c>
      <c r="D313" t="s">
        <v>3219</v>
      </c>
      <c r="E313">
        <v>30.18</v>
      </c>
      <c r="F313">
        <v>78.56</v>
      </c>
    </row>
    <row r="314" spans="1:6" x14ac:dyDescent="0.25">
      <c r="A314" t="s">
        <v>459</v>
      </c>
      <c r="B314" t="s">
        <v>20</v>
      </c>
      <c r="C314" t="s">
        <v>109</v>
      </c>
      <c r="D314" t="s">
        <v>3217</v>
      </c>
      <c r="E314">
        <v>0</v>
      </c>
      <c r="F314">
        <v>78.27</v>
      </c>
    </row>
    <row r="315" spans="1:6" x14ac:dyDescent="0.25">
      <c r="A315" t="s">
        <v>459</v>
      </c>
      <c r="B315" t="s">
        <v>20</v>
      </c>
      <c r="C315" t="s">
        <v>109</v>
      </c>
      <c r="D315" t="s">
        <v>3218</v>
      </c>
      <c r="E315">
        <v>14.16</v>
      </c>
      <c r="F315">
        <v>78.59</v>
      </c>
    </row>
    <row r="316" spans="1:6" x14ac:dyDescent="0.25">
      <c r="A316" t="s">
        <v>459</v>
      </c>
      <c r="B316" t="s">
        <v>20</v>
      </c>
      <c r="C316" t="s">
        <v>109</v>
      </c>
      <c r="D316" t="s">
        <v>3219</v>
      </c>
      <c r="E316">
        <v>29.1</v>
      </c>
      <c r="F316">
        <v>78.42</v>
      </c>
    </row>
    <row r="317" spans="1:6" x14ac:dyDescent="0.25">
      <c r="A317" t="s">
        <v>460</v>
      </c>
      <c r="B317" t="s">
        <v>20</v>
      </c>
      <c r="C317" t="s">
        <v>110</v>
      </c>
      <c r="D317" t="s">
        <v>3217</v>
      </c>
      <c r="E317">
        <v>0</v>
      </c>
      <c r="F317">
        <v>78.05</v>
      </c>
    </row>
    <row r="318" spans="1:6" x14ac:dyDescent="0.25">
      <c r="A318" t="s">
        <v>460</v>
      </c>
      <c r="B318" t="s">
        <v>20</v>
      </c>
      <c r="C318" t="s">
        <v>110</v>
      </c>
      <c r="D318" t="s">
        <v>3218</v>
      </c>
      <c r="E318">
        <v>14.12</v>
      </c>
      <c r="F318">
        <v>78.459999999999994</v>
      </c>
    </row>
    <row r="319" spans="1:6" x14ac:dyDescent="0.25">
      <c r="A319" t="s">
        <v>460</v>
      </c>
      <c r="B319" t="s">
        <v>20</v>
      </c>
      <c r="C319" t="s">
        <v>110</v>
      </c>
      <c r="D319" t="s">
        <v>3219</v>
      </c>
      <c r="E319">
        <v>29.92</v>
      </c>
      <c r="F319">
        <v>78.25</v>
      </c>
    </row>
    <row r="320" spans="1:6" x14ac:dyDescent="0.25">
      <c r="A320" t="s">
        <v>461</v>
      </c>
      <c r="B320" t="s">
        <v>20</v>
      </c>
      <c r="C320" t="s">
        <v>111</v>
      </c>
      <c r="D320" t="s">
        <v>3217</v>
      </c>
      <c r="E320">
        <v>0</v>
      </c>
      <c r="F320">
        <v>77.88</v>
      </c>
    </row>
    <row r="321" spans="1:6" x14ac:dyDescent="0.25">
      <c r="A321" t="s">
        <v>461</v>
      </c>
      <c r="B321" t="s">
        <v>20</v>
      </c>
      <c r="C321" t="s">
        <v>111</v>
      </c>
      <c r="D321" t="s">
        <v>3218</v>
      </c>
      <c r="E321">
        <v>14.94</v>
      </c>
      <c r="F321">
        <v>78.39</v>
      </c>
    </row>
    <row r="322" spans="1:6" x14ac:dyDescent="0.25">
      <c r="A322" t="s">
        <v>461</v>
      </c>
      <c r="B322" t="s">
        <v>20</v>
      </c>
      <c r="C322" t="s">
        <v>111</v>
      </c>
      <c r="D322" t="s">
        <v>3219</v>
      </c>
      <c r="E322">
        <v>30.68</v>
      </c>
      <c r="F322">
        <v>78.27</v>
      </c>
    </row>
    <row r="323" spans="1:6" x14ac:dyDescent="0.25">
      <c r="A323" t="s">
        <v>462</v>
      </c>
      <c r="B323" t="s">
        <v>20</v>
      </c>
      <c r="C323" t="s">
        <v>112</v>
      </c>
      <c r="D323" t="s">
        <v>3217</v>
      </c>
      <c r="E323">
        <v>0</v>
      </c>
      <c r="F323">
        <v>77.790000000000006</v>
      </c>
    </row>
    <row r="324" spans="1:6" x14ac:dyDescent="0.25">
      <c r="A324" t="s">
        <v>462</v>
      </c>
      <c r="B324" t="s">
        <v>20</v>
      </c>
      <c r="C324" t="s">
        <v>112</v>
      </c>
      <c r="D324" t="s">
        <v>3218</v>
      </c>
      <c r="E324">
        <v>15.81</v>
      </c>
      <c r="F324">
        <v>78.319999999999993</v>
      </c>
    </row>
    <row r="325" spans="1:6" x14ac:dyDescent="0.25">
      <c r="A325" t="s">
        <v>462</v>
      </c>
      <c r="B325" t="s">
        <v>20</v>
      </c>
      <c r="C325" t="s">
        <v>112</v>
      </c>
      <c r="D325" t="s">
        <v>3219</v>
      </c>
      <c r="E325">
        <v>31.3</v>
      </c>
      <c r="F325">
        <v>78.22</v>
      </c>
    </row>
    <row r="326" spans="1:6" x14ac:dyDescent="0.25">
      <c r="A326" t="s">
        <v>463</v>
      </c>
      <c r="B326" t="s">
        <v>20</v>
      </c>
      <c r="C326" t="s">
        <v>113</v>
      </c>
      <c r="D326" t="s">
        <v>3217</v>
      </c>
      <c r="E326">
        <v>0</v>
      </c>
      <c r="F326">
        <v>77.489999999999995</v>
      </c>
    </row>
    <row r="327" spans="1:6" x14ac:dyDescent="0.25">
      <c r="A327" t="s">
        <v>463</v>
      </c>
      <c r="B327" t="s">
        <v>20</v>
      </c>
      <c r="C327" t="s">
        <v>113</v>
      </c>
      <c r="D327" t="s">
        <v>3218</v>
      </c>
      <c r="E327">
        <v>16.649999999999999</v>
      </c>
      <c r="F327">
        <v>78.12</v>
      </c>
    </row>
    <row r="328" spans="1:6" x14ac:dyDescent="0.25">
      <c r="A328" t="s">
        <v>463</v>
      </c>
      <c r="B328" t="s">
        <v>20</v>
      </c>
      <c r="C328" t="s">
        <v>113</v>
      </c>
      <c r="D328" t="s">
        <v>3219</v>
      </c>
      <c r="E328">
        <v>32.39</v>
      </c>
      <c r="F328">
        <v>78.13</v>
      </c>
    </row>
    <row r="329" spans="1:6" x14ac:dyDescent="0.25">
      <c r="A329" t="s">
        <v>464</v>
      </c>
      <c r="B329" t="s">
        <v>20</v>
      </c>
      <c r="C329" t="s">
        <v>114</v>
      </c>
      <c r="D329" t="s">
        <v>3217</v>
      </c>
      <c r="E329">
        <v>0</v>
      </c>
      <c r="F329">
        <v>77.17</v>
      </c>
    </row>
    <row r="330" spans="1:6" x14ac:dyDescent="0.25">
      <c r="A330" t="s">
        <v>464</v>
      </c>
      <c r="B330" t="s">
        <v>20</v>
      </c>
      <c r="C330" t="s">
        <v>114</v>
      </c>
      <c r="D330" t="s">
        <v>3218</v>
      </c>
      <c r="E330">
        <v>16.73</v>
      </c>
      <c r="F330">
        <v>77.95</v>
      </c>
    </row>
    <row r="331" spans="1:6" x14ac:dyDescent="0.25">
      <c r="A331" t="s">
        <v>464</v>
      </c>
      <c r="B331" t="s">
        <v>20</v>
      </c>
      <c r="C331" t="s">
        <v>114</v>
      </c>
      <c r="D331" t="s">
        <v>3219</v>
      </c>
      <c r="E331">
        <v>32.380000000000003</v>
      </c>
      <c r="F331">
        <v>78.069999999999993</v>
      </c>
    </row>
    <row r="332" spans="1:6" x14ac:dyDescent="0.25">
      <c r="A332" t="s">
        <v>465</v>
      </c>
      <c r="B332" t="s">
        <v>20</v>
      </c>
      <c r="C332" t="s">
        <v>115</v>
      </c>
      <c r="D332" t="s">
        <v>3217</v>
      </c>
      <c r="E332">
        <v>0</v>
      </c>
      <c r="F332">
        <v>77.03</v>
      </c>
    </row>
    <row r="333" spans="1:6" x14ac:dyDescent="0.25">
      <c r="A333" t="s">
        <v>465</v>
      </c>
      <c r="B333" t="s">
        <v>20</v>
      </c>
      <c r="C333" t="s">
        <v>115</v>
      </c>
      <c r="D333" t="s">
        <v>3218</v>
      </c>
      <c r="E333">
        <v>16.97</v>
      </c>
      <c r="F333">
        <v>77.66</v>
      </c>
    </row>
    <row r="334" spans="1:6" x14ac:dyDescent="0.25">
      <c r="A334" t="s">
        <v>465</v>
      </c>
      <c r="B334" t="s">
        <v>20</v>
      </c>
      <c r="C334" t="s">
        <v>115</v>
      </c>
      <c r="D334" t="s">
        <v>3219</v>
      </c>
      <c r="E334">
        <v>32.53</v>
      </c>
      <c r="F334">
        <v>77.849999999999994</v>
      </c>
    </row>
    <row r="335" spans="1:6" x14ac:dyDescent="0.25">
      <c r="A335" t="s">
        <v>466</v>
      </c>
      <c r="B335" t="s">
        <v>20</v>
      </c>
      <c r="C335" t="s">
        <v>116</v>
      </c>
      <c r="D335" t="s">
        <v>3217</v>
      </c>
      <c r="E335">
        <v>0</v>
      </c>
      <c r="F335">
        <v>76.81</v>
      </c>
    </row>
    <row r="336" spans="1:6" x14ac:dyDescent="0.25">
      <c r="A336" t="s">
        <v>466</v>
      </c>
      <c r="B336" t="s">
        <v>20</v>
      </c>
      <c r="C336" t="s">
        <v>116</v>
      </c>
      <c r="D336" t="s">
        <v>3218</v>
      </c>
      <c r="E336">
        <v>17.07</v>
      </c>
      <c r="F336">
        <v>77.37</v>
      </c>
    </row>
    <row r="337" spans="1:6" x14ac:dyDescent="0.25">
      <c r="A337" t="s">
        <v>466</v>
      </c>
      <c r="B337" t="s">
        <v>20</v>
      </c>
      <c r="C337" t="s">
        <v>116</v>
      </c>
      <c r="D337" t="s">
        <v>3219</v>
      </c>
      <c r="E337">
        <v>33.49</v>
      </c>
      <c r="F337">
        <v>77.459999999999994</v>
      </c>
    </row>
    <row r="338" spans="1:6" x14ac:dyDescent="0.25">
      <c r="A338" t="s">
        <v>467</v>
      </c>
      <c r="B338" t="s">
        <v>20</v>
      </c>
      <c r="C338" t="s">
        <v>117</v>
      </c>
      <c r="D338" t="s">
        <v>3217</v>
      </c>
      <c r="E338">
        <v>0</v>
      </c>
      <c r="F338">
        <v>76.66</v>
      </c>
    </row>
    <row r="339" spans="1:6" x14ac:dyDescent="0.25">
      <c r="A339" t="s">
        <v>467</v>
      </c>
      <c r="B339" t="s">
        <v>20</v>
      </c>
      <c r="C339" t="s">
        <v>117</v>
      </c>
      <c r="D339" t="s">
        <v>3218</v>
      </c>
      <c r="E339">
        <v>17.02</v>
      </c>
      <c r="F339">
        <v>77.08</v>
      </c>
    </row>
    <row r="340" spans="1:6" x14ac:dyDescent="0.25">
      <c r="A340" t="s">
        <v>467</v>
      </c>
      <c r="B340" t="s">
        <v>20</v>
      </c>
      <c r="C340" t="s">
        <v>117</v>
      </c>
      <c r="D340" t="s">
        <v>3219</v>
      </c>
      <c r="E340">
        <v>33.450000000000003</v>
      </c>
      <c r="F340">
        <v>77.14</v>
      </c>
    </row>
    <row r="341" spans="1:6" x14ac:dyDescent="0.25">
      <c r="A341" t="s">
        <v>468</v>
      </c>
      <c r="B341" t="s">
        <v>20</v>
      </c>
      <c r="C341" t="s">
        <v>118</v>
      </c>
      <c r="D341" t="s">
        <v>3217</v>
      </c>
      <c r="E341">
        <v>0</v>
      </c>
      <c r="F341">
        <v>76.47</v>
      </c>
    </row>
    <row r="342" spans="1:6" x14ac:dyDescent="0.25">
      <c r="A342" t="s">
        <v>468</v>
      </c>
      <c r="B342" t="s">
        <v>20</v>
      </c>
      <c r="C342" t="s">
        <v>118</v>
      </c>
      <c r="D342" t="s">
        <v>3218</v>
      </c>
      <c r="E342">
        <v>16.37</v>
      </c>
      <c r="F342">
        <v>76.86</v>
      </c>
    </row>
    <row r="343" spans="1:6" x14ac:dyDescent="0.25">
      <c r="A343" t="s">
        <v>468</v>
      </c>
      <c r="B343" t="s">
        <v>20</v>
      </c>
      <c r="C343" t="s">
        <v>118</v>
      </c>
      <c r="D343" t="s">
        <v>3219</v>
      </c>
      <c r="E343">
        <v>32.909999999999997</v>
      </c>
      <c r="F343">
        <v>76.81</v>
      </c>
    </row>
    <row r="344" spans="1:6" x14ac:dyDescent="0.25">
      <c r="A344" t="s">
        <v>469</v>
      </c>
      <c r="B344" t="s">
        <v>20</v>
      </c>
      <c r="C344" t="s">
        <v>119</v>
      </c>
      <c r="D344" t="s">
        <v>3217</v>
      </c>
      <c r="E344">
        <v>0</v>
      </c>
      <c r="F344">
        <v>76.349999999999994</v>
      </c>
    </row>
    <row r="345" spans="1:6" x14ac:dyDescent="0.25">
      <c r="A345" t="s">
        <v>469</v>
      </c>
      <c r="B345" t="s">
        <v>20</v>
      </c>
      <c r="C345" t="s">
        <v>119</v>
      </c>
      <c r="D345" t="s">
        <v>3218</v>
      </c>
      <c r="E345">
        <v>15.81</v>
      </c>
      <c r="F345">
        <v>76.7</v>
      </c>
    </row>
    <row r="346" spans="1:6" x14ac:dyDescent="0.25">
      <c r="A346" t="s">
        <v>469</v>
      </c>
      <c r="B346" t="s">
        <v>20</v>
      </c>
      <c r="C346" t="s">
        <v>119</v>
      </c>
      <c r="D346" t="s">
        <v>3219</v>
      </c>
      <c r="E346">
        <v>32.5</v>
      </c>
      <c r="F346">
        <v>76.69</v>
      </c>
    </row>
    <row r="347" spans="1:6" x14ac:dyDescent="0.25">
      <c r="A347" t="s">
        <v>470</v>
      </c>
      <c r="B347" t="s">
        <v>20</v>
      </c>
      <c r="C347" t="s">
        <v>120</v>
      </c>
      <c r="D347" t="s">
        <v>3217</v>
      </c>
      <c r="E347">
        <v>0</v>
      </c>
      <c r="F347">
        <v>76.39</v>
      </c>
    </row>
    <row r="348" spans="1:6" x14ac:dyDescent="0.25">
      <c r="A348" t="s">
        <v>470</v>
      </c>
      <c r="B348" t="s">
        <v>20</v>
      </c>
      <c r="C348" t="s">
        <v>120</v>
      </c>
      <c r="D348" t="s">
        <v>3218</v>
      </c>
      <c r="E348">
        <v>16.27</v>
      </c>
      <c r="F348">
        <v>76.7</v>
      </c>
    </row>
    <row r="349" spans="1:6" x14ac:dyDescent="0.25">
      <c r="A349" t="s">
        <v>470</v>
      </c>
      <c r="B349" t="s">
        <v>20</v>
      </c>
      <c r="C349" t="s">
        <v>120</v>
      </c>
      <c r="D349" t="s">
        <v>3219</v>
      </c>
      <c r="E349">
        <v>32.950000000000003</v>
      </c>
      <c r="F349">
        <v>76.56</v>
      </c>
    </row>
    <row r="350" spans="1:6" x14ac:dyDescent="0.25">
      <c r="A350" t="s">
        <v>471</v>
      </c>
      <c r="B350" t="s">
        <v>20</v>
      </c>
      <c r="C350" t="s">
        <v>121</v>
      </c>
      <c r="D350" t="s">
        <v>3217</v>
      </c>
      <c r="E350">
        <v>0</v>
      </c>
      <c r="F350">
        <v>76.55</v>
      </c>
    </row>
    <row r="351" spans="1:6" x14ac:dyDescent="0.25">
      <c r="A351" t="s">
        <v>471</v>
      </c>
      <c r="B351" t="s">
        <v>20</v>
      </c>
      <c r="C351" t="s">
        <v>121</v>
      </c>
      <c r="D351" t="s">
        <v>3218</v>
      </c>
      <c r="E351">
        <v>16.32</v>
      </c>
      <c r="F351">
        <v>76.959999999999994</v>
      </c>
    </row>
    <row r="352" spans="1:6" x14ac:dyDescent="0.25">
      <c r="A352" t="s">
        <v>471</v>
      </c>
      <c r="B352" t="s">
        <v>20</v>
      </c>
      <c r="C352" t="s">
        <v>121</v>
      </c>
      <c r="D352" t="s">
        <v>3219</v>
      </c>
      <c r="E352">
        <v>32.29</v>
      </c>
      <c r="F352">
        <v>76.41</v>
      </c>
    </row>
    <row r="353" spans="1:6" x14ac:dyDescent="0.25">
      <c r="A353" t="s">
        <v>472</v>
      </c>
      <c r="B353" t="s">
        <v>20</v>
      </c>
      <c r="C353" t="s">
        <v>122</v>
      </c>
      <c r="D353" t="s">
        <v>3217</v>
      </c>
      <c r="E353">
        <v>0</v>
      </c>
      <c r="F353">
        <v>76.83</v>
      </c>
    </row>
    <row r="354" spans="1:6" x14ac:dyDescent="0.25">
      <c r="A354" t="s">
        <v>472</v>
      </c>
      <c r="B354" t="s">
        <v>20</v>
      </c>
      <c r="C354" t="s">
        <v>122</v>
      </c>
      <c r="D354" t="s">
        <v>3218</v>
      </c>
      <c r="E354">
        <v>20</v>
      </c>
      <c r="F354">
        <v>77.069999999999993</v>
      </c>
    </row>
    <row r="355" spans="1:6" x14ac:dyDescent="0.25">
      <c r="A355" t="s">
        <v>472</v>
      </c>
      <c r="B355" t="s">
        <v>20</v>
      </c>
      <c r="C355" t="s">
        <v>122</v>
      </c>
      <c r="D355" t="s">
        <v>3219</v>
      </c>
      <c r="E355">
        <v>35.270000000000003</v>
      </c>
      <c r="F355">
        <v>76.61</v>
      </c>
    </row>
    <row r="356" spans="1:6" x14ac:dyDescent="0.25">
      <c r="A356" t="s">
        <v>473</v>
      </c>
      <c r="B356" t="s">
        <v>21</v>
      </c>
      <c r="C356" t="s">
        <v>56</v>
      </c>
      <c r="D356" t="s">
        <v>3217</v>
      </c>
      <c r="E356">
        <v>0</v>
      </c>
      <c r="F356">
        <v>84.22</v>
      </c>
    </row>
    <row r="357" spans="1:6" x14ac:dyDescent="0.25">
      <c r="A357" t="s">
        <v>473</v>
      </c>
      <c r="B357" t="s">
        <v>21</v>
      </c>
      <c r="C357" t="s">
        <v>56</v>
      </c>
      <c r="D357" t="s">
        <v>3218</v>
      </c>
      <c r="E357">
        <v>20</v>
      </c>
      <c r="F357">
        <v>84.15</v>
      </c>
    </row>
    <row r="358" spans="1:6" x14ac:dyDescent="0.25">
      <c r="A358" t="s">
        <v>473</v>
      </c>
      <c r="B358" t="s">
        <v>21</v>
      </c>
      <c r="C358" t="s">
        <v>56</v>
      </c>
      <c r="D358" t="s">
        <v>3219</v>
      </c>
      <c r="E358">
        <v>40</v>
      </c>
      <c r="F358">
        <v>82.75</v>
      </c>
    </row>
    <row r="359" spans="1:6" x14ac:dyDescent="0.25">
      <c r="A359" t="s">
        <v>474</v>
      </c>
      <c r="B359" t="s">
        <v>21</v>
      </c>
      <c r="C359" t="s">
        <v>57</v>
      </c>
      <c r="D359" t="s">
        <v>3217</v>
      </c>
      <c r="E359">
        <v>0</v>
      </c>
      <c r="F359">
        <v>82.07</v>
      </c>
    </row>
    <row r="360" spans="1:6" x14ac:dyDescent="0.25">
      <c r="A360" t="s">
        <v>474</v>
      </c>
      <c r="B360" t="s">
        <v>21</v>
      </c>
      <c r="C360" t="s">
        <v>57</v>
      </c>
      <c r="D360" t="s">
        <v>3218</v>
      </c>
      <c r="E360">
        <v>20</v>
      </c>
      <c r="F360">
        <v>84.42</v>
      </c>
    </row>
    <row r="361" spans="1:6" x14ac:dyDescent="0.25">
      <c r="A361" t="s">
        <v>474</v>
      </c>
      <c r="B361" t="s">
        <v>21</v>
      </c>
      <c r="C361" t="s">
        <v>57</v>
      </c>
      <c r="D361" t="s">
        <v>3219</v>
      </c>
      <c r="E361">
        <v>40</v>
      </c>
      <c r="F361">
        <v>81.09</v>
      </c>
    </row>
    <row r="362" spans="1:6" x14ac:dyDescent="0.25">
      <c r="A362" t="s">
        <v>475</v>
      </c>
      <c r="B362" t="s">
        <v>21</v>
      </c>
      <c r="C362" t="s">
        <v>58</v>
      </c>
      <c r="D362" t="s">
        <v>3217</v>
      </c>
      <c r="E362">
        <v>0</v>
      </c>
      <c r="F362">
        <v>80.63</v>
      </c>
    </row>
    <row r="363" spans="1:6" x14ac:dyDescent="0.25">
      <c r="A363" t="s">
        <v>475</v>
      </c>
      <c r="B363" t="s">
        <v>21</v>
      </c>
      <c r="C363" t="s">
        <v>58</v>
      </c>
      <c r="D363" t="s">
        <v>3218</v>
      </c>
      <c r="E363">
        <v>18.489999999999998</v>
      </c>
      <c r="F363">
        <v>82.03</v>
      </c>
    </row>
    <row r="364" spans="1:6" x14ac:dyDescent="0.25">
      <c r="A364" t="s">
        <v>475</v>
      </c>
      <c r="B364" t="s">
        <v>21</v>
      </c>
      <c r="C364" t="s">
        <v>58</v>
      </c>
      <c r="D364" t="s">
        <v>3219</v>
      </c>
      <c r="E364">
        <v>38.49</v>
      </c>
      <c r="F364">
        <v>79.510000000000005</v>
      </c>
    </row>
    <row r="365" spans="1:6" x14ac:dyDescent="0.25">
      <c r="A365" t="s">
        <v>476</v>
      </c>
      <c r="B365" t="s">
        <v>21</v>
      </c>
      <c r="C365" t="s">
        <v>59</v>
      </c>
      <c r="D365" t="s">
        <v>3217</v>
      </c>
      <c r="E365">
        <v>0</v>
      </c>
      <c r="F365">
        <v>79.42</v>
      </c>
    </row>
    <row r="366" spans="1:6" x14ac:dyDescent="0.25">
      <c r="A366" t="s">
        <v>476</v>
      </c>
      <c r="B366" t="s">
        <v>21</v>
      </c>
      <c r="C366" t="s">
        <v>59</v>
      </c>
      <c r="D366" t="s">
        <v>3218</v>
      </c>
      <c r="E366">
        <v>18.079999999999998</v>
      </c>
      <c r="F366">
        <v>80.84</v>
      </c>
    </row>
    <row r="367" spans="1:6" x14ac:dyDescent="0.25">
      <c r="A367" t="s">
        <v>476</v>
      </c>
      <c r="B367" t="s">
        <v>21</v>
      </c>
      <c r="C367" t="s">
        <v>59</v>
      </c>
      <c r="D367" t="s">
        <v>3219</v>
      </c>
      <c r="E367">
        <v>38.08</v>
      </c>
      <c r="F367">
        <v>78.06</v>
      </c>
    </row>
    <row r="368" spans="1:6" x14ac:dyDescent="0.25">
      <c r="A368" t="s">
        <v>477</v>
      </c>
      <c r="B368" t="s">
        <v>21</v>
      </c>
      <c r="C368" t="s">
        <v>60</v>
      </c>
      <c r="D368" t="s">
        <v>3217</v>
      </c>
      <c r="E368">
        <v>0</v>
      </c>
      <c r="F368">
        <v>77.97</v>
      </c>
    </row>
    <row r="369" spans="1:6" x14ac:dyDescent="0.25">
      <c r="A369" t="s">
        <v>477</v>
      </c>
      <c r="B369" t="s">
        <v>21</v>
      </c>
      <c r="C369" t="s">
        <v>60</v>
      </c>
      <c r="D369" t="s">
        <v>3218</v>
      </c>
      <c r="E369">
        <v>17.440000000000001</v>
      </c>
      <c r="F369">
        <v>79.09</v>
      </c>
    </row>
    <row r="370" spans="1:6" x14ac:dyDescent="0.25">
      <c r="A370" t="s">
        <v>477</v>
      </c>
      <c r="B370" t="s">
        <v>21</v>
      </c>
      <c r="C370" t="s">
        <v>60</v>
      </c>
      <c r="D370" t="s">
        <v>3219</v>
      </c>
      <c r="E370">
        <v>34.340000000000003</v>
      </c>
      <c r="F370">
        <v>77.069999999999993</v>
      </c>
    </row>
    <row r="371" spans="1:6" x14ac:dyDescent="0.25">
      <c r="A371" t="s">
        <v>478</v>
      </c>
      <c r="B371" t="s">
        <v>21</v>
      </c>
      <c r="C371" t="s">
        <v>61</v>
      </c>
      <c r="D371" t="s">
        <v>3217</v>
      </c>
      <c r="E371">
        <v>0</v>
      </c>
      <c r="F371">
        <v>76.92</v>
      </c>
    </row>
    <row r="372" spans="1:6" x14ac:dyDescent="0.25">
      <c r="A372" t="s">
        <v>478</v>
      </c>
      <c r="B372" t="s">
        <v>21</v>
      </c>
      <c r="C372" t="s">
        <v>61</v>
      </c>
      <c r="D372" t="s">
        <v>3218</v>
      </c>
      <c r="E372">
        <v>18.079999999999998</v>
      </c>
      <c r="F372">
        <v>76.95</v>
      </c>
    </row>
    <row r="373" spans="1:6" x14ac:dyDescent="0.25">
      <c r="A373" t="s">
        <v>478</v>
      </c>
      <c r="B373" t="s">
        <v>21</v>
      </c>
      <c r="C373" t="s">
        <v>61</v>
      </c>
      <c r="D373" t="s">
        <v>3219</v>
      </c>
      <c r="E373">
        <v>34.06</v>
      </c>
      <c r="F373">
        <v>76.02</v>
      </c>
    </row>
    <row r="374" spans="1:6" x14ac:dyDescent="0.25">
      <c r="A374" t="s">
        <v>479</v>
      </c>
      <c r="B374" t="s">
        <v>21</v>
      </c>
      <c r="C374" t="s">
        <v>62</v>
      </c>
      <c r="D374" t="s">
        <v>3217</v>
      </c>
      <c r="E374">
        <v>0</v>
      </c>
      <c r="F374">
        <v>75.790000000000006</v>
      </c>
    </row>
    <row r="375" spans="1:6" x14ac:dyDescent="0.25">
      <c r="A375" t="s">
        <v>479</v>
      </c>
      <c r="B375" t="s">
        <v>21</v>
      </c>
      <c r="C375" t="s">
        <v>62</v>
      </c>
      <c r="D375" t="s">
        <v>3218</v>
      </c>
      <c r="E375">
        <v>20</v>
      </c>
      <c r="F375">
        <v>75.819999999999993</v>
      </c>
    </row>
    <row r="376" spans="1:6" x14ac:dyDescent="0.25">
      <c r="A376" t="s">
        <v>479</v>
      </c>
      <c r="B376" t="s">
        <v>21</v>
      </c>
      <c r="C376" t="s">
        <v>62</v>
      </c>
      <c r="D376" t="s">
        <v>3219</v>
      </c>
      <c r="E376">
        <v>36.58</v>
      </c>
      <c r="F376">
        <v>74.989999999999995</v>
      </c>
    </row>
    <row r="377" spans="1:6" x14ac:dyDescent="0.25">
      <c r="A377" t="s">
        <v>480</v>
      </c>
      <c r="B377" t="s">
        <v>21</v>
      </c>
      <c r="C377" t="s">
        <v>63</v>
      </c>
      <c r="D377" t="s">
        <v>3217</v>
      </c>
      <c r="E377">
        <v>0</v>
      </c>
      <c r="F377">
        <v>75.03</v>
      </c>
    </row>
    <row r="378" spans="1:6" x14ac:dyDescent="0.25">
      <c r="A378" t="s">
        <v>480</v>
      </c>
      <c r="B378" t="s">
        <v>21</v>
      </c>
      <c r="C378" t="s">
        <v>63</v>
      </c>
      <c r="D378" t="s">
        <v>3218</v>
      </c>
      <c r="E378">
        <v>20</v>
      </c>
      <c r="F378">
        <v>75.09</v>
      </c>
    </row>
    <row r="379" spans="1:6" x14ac:dyDescent="0.25">
      <c r="A379" t="s">
        <v>480</v>
      </c>
      <c r="B379" t="s">
        <v>21</v>
      </c>
      <c r="C379" t="s">
        <v>63</v>
      </c>
      <c r="D379" t="s">
        <v>3219</v>
      </c>
      <c r="E379">
        <v>37.049999999999997</v>
      </c>
      <c r="F379">
        <v>74.349999999999994</v>
      </c>
    </row>
    <row r="380" spans="1:6" x14ac:dyDescent="0.25">
      <c r="A380" t="s">
        <v>481</v>
      </c>
      <c r="B380" t="s">
        <v>21</v>
      </c>
      <c r="C380" t="s">
        <v>64</v>
      </c>
      <c r="D380" t="s">
        <v>3217</v>
      </c>
      <c r="E380">
        <v>0</v>
      </c>
      <c r="F380">
        <v>74.260000000000005</v>
      </c>
    </row>
    <row r="381" spans="1:6" x14ac:dyDescent="0.25">
      <c r="A381" t="s">
        <v>481</v>
      </c>
      <c r="B381" t="s">
        <v>21</v>
      </c>
      <c r="C381" t="s">
        <v>64</v>
      </c>
      <c r="D381" t="s">
        <v>3218</v>
      </c>
      <c r="E381">
        <v>20</v>
      </c>
      <c r="F381">
        <v>74.39</v>
      </c>
    </row>
    <row r="382" spans="1:6" x14ac:dyDescent="0.25">
      <c r="A382" t="s">
        <v>481</v>
      </c>
      <c r="B382" t="s">
        <v>21</v>
      </c>
      <c r="C382" t="s">
        <v>64</v>
      </c>
      <c r="D382" t="s">
        <v>3219</v>
      </c>
      <c r="E382">
        <v>40</v>
      </c>
      <c r="F382">
        <v>73.87</v>
      </c>
    </row>
    <row r="383" spans="1:6" x14ac:dyDescent="0.25">
      <c r="A383" t="s">
        <v>482</v>
      </c>
      <c r="B383" t="s">
        <v>21</v>
      </c>
      <c r="C383" t="s">
        <v>65</v>
      </c>
      <c r="D383" t="s">
        <v>3217</v>
      </c>
      <c r="E383">
        <v>0</v>
      </c>
      <c r="F383">
        <v>74.13</v>
      </c>
    </row>
    <row r="384" spans="1:6" x14ac:dyDescent="0.25">
      <c r="A384" t="s">
        <v>482</v>
      </c>
      <c r="B384" t="s">
        <v>21</v>
      </c>
      <c r="C384" t="s">
        <v>65</v>
      </c>
      <c r="D384" t="s">
        <v>3218</v>
      </c>
      <c r="E384">
        <v>20</v>
      </c>
      <c r="F384">
        <v>73.849999999999994</v>
      </c>
    </row>
    <row r="385" spans="1:6" x14ac:dyDescent="0.25">
      <c r="A385" t="s">
        <v>482</v>
      </c>
      <c r="B385" t="s">
        <v>21</v>
      </c>
      <c r="C385" t="s">
        <v>65</v>
      </c>
      <c r="D385" t="s">
        <v>3219</v>
      </c>
      <c r="E385">
        <v>40</v>
      </c>
      <c r="F385">
        <v>73.09</v>
      </c>
    </row>
    <row r="386" spans="1:6" x14ac:dyDescent="0.25">
      <c r="A386" t="s">
        <v>483</v>
      </c>
      <c r="B386" t="s">
        <v>21</v>
      </c>
      <c r="C386" t="s">
        <v>66</v>
      </c>
      <c r="D386" t="s">
        <v>3217</v>
      </c>
      <c r="E386">
        <v>0</v>
      </c>
      <c r="F386">
        <v>73.760000000000005</v>
      </c>
    </row>
    <row r="387" spans="1:6" x14ac:dyDescent="0.25">
      <c r="A387" t="s">
        <v>483</v>
      </c>
      <c r="B387" t="s">
        <v>21</v>
      </c>
      <c r="C387" t="s">
        <v>66</v>
      </c>
      <c r="D387" t="s">
        <v>3218</v>
      </c>
      <c r="E387">
        <v>20</v>
      </c>
      <c r="F387">
        <v>73.56</v>
      </c>
    </row>
    <row r="388" spans="1:6" x14ac:dyDescent="0.25">
      <c r="A388" t="s">
        <v>483</v>
      </c>
      <c r="B388" t="s">
        <v>21</v>
      </c>
      <c r="C388" t="s">
        <v>66</v>
      </c>
      <c r="D388" t="s">
        <v>3219</v>
      </c>
      <c r="E388">
        <v>40</v>
      </c>
      <c r="F388">
        <v>72.47</v>
      </c>
    </row>
    <row r="389" spans="1:6" x14ac:dyDescent="0.25">
      <c r="A389" t="s">
        <v>484</v>
      </c>
      <c r="B389" t="s">
        <v>21</v>
      </c>
      <c r="C389" t="s">
        <v>67</v>
      </c>
      <c r="D389" t="s">
        <v>3217</v>
      </c>
      <c r="E389">
        <v>0</v>
      </c>
      <c r="F389">
        <v>73.3</v>
      </c>
    </row>
    <row r="390" spans="1:6" x14ac:dyDescent="0.25">
      <c r="A390" t="s">
        <v>484</v>
      </c>
      <c r="B390" t="s">
        <v>21</v>
      </c>
      <c r="C390" t="s">
        <v>67</v>
      </c>
      <c r="D390" t="s">
        <v>3218</v>
      </c>
      <c r="E390">
        <v>20</v>
      </c>
      <c r="F390">
        <v>73.08</v>
      </c>
    </row>
    <row r="391" spans="1:6" x14ac:dyDescent="0.25">
      <c r="A391" t="s">
        <v>484</v>
      </c>
      <c r="B391" t="s">
        <v>21</v>
      </c>
      <c r="C391" t="s">
        <v>67</v>
      </c>
      <c r="D391" t="s">
        <v>3219</v>
      </c>
      <c r="E391">
        <v>40</v>
      </c>
      <c r="F391">
        <v>71.989999999999995</v>
      </c>
    </row>
    <row r="392" spans="1:6" x14ac:dyDescent="0.25">
      <c r="A392" t="s">
        <v>485</v>
      </c>
      <c r="B392" t="s">
        <v>21</v>
      </c>
      <c r="C392" t="s">
        <v>68</v>
      </c>
      <c r="D392" t="s">
        <v>3217</v>
      </c>
      <c r="E392">
        <v>0</v>
      </c>
      <c r="F392">
        <v>72.83</v>
      </c>
    </row>
    <row r="393" spans="1:6" x14ac:dyDescent="0.25">
      <c r="A393" t="s">
        <v>485</v>
      </c>
      <c r="B393" t="s">
        <v>21</v>
      </c>
      <c r="C393" t="s">
        <v>68</v>
      </c>
      <c r="D393" t="s">
        <v>3218</v>
      </c>
      <c r="E393">
        <v>20</v>
      </c>
      <c r="F393">
        <v>72.56</v>
      </c>
    </row>
    <row r="394" spans="1:6" x14ac:dyDescent="0.25">
      <c r="A394" t="s">
        <v>485</v>
      </c>
      <c r="B394" t="s">
        <v>21</v>
      </c>
      <c r="C394" t="s">
        <v>68</v>
      </c>
      <c r="D394" t="s">
        <v>3219</v>
      </c>
      <c r="E394">
        <v>40</v>
      </c>
      <c r="F394">
        <v>71.62</v>
      </c>
    </row>
    <row r="395" spans="1:6" x14ac:dyDescent="0.25">
      <c r="A395" t="s">
        <v>486</v>
      </c>
      <c r="B395" t="s">
        <v>21</v>
      </c>
      <c r="C395" t="s">
        <v>69</v>
      </c>
      <c r="D395" t="s">
        <v>3217</v>
      </c>
      <c r="E395">
        <v>0</v>
      </c>
      <c r="F395">
        <v>72.260000000000005</v>
      </c>
    </row>
    <row r="396" spans="1:6" x14ac:dyDescent="0.25">
      <c r="A396" t="s">
        <v>486</v>
      </c>
      <c r="B396" t="s">
        <v>21</v>
      </c>
      <c r="C396" t="s">
        <v>69</v>
      </c>
      <c r="D396" t="s">
        <v>3218</v>
      </c>
      <c r="E396">
        <v>20</v>
      </c>
      <c r="F396">
        <v>72.09</v>
      </c>
    </row>
    <row r="397" spans="1:6" x14ac:dyDescent="0.25">
      <c r="A397" t="s">
        <v>486</v>
      </c>
      <c r="B397" t="s">
        <v>21</v>
      </c>
      <c r="C397" t="s">
        <v>69</v>
      </c>
      <c r="D397" t="s">
        <v>3219</v>
      </c>
      <c r="E397">
        <v>40</v>
      </c>
      <c r="F397">
        <v>71.260000000000005</v>
      </c>
    </row>
    <row r="398" spans="1:6" x14ac:dyDescent="0.25">
      <c r="A398" t="s">
        <v>487</v>
      </c>
      <c r="B398" t="s">
        <v>21</v>
      </c>
      <c r="C398" t="s">
        <v>70</v>
      </c>
      <c r="D398" t="s">
        <v>3217</v>
      </c>
      <c r="E398">
        <v>0</v>
      </c>
      <c r="F398">
        <v>71.66</v>
      </c>
    </row>
    <row r="399" spans="1:6" x14ac:dyDescent="0.25">
      <c r="A399" t="s">
        <v>487</v>
      </c>
      <c r="B399" t="s">
        <v>21</v>
      </c>
      <c r="C399" t="s">
        <v>70</v>
      </c>
      <c r="D399" t="s">
        <v>3218</v>
      </c>
      <c r="E399">
        <v>18.41</v>
      </c>
      <c r="F399">
        <v>71.709999999999994</v>
      </c>
    </row>
    <row r="400" spans="1:6" x14ac:dyDescent="0.25">
      <c r="A400" t="s">
        <v>487</v>
      </c>
      <c r="B400" t="s">
        <v>21</v>
      </c>
      <c r="C400" t="s">
        <v>70</v>
      </c>
      <c r="D400" t="s">
        <v>3219</v>
      </c>
      <c r="E400">
        <v>38.409999999999997</v>
      </c>
      <c r="F400">
        <v>70.81</v>
      </c>
    </row>
    <row r="401" spans="1:6" x14ac:dyDescent="0.25">
      <c r="A401" t="s">
        <v>488</v>
      </c>
      <c r="B401" t="s">
        <v>21</v>
      </c>
      <c r="C401" t="s">
        <v>71</v>
      </c>
      <c r="D401" t="s">
        <v>3217</v>
      </c>
      <c r="E401">
        <v>0</v>
      </c>
      <c r="F401">
        <v>71.37</v>
      </c>
    </row>
    <row r="402" spans="1:6" x14ac:dyDescent="0.25">
      <c r="A402" t="s">
        <v>488</v>
      </c>
      <c r="B402" t="s">
        <v>21</v>
      </c>
      <c r="C402" t="s">
        <v>71</v>
      </c>
      <c r="D402" t="s">
        <v>3218</v>
      </c>
      <c r="E402">
        <v>18.41</v>
      </c>
      <c r="F402">
        <v>71.45</v>
      </c>
    </row>
    <row r="403" spans="1:6" x14ac:dyDescent="0.25">
      <c r="A403" t="s">
        <v>488</v>
      </c>
      <c r="B403" t="s">
        <v>21</v>
      </c>
      <c r="C403" t="s">
        <v>71</v>
      </c>
      <c r="D403" t="s">
        <v>3219</v>
      </c>
      <c r="E403">
        <v>38.409999999999997</v>
      </c>
      <c r="F403">
        <v>70.66</v>
      </c>
    </row>
    <row r="404" spans="1:6" x14ac:dyDescent="0.25">
      <c r="A404" t="s">
        <v>489</v>
      </c>
      <c r="B404" t="s">
        <v>21</v>
      </c>
      <c r="C404" t="s">
        <v>72</v>
      </c>
      <c r="D404" t="s">
        <v>3217</v>
      </c>
      <c r="E404">
        <v>0</v>
      </c>
      <c r="F404">
        <v>71.39</v>
      </c>
    </row>
    <row r="405" spans="1:6" x14ac:dyDescent="0.25">
      <c r="A405" t="s">
        <v>489</v>
      </c>
      <c r="B405" t="s">
        <v>21</v>
      </c>
      <c r="C405" t="s">
        <v>72</v>
      </c>
      <c r="D405" t="s">
        <v>3218</v>
      </c>
      <c r="E405">
        <v>17.88</v>
      </c>
      <c r="F405">
        <v>71.38</v>
      </c>
    </row>
    <row r="406" spans="1:6" x14ac:dyDescent="0.25">
      <c r="A406" t="s">
        <v>489</v>
      </c>
      <c r="B406" t="s">
        <v>21</v>
      </c>
      <c r="C406" t="s">
        <v>72</v>
      </c>
      <c r="D406" t="s">
        <v>3219</v>
      </c>
      <c r="E406">
        <v>36.1</v>
      </c>
      <c r="F406">
        <v>70.569999999999993</v>
      </c>
    </row>
    <row r="407" spans="1:6" x14ac:dyDescent="0.25">
      <c r="A407" t="s">
        <v>490</v>
      </c>
      <c r="B407" t="s">
        <v>21</v>
      </c>
      <c r="C407" t="s">
        <v>73</v>
      </c>
      <c r="D407" t="s">
        <v>3217</v>
      </c>
      <c r="E407">
        <v>0</v>
      </c>
      <c r="F407">
        <v>71.319999999999993</v>
      </c>
    </row>
    <row r="408" spans="1:6" x14ac:dyDescent="0.25">
      <c r="A408" t="s">
        <v>490</v>
      </c>
      <c r="B408" t="s">
        <v>21</v>
      </c>
      <c r="C408" t="s">
        <v>73</v>
      </c>
      <c r="D408" t="s">
        <v>3218</v>
      </c>
      <c r="E408">
        <v>17.52</v>
      </c>
      <c r="F408">
        <v>71.34</v>
      </c>
    </row>
    <row r="409" spans="1:6" x14ac:dyDescent="0.25">
      <c r="A409" t="s">
        <v>490</v>
      </c>
      <c r="B409" t="s">
        <v>21</v>
      </c>
      <c r="C409" t="s">
        <v>73</v>
      </c>
      <c r="D409" t="s">
        <v>3219</v>
      </c>
      <c r="E409">
        <v>34.86</v>
      </c>
      <c r="F409">
        <v>70.58</v>
      </c>
    </row>
    <row r="410" spans="1:6" x14ac:dyDescent="0.25">
      <c r="A410" t="s">
        <v>491</v>
      </c>
      <c r="B410" t="s">
        <v>21</v>
      </c>
      <c r="C410" t="s">
        <v>74</v>
      </c>
      <c r="D410" t="s">
        <v>3217</v>
      </c>
      <c r="E410">
        <v>0</v>
      </c>
      <c r="F410">
        <v>71.12</v>
      </c>
    </row>
    <row r="411" spans="1:6" x14ac:dyDescent="0.25">
      <c r="A411" t="s">
        <v>491</v>
      </c>
      <c r="B411" t="s">
        <v>21</v>
      </c>
      <c r="C411" t="s">
        <v>74</v>
      </c>
      <c r="D411" t="s">
        <v>3218</v>
      </c>
      <c r="E411">
        <v>16.7</v>
      </c>
      <c r="F411">
        <v>71.34</v>
      </c>
    </row>
    <row r="412" spans="1:6" x14ac:dyDescent="0.25">
      <c r="A412" t="s">
        <v>491</v>
      </c>
      <c r="B412" t="s">
        <v>21</v>
      </c>
      <c r="C412" t="s">
        <v>74</v>
      </c>
      <c r="D412" t="s">
        <v>3219</v>
      </c>
      <c r="E412">
        <v>33.01</v>
      </c>
      <c r="F412">
        <v>70.69</v>
      </c>
    </row>
    <row r="413" spans="1:6" x14ac:dyDescent="0.25">
      <c r="A413" t="s">
        <v>492</v>
      </c>
      <c r="B413" t="s">
        <v>21</v>
      </c>
      <c r="C413" t="s">
        <v>75</v>
      </c>
      <c r="D413" t="s">
        <v>3217</v>
      </c>
      <c r="E413">
        <v>0</v>
      </c>
      <c r="F413">
        <v>70.91</v>
      </c>
    </row>
    <row r="414" spans="1:6" x14ac:dyDescent="0.25">
      <c r="A414" t="s">
        <v>492</v>
      </c>
      <c r="B414" t="s">
        <v>21</v>
      </c>
      <c r="C414" t="s">
        <v>75</v>
      </c>
      <c r="D414" t="s">
        <v>3218</v>
      </c>
      <c r="E414">
        <v>16.170000000000002</v>
      </c>
      <c r="F414">
        <v>71.14</v>
      </c>
    </row>
    <row r="415" spans="1:6" x14ac:dyDescent="0.25">
      <c r="A415" t="s">
        <v>492</v>
      </c>
      <c r="B415" t="s">
        <v>21</v>
      </c>
      <c r="C415" t="s">
        <v>75</v>
      </c>
      <c r="D415" t="s">
        <v>3219</v>
      </c>
      <c r="E415">
        <v>31.96</v>
      </c>
      <c r="F415">
        <v>70.5</v>
      </c>
    </row>
    <row r="416" spans="1:6" x14ac:dyDescent="0.25">
      <c r="A416" t="s">
        <v>493</v>
      </c>
      <c r="B416" t="s">
        <v>21</v>
      </c>
      <c r="C416" t="s">
        <v>76</v>
      </c>
      <c r="D416" t="s">
        <v>3217</v>
      </c>
      <c r="E416">
        <v>0</v>
      </c>
      <c r="F416">
        <v>70.98</v>
      </c>
    </row>
    <row r="417" spans="1:6" x14ac:dyDescent="0.25">
      <c r="A417" t="s">
        <v>493</v>
      </c>
      <c r="B417" t="s">
        <v>21</v>
      </c>
      <c r="C417" t="s">
        <v>76</v>
      </c>
      <c r="D417" t="s">
        <v>3218</v>
      </c>
      <c r="E417">
        <v>16.02</v>
      </c>
      <c r="F417">
        <v>70.989999999999995</v>
      </c>
    </row>
    <row r="418" spans="1:6" x14ac:dyDescent="0.25">
      <c r="A418" t="s">
        <v>493</v>
      </c>
      <c r="B418" t="s">
        <v>21</v>
      </c>
      <c r="C418" t="s">
        <v>76</v>
      </c>
      <c r="D418" t="s">
        <v>3219</v>
      </c>
      <c r="E418">
        <v>30.72</v>
      </c>
      <c r="F418">
        <v>70.44</v>
      </c>
    </row>
    <row r="419" spans="1:6" x14ac:dyDescent="0.25">
      <c r="A419" t="s">
        <v>494</v>
      </c>
      <c r="B419" t="s">
        <v>21</v>
      </c>
      <c r="C419" t="s">
        <v>77</v>
      </c>
      <c r="D419" t="s">
        <v>3217</v>
      </c>
      <c r="E419">
        <v>0</v>
      </c>
      <c r="F419">
        <v>70.88</v>
      </c>
    </row>
    <row r="420" spans="1:6" x14ac:dyDescent="0.25">
      <c r="A420" t="s">
        <v>494</v>
      </c>
      <c r="B420" t="s">
        <v>21</v>
      </c>
      <c r="C420" t="s">
        <v>77</v>
      </c>
      <c r="D420" t="s">
        <v>3218</v>
      </c>
      <c r="E420">
        <v>16.47</v>
      </c>
      <c r="F420">
        <v>70.89</v>
      </c>
    </row>
    <row r="421" spans="1:6" x14ac:dyDescent="0.25">
      <c r="A421" t="s">
        <v>494</v>
      </c>
      <c r="B421" t="s">
        <v>21</v>
      </c>
      <c r="C421" t="s">
        <v>77</v>
      </c>
      <c r="D421" t="s">
        <v>3219</v>
      </c>
      <c r="E421">
        <v>30.74</v>
      </c>
      <c r="F421">
        <v>70.290000000000006</v>
      </c>
    </row>
    <row r="422" spans="1:6" x14ac:dyDescent="0.25">
      <c r="A422" t="s">
        <v>495</v>
      </c>
      <c r="B422" t="s">
        <v>21</v>
      </c>
      <c r="C422" t="s">
        <v>78</v>
      </c>
      <c r="D422" t="s">
        <v>3217</v>
      </c>
      <c r="E422">
        <v>0</v>
      </c>
      <c r="F422">
        <v>70.790000000000006</v>
      </c>
    </row>
    <row r="423" spans="1:6" x14ac:dyDescent="0.25">
      <c r="A423" t="s">
        <v>495</v>
      </c>
      <c r="B423" t="s">
        <v>21</v>
      </c>
      <c r="C423" t="s">
        <v>78</v>
      </c>
      <c r="D423" t="s">
        <v>3218</v>
      </c>
      <c r="E423">
        <v>16.57</v>
      </c>
      <c r="F423">
        <v>70.81</v>
      </c>
    </row>
    <row r="424" spans="1:6" x14ac:dyDescent="0.25">
      <c r="A424" t="s">
        <v>495</v>
      </c>
      <c r="B424" t="s">
        <v>21</v>
      </c>
      <c r="C424" t="s">
        <v>78</v>
      </c>
      <c r="D424" t="s">
        <v>3219</v>
      </c>
      <c r="E424">
        <v>31.96</v>
      </c>
      <c r="F424">
        <v>70.19</v>
      </c>
    </row>
    <row r="425" spans="1:6" x14ac:dyDescent="0.25">
      <c r="A425" t="s">
        <v>496</v>
      </c>
      <c r="B425" t="s">
        <v>21</v>
      </c>
      <c r="C425" t="s">
        <v>79</v>
      </c>
      <c r="D425" t="s">
        <v>3217</v>
      </c>
      <c r="E425">
        <v>0</v>
      </c>
      <c r="F425">
        <v>70.760000000000005</v>
      </c>
    </row>
    <row r="426" spans="1:6" x14ac:dyDescent="0.25">
      <c r="A426" t="s">
        <v>496</v>
      </c>
      <c r="B426" t="s">
        <v>21</v>
      </c>
      <c r="C426" t="s">
        <v>79</v>
      </c>
      <c r="D426" t="s">
        <v>3218</v>
      </c>
      <c r="E426">
        <v>16.47</v>
      </c>
      <c r="F426">
        <v>70.77</v>
      </c>
    </row>
    <row r="427" spans="1:6" x14ac:dyDescent="0.25">
      <c r="A427" t="s">
        <v>496</v>
      </c>
      <c r="B427" t="s">
        <v>21</v>
      </c>
      <c r="C427" t="s">
        <v>79</v>
      </c>
      <c r="D427" t="s">
        <v>3219</v>
      </c>
      <c r="E427">
        <v>32.89</v>
      </c>
      <c r="F427">
        <v>70.17</v>
      </c>
    </row>
    <row r="428" spans="1:6" x14ac:dyDescent="0.25">
      <c r="A428" t="s">
        <v>497</v>
      </c>
      <c r="B428" t="s">
        <v>21</v>
      </c>
      <c r="C428" t="s">
        <v>80</v>
      </c>
      <c r="D428" t="s">
        <v>3217</v>
      </c>
      <c r="E428">
        <v>0</v>
      </c>
      <c r="F428">
        <v>70.790000000000006</v>
      </c>
    </row>
    <row r="429" spans="1:6" x14ac:dyDescent="0.25">
      <c r="A429" t="s">
        <v>497</v>
      </c>
      <c r="B429" t="s">
        <v>21</v>
      </c>
      <c r="C429" t="s">
        <v>80</v>
      </c>
      <c r="D429" t="s">
        <v>3218</v>
      </c>
      <c r="E429">
        <v>15.56</v>
      </c>
      <c r="F429">
        <v>70.63</v>
      </c>
    </row>
    <row r="430" spans="1:6" x14ac:dyDescent="0.25">
      <c r="A430" t="s">
        <v>497</v>
      </c>
      <c r="B430" t="s">
        <v>21</v>
      </c>
      <c r="C430" t="s">
        <v>80</v>
      </c>
      <c r="D430" t="s">
        <v>3219</v>
      </c>
      <c r="E430">
        <v>33.229999999999997</v>
      </c>
      <c r="F430">
        <v>69.98</v>
      </c>
    </row>
    <row r="431" spans="1:6" x14ac:dyDescent="0.25">
      <c r="A431" t="s">
        <v>498</v>
      </c>
      <c r="B431" t="s">
        <v>21</v>
      </c>
      <c r="C431" t="s">
        <v>81</v>
      </c>
      <c r="D431" t="s">
        <v>3217</v>
      </c>
      <c r="E431">
        <v>0</v>
      </c>
      <c r="F431">
        <v>71.03</v>
      </c>
    </row>
    <row r="432" spans="1:6" x14ac:dyDescent="0.25">
      <c r="A432" t="s">
        <v>498</v>
      </c>
      <c r="B432" t="s">
        <v>21</v>
      </c>
      <c r="C432" t="s">
        <v>81</v>
      </c>
      <c r="D432" t="s">
        <v>3218</v>
      </c>
      <c r="E432">
        <v>16.47</v>
      </c>
      <c r="F432">
        <v>71</v>
      </c>
    </row>
    <row r="433" spans="1:6" x14ac:dyDescent="0.25">
      <c r="A433" t="s">
        <v>498</v>
      </c>
      <c r="B433" t="s">
        <v>21</v>
      </c>
      <c r="C433" t="s">
        <v>81</v>
      </c>
      <c r="D433" t="s">
        <v>3219</v>
      </c>
      <c r="E433">
        <v>34.11</v>
      </c>
      <c r="F433">
        <v>69.900000000000006</v>
      </c>
    </row>
    <row r="434" spans="1:6" x14ac:dyDescent="0.25">
      <c r="A434" t="s">
        <v>499</v>
      </c>
      <c r="B434" t="s">
        <v>21</v>
      </c>
      <c r="C434" t="s">
        <v>82</v>
      </c>
      <c r="D434" t="s">
        <v>3217</v>
      </c>
      <c r="E434">
        <v>0</v>
      </c>
      <c r="F434">
        <v>70.900000000000006</v>
      </c>
    </row>
    <row r="435" spans="1:6" x14ac:dyDescent="0.25">
      <c r="A435" t="s">
        <v>499</v>
      </c>
      <c r="B435" t="s">
        <v>21</v>
      </c>
      <c r="C435" t="s">
        <v>82</v>
      </c>
      <c r="D435" t="s">
        <v>3218</v>
      </c>
      <c r="E435">
        <v>15.56</v>
      </c>
      <c r="F435">
        <v>70.83</v>
      </c>
    </row>
    <row r="436" spans="1:6" x14ac:dyDescent="0.25">
      <c r="A436" t="s">
        <v>499</v>
      </c>
      <c r="B436" t="s">
        <v>21</v>
      </c>
      <c r="C436" t="s">
        <v>82</v>
      </c>
      <c r="D436" t="s">
        <v>3219</v>
      </c>
      <c r="E436">
        <v>33.229999999999997</v>
      </c>
      <c r="F436">
        <v>69.89</v>
      </c>
    </row>
    <row r="437" spans="1:6" x14ac:dyDescent="0.25">
      <c r="A437" t="s">
        <v>500</v>
      </c>
      <c r="B437" t="s">
        <v>21</v>
      </c>
      <c r="C437" t="s">
        <v>83</v>
      </c>
      <c r="D437" t="s">
        <v>3217</v>
      </c>
      <c r="E437">
        <v>0</v>
      </c>
      <c r="F437">
        <v>70.680000000000007</v>
      </c>
    </row>
    <row r="438" spans="1:6" x14ac:dyDescent="0.25">
      <c r="A438" t="s">
        <v>500</v>
      </c>
      <c r="B438" t="s">
        <v>21</v>
      </c>
      <c r="C438" t="s">
        <v>83</v>
      </c>
      <c r="D438" t="s">
        <v>3218</v>
      </c>
      <c r="E438">
        <v>14.19</v>
      </c>
      <c r="F438">
        <v>70.77</v>
      </c>
    </row>
    <row r="439" spans="1:6" x14ac:dyDescent="0.25">
      <c r="A439" t="s">
        <v>500</v>
      </c>
      <c r="B439" t="s">
        <v>21</v>
      </c>
      <c r="C439" t="s">
        <v>83</v>
      </c>
      <c r="D439" t="s">
        <v>3219</v>
      </c>
      <c r="E439">
        <v>31.22</v>
      </c>
      <c r="F439">
        <v>69.87</v>
      </c>
    </row>
    <row r="440" spans="1:6" x14ac:dyDescent="0.25">
      <c r="A440" t="s">
        <v>501</v>
      </c>
      <c r="B440" t="s">
        <v>21</v>
      </c>
      <c r="C440" t="s">
        <v>84</v>
      </c>
      <c r="D440" t="s">
        <v>3217</v>
      </c>
      <c r="E440">
        <v>0</v>
      </c>
      <c r="F440">
        <v>70.53</v>
      </c>
    </row>
    <row r="441" spans="1:6" x14ac:dyDescent="0.25">
      <c r="A441" t="s">
        <v>501</v>
      </c>
      <c r="B441" t="s">
        <v>21</v>
      </c>
      <c r="C441" t="s">
        <v>84</v>
      </c>
      <c r="D441" t="s">
        <v>3218</v>
      </c>
      <c r="E441">
        <v>13.53</v>
      </c>
      <c r="F441">
        <v>70.67</v>
      </c>
    </row>
    <row r="442" spans="1:6" x14ac:dyDescent="0.25">
      <c r="A442" t="s">
        <v>501</v>
      </c>
      <c r="B442" t="s">
        <v>21</v>
      </c>
      <c r="C442" t="s">
        <v>84</v>
      </c>
      <c r="D442" t="s">
        <v>3219</v>
      </c>
      <c r="E442">
        <v>30.56</v>
      </c>
      <c r="F442">
        <v>69.78</v>
      </c>
    </row>
    <row r="443" spans="1:6" x14ac:dyDescent="0.25">
      <c r="A443" t="s">
        <v>502</v>
      </c>
      <c r="B443" t="s">
        <v>21</v>
      </c>
      <c r="C443" t="s">
        <v>85</v>
      </c>
      <c r="D443" t="s">
        <v>3217</v>
      </c>
      <c r="E443">
        <v>0</v>
      </c>
      <c r="F443">
        <v>74.81</v>
      </c>
    </row>
    <row r="444" spans="1:6" x14ac:dyDescent="0.25">
      <c r="A444" t="s">
        <v>502</v>
      </c>
      <c r="B444" t="s">
        <v>21</v>
      </c>
      <c r="C444" t="s">
        <v>85</v>
      </c>
      <c r="D444" t="s">
        <v>3218</v>
      </c>
      <c r="E444">
        <v>13.93</v>
      </c>
      <c r="F444">
        <v>70.430000000000007</v>
      </c>
    </row>
    <row r="445" spans="1:6" x14ac:dyDescent="0.25">
      <c r="A445" t="s">
        <v>502</v>
      </c>
      <c r="B445" t="s">
        <v>21</v>
      </c>
      <c r="C445" t="s">
        <v>85</v>
      </c>
      <c r="D445" t="s">
        <v>3219</v>
      </c>
      <c r="E445">
        <v>29.75</v>
      </c>
      <c r="F445">
        <v>69.790000000000006</v>
      </c>
    </row>
    <row r="446" spans="1:6" x14ac:dyDescent="0.25">
      <c r="A446" t="s">
        <v>503</v>
      </c>
      <c r="B446" t="s">
        <v>21</v>
      </c>
      <c r="C446" t="s">
        <v>86</v>
      </c>
      <c r="D446" t="s">
        <v>3217</v>
      </c>
      <c r="E446">
        <v>0</v>
      </c>
      <c r="F446">
        <v>70.510000000000005</v>
      </c>
    </row>
    <row r="447" spans="1:6" x14ac:dyDescent="0.25">
      <c r="A447" t="s">
        <v>503</v>
      </c>
      <c r="B447" t="s">
        <v>21</v>
      </c>
      <c r="C447" t="s">
        <v>86</v>
      </c>
      <c r="D447" t="s">
        <v>3218</v>
      </c>
      <c r="E447">
        <v>13.93</v>
      </c>
      <c r="F447">
        <v>70.459999999999994</v>
      </c>
    </row>
    <row r="448" spans="1:6" x14ac:dyDescent="0.25">
      <c r="A448" t="s">
        <v>503</v>
      </c>
      <c r="B448" t="s">
        <v>21</v>
      </c>
      <c r="C448" t="s">
        <v>86</v>
      </c>
      <c r="D448" t="s">
        <v>3219</v>
      </c>
      <c r="E448">
        <v>29.47</v>
      </c>
      <c r="F448">
        <v>69.86</v>
      </c>
    </row>
    <row r="449" spans="1:6" x14ac:dyDescent="0.25">
      <c r="A449" t="s">
        <v>504</v>
      </c>
      <c r="B449" t="s">
        <v>21</v>
      </c>
      <c r="C449" t="s">
        <v>87</v>
      </c>
      <c r="D449" t="s">
        <v>3217</v>
      </c>
      <c r="E449">
        <v>0</v>
      </c>
      <c r="F449">
        <v>70.47</v>
      </c>
    </row>
    <row r="450" spans="1:6" x14ac:dyDescent="0.25">
      <c r="A450" t="s">
        <v>504</v>
      </c>
      <c r="B450" t="s">
        <v>21</v>
      </c>
      <c r="C450" t="s">
        <v>87</v>
      </c>
      <c r="D450" t="s">
        <v>3218</v>
      </c>
      <c r="E450">
        <v>14.75</v>
      </c>
      <c r="F450">
        <v>70.48</v>
      </c>
    </row>
    <row r="451" spans="1:6" x14ac:dyDescent="0.25">
      <c r="A451" t="s">
        <v>504</v>
      </c>
      <c r="B451" t="s">
        <v>21</v>
      </c>
      <c r="C451" t="s">
        <v>87</v>
      </c>
      <c r="D451" t="s">
        <v>3219</v>
      </c>
      <c r="E451">
        <v>30.3</v>
      </c>
      <c r="F451">
        <v>69.89</v>
      </c>
    </row>
    <row r="452" spans="1:6" x14ac:dyDescent="0.25">
      <c r="A452" t="s">
        <v>505</v>
      </c>
      <c r="B452" t="s">
        <v>21</v>
      </c>
      <c r="C452" t="s">
        <v>88</v>
      </c>
      <c r="D452" t="s">
        <v>3217</v>
      </c>
      <c r="E452">
        <v>0</v>
      </c>
      <c r="F452">
        <v>70.45</v>
      </c>
    </row>
    <row r="453" spans="1:6" x14ac:dyDescent="0.25">
      <c r="A453" t="s">
        <v>505</v>
      </c>
      <c r="B453" t="s">
        <v>21</v>
      </c>
      <c r="C453" t="s">
        <v>88</v>
      </c>
      <c r="D453" t="s">
        <v>3218</v>
      </c>
      <c r="E453">
        <v>16.059999999999999</v>
      </c>
      <c r="F453">
        <v>70.44</v>
      </c>
    </row>
    <row r="454" spans="1:6" x14ac:dyDescent="0.25">
      <c r="A454" t="s">
        <v>505</v>
      </c>
      <c r="B454" t="s">
        <v>21</v>
      </c>
      <c r="C454" t="s">
        <v>88</v>
      </c>
      <c r="D454" t="s">
        <v>3219</v>
      </c>
      <c r="E454">
        <v>31.6</v>
      </c>
      <c r="F454">
        <v>69.819999999999993</v>
      </c>
    </row>
    <row r="455" spans="1:6" x14ac:dyDescent="0.25">
      <c r="A455" t="s">
        <v>506</v>
      </c>
      <c r="B455" t="s">
        <v>21</v>
      </c>
      <c r="C455" t="s">
        <v>89</v>
      </c>
      <c r="D455" t="s">
        <v>3217</v>
      </c>
      <c r="E455">
        <v>0</v>
      </c>
      <c r="F455">
        <v>70.36</v>
      </c>
    </row>
    <row r="456" spans="1:6" x14ac:dyDescent="0.25">
      <c r="A456" t="s">
        <v>506</v>
      </c>
      <c r="B456" t="s">
        <v>21</v>
      </c>
      <c r="C456" t="s">
        <v>89</v>
      </c>
      <c r="D456" t="s">
        <v>3218</v>
      </c>
      <c r="E456">
        <v>17.93</v>
      </c>
      <c r="F456">
        <v>70.489999999999995</v>
      </c>
    </row>
    <row r="457" spans="1:6" x14ac:dyDescent="0.25">
      <c r="A457" t="s">
        <v>506</v>
      </c>
      <c r="B457" t="s">
        <v>21</v>
      </c>
      <c r="C457" t="s">
        <v>89</v>
      </c>
      <c r="D457" t="s">
        <v>3219</v>
      </c>
      <c r="E457">
        <v>31.95</v>
      </c>
      <c r="F457">
        <v>69.78</v>
      </c>
    </row>
    <row r="458" spans="1:6" x14ac:dyDescent="0.25">
      <c r="A458" t="s">
        <v>507</v>
      </c>
      <c r="B458" t="s">
        <v>21</v>
      </c>
      <c r="C458" t="s">
        <v>90</v>
      </c>
      <c r="D458" t="s">
        <v>3217</v>
      </c>
      <c r="E458">
        <v>0</v>
      </c>
      <c r="F458">
        <v>70.36</v>
      </c>
    </row>
    <row r="459" spans="1:6" x14ac:dyDescent="0.25">
      <c r="A459" t="s">
        <v>507</v>
      </c>
      <c r="B459" t="s">
        <v>21</v>
      </c>
      <c r="C459" t="s">
        <v>90</v>
      </c>
      <c r="D459" t="s">
        <v>3218</v>
      </c>
      <c r="E459">
        <v>20</v>
      </c>
      <c r="F459">
        <v>70.5</v>
      </c>
    </row>
    <row r="460" spans="1:6" x14ac:dyDescent="0.25">
      <c r="A460" t="s">
        <v>507</v>
      </c>
      <c r="B460" t="s">
        <v>21</v>
      </c>
      <c r="C460" t="s">
        <v>90</v>
      </c>
      <c r="D460" t="s">
        <v>3219</v>
      </c>
      <c r="E460">
        <v>33.299999999999997</v>
      </c>
      <c r="F460">
        <v>69.97</v>
      </c>
    </row>
    <row r="461" spans="1:6" x14ac:dyDescent="0.25">
      <c r="A461" t="s">
        <v>508</v>
      </c>
      <c r="B461" t="s">
        <v>21</v>
      </c>
      <c r="C461" t="s">
        <v>91</v>
      </c>
      <c r="D461" t="s">
        <v>3217</v>
      </c>
      <c r="E461">
        <v>0</v>
      </c>
      <c r="F461">
        <v>70.41</v>
      </c>
    </row>
    <row r="462" spans="1:6" x14ac:dyDescent="0.25">
      <c r="A462" t="s">
        <v>508</v>
      </c>
      <c r="B462" t="s">
        <v>21</v>
      </c>
      <c r="C462" t="s">
        <v>91</v>
      </c>
      <c r="D462" t="s">
        <v>3218</v>
      </c>
      <c r="E462">
        <v>20</v>
      </c>
      <c r="F462">
        <v>70.599999999999994</v>
      </c>
    </row>
    <row r="463" spans="1:6" x14ac:dyDescent="0.25">
      <c r="A463" t="s">
        <v>508</v>
      </c>
      <c r="B463" t="s">
        <v>21</v>
      </c>
      <c r="C463" t="s">
        <v>91</v>
      </c>
      <c r="D463" t="s">
        <v>3219</v>
      </c>
      <c r="E463">
        <v>32.75</v>
      </c>
      <c r="F463">
        <v>70.19</v>
      </c>
    </row>
    <row r="464" spans="1:6" x14ac:dyDescent="0.25">
      <c r="A464" t="s">
        <v>509</v>
      </c>
      <c r="B464" t="s">
        <v>21</v>
      </c>
      <c r="C464" t="s">
        <v>92</v>
      </c>
      <c r="D464" t="s">
        <v>3217</v>
      </c>
      <c r="E464">
        <v>0</v>
      </c>
      <c r="F464">
        <v>70.86</v>
      </c>
    </row>
    <row r="465" spans="1:6" x14ac:dyDescent="0.25">
      <c r="A465" t="s">
        <v>509</v>
      </c>
      <c r="B465" t="s">
        <v>21</v>
      </c>
      <c r="C465" t="s">
        <v>92</v>
      </c>
      <c r="D465" t="s">
        <v>3218</v>
      </c>
      <c r="E465">
        <v>20</v>
      </c>
      <c r="F465">
        <v>70.900000000000006</v>
      </c>
    </row>
    <row r="466" spans="1:6" x14ac:dyDescent="0.25">
      <c r="A466" t="s">
        <v>509</v>
      </c>
      <c r="B466" t="s">
        <v>21</v>
      </c>
      <c r="C466" t="s">
        <v>92</v>
      </c>
      <c r="D466" t="s">
        <v>3219</v>
      </c>
      <c r="E466">
        <v>32.75</v>
      </c>
      <c r="F466">
        <v>70.489999999999995</v>
      </c>
    </row>
    <row r="467" spans="1:6" x14ac:dyDescent="0.25">
      <c r="A467" t="s">
        <v>510</v>
      </c>
      <c r="B467" t="s">
        <v>21</v>
      </c>
      <c r="C467" t="s">
        <v>93</v>
      </c>
      <c r="D467" t="s">
        <v>3217</v>
      </c>
      <c r="E467">
        <v>0</v>
      </c>
      <c r="F467">
        <v>71.040000000000006</v>
      </c>
    </row>
    <row r="468" spans="1:6" x14ac:dyDescent="0.25">
      <c r="A468" t="s">
        <v>510</v>
      </c>
      <c r="B468" t="s">
        <v>21</v>
      </c>
      <c r="C468" t="s">
        <v>93</v>
      </c>
      <c r="D468" t="s">
        <v>3218</v>
      </c>
      <c r="E468">
        <v>18.59</v>
      </c>
      <c r="F468">
        <v>71.3</v>
      </c>
    </row>
    <row r="469" spans="1:6" x14ac:dyDescent="0.25">
      <c r="A469" t="s">
        <v>510</v>
      </c>
      <c r="B469" t="s">
        <v>21</v>
      </c>
      <c r="C469" t="s">
        <v>93</v>
      </c>
      <c r="D469" t="s">
        <v>3219</v>
      </c>
      <c r="E469">
        <v>31.34</v>
      </c>
      <c r="F469">
        <v>70.87</v>
      </c>
    </row>
    <row r="470" spans="1:6" x14ac:dyDescent="0.25">
      <c r="A470" t="s">
        <v>511</v>
      </c>
      <c r="B470" t="s">
        <v>21</v>
      </c>
      <c r="C470" t="s">
        <v>94</v>
      </c>
      <c r="D470" t="s">
        <v>3217</v>
      </c>
      <c r="E470">
        <v>0</v>
      </c>
      <c r="F470">
        <v>71.39</v>
      </c>
    </row>
    <row r="471" spans="1:6" x14ac:dyDescent="0.25">
      <c r="A471" t="s">
        <v>511</v>
      </c>
      <c r="B471" t="s">
        <v>21</v>
      </c>
      <c r="C471" t="s">
        <v>94</v>
      </c>
      <c r="D471" t="s">
        <v>3218</v>
      </c>
      <c r="E471">
        <v>17.829999999999998</v>
      </c>
      <c r="F471">
        <v>71.680000000000007</v>
      </c>
    </row>
    <row r="472" spans="1:6" x14ac:dyDescent="0.25">
      <c r="A472" t="s">
        <v>511</v>
      </c>
      <c r="B472" t="s">
        <v>21</v>
      </c>
      <c r="C472" t="s">
        <v>94</v>
      </c>
      <c r="D472" t="s">
        <v>3219</v>
      </c>
      <c r="E472">
        <v>30.12</v>
      </c>
      <c r="F472">
        <v>71.36</v>
      </c>
    </row>
    <row r="473" spans="1:6" x14ac:dyDescent="0.25">
      <c r="A473" t="s">
        <v>512</v>
      </c>
      <c r="B473" t="s">
        <v>21</v>
      </c>
      <c r="C473" t="s">
        <v>95</v>
      </c>
      <c r="D473" t="s">
        <v>3217</v>
      </c>
      <c r="E473">
        <v>0</v>
      </c>
      <c r="F473">
        <v>71.930000000000007</v>
      </c>
    </row>
    <row r="474" spans="1:6" x14ac:dyDescent="0.25">
      <c r="A474" t="s">
        <v>512</v>
      </c>
      <c r="B474" t="s">
        <v>21</v>
      </c>
      <c r="C474" t="s">
        <v>95</v>
      </c>
      <c r="D474" t="s">
        <v>3218</v>
      </c>
      <c r="E474">
        <v>17.27</v>
      </c>
      <c r="F474">
        <v>72.05</v>
      </c>
    </row>
    <row r="475" spans="1:6" x14ac:dyDescent="0.25">
      <c r="A475" t="s">
        <v>512</v>
      </c>
      <c r="B475" t="s">
        <v>21</v>
      </c>
      <c r="C475" t="s">
        <v>95</v>
      </c>
      <c r="D475" t="s">
        <v>3219</v>
      </c>
      <c r="E475">
        <v>30.81</v>
      </c>
      <c r="F475">
        <v>71.86</v>
      </c>
    </row>
    <row r="476" spans="1:6" x14ac:dyDescent="0.25">
      <c r="A476" t="s">
        <v>513</v>
      </c>
      <c r="B476" t="s">
        <v>21</v>
      </c>
      <c r="C476" t="s">
        <v>96</v>
      </c>
      <c r="D476" t="s">
        <v>3217</v>
      </c>
      <c r="E476">
        <v>0</v>
      </c>
      <c r="F476">
        <v>72.31</v>
      </c>
    </row>
    <row r="477" spans="1:6" x14ac:dyDescent="0.25">
      <c r="A477" t="s">
        <v>513</v>
      </c>
      <c r="B477" t="s">
        <v>21</v>
      </c>
      <c r="C477" t="s">
        <v>96</v>
      </c>
      <c r="D477" t="s">
        <v>3218</v>
      </c>
      <c r="E477">
        <v>18.010000000000002</v>
      </c>
      <c r="F477">
        <v>72.38</v>
      </c>
    </row>
    <row r="478" spans="1:6" x14ac:dyDescent="0.25">
      <c r="A478" t="s">
        <v>513</v>
      </c>
      <c r="B478" t="s">
        <v>21</v>
      </c>
      <c r="C478" t="s">
        <v>96</v>
      </c>
      <c r="D478" t="s">
        <v>3219</v>
      </c>
      <c r="E478">
        <v>32.799999999999997</v>
      </c>
      <c r="F478">
        <v>71.81</v>
      </c>
    </row>
    <row r="479" spans="1:6" x14ac:dyDescent="0.25">
      <c r="A479" t="s">
        <v>514</v>
      </c>
      <c r="B479" t="s">
        <v>21</v>
      </c>
      <c r="C479" t="s">
        <v>97</v>
      </c>
      <c r="D479" t="s">
        <v>3217</v>
      </c>
      <c r="E479">
        <v>0</v>
      </c>
      <c r="F479">
        <v>72.64</v>
      </c>
    </row>
    <row r="480" spans="1:6" x14ac:dyDescent="0.25">
      <c r="A480" t="s">
        <v>514</v>
      </c>
      <c r="B480" t="s">
        <v>21</v>
      </c>
      <c r="C480" t="s">
        <v>97</v>
      </c>
      <c r="D480" t="s">
        <v>3218</v>
      </c>
      <c r="E480">
        <v>17.22</v>
      </c>
      <c r="F480">
        <v>72.64</v>
      </c>
    </row>
    <row r="481" spans="1:6" x14ac:dyDescent="0.25">
      <c r="A481" t="s">
        <v>514</v>
      </c>
      <c r="B481" t="s">
        <v>21</v>
      </c>
      <c r="C481" t="s">
        <v>97</v>
      </c>
      <c r="D481" t="s">
        <v>3219</v>
      </c>
      <c r="E481">
        <v>33.53</v>
      </c>
      <c r="F481">
        <v>72.08</v>
      </c>
    </row>
    <row r="482" spans="1:6" x14ac:dyDescent="0.25">
      <c r="A482" t="s">
        <v>515</v>
      </c>
      <c r="B482" t="s">
        <v>21</v>
      </c>
      <c r="C482" t="s">
        <v>98</v>
      </c>
      <c r="D482" t="s">
        <v>3217</v>
      </c>
      <c r="E482">
        <v>0</v>
      </c>
      <c r="F482">
        <v>73.13</v>
      </c>
    </row>
    <row r="483" spans="1:6" x14ac:dyDescent="0.25">
      <c r="A483" t="s">
        <v>515</v>
      </c>
      <c r="B483" t="s">
        <v>21</v>
      </c>
      <c r="C483" t="s">
        <v>98</v>
      </c>
      <c r="D483" t="s">
        <v>3218</v>
      </c>
      <c r="E483">
        <v>16.98</v>
      </c>
      <c r="F483">
        <v>72.989999999999995</v>
      </c>
    </row>
    <row r="484" spans="1:6" x14ac:dyDescent="0.25">
      <c r="A484" t="s">
        <v>515</v>
      </c>
      <c r="B484" t="s">
        <v>21</v>
      </c>
      <c r="C484" t="s">
        <v>98</v>
      </c>
      <c r="D484" t="s">
        <v>3219</v>
      </c>
      <c r="E484">
        <v>33.57</v>
      </c>
      <c r="F484">
        <v>72.430000000000007</v>
      </c>
    </row>
    <row r="485" spans="1:6" x14ac:dyDescent="0.25">
      <c r="A485" t="s">
        <v>516</v>
      </c>
      <c r="B485" t="s">
        <v>21</v>
      </c>
      <c r="C485" t="s">
        <v>99</v>
      </c>
      <c r="D485" t="s">
        <v>3217</v>
      </c>
      <c r="E485">
        <v>0</v>
      </c>
      <c r="F485">
        <v>72.58</v>
      </c>
    </row>
    <row r="486" spans="1:6" x14ac:dyDescent="0.25">
      <c r="A486" t="s">
        <v>516</v>
      </c>
      <c r="B486" t="s">
        <v>21</v>
      </c>
      <c r="C486" t="s">
        <v>99</v>
      </c>
      <c r="D486" t="s">
        <v>3218</v>
      </c>
      <c r="E486">
        <v>17.989999999999998</v>
      </c>
      <c r="F486">
        <v>73.14</v>
      </c>
    </row>
    <row r="487" spans="1:6" x14ac:dyDescent="0.25">
      <c r="A487" t="s">
        <v>516</v>
      </c>
      <c r="B487" t="s">
        <v>21</v>
      </c>
      <c r="C487" t="s">
        <v>99</v>
      </c>
      <c r="D487" t="s">
        <v>3219</v>
      </c>
      <c r="E487">
        <v>33.97</v>
      </c>
      <c r="F487">
        <v>73.150000000000006</v>
      </c>
    </row>
    <row r="488" spans="1:6" x14ac:dyDescent="0.25">
      <c r="A488" t="s">
        <v>517</v>
      </c>
      <c r="B488" t="s">
        <v>21</v>
      </c>
      <c r="C488" t="s">
        <v>100</v>
      </c>
      <c r="D488" t="s">
        <v>3217</v>
      </c>
      <c r="E488">
        <v>0</v>
      </c>
      <c r="F488">
        <v>73.36</v>
      </c>
    </row>
    <row r="489" spans="1:6" x14ac:dyDescent="0.25">
      <c r="A489" t="s">
        <v>517</v>
      </c>
      <c r="B489" t="s">
        <v>21</v>
      </c>
      <c r="C489" t="s">
        <v>100</v>
      </c>
      <c r="D489" t="s">
        <v>3218</v>
      </c>
      <c r="E489">
        <v>17.71</v>
      </c>
      <c r="F489">
        <v>73.430000000000007</v>
      </c>
    </row>
    <row r="490" spans="1:6" x14ac:dyDescent="0.25">
      <c r="A490" t="s">
        <v>517</v>
      </c>
      <c r="B490" t="s">
        <v>21</v>
      </c>
      <c r="C490" t="s">
        <v>100</v>
      </c>
      <c r="D490" t="s">
        <v>3219</v>
      </c>
      <c r="E490">
        <v>35.24</v>
      </c>
      <c r="F490">
        <v>72.959999999999994</v>
      </c>
    </row>
    <row r="491" spans="1:6" x14ac:dyDescent="0.25">
      <c r="A491" t="s">
        <v>518</v>
      </c>
      <c r="B491" t="s">
        <v>21</v>
      </c>
      <c r="C491" t="s">
        <v>101</v>
      </c>
      <c r="D491" t="s">
        <v>3217</v>
      </c>
      <c r="E491">
        <v>0</v>
      </c>
      <c r="F491">
        <v>74.28</v>
      </c>
    </row>
    <row r="492" spans="1:6" x14ac:dyDescent="0.25">
      <c r="A492" t="s">
        <v>518</v>
      </c>
      <c r="B492" t="s">
        <v>21</v>
      </c>
      <c r="C492" t="s">
        <v>101</v>
      </c>
      <c r="D492" t="s">
        <v>3218</v>
      </c>
      <c r="E492">
        <v>17.739999999999998</v>
      </c>
      <c r="F492">
        <v>74.319999999999993</v>
      </c>
    </row>
    <row r="493" spans="1:6" x14ac:dyDescent="0.25">
      <c r="A493" t="s">
        <v>518</v>
      </c>
      <c r="B493" t="s">
        <v>21</v>
      </c>
      <c r="C493" t="s">
        <v>101</v>
      </c>
      <c r="D493" t="s">
        <v>3219</v>
      </c>
      <c r="E493">
        <v>34.4</v>
      </c>
      <c r="F493">
        <v>73.87</v>
      </c>
    </row>
    <row r="494" spans="1:6" x14ac:dyDescent="0.25">
      <c r="A494" t="s">
        <v>519</v>
      </c>
      <c r="B494" t="s">
        <v>21</v>
      </c>
      <c r="C494" t="s">
        <v>102</v>
      </c>
      <c r="D494" t="s">
        <v>3217</v>
      </c>
      <c r="E494">
        <v>0</v>
      </c>
      <c r="F494">
        <v>75.39</v>
      </c>
    </row>
    <row r="495" spans="1:6" x14ac:dyDescent="0.25">
      <c r="A495" t="s">
        <v>519</v>
      </c>
      <c r="B495" t="s">
        <v>21</v>
      </c>
      <c r="C495" t="s">
        <v>102</v>
      </c>
      <c r="D495" t="s">
        <v>3218</v>
      </c>
      <c r="E495">
        <v>17.71</v>
      </c>
      <c r="F495">
        <v>75.349999999999994</v>
      </c>
    </row>
    <row r="496" spans="1:6" x14ac:dyDescent="0.25">
      <c r="A496" t="s">
        <v>519</v>
      </c>
      <c r="B496" t="s">
        <v>21</v>
      </c>
      <c r="C496" t="s">
        <v>102</v>
      </c>
      <c r="D496" t="s">
        <v>3219</v>
      </c>
      <c r="E496">
        <v>33.22</v>
      </c>
      <c r="F496">
        <v>74.81</v>
      </c>
    </row>
    <row r="497" spans="1:6" x14ac:dyDescent="0.25">
      <c r="A497" t="s">
        <v>520</v>
      </c>
      <c r="B497" t="s">
        <v>21</v>
      </c>
      <c r="C497" t="s">
        <v>103</v>
      </c>
      <c r="D497" t="s">
        <v>3217</v>
      </c>
      <c r="E497">
        <v>0</v>
      </c>
      <c r="F497">
        <v>76.209999999999994</v>
      </c>
    </row>
    <row r="498" spans="1:6" x14ac:dyDescent="0.25">
      <c r="A498" t="s">
        <v>520</v>
      </c>
      <c r="B498" t="s">
        <v>21</v>
      </c>
      <c r="C498" t="s">
        <v>103</v>
      </c>
      <c r="D498" t="s">
        <v>3218</v>
      </c>
      <c r="E498">
        <v>17.989999999999998</v>
      </c>
      <c r="F498">
        <v>76.45</v>
      </c>
    </row>
    <row r="499" spans="1:6" x14ac:dyDescent="0.25">
      <c r="A499" t="s">
        <v>520</v>
      </c>
      <c r="B499" t="s">
        <v>21</v>
      </c>
      <c r="C499" t="s">
        <v>103</v>
      </c>
      <c r="D499" t="s">
        <v>3219</v>
      </c>
      <c r="E499">
        <v>32.61</v>
      </c>
      <c r="F499">
        <v>75.94</v>
      </c>
    </row>
    <row r="500" spans="1:6" x14ac:dyDescent="0.25">
      <c r="A500" t="s">
        <v>521</v>
      </c>
      <c r="B500" t="s">
        <v>21</v>
      </c>
      <c r="C500" t="s">
        <v>104</v>
      </c>
      <c r="D500" t="s">
        <v>3217</v>
      </c>
      <c r="E500">
        <v>0</v>
      </c>
      <c r="F500">
        <v>77.36</v>
      </c>
    </row>
    <row r="501" spans="1:6" x14ac:dyDescent="0.25">
      <c r="A501" t="s">
        <v>521</v>
      </c>
      <c r="B501" t="s">
        <v>21</v>
      </c>
      <c r="C501" t="s">
        <v>104</v>
      </c>
      <c r="D501" t="s">
        <v>3218</v>
      </c>
      <c r="E501">
        <v>17.37</v>
      </c>
      <c r="F501">
        <v>77.510000000000005</v>
      </c>
    </row>
    <row r="502" spans="1:6" x14ac:dyDescent="0.25">
      <c r="A502" t="s">
        <v>521</v>
      </c>
      <c r="B502" t="s">
        <v>21</v>
      </c>
      <c r="C502" t="s">
        <v>104</v>
      </c>
      <c r="D502" t="s">
        <v>3219</v>
      </c>
      <c r="E502">
        <v>31.04</v>
      </c>
      <c r="F502">
        <v>77.39</v>
      </c>
    </row>
    <row r="503" spans="1:6" x14ac:dyDescent="0.25">
      <c r="A503" t="s">
        <v>522</v>
      </c>
      <c r="B503" t="s">
        <v>21</v>
      </c>
      <c r="C503" t="s">
        <v>105</v>
      </c>
      <c r="D503" t="s">
        <v>3217</v>
      </c>
      <c r="E503">
        <v>0</v>
      </c>
      <c r="F503">
        <v>78.66</v>
      </c>
    </row>
    <row r="504" spans="1:6" x14ac:dyDescent="0.25">
      <c r="A504" t="s">
        <v>522</v>
      </c>
      <c r="B504" t="s">
        <v>21</v>
      </c>
      <c r="C504" t="s">
        <v>105</v>
      </c>
      <c r="D504" t="s">
        <v>3218</v>
      </c>
      <c r="E504">
        <v>16.29</v>
      </c>
      <c r="F504">
        <v>78.66</v>
      </c>
    </row>
    <row r="505" spans="1:6" x14ac:dyDescent="0.25">
      <c r="A505" t="s">
        <v>522</v>
      </c>
      <c r="B505" t="s">
        <v>21</v>
      </c>
      <c r="C505" t="s">
        <v>105</v>
      </c>
      <c r="D505" t="s">
        <v>3219</v>
      </c>
      <c r="E505">
        <v>29.44</v>
      </c>
      <c r="F505">
        <v>78.28</v>
      </c>
    </row>
    <row r="506" spans="1:6" x14ac:dyDescent="0.25">
      <c r="A506" t="s">
        <v>523</v>
      </c>
      <c r="B506" t="s">
        <v>21</v>
      </c>
      <c r="C506" t="s">
        <v>106</v>
      </c>
      <c r="D506" t="s">
        <v>3217</v>
      </c>
      <c r="E506">
        <v>0</v>
      </c>
      <c r="F506">
        <v>79.67</v>
      </c>
    </row>
    <row r="507" spans="1:6" x14ac:dyDescent="0.25">
      <c r="A507" t="s">
        <v>523</v>
      </c>
      <c r="B507" t="s">
        <v>21</v>
      </c>
      <c r="C507" t="s">
        <v>106</v>
      </c>
      <c r="D507" t="s">
        <v>3218</v>
      </c>
      <c r="E507">
        <v>15.45</v>
      </c>
      <c r="F507">
        <v>79.81</v>
      </c>
    </row>
    <row r="508" spans="1:6" x14ac:dyDescent="0.25">
      <c r="A508" t="s">
        <v>523</v>
      </c>
      <c r="B508" t="s">
        <v>21</v>
      </c>
      <c r="C508" t="s">
        <v>106</v>
      </c>
      <c r="D508" t="s">
        <v>3219</v>
      </c>
      <c r="E508">
        <v>29.1</v>
      </c>
      <c r="F508">
        <v>79.14</v>
      </c>
    </row>
    <row r="509" spans="1:6" x14ac:dyDescent="0.25">
      <c r="A509" t="s">
        <v>524</v>
      </c>
      <c r="B509" t="s">
        <v>21</v>
      </c>
      <c r="C509" t="s">
        <v>108</v>
      </c>
      <c r="D509" t="s">
        <v>3217</v>
      </c>
      <c r="E509">
        <v>0</v>
      </c>
      <c r="F509">
        <v>80.989999999999995</v>
      </c>
    </row>
    <row r="510" spans="1:6" x14ac:dyDescent="0.25">
      <c r="A510" t="s">
        <v>524</v>
      </c>
      <c r="B510" t="s">
        <v>21</v>
      </c>
      <c r="C510" t="s">
        <v>108</v>
      </c>
      <c r="D510" t="s">
        <v>3218</v>
      </c>
      <c r="E510">
        <v>14.85</v>
      </c>
      <c r="F510">
        <v>80.650000000000006</v>
      </c>
    </row>
    <row r="511" spans="1:6" x14ac:dyDescent="0.25">
      <c r="A511" t="s">
        <v>524</v>
      </c>
      <c r="B511" t="s">
        <v>21</v>
      </c>
      <c r="C511" t="s">
        <v>108</v>
      </c>
      <c r="D511" t="s">
        <v>3219</v>
      </c>
      <c r="E511">
        <v>29.83</v>
      </c>
      <c r="F511">
        <v>80</v>
      </c>
    </row>
    <row r="512" spans="1:6" x14ac:dyDescent="0.25">
      <c r="A512" t="s">
        <v>525</v>
      </c>
      <c r="B512" t="s">
        <v>21</v>
      </c>
      <c r="C512" t="s">
        <v>109</v>
      </c>
      <c r="D512" t="s">
        <v>3217</v>
      </c>
      <c r="E512">
        <v>0</v>
      </c>
      <c r="F512">
        <v>82.1</v>
      </c>
    </row>
    <row r="513" spans="1:6" x14ac:dyDescent="0.25">
      <c r="A513" t="s">
        <v>525</v>
      </c>
      <c r="B513" t="s">
        <v>21</v>
      </c>
      <c r="C513" t="s">
        <v>109</v>
      </c>
      <c r="D513" t="s">
        <v>3218</v>
      </c>
      <c r="E513">
        <v>17.68</v>
      </c>
      <c r="F513">
        <v>81.66</v>
      </c>
    </row>
    <row r="514" spans="1:6" x14ac:dyDescent="0.25">
      <c r="A514" t="s">
        <v>525</v>
      </c>
      <c r="B514" t="s">
        <v>21</v>
      </c>
      <c r="C514" t="s">
        <v>109</v>
      </c>
      <c r="D514" t="s">
        <v>3219</v>
      </c>
      <c r="E514">
        <v>33.15</v>
      </c>
      <c r="F514">
        <v>81.08</v>
      </c>
    </row>
    <row r="515" spans="1:6" x14ac:dyDescent="0.25">
      <c r="A515" t="s">
        <v>526</v>
      </c>
      <c r="B515" t="s">
        <v>21</v>
      </c>
      <c r="C515" t="s">
        <v>110</v>
      </c>
      <c r="D515" t="s">
        <v>3217</v>
      </c>
      <c r="E515">
        <v>0</v>
      </c>
      <c r="F515">
        <v>82.85</v>
      </c>
    </row>
    <row r="516" spans="1:6" x14ac:dyDescent="0.25">
      <c r="A516" t="s">
        <v>526</v>
      </c>
      <c r="B516" t="s">
        <v>21</v>
      </c>
      <c r="C516" t="s">
        <v>110</v>
      </c>
      <c r="D516" t="s">
        <v>3218</v>
      </c>
      <c r="E516">
        <v>20</v>
      </c>
      <c r="F516">
        <v>82.46</v>
      </c>
    </row>
    <row r="517" spans="1:6" x14ac:dyDescent="0.25">
      <c r="A517" t="s">
        <v>526</v>
      </c>
      <c r="B517" t="s">
        <v>21</v>
      </c>
      <c r="C517" t="s">
        <v>110</v>
      </c>
      <c r="D517" t="s">
        <v>3219</v>
      </c>
      <c r="E517">
        <v>34.43</v>
      </c>
      <c r="F517">
        <v>81.96</v>
      </c>
    </row>
    <row r="518" spans="1:6" x14ac:dyDescent="0.25">
      <c r="A518" t="s">
        <v>527</v>
      </c>
      <c r="B518" t="s">
        <v>21</v>
      </c>
      <c r="C518" t="s">
        <v>111</v>
      </c>
      <c r="D518" t="s">
        <v>3217</v>
      </c>
      <c r="E518">
        <v>0</v>
      </c>
      <c r="F518">
        <v>83.6</v>
      </c>
    </row>
    <row r="519" spans="1:6" x14ac:dyDescent="0.25">
      <c r="A519" t="s">
        <v>527</v>
      </c>
      <c r="B519" t="s">
        <v>21</v>
      </c>
      <c r="C519" t="s">
        <v>111</v>
      </c>
      <c r="D519" t="s">
        <v>3218</v>
      </c>
      <c r="E519">
        <v>20</v>
      </c>
      <c r="F519">
        <v>83.13</v>
      </c>
    </row>
    <row r="520" spans="1:6" x14ac:dyDescent="0.25">
      <c r="A520" t="s">
        <v>527</v>
      </c>
      <c r="B520" t="s">
        <v>21</v>
      </c>
      <c r="C520" t="s">
        <v>111</v>
      </c>
      <c r="D520" t="s">
        <v>3219</v>
      </c>
      <c r="E520">
        <v>35.46</v>
      </c>
      <c r="F520">
        <v>82.66</v>
      </c>
    </row>
    <row r="521" spans="1:6" x14ac:dyDescent="0.25">
      <c r="A521" t="s">
        <v>528</v>
      </c>
      <c r="B521" t="s">
        <v>21</v>
      </c>
      <c r="C521" t="s">
        <v>112</v>
      </c>
      <c r="D521" t="s">
        <v>3217</v>
      </c>
      <c r="E521">
        <v>0</v>
      </c>
      <c r="F521">
        <v>83.9</v>
      </c>
    </row>
    <row r="522" spans="1:6" x14ac:dyDescent="0.25">
      <c r="A522" t="s">
        <v>528</v>
      </c>
      <c r="B522" t="s">
        <v>21</v>
      </c>
      <c r="C522" t="s">
        <v>112</v>
      </c>
      <c r="D522" t="s">
        <v>3218</v>
      </c>
      <c r="E522">
        <v>20</v>
      </c>
      <c r="F522">
        <v>83.74</v>
      </c>
    </row>
    <row r="523" spans="1:6" x14ac:dyDescent="0.25">
      <c r="A523" t="s">
        <v>528</v>
      </c>
      <c r="B523" t="s">
        <v>21</v>
      </c>
      <c r="C523" t="s">
        <v>112</v>
      </c>
      <c r="D523" t="s">
        <v>3219</v>
      </c>
      <c r="E523">
        <v>36.17</v>
      </c>
      <c r="F523">
        <v>83.23</v>
      </c>
    </row>
    <row r="524" spans="1:6" x14ac:dyDescent="0.25">
      <c r="A524" t="s">
        <v>529</v>
      </c>
      <c r="B524" t="s">
        <v>21</v>
      </c>
      <c r="C524" t="s">
        <v>113</v>
      </c>
      <c r="D524" t="s">
        <v>3217</v>
      </c>
      <c r="E524">
        <v>0</v>
      </c>
      <c r="F524">
        <v>84.29</v>
      </c>
    </row>
    <row r="525" spans="1:6" x14ac:dyDescent="0.25">
      <c r="A525" t="s">
        <v>529</v>
      </c>
      <c r="B525" t="s">
        <v>21</v>
      </c>
      <c r="C525" t="s">
        <v>113</v>
      </c>
      <c r="D525" t="s">
        <v>3218</v>
      </c>
      <c r="E525">
        <v>20</v>
      </c>
      <c r="F525">
        <v>84.21</v>
      </c>
    </row>
    <row r="526" spans="1:6" x14ac:dyDescent="0.25">
      <c r="A526" t="s">
        <v>529</v>
      </c>
      <c r="B526" t="s">
        <v>21</v>
      </c>
      <c r="C526" t="s">
        <v>113</v>
      </c>
      <c r="D526" t="s">
        <v>3219</v>
      </c>
      <c r="E526">
        <v>36.28</v>
      </c>
      <c r="F526">
        <v>83.86</v>
      </c>
    </row>
    <row r="527" spans="1:6" x14ac:dyDescent="0.25">
      <c r="A527" t="s">
        <v>530</v>
      </c>
      <c r="B527" t="s">
        <v>21</v>
      </c>
      <c r="C527" t="s">
        <v>114</v>
      </c>
      <c r="D527" t="s">
        <v>3217</v>
      </c>
      <c r="E527">
        <v>0</v>
      </c>
      <c r="F527">
        <v>84.66</v>
      </c>
    </row>
    <row r="528" spans="1:6" x14ac:dyDescent="0.25">
      <c r="A528" t="s">
        <v>530</v>
      </c>
      <c r="B528" t="s">
        <v>21</v>
      </c>
      <c r="C528" t="s">
        <v>114</v>
      </c>
      <c r="D528" t="s">
        <v>3218</v>
      </c>
      <c r="E528">
        <v>17.350000000000001</v>
      </c>
      <c r="F528">
        <v>84.64</v>
      </c>
    </row>
    <row r="529" spans="1:6" x14ac:dyDescent="0.25">
      <c r="A529" t="s">
        <v>530</v>
      </c>
      <c r="B529" t="s">
        <v>21</v>
      </c>
      <c r="C529" t="s">
        <v>114</v>
      </c>
      <c r="D529" t="s">
        <v>3219</v>
      </c>
      <c r="E529">
        <v>32.479999999999997</v>
      </c>
      <c r="F529">
        <v>84.21</v>
      </c>
    </row>
    <row r="530" spans="1:6" x14ac:dyDescent="0.25">
      <c r="A530" t="s">
        <v>531</v>
      </c>
      <c r="B530" t="s">
        <v>21</v>
      </c>
      <c r="C530" t="s">
        <v>115</v>
      </c>
      <c r="D530" t="s">
        <v>3217</v>
      </c>
      <c r="E530">
        <v>0</v>
      </c>
      <c r="F530">
        <v>85.07</v>
      </c>
    </row>
    <row r="531" spans="1:6" x14ac:dyDescent="0.25">
      <c r="A531" t="s">
        <v>531</v>
      </c>
      <c r="B531" t="s">
        <v>21</v>
      </c>
      <c r="C531" t="s">
        <v>115</v>
      </c>
      <c r="D531" t="s">
        <v>3218</v>
      </c>
      <c r="E531">
        <v>18.309999999999999</v>
      </c>
      <c r="F531">
        <v>85.01</v>
      </c>
    </row>
    <row r="532" spans="1:6" x14ac:dyDescent="0.25">
      <c r="A532" t="s">
        <v>531</v>
      </c>
      <c r="B532" t="s">
        <v>21</v>
      </c>
      <c r="C532" t="s">
        <v>115</v>
      </c>
      <c r="D532" t="s">
        <v>3219</v>
      </c>
      <c r="E532">
        <v>32.43</v>
      </c>
      <c r="F532">
        <v>84.53</v>
      </c>
    </row>
    <row r="533" spans="1:6" x14ac:dyDescent="0.25">
      <c r="A533" t="s">
        <v>532</v>
      </c>
      <c r="B533" t="s">
        <v>21</v>
      </c>
      <c r="C533" t="s">
        <v>116</v>
      </c>
      <c r="D533" t="s">
        <v>3217</v>
      </c>
      <c r="E533">
        <v>0</v>
      </c>
      <c r="F533">
        <v>85.24</v>
      </c>
    </row>
    <row r="534" spans="1:6" x14ac:dyDescent="0.25">
      <c r="A534" t="s">
        <v>532</v>
      </c>
      <c r="B534" t="s">
        <v>21</v>
      </c>
      <c r="C534" t="s">
        <v>116</v>
      </c>
      <c r="D534" t="s">
        <v>3218</v>
      </c>
      <c r="E534">
        <v>18.309999999999999</v>
      </c>
      <c r="F534">
        <v>85.24</v>
      </c>
    </row>
    <row r="535" spans="1:6" x14ac:dyDescent="0.25">
      <c r="A535" t="s">
        <v>532</v>
      </c>
      <c r="B535" t="s">
        <v>21</v>
      </c>
      <c r="C535" t="s">
        <v>116</v>
      </c>
      <c r="D535" t="s">
        <v>3219</v>
      </c>
      <c r="E535">
        <v>30.79</v>
      </c>
      <c r="F535">
        <v>84.82</v>
      </c>
    </row>
    <row r="536" spans="1:6" x14ac:dyDescent="0.25">
      <c r="A536" t="s">
        <v>533</v>
      </c>
      <c r="B536" t="s">
        <v>21</v>
      </c>
      <c r="C536" t="s">
        <v>117</v>
      </c>
      <c r="D536" t="s">
        <v>3217</v>
      </c>
      <c r="E536">
        <v>0</v>
      </c>
      <c r="F536">
        <v>85.42</v>
      </c>
    </row>
    <row r="537" spans="1:6" x14ac:dyDescent="0.25">
      <c r="A537" t="s">
        <v>533</v>
      </c>
      <c r="B537" t="s">
        <v>21</v>
      </c>
      <c r="C537" t="s">
        <v>117</v>
      </c>
      <c r="D537" t="s">
        <v>3218</v>
      </c>
      <c r="E537">
        <v>20</v>
      </c>
      <c r="F537">
        <v>85.22</v>
      </c>
    </row>
    <row r="538" spans="1:6" x14ac:dyDescent="0.25">
      <c r="A538" t="s">
        <v>533</v>
      </c>
      <c r="B538" t="s">
        <v>21</v>
      </c>
      <c r="C538" t="s">
        <v>117</v>
      </c>
      <c r="D538" t="s">
        <v>3219</v>
      </c>
      <c r="E538">
        <v>30.63</v>
      </c>
      <c r="F538">
        <v>84.6</v>
      </c>
    </row>
    <row r="539" spans="1:6" x14ac:dyDescent="0.25">
      <c r="A539" t="s">
        <v>534</v>
      </c>
      <c r="B539" t="s">
        <v>21</v>
      </c>
      <c r="C539" t="s">
        <v>118</v>
      </c>
      <c r="D539" t="s">
        <v>3217</v>
      </c>
      <c r="E539">
        <v>0</v>
      </c>
      <c r="F539">
        <v>86.26</v>
      </c>
    </row>
    <row r="540" spans="1:6" x14ac:dyDescent="0.25">
      <c r="A540" t="s">
        <v>534</v>
      </c>
      <c r="B540" t="s">
        <v>21</v>
      </c>
      <c r="C540" t="s">
        <v>118</v>
      </c>
      <c r="D540" t="s">
        <v>3218</v>
      </c>
      <c r="E540">
        <v>20</v>
      </c>
      <c r="F540">
        <v>84.99</v>
      </c>
    </row>
    <row r="541" spans="1:6" x14ac:dyDescent="0.25">
      <c r="A541" t="s">
        <v>534</v>
      </c>
      <c r="B541" t="s">
        <v>21</v>
      </c>
      <c r="C541" t="s">
        <v>118</v>
      </c>
      <c r="D541" t="s">
        <v>3219</v>
      </c>
      <c r="E541">
        <v>30.86</v>
      </c>
      <c r="F541">
        <v>84.44</v>
      </c>
    </row>
    <row r="542" spans="1:6" x14ac:dyDescent="0.25">
      <c r="A542" t="s">
        <v>535</v>
      </c>
      <c r="B542" t="s">
        <v>21</v>
      </c>
      <c r="C542" t="s">
        <v>119</v>
      </c>
      <c r="D542" t="s">
        <v>3217</v>
      </c>
      <c r="E542">
        <v>0</v>
      </c>
      <c r="F542">
        <v>84.2</v>
      </c>
    </row>
    <row r="543" spans="1:6" x14ac:dyDescent="0.25">
      <c r="A543" t="s">
        <v>535</v>
      </c>
      <c r="B543" t="s">
        <v>21</v>
      </c>
      <c r="C543" t="s">
        <v>119</v>
      </c>
      <c r="D543" t="s">
        <v>3218</v>
      </c>
      <c r="E543">
        <v>20</v>
      </c>
      <c r="F543">
        <v>84.5</v>
      </c>
    </row>
    <row r="544" spans="1:6" x14ac:dyDescent="0.25">
      <c r="A544" t="s">
        <v>535</v>
      </c>
      <c r="B544" t="s">
        <v>21</v>
      </c>
      <c r="C544" t="s">
        <v>119</v>
      </c>
      <c r="D544" t="s">
        <v>3219</v>
      </c>
      <c r="E544">
        <v>31.28</v>
      </c>
      <c r="F544">
        <v>84.16</v>
      </c>
    </row>
    <row r="545" spans="1:6" x14ac:dyDescent="0.25">
      <c r="A545" t="s">
        <v>536</v>
      </c>
      <c r="B545" t="s">
        <v>21</v>
      </c>
      <c r="C545" t="s">
        <v>120</v>
      </c>
      <c r="D545" t="s">
        <v>3217</v>
      </c>
      <c r="E545">
        <v>0</v>
      </c>
      <c r="F545">
        <v>84.37</v>
      </c>
    </row>
    <row r="546" spans="1:6" x14ac:dyDescent="0.25">
      <c r="A546" t="s">
        <v>536</v>
      </c>
      <c r="B546" t="s">
        <v>21</v>
      </c>
      <c r="C546" t="s">
        <v>120</v>
      </c>
      <c r="D546" t="s">
        <v>3218</v>
      </c>
      <c r="E546">
        <v>18.489999999999998</v>
      </c>
      <c r="F546">
        <v>83.98</v>
      </c>
    </row>
    <row r="547" spans="1:6" x14ac:dyDescent="0.25">
      <c r="A547" t="s">
        <v>536</v>
      </c>
      <c r="B547" t="s">
        <v>21</v>
      </c>
      <c r="C547" t="s">
        <v>120</v>
      </c>
      <c r="D547" t="s">
        <v>3219</v>
      </c>
      <c r="E547">
        <v>30.08</v>
      </c>
      <c r="F547">
        <v>83.78</v>
      </c>
    </row>
    <row r="548" spans="1:6" x14ac:dyDescent="0.25">
      <c r="A548" t="s">
        <v>537</v>
      </c>
      <c r="B548" t="s">
        <v>21</v>
      </c>
      <c r="C548" t="s">
        <v>121</v>
      </c>
      <c r="D548" t="s">
        <v>3217</v>
      </c>
      <c r="E548">
        <v>0</v>
      </c>
      <c r="F548">
        <v>83.78</v>
      </c>
    </row>
    <row r="549" spans="1:6" x14ac:dyDescent="0.25">
      <c r="A549" t="s">
        <v>537</v>
      </c>
      <c r="B549" t="s">
        <v>21</v>
      </c>
      <c r="C549" t="s">
        <v>121</v>
      </c>
      <c r="D549" t="s">
        <v>3218</v>
      </c>
      <c r="E549">
        <v>20</v>
      </c>
      <c r="F549">
        <v>83.43</v>
      </c>
    </row>
    <row r="550" spans="1:6" x14ac:dyDescent="0.25">
      <c r="A550" t="s">
        <v>537</v>
      </c>
      <c r="B550" t="s">
        <v>21</v>
      </c>
      <c r="C550" t="s">
        <v>121</v>
      </c>
      <c r="D550" t="s">
        <v>3219</v>
      </c>
      <c r="E550">
        <v>32.14</v>
      </c>
      <c r="F550">
        <v>83.16</v>
      </c>
    </row>
    <row r="551" spans="1:6" x14ac:dyDescent="0.25">
      <c r="A551" t="s">
        <v>538</v>
      </c>
      <c r="B551" t="s">
        <v>21</v>
      </c>
      <c r="C551" t="s">
        <v>123</v>
      </c>
      <c r="D551" t="s">
        <v>3217</v>
      </c>
      <c r="E551">
        <v>0</v>
      </c>
      <c r="F551">
        <v>82.94</v>
      </c>
    </row>
    <row r="552" spans="1:6" x14ac:dyDescent="0.25">
      <c r="A552" t="s">
        <v>538</v>
      </c>
      <c r="B552" t="s">
        <v>21</v>
      </c>
      <c r="C552" t="s">
        <v>123</v>
      </c>
      <c r="D552" t="s">
        <v>3218</v>
      </c>
      <c r="E552">
        <v>20</v>
      </c>
      <c r="F552">
        <v>82.93</v>
      </c>
    </row>
    <row r="553" spans="1:6" x14ac:dyDescent="0.25">
      <c r="A553" t="s">
        <v>538</v>
      </c>
      <c r="B553" t="s">
        <v>21</v>
      </c>
      <c r="C553" t="s">
        <v>123</v>
      </c>
      <c r="D553" t="s">
        <v>3219</v>
      </c>
      <c r="E553">
        <v>32.76</v>
      </c>
      <c r="F553">
        <v>82.53</v>
      </c>
    </row>
    <row r="554" spans="1:6" x14ac:dyDescent="0.25">
      <c r="A554" t="s">
        <v>539</v>
      </c>
      <c r="B554" t="s">
        <v>21</v>
      </c>
      <c r="C554" t="s">
        <v>124</v>
      </c>
      <c r="D554" t="s">
        <v>3217</v>
      </c>
      <c r="E554">
        <v>0</v>
      </c>
      <c r="F554">
        <v>82.33</v>
      </c>
    </row>
    <row r="555" spans="1:6" x14ac:dyDescent="0.25">
      <c r="A555" t="s">
        <v>539</v>
      </c>
      <c r="B555" t="s">
        <v>21</v>
      </c>
      <c r="C555" t="s">
        <v>124</v>
      </c>
      <c r="D555" t="s">
        <v>3218</v>
      </c>
      <c r="E555">
        <v>20</v>
      </c>
      <c r="F555">
        <v>82.51</v>
      </c>
    </row>
    <row r="556" spans="1:6" x14ac:dyDescent="0.25">
      <c r="A556" t="s">
        <v>539</v>
      </c>
      <c r="B556" t="s">
        <v>21</v>
      </c>
      <c r="C556" t="s">
        <v>124</v>
      </c>
      <c r="D556" t="s">
        <v>3219</v>
      </c>
      <c r="E556">
        <v>33.07</v>
      </c>
      <c r="F556">
        <v>81.96</v>
      </c>
    </row>
    <row r="557" spans="1:6" x14ac:dyDescent="0.25">
      <c r="A557" t="s">
        <v>540</v>
      </c>
      <c r="B557" t="s">
        <v>21</v>
      </c>
      <c r="C557" t="s">
        <v>125</v>
      </c>
      <c r="D557" t="s">
        <v>3217</v>
      </c>
      <c r="E557">
        <v>0</v>
      </c>
      <c r="F557">
        <v>81.99</v>
      </c>
    </row>
    <row r="558" spans="1:6" x14ac:dyDescent="0.25">
      <c r="A558" t="s">
        <v>540</v>
      </c>
      <c r="B558" t="s">
        <v>21</v>
      </c>
      <c r="C558" t="s">
        <v>125</v>
      </c>
      <c r="D558" t="s">
        <v>3218</v>
      </c>
      <c r="E558">
        <v>20</v>
      </c>
      <c r="F558">
        <v>81.91</v>
      </c>
    </row>
    <row r="559" spans="1:6" x14ac:dyDescent="0.25">
      <c r="A559" t="s">
        <v>540</v>
      </c>
      <c r="B559" t="s">
        <v>21</v>
      </c>
      <c r="C559" t="s">
        <v>125</v>
      </c>
      <c r="D559" t="s">
        <v>3219</v>
      </c>
      <c r="E559">
        <v>34.159999999999997</v>
      </c>
      <c r="F559">
        <v>81.34</v>
      </c>
    </row>
    <row r="560" spans="1:6" x14ac:dyDescent="0.25">
      <c r="A560" t="s">
        <v>541</v>
      </c>
      <c r="B560" t="s">
        <v>21</v>
      </c>
      <c r="C560" t="s">
        <v>126</v>
      </c>
      <c r="D560" t="s">
        <v>3217</v>
      </c>
      <c r="E560">
        <v>0</v>
      </c>
      <c r="F560">
        <v>81.2</v>
      </c>
    </row>
    <row r="561" spans="1:6" x14ac:dyDescent="0.25">
      <c r="A561" t="s">
        <v>541</v>
      </c>
      <c r="B561" t="s">
        <v>21</v>
      </c>
      <c r="C561" t="s">
        <v>126</v>
      </c>
      <c r="D561" t="s">
        <v>3218</v>
      </c>
      <c r="E561">
        <v>20</v>
      </c>
      <c r="F561">
        <v>81.48</v>
      </c>
    </row>
    <row r="562" spans="1:6" x14ac:dyDescent="0.25">
      <c r="A562" t="s">
        <v>541</v>
      </c>
      <c r="B562" t="s">
        <v>21</v>
      </c>
      <c r="C562" t="s">
        <v>126</v>
      </c>
      <c r="D562" t="s">
        <v>3219</v>
      </c>
      <c r="E562">
        <v>34.93</v>
      </c>
      <c r="F562">
        <v>80.959999999999994</v>
      </c>
    </row>
    <row r="563" spans="1:6" x14ac:dyDescent="0.25">
      <c r="A563" t="s">
        <v>542</v>
      </c>
      <c r="B563" t="s">
        <v>21</v>
      </c>
      <c r="C563" t="s">
        <v>127</v>
      </c>
      <c r="D563" t="s">
        <v>3217</v>
      </c>
      <c r="E563">
        <v>0</v>
      </c>
      <c r="F563">
        <v>81.02</v>
      </c>
    </row>
    <row r="564" spans="1:6" x14ac:dyDescent="0.25">
      <c r="A564" t="s">
        <v>542</v>
      </c>
      <c r="B564" t="s">
        <v>21</v>
      </c>
      <c r="C564" t="s">
        <v>127</v>
      </c>
      <c r="D564" t="s">
        <v>3218</v>
      </c>
      <c r="E564">
        <v>20</v>
      </c>
      <c r="F564">
        <v>81</v>
      </c>
    </row>
    <row r="565" spans="1:6" x14ac:dyDescent="0.25">
      <c r="A565" t="s">
        <v>542</v>
      </c>
      <c r="B565" t="s">
        <v>21</v>
      </c>
      <c r="C565" t="s">
        <v>127</v>
      </c>
      <c r="D565" t="s">
        <v>3219</v>
      </c>
      <c r="E565">
        <v>35.65</v>
      </c>
      <c r="F565">
        <v>80.55</v>
      </c>
    </row>
    <row r="566" spans="1:6" x14ac:dyDescent="0.25">
      <c r="A566" t="s">
        <v>543</v>
      </c>
      <c r="B566" t="s">
        <v>21</v>
      </c>
      <c r="C566" t="s">
        <v>128</v>
      </c>
      <c r="D566" t="s">
        <v>3217</v>
      </c>
      <c r="E566">
        <v>0</v>
      </c>
      <c r="F566">
        <v>80.489999999999995</v>
      </c>
    </row>
    <row r="567" spans="1:6" x14ac:dyDescent="0.25">
      <c r="A567" t="s">
        <v>543</v>
      </c>
      <c r="B567" t="s">
        <v>21</v>
      </c>
      <c r="C567" t="s">
        <v>128</v>
      </c>
      <c r="D567" t="s">
        <v>3218</v>
      </c>
      <c r="E567">
        <v>20</v>
      </c>
      <c r="F567">
        <v>80.75</v>
      </c>
    </row>
    <row r="568" spans="1:6" x14ac:dyDescent="0.25">
      <c r="A568" t="s">
        <v>543</v>
      </c>
      <c r="B568" t="s">
        <v>21</v>
      </c>
      <c r="C568" t="s">
        <v>128</v>
      </c>
      <c r="D568" t="s">
        <v>3219</v>
      </c>
      <c r="E568">
        <v>35.89</v>
      </c>
      <c r="F568">
        <v>80.3</v>
      </c>
    </row>
    <row r="569" spans="1:6" x14ac:dyDescent="0.25">
      <c r="A569" t="s">
        <v>544</v>
      </c>
      <c r="B569" t="s">
        <v>21</v>
      </c>
      <c r="C569" t="s">
        <v>129</v>
      </c>
      <c r="D569" t="s">
        <v>3217</v>
      </c>
      <c r="E569">
        <v>0</v>
      </c>
      <c r="F569">
        <v>80.17</v>
      </c>
    </row>
    <row r="570" spans="1:6" x14ac:dyDescent="0.25">
      <c r="A570" t="s">
        <v>544</v>
      </c>
      <c r="B570" t="s">
        <v>21</v>
      </c>
      <c r="C570" t="s">
        <v>129</v>
      </c>
      <c r="D570" t="s">
        <v>3218</v>
      </c>
      <c r="E570">
        <v>20</v>
      </c>
      <c r="F570">
        <v>80.44</v>
      </c>
    </row>
    <row r="571" spans="1:6" x14ac:dyDescent="0.25">
      <c r="A571" t="s">
        <v>544</v>
      </c>
      <c r="B571" t="s">
        <v>21</v>
      </c>
      <c r="C571" t="s">
        <v>129</v>
      </c>
      <c r="D571" t="s">
        <v>3219</v>
      </c>
      <c r="E571">
        <v>35.4</v>
      </c>
      <c r="F571">
        <v>79.97</v>
      </c>
    </row>
    <row r="572" spans="1:6" x14ac:dyDescent="0.25">
      <c r="A572" t="s">
        <v>545</v>
      </c>
      <c r="B572" t="s">
        <v>21</v>
      </c>
      <c r="C572" t="s">
        <v>130</v>
      </c>
      <c r="D572" t="s">
        <v>3217</v>
      </c>
      <c r="E572">
        <v>0</v>
      </c>
      <c r="F572">
        <v>79.849999999999994</v>
      </c>
    </row>
    <row r="573" spans="1:6" x14ac:dyDescent="0.25">
      <c r="A573" t="s">
        <v>545</v>
      </c>
      <c r="B573" t="s">
        <v>21</v>
      </c>
      <c r="C573" t="s">
        <v>130</v>
      </c>
      <c r="D573" t="s">
        <v>3218</v>
      </c>
      <c r="E573">
        <v>20</v>
      </c>
      <c r="F573">
        <v>80.23</v>
      </c>
    </row>
    <row r="574" spans="1:6" x14ac:dyDescent="0.25">
      <c r="A574" t="s">
        <v>545</v>
      </c>
      <c r="B574" t="s">
        <v>21</v>
      </c>
      <c r="C574" t="s">
        <v>130</v>
      </c>
      <c r="D574" t="s">
        <v>3219</v>
      </c>
      <c r="E574">
        <v>35.5</v>
      </c>
      <c r="F574">
        <v>79.69</v>
      </c>
    </row>
    <row r="575" spans="1:6" x14ac:dyDescent="0.25">
      <c r="A575" t="s">
        <v>546</v>
      </c>
      <c r="B575" t="s">
        <v>21</v>
      </c>
      <c r="C575" t="s">
        <v>131</v>
      </c>
      <c r="D575" t="s">
        <v>3217</v>
      </c>
      <c r="E575">
        <v>0</v>
      </c>
      <c r="F575">
        <v>79.540000000000006</v>
      </c>
    </row>
    <row r="576" spans="1:6" x14ac:dyDescent="0.25">
      <c r="A576" t="s">
        <v>546</v>
      </c>
      <c r="B576" t="s">
        <v>21</v>
      </c>
      <c r="C576" t="s">
        <v>131</v>
      </c>
      <c r="D576" t="s">
        <v>3218</v>
      </c>
      <c r="E576">
        <v>20</v>
      </c>
      <c r="F576">
        <v>79.86</v>
      </c>
    </row>
    <row r="577" spans="1:6" x14ac:dyDescent="0.25">
      <c r="A577" t="s">
        <v>546</v>
      </c>
      <c r="B577" t="s">
        <v>21</v>
      </c>
      <c r="C577" t="s">
        <v>131</v>
      </c>
      <c r="D577" t="s">
        <v>3219</v>
      </c>
      <c r="E577">
        <v>35.25</v>
      </c>
      <c r="F577">
        <v>79.38</v>
      </c>
    </row>
    <row r="578" spans="1:6" x14ac:dyDescent="0.25">
      <c r="A578" t="s">
        <v>547</v>
      </c>
      <c r="B578" t="s">
        <v>21</v>
      </c>
      <c r="C578" t="s">
        <v>132</v>
      </c>
      <c r="D578" t="s">
        <v>3217</v>
      </c>
      <c r="E578">
        <v>0</v>
      </c>
      <c r="F578">
        <v>79.37</v>
      </c>
    </row>
    <row r="579" spans="1:6" x14ac:dyDescent="0.25">
      <c r="A579" t="s">
        <v>547</v>
      </c>
      <c r="B579" t="s">
        <v>21</v>
      </c>
      <c r="C579" t="s">
        <v>132</v>
      </c>
      <c r="D579" t="s">
        <v>3218</v>
      </c>
      <c r="E579">
        <v>20</v>
      </c>
      <c r="F579">
        <v>79.510000000000005</v>
      </c>
    </row>
    <row r="580" spans="1:6" x14ac:dyDescent="0.25">
      <c r="A580" t="s">
        <v>547</v>
      </c>
      <c r="B580" t="s">
        <v>21</v>
      </c>
      <c r="C580" t="s">
        <v>132</v>
      </c>
      <c r="D580" t="s">
        <v>3219</v>
      </c>
      <c r="E580">
        <v>35.380000000000003</v>
      </c>
      <c r="F580">
        <v>79.13</v>
      </c>
    </row>
    <row r="581" spans="1:6" x14ac:dyDescent="0.25">
      <c r="A581" t="s">
        <v>548</v>
      </c>
      <c r="B581" t="s">
        <v>21</v>
      </c>
      <c r="C581" t="s">
        <v>133</v>
      </c>
      <c r="D581" t="s">
        <v>3217</v>
      </c>
      <c r="E581">
        <v>0</v>
      </c>
      <c r="F581">
        <v>79.02</v>
      </c>
    </row>
    <row r="582" spans="1:6" x14ac:dyDescent="0.25">
      <c r="A582" t="s">
        <v>548</v>
      </c>
      <c r="B582" t="s">
        <v>21</v>
      </c>
      <c r="C582" t="s">
        <v>133</v>
      </c>
      <c r="D582" t="s">
        <v>3218</v>
      </c>
      <c r="E582">
        <v>20</v>
      </c>
      <c r="F582">
        <v>79.22</v>
      </c>
    </row>
    <row r="583" spans="1:6" x14ac:dyDescent="0.25">
      <c r="A583" t="s">
        <v>548</v>
      </c>
      <c r="B583" t="s">
        <v>21</v>
      </c>
      <c r="C583" t="s">
        <v>133</v>
      </c>
      <c r="D583" t="s">
        <v>3219</v>
      </c>
      <c r="E583">
        <v>35.090000000000003</v>
      </c>
      <c r="F583">
        <v>78.81</v>
      </c>
    </row>
    <row r="584" spans="1:6" x14ac:dyDescent="0.25">
      <c r="A584" t="s">
        <v>549</v>
      </c>
      <c r="B584" t="s">
        <v>21</v>
      </c>
      <c r="C584" t="s">
        <v>134</v>
      </c>
      <c r="D584" t="s">
        <v>3217</v>
      </c>
      <c r="E584">
        <v>0</v>
      </c>
      <c r="F584">
        <v>78.75</v>
      </c>
    </row>
    <row r="585" spans="1:6" x14ac:dyDescent="0.25">
      <c r="A585" t="s">
        <v>549</v>
      </c>
      <c r="B585" t="s">
        <v>21</v>
      </c>
      <c r="C585" t="s">
        <v>134</v>
      </c>
      <c r="D585" t="s">
        <v>3218</v>
      </c>
      <c r="E585">
        <v>20</v>
      </c>
      <c r="F585">
        <v>78.959999999999994</v>
      </c>
    </row>
    <row r="586" spans="1:6" x14ac:dyDescent="0.25">
      <c r="A586" t="s">
        <v>549</v>
      </c>
      <c r="B586" t="s">
        <v>21</v>
      </c>
      <c r="C586" t="s">
        <v>134</v>
      </c>
      <c r="D586" t="s">
        <v>3219</v>
      </c>
      <c r="E586">
        <v>34.99</v>
      </c>
      <c r="F586">
        <v>78.430000000000007</v>
      </c>
    </row>
    <row r="587" spans="1:6" x14ac:dyDescent="0.25">
      <c r="A587" t="s">
        <v>550</v>
      </c>
      <c r="B587" t="s">
        <v>21</v>
      </c>
      <c r="C587" t="s">
        <v>135</v>
      </c>
      <c r="D587" t="s">
        <v>3217</v>
      </c>
      <c r="E587">
        <v>0</v>
      </c>
      <c r="F587">
        <v>78.39</v>
      </c>
    </row>
    <row r="588" spans="1:6" x14ac:dyDescent="0.25">
      <c r="A588" t="s">
        <v>550</v>
      </c>
      <c r="B588" t="s">
        <v>21</v>
      </c>
      <c r="C588" t="s">
        <v>135</v>
      </c>
      <c r="D588" t="s">
        <v>3218</v>
      </c>
      <c r="E588">
        <v>20</v>
      </c>
      <c r="F588">
        <v>78.459999999999994</v>
      </c>
    </row>
    <row r="589" spans="1:6" x14ac:dyDescent="0.25">
      <c r="A589" t="s">
        <v>550</v>
      </c>
      <c r="B589" t="s">
        <v>21</v>
      </c>
      <c r="C589" t="s">
        <v>135</v>
      </c>
      <c r="D589" t="s">
        <v>3219</v>
      </c>
      <c r="E589">
        <v>34.78</v>
      </c>
      <c r="F589">
        <v>78.06</v>
      </c>
    </row>
    <row r="590" spans="1:6" x14ac:dyDescent="0.25">
      <c r="A590" t="s">
        <v>551</v>
      </c>
      <c r="B590" t="s">
        <v>21</v>
      </c>
      <c r="C590" t="s">
        <v>136</v>
      </c>
      <c r="D590" t="s">
        <v>3217</v>
      </c>
      <c r="E590">
        <v>0</v>
      </c>
      <c r="F590">
        <v>77.900000000000006</v>
      </c>
    </row>
    <row r="591" spans="1:6" x14ac:dyDescent="0.25">
      <c r="A591" t="s">
        <v>551</v>
      </c>
      <c r="B591" t="s">
        <v>21</v>
      </c>
      <c r="C591" t="s">
        <v>136</v>
      </c>
      <c r="D591" t="s">
        <v>3218</v>
      </c>
      <c r="E591">
        <v>20</v>
      </c>
      <c r="F591">
        <v>77.95</v>
      </c>
    </row>
    <row r="592" spans="1:6" x14ac:dyDescent="0.25">
      <c r="A592" t="s">
        <v>551</v>
      </c>
      <c r="B592" t="s">
        <v>21</v>
      </c>
      <c r="C592" t="s">
        <v>136</v>
      </c>
      <c r="D592" t="s">
        <v>3219</v>
      </c>
      <c r="E592">
        <v>35.17</v>
      </c>
      <c r="F592">
        <v>77.39</v>
      </c>
    </row>
    <row r="593" spans="1:6" x14ac:dyDescent="0.25">
      <c r="A593" t="s">
        <v>552</v>
      </c>
      <c r="B593" t="s">
        <v>21</v>
      </c>
      <c r="C593" t="s">
        <v>137</v>
      </c>
      <c r="D593" t="s">
        <v>3217</v>
      </c>
      <c r="E593">
        <v>0</v>
      </c>
      <c r="F593">
        <v>77.58</v>
      </c>
    </row>
    <row r="594" spans="1:6" x14ac:dyDescent="0.25">
      <c r="A594" t="s">
        <v>552</v>
      </c>
      <c r="B594" t="s">
        <v>21</v>
      </c>
      <c r="C594" t="s">
        <v>137</v>
      </c>
      <c r="D594" t="s">
        <v>3218</v>
      </c>
      <c r="E594">
        <v>20</v>
      </c>
      <c r="F594">
        <v>77.63</v>
      </c>
    </row>
    <row r="595" spans="1:6" x14ac:dyDescent="0.25">
      <c r="A595" t="s">
        <v>552</v>
      </c>
      <c r="B595" t="s">
        <v>21</v>
      </c>
      <c r="C595" t="s">
        <v>137</v>
      </c>
      <c r="D595" t="s">
        <v>3219</v>
      </c>
      <c r="E595">
        <v>35.35</v>
      </c>
      <c r="F595">
        <v>76.81</v>
      </c>
    </row>
    <row r="596" spans="1:6" x14ac:dyDescent="0.25">
      <c r="A596" t="s">
        <v>553</v>
      </c>
      <c r="B596" t="s">
        <v>21</v>
      </c>
      <c r="C596" t="s">
        <v>138</v>
      </c>
      <c r="D596" t="s">
        <v>3217</v>
      </c>
      <c r="E596">
        <v>0</v>
      </c>
      <c r="F596">
        <v>77.42</v>
      </c>
    </row>
    <row r="597" spans="1:6" x14ac:dyDescent="0.25">
      <c r="A597" t="s">
        <v>553</v>
      </c>
      <c r="B597" t="s">
        <v>21</v>
      </c>
      <c r="C597" t="s">
        <v>138</v>
      </c>
      <c r="D597" t="s">
        <v>3218</v>
      </c>
      <c r="E597">
        <v>20</v>
      </c>
      <c r="F597">
        <v>77.09</v>
      </c>
    </row>
    <row r="598" spans="1:6" x14ac:dyDescent="0.25">
      <c r="A598" t="s">
        <v>553</v>
      </c>
      <c r="B598" t="s">
        <v>21</v>
      </c>
      <c r="C598" t="s">
        <v>138</v>
      </c>
      <c r="D598" t="s">
        <v>3219</v>
      </c>
      <c r="E598">
        <v>36.020000000000003</v>
      </c>
      <c r="F598">
        <v>76.66</v>
      </c>
    </row>
    <row r="599" spans="1:6" x14ac:dyDescent="0.25">
      <c r="A599" t="s">
        <v>554</v>
      </c>
      <c r="B599" t="s">
        <v>21</v>
      </c>
      <c r="C599" t="s">
        <v>139</v>
      </c>
      <c r="D599" t="s">
        <v>3217</v>
      </c>
      <c r="E599">
        <v>0</v>
      </c>
      <c r="F599">
        <v>76.849999999999994</v>
      </c>
    </row>
    <row r="600" spans="1:6" x14ac:dyDescent="0.25">
      <c r="A600" t="s">
        <v>554</v>
      </c>
      <c r="B600" t="s">
        <v>21</v>
      </c>
      <c r="C600" t="s">
        <v>139</v>
      </c>
      <c r="D600" t="s">
        <v>3218</v>
      </c>
      <c r="E600">
        <v>20</v>
      </c>
      <c r="F600">
        <v>76.84</v>
      </c>
    </row>
    <row r="601" spans="1:6" x14ac:dyDescent="0.25">
      <c r="A601" t="s">
        <v>554</v>
      </c>
      <c r="B601" t="s">
        <v>21</v>
      </c>
      <c r="C601" t="s">
        <v>139</v>
      </c>
      <c r="D601" t="s">
        <v>3219</v>
      </c>
      <c r="E601">
        <v>37.229999999999997</v>
      </c>
      <c r="F601">
        <v>76.41</v>
      </c>
    </row>
    <row r="602" spans="1:6" x14ac:dyDescent="0.25">
      <c r="A602" t="s">
        <v>555</v>
      </c>
      <c r="B602" t="s">
        <v>21</v>
      </c>
      <c r="C602" t="s">
        <v>140</v>
      </c>
      <c r="D602" t="s">
        <v>3217</v>
      </c>
      <c r="E602">
        <v>0</v>
      </c>
      <c r="F602">
        <v>76.62</v>
      </c>
    </row>
    <row r="603" spans="1:6" x14ac:dyDescent="0.25">
      <c r="A603" t="s">
        <v>555</v>
      </c>
      <c r="B603" t="s">
        <v>21</v>
      </c>
      <c r="C603" t="s">
        <v>140</v>
      </c>
      <c r="D603" t="s">
        <v>3218</v>
      </c>
      <c r="E603">
        <v>17.420000000000002</v>
      </c>
      <c r="F603">
        <v>76.540000000000006</v>
      </c>
    </row>
    <row r="604" spans="1:6" x14ac:dyDescent="0.25">
      <c r="A604" t="s">
        <v>555</v>
      </c>
      <c r="B604" t="s">
        <v>21</v>
      </c>
      <c r="C604" t="s">
        <v>140</v>
      </c>
      <c r="D604" t="s">
        <v>3219</v>
      </c>
      <c r="E604">
        <v>35.380000000000003</v>
      </c>
      <c r="F604">
        <v>76.150000000000006</v>
      </c>
    </row>
    <row r="605" spans="1:6" x14ac:dyDescent="0.25">
      <c r="A605" t="s">
        <v>556</v>
      </c>
      <c r="B605" t="s">
        <v>21</v>
      </c>
      <c r="C605" t="s">
        <v>141</v>
      </c>
      <c r="D605" t="s">
        <v>3217</v>
      </c>
      <c r="E605">
        <v>0</v>
      </c>
      <c r="F605">
        <v>76.19</v>
      </c>
    </row>
    <row r="606" spans="1:6" x14ac:dyDescent="0.25">
      <c r="A606" t="s">
        <v>556</v>
      </c>
      <c r="B606" t="s">
        <v>21</v>
      </c>
      <c r="C606" t="s">
        <v>141</v>
      </c>
      <c r="D606" t="s">
        <v>3218</v>
      </c>
      <c r="E606">
        <v>15.77</v>
      </c>
      <c r="F606">
        <v>76.34</v>
      </c>
    </row>
    <row r="607" spans="1:6" x14ac:dyDescent="0.25">
      <c r="A607" t="s">
        <v>556</v>
      </c>
      <c r="B607" t="s">
        <v>21</v>
      </c>
      <c r="C607" t="s">
        <v>141</v>
      </c>
      <c r="D607" t="s">
        <v>3219</v>
      </c>
      <c r="E607">
        <v>34.29</v>
      </c>
      <c r="F607">
        <v>75.900000000000006</v>
      </c>
    </row>
    <row r="608" spans="1:6" x14ac:dyDescent="0.25">
      <c r="A608" t="s">
        <v>557</v>
      </c>
      <c r="B608" t="s">
        <v>21</v>
      </c>
      <c r="C608" t="s">
        <v>142</v>
      </c>
      <c r="D608" t="s">
        <v>3217</v>
      </c>
      <c r="E608">
        <v>0</v>
      </c>
      <c r="F608">
        <v>75.98</v>
      </c>
    </row>
    <row r="609" spans="1:6" x14ac:dyDescent="0.25">
      <c r="A609" t="s">
        <v>557</v>
      </c>
      <c r="B609" t="s">
        <v>21</v>
      </c>
      <c r="C609" t="s">
        <v>142</v>
      </c>
      <c r="D609" t="s">
        <v>3218</v>
      </c>
      <c r="E609">
        <v>16.27</v>
      </c>
      <c r="F609">
        <v>76.14</v>
      </c>
    </row>
    <row r="610" spans="1:6" x14ac:dyDescent="0.25">
      <c r="A610" t="s">
        <v>557</v>
      </c>
      <c r="B610" t="s">
        <v>21</v>
      </c>
      <c r="C610" t="s">
        <v>142</v>
      </c>
      <c r="D610" t="s">
        <v>3219</v>
      </c>
      <c r="E610">
        <v>33.24</v>
      </c>
      <c r="F610">
        <v>75.7</v>
      </c>
    </row>
    <row r="611" spans="1:6" x14ac:dyDescent="0.25">
      <c r="A611" t="s">
        <v>558</v>
      </c>
      <c r="B611" t="s">
        <v>21</v>
      </c>
      <c r="C611" t="s">
        <v>143</v>
      </c>
      <c r="D611" t="s">
        <v>3217</v>
      </c>
      <c r="E611">
        <v>0</v>
      </c>
      <c r="F611">
        <v>75.709999999999994</v>
      </c>
    </row>
    <row r="612" spans="1:6" x14ac:dyDescent="0.25">
      <c r="A612" t="s">
        <v>558</v>
      </c>
      <c r="B612" t="s">
        <v>21</v>
      </c>
      <c r="C612" t="s">
        <v>143</v>
      </c>
      <c r="D612" t="s">
        <v>3218</v>
      </c>
      <c r="E612">
        <v>17.14</v>
      </c>
      <c r="F612">
        <v>75.8</v>
      </c>
    </row>
    <row r="613" spans="1:6" x14ac:dyDescent="0.25">
      <c r="A613" t="s">
        <v>558</v>
      </c>
      <c r="B613" t="s">
        <v>21</v>
      </c>
      <c r="C613" t="s">
        <v>143</v>
      </c>
      <c r="D613" t="s">
        <v>3219</v>
      </c>
      <c r="E613">
        <v>32.270000000000003</v>
      </c>
      <c r="F613">
        <v>75.39</v>
      </c>
    </row>
    <row r="614" spans="1:6" x14ac:dyDescent="0.25">
      <c r="A614" t="s">
        <v>559</v>
      </c>
      <c r="B614" t="s">
        <v>21</v>
      </c>
      <c r="C614" t="s">
        <v>144</v>
      </c>
      <c r="D614" t="s">
        <v>3217</v>
      </c>
      <c r="E614">
        <v>0</v>
      </c>
      <c r="F614">
        <v>75.42</v>
      </c>
    </row>
    <row r="615" spans="1:6" x14ac:dyDescent="0.25">
      <c r="A615" t="s">
        <v>559</v>
      </c>
      <c r="B615" t="s">
        <v>21</v>
      </c>
      <c r="C615" t="s">
        <v>144</v>
      </c>
      <c r="D615" t="s">
        <v>3218</v>
      </c>
      <c r="E615">
        <v>17.510000000000002</v>
      </c>
      <c r="F615">
        <v>75.58</v>
      </c>
    </row>
    <row r="616" spans="1:6" x14ac:dyDescent="0.25">
      <c r="A616" t="s">
        <v>559</v>
      </c>
      <c r="B616" t="s">
        <v>21</v>
      </c>
      <c r="C616" t="s">
        <v>144</v>
      </c>
      <c r="D616" t="s">
        <v>3219</v>
      </c>
      <c r="E616">
        <v>32.39</v>
      </c>
      <c r="F616">
        <v>75.16</v>
      </c>
    </row>
    <row r="617" spans="1:6" x14ac:dyDescent="0.25">
      <c r="A617" t="s">
        <v>560</v>
      </c>
      <c r="B617" t="s">
        <v>21</v>
      </c>
      <c r="C617" t="s">
        <v>145</v>
      </c>
      <c r="D617" t="s">
        <v>3217</v>
      </c>
      <c r="E617">
        <v>0</v>
      </c>
      <c r="F617">
        <v>75.19</v>
      </c>
    </row>
    <row r="618" spans="1:6" x14ac:dyDescent="0.25">
      <c r="A618" t="s">
        <v>560</v>
      </c>
      <c r="B618" t="s">
        <v>21</v>
      </c>
      <c r="C618" t="s">
        <v>145</v>
      </c>
      <c r="D618" t="s">
        <v>3218</v>
      </c>
      <c r="E618">
        <v>16.7</v>
      </c>
      <c r="F618">
        <v>75.25</v>
      </c>
    </row>
    <row r="619" spans="1:6" x14ac:dyDescent="0.25">
      <c r="A619" t="s">
        <v>560</v>
      </c>
      <c r="B619" t="s">
        <v>21</v>
      </c>
      <c r="C619" t="s">
        <v>145</v>
      </c>
      <c r="D619" t="s">
        <v>3219</v>
      </c>
      <c r="E619">
        <v>31.44</v>
      </c>
      <c r="F619">
        <v>74.83</v>
      </c>
    </row>
    <row r="620" spans="1:6" x14ac:dyDescent="0.25">
      <c r="A620" t="s">
        <v>561</v>
      </c>
      <c r="B620" t="s">
        <v>21</v>
      </c>
      <c r="C620" t="s">
        <v>146</v>
      </c>
      <c r="D620" t="s">
        <v>3217</v>
      </c>
      <c r="E620">
        <v>0</v>
      </c>
      <c r="F620">
        <v>74.81</v>
      </c>
    </row>
    <row r="621" spans="1:6" x14ac:dyDescent="0.25">
      <c r="A621" t="s">
        <v>561</v>
      </c>
      <c r="B621" t="s">
        <v>21</v>
      </c>
      <c r="C621" t="s">
        <v>146</v>
      </c>
      <c r="D621" t="s">
        <v>3218</v>
      </c>
      <c r="E621">
        <v>17.48</v>
      </c>
      <c r="F621">
        <v>75.099999999999994</v>
      </c>
    </row>
    <row r="622" spans="1:6" x14ac:dyDescent="0.25">
      <c r="A622" t="s">
        <v>561</v>
      </c>
      <c r="B622" t="s">
        <v>21</v>
      </c>
      <c r="C622" t="s">
        <v>146</v>
      </c>
      <c r="D622" t="s">
        <v>3219</v>
      </c>
      <c r="E622">
        <v>31.76</v>
      </c>
      <c r="F622">
        <v>74.599999999999994</v>
      </c>
    </row>
    <row r="623" spans="1:6" x14ac:dyDescent="0.25">
      <c r="A623" t="s">
        <v>562</v>
      </c>
      <c r="B623" t="s">
        <v>21</v>
      </c>
      <c r="C623" t="s">
        <v>147</v>
      </c>
      <c r="D623" t="s">
        <v>3217</v>
      </c>
      <c r="E623">
        <v>0</v>
      </c>
      <c r="F623">
        <v>74.69</v>
      </c>
    </row>
    <row r="624" spans="1:6" x14ac:dyDescent="0.25">
      <c r="A624" t="s">
        <v>562</v>
      </c>
      <c r="B624" t="s">
        <v>21</v>
      </c>
      <c r="C624" t="s">
        <v>147</v>
      </c>
      <c r="D624" t="s">
        <v>3218</v>
      </c>
      <c r="E624">
        <v>17.75</v>
      </c>
      <c r="F624">
        <v>74.790000000000006</v>
      </c>
    </row>
    <row r="625" spans="1:6" x14ac:dyDescent="0.25">
      <c r="A625" t="s">
        <v>562</v>
      </c>
      <c r="B625" t="s">
        <v>21</v>
      </c>
      <c r="C625" t="s">
        <v>147</v>
      </c>
      <c r="D625" t="s">
        <v>3219</v>
      </c>
      <c r="E625">
        <v>31.96</v>
      </c>
      <c r="F625">
        <v>74.28</v>
      </c>
    </row>
    <row r="626" spans="1:6" x14ac:dyDescent="0.25">
      <c r="A626" t="s">
        <v>563</v>
      </c>
      <c r="B626" t="s">
        <v>21</v>
      </c>
      <c r="C626" t="s">
        <v>148</v>
      </c>
      <c r="D626" t="s">
        <v>3217</v>
      </c>
      <c r="E626">
        <v>0</v>
      </c>
      <c r="F626">
        <v>74.37</v>
      </c>
    </row>
    <row r="627" spans="1:6" x14ac:dyDescent="0.25">
      <c r="A627" t="s">
        <v>563</v>
      </c>
      <c r="B627" t="s">
        <v>21</v>
      </c>
      <c r="C627" t="s">
        <v>148</v>
      </c>
      <c r="D627" t="s">
        <v>3218</v>
      </c>
      <c r="E627">
        <v>16.18</v>
      </c>
      <c r="F627">
        <v>74.510000000000005</v>
      </c>
    </row>
    <row r="628" spans="1:6" x14ac:dyDescent="0.25">
      <c r="A628" t="s">
        <v>563</v>
      </c>
      <c r="B628" t="s">
        <v>21</v>
      </c>
      <c r="C628" t="s">
        <v>148</v>
      </c>
      <c r="D628" t="s">
        <v>3219</v>
      </c>
      <c r="E628">
        <v>30.4</v>
      </c>
      <c r="F628">
        <v>73.94</v>
      </c>
    </row>
    <row r="629" spans="1:6" x14ac:dyDescent="0.25">
      <c r="A629" t="s">
        <v>564</v>
      </c>
      <c r="B629" t="s">
        <v>21</v>
      </c>
      <c r="C629" t="s">
        <v>149</v>
      </c>
      <c r="D629" t="s">
        <v>3217</v>
      </c>
      <c r="E629">
        <v>0</v>
      </c>
      <c r="F629">
        <v>74.27</v>
      </c>
    </row>
    <row r="630" spans="1:6" x14ac:dyDescent="0.25">
      <c r="A630" t="s">
        <v>564</v>
      </c>
      <c r="B630" t="s">
        <v>21</v>
      </c>
      <c r="C630" t="s">
        <v>149</v>
      </c>
      <c r="D630" t="s">
        <v>3218</v>
      </c>
      <c r="E630">
        <v>15.47</v>
      </c>
      <c r="F630">
        <v>74.41</v>
      </c>
    </row>
    <row r="631" spans="1:6" x14ac:dyDescent="0.25">
      <c r="A631" t="s">
        <v>564</v>
      </c>
      <c r="B631" t="s">
        <v>21</v>
      </c>
      <c r="C631" t="s">
        <v>149</v>
      </c>
      <c r="D631" t="s">
        <v>3219</v>
      </c>
      <c r="E631">
        <v>29.57</v>
      </c>
      <c r="F631">
        <v>73.84</v>
      </c>
    </row>
    <row r="632" spans="1:6" x14ac:dyDescent="0.25">
      <c r="A632" t="s">
        <v>565</v>
      </c>
      <c r="B632" t="s">
        <v>21</v>
      </c>
      <c r="C632" t="s">
        <v>150</v>
      </c>
      <c r="D632" t="s">
        <v>3217</v>
      </c>
      <c r="E632">
        <v>0</v>
      </c>
      <c r="F632">
        <v>74.31</v>
      </c>
    </row>
    <row r="633" spans="1:6" x14ac:dyDescent="0.25">
      <c r="A633" t="s">
        <v>565</v>
      </c>
      <c r="B633" t="s">
        <v>21</v>
      </c>
      <c r="C633" t="s">
        <v>150</v>
      </c>
      <c r="D633" t="s">
        <v>3218</v>
      </c>
      <c r="E633">
        <v>16.02</v>
      </c>
      <c r="F633">
        <v>74.319999999999993</v>
      </c>
    </row>
    <row r="634" spans="1:6" x14ac:dyDescent="0.25">
      <c r="A634" t="s">
        <v>565</v>
      </c>
      <c r="B634" t="s">
        <v>21</v>
      </c>
      <c r="C634" t="s">
        <v>150</v>
      </c>
      <c r="D634" t="s">
        <v>3219</v>
      </c>
      <c r="E634">
        <v>29.3</v>
      </c>
      <c r="F634">
        <v>73.81</v>
      </c>
    </row>
    <row r="635" spans="1:6" x14ac:dyDescent="0.25">
      <c r="A635" t="s">
        <v>566</v>
      </c>
      <c r="B635" t="s">
        <v>21</v>
      </c>
      <c r="C635" t="s">
        <v>151</v>
      </c>
      <c r="D635" t="s">
        <v>3217</v>
      </c>
      <c r="E635">
        <v>0</v>
      </c>
      <c r="F635">
        <v>74.319999999999993</v>
      </c>
    </row>
    <row r="636" spans="1:6" x14ac:dyDescent="0.25">
      <c r="A636" t="s">
        <v>566</v>
      </c>
      <c r="B636" t="s">
        <v>21</v>
      </c>
      <c r="C636" t="s">
        <v>151</v>
      </c>
      <c r="D636" t="s">
        <v>3218</v>
      </c>
      <c r="E636">
        <v>14.11</v>
      </c>
      <c r="F636">
        <v>74.209999999999994</v>
      </c>
    </row>
    <row r="637" spans="1:6" x14ac:dyDescent="0.25">
      <c r="A637" t="s">
        <v>566</v>
      </c>
      <c r="B637" t="s">
        <v>21</v>
      </c>
      <c r="C637" t="s">
        <v>151</v>
      </c>
      <c r="D637" t="s">
        <v>3219</v>
      </c>
      <c r="E637">
        <v>28.21</v>
      </c>
      <c r="F637">
        <v>73.8</v>
      </c>
    </row>
    <row r="638" spans="1:6" x14ac:dyDescent="0.25">
      <c r="A638" t="s">
        <v>567</v>
      </c>
      <c r="B638" t="s">
        <v>21</v>
      </c>
      <c r="C638" t="s">
        <v>152</v>
      </c>
      <c r="D638" t="s">
        <v>3217</v>
      </c>
      <c r="E638">
        <v>0</v>
      </c>
      <c r="F638">
        <v>74.14</v>
      </c>
    </row>
    <row r="639" spans="1:6" x14ac:dyDescent="0.25">
      <c r="A639" t="s">
        <v>567</v>
      </c>
      <c r="B639" t="s">
        <v>21</v>
      </c>
      <c r="C639" t="s">
        <v>152</v>
      </c>
      <c r="D639" t="s">
        <v>3218</v>
      </c>
      <c r="E639">
        <v>14.06</v>
      </c>
      <c r="F639">
        <v>73.989999999999995</v>
      </c>
    </row>
    <row r="640" spans="1:6" x14ac:dyDescent="0.25">
      <c r="A640" t="s">
        <v>567</v>
      </c>
      <c r="B640" t="s">
        <v>21</v>
      </c>
      <c r="C640" t="s">
        <v>152</v>
      </c>
      <c r="D640" t="s">
        <v>3219</v>
      </c>
      <c r="E640">
        <v>29.42</v>
      </c>
      <c r="F640">
        <v>73.52</v>
      </c>
    </row>
    <row r="641" spans="1:6" x14ac:dyDescent="0.25">
      <c r="A641" t="s">
        <v>568</v>
      </c>
      <c r="B641" t="s">
        <v>21</v>
      </c>
      <c r="C641" t="s">
        <v>153</v>
      </c>
      <c r="D641" t="s">
        <v>3217</v>
      </c>
      <c r="E641">
        <v>0</v>
      </c>
      <c r="F641">
        <v>73.84</v>
      </c>
    </row>
    <row r="642" spans="1:6" x14ac:dyDescent="0.25">
      <c r="A642" t="s">
        <v>568</v>
      </c>
      <c r="B642" t="s">
        <v>21</v>
      </c>
      <c r="C642" t="s">
        <v>153</v>
      </c>
      <c r="D642" t="s">
        <v>3218</v>
      </c>
      <c r="E642">
        <v>13.24</v>
      </c>
      <c r="F642">
        <v>73.73</v>
      </c>
    </row>
    <row r="643" spans="1:6" x14ac:dyDescent="0.25">
      <c r="A643" t="s">
        <v>568</v>
      </c>
      <c r="B643" t="s">
        <v>21</v>
      </c>
      <c r="C643" t="s">
        <v>153</v>
      </c>
      <c r="D643" t="s">
        <v>3219</v>
      </c>
      <c r="E643">
        <v>29.18</v>
      </c>
      <c r="F643">
        <v>72.88</v>
      </c>
    </row>
    <row r="644" spans="1:6" x14ac:dyDescent="0.25">
      <c r="A644" t="s">
        <v>569</v>
      </c>
      <c r="B644" t="s">
        <v>21</v>
      </c>
      <c r="C644" t="s">
        <v>154</v>
      </c>
      <c r="D644" t="s">
        <v>3217</v>
      </c>
      <c r="E644">
        <v>0</v>
      </c>
      <c r="F644">
        <v>74</v>
      </c>
    </row>
    <row r="645" spans="1:6" x14ac:dyDescent="0.25">
      <c r="A645" t="s">
        <v>569</v>
      </c>
      <c r="B645" t="s">
        <v>21</v>
      </c>
      <c r="C645" t="s">
        <v>154</v>
      </c>
      <c r="D645" t="s">
        <v>3218</v>
      </c>
      <c r="E645">
        <v>14.41</v>
      </c>
      <c r="F645">
        <v>73.69</v>
      </c>
    </row>
    <row r="646" spans="1:6" x14ac:dyDescent="0.25">
      <c r="A646" t="s">
        <v>569</v>
      </c>
      <c r="B646" t="s">
        <v>21</v>
      </c>
      <c r="C646" t="s">
        <v>154</v>
      </c>
      <c r="D646" t="s">
        <v>3219</v>
      </c>
      <c r="E646">
        <v>29.81</v>
      </c>
      <c r="F646">
        <v>72.790000000000006</v>
      </c>
    </row>
    <row r="647" spans="1:6" x14ac:dyDescent="0.25">
      <c r="A647" t="s">
        <v>570</v>
      </c>
      <c r="B647" t="s">
        <v>21</v>
      </c>
      <c r="C647" t="s">
        <v>155</v>
      </c>
      <c r="D647" t="s">
        <v>3217</v>
      </c>
      <c r="E647">
        <v>0</v>
      </c>
      <c r="F647">
        <v>74.099999999999994</v>
      </c>
    </row>
    <row r="648" spans="1:6" x14ac:dyDescent="0.25">
      <c r="A648" t="s">
        <v>570</v>
      </c>
      <c r="B648" t="s">
        <v>21</v>
      </c>
      <c r="C648" t="s">
        <v>155</v>
      </c>
      <c r="D648" t="s">
        <v>3218</v>
      </c>
      <c r="E648">
        <v>14.3</v>
      </c>
      <c r="F648">
        <v>73.69</v>
      </c>
    </row>
    <row r="649" spans="1:6" x14ac:dyDescent="0.25">
      <c r="A649" t="s">
        <v>570</v>
      </c>
      <c r="B649" t="s">
        <v>21</v>
      </c>
      <c r="C649" t="s">
        <v>155</v>
      </c>
      <c r="D649" t="s">
        <v>3219</v>
      </c>
      <c r="E649">
        <v>29.3</v>
      </c>
      <c r="F649">
        <v>72.64</v>
      </c>
    </row>
    <row r="650" spans="1:6" x14ac:dyDescent="0.25">
      <c r="A650" t="s">
        <v>571</v>
      </c>
      <c r="B650" t="s">
        <v>21</v>
      </c>
      <c r="C650" t="s">
        <v>156</v>
      </c>
      <c r="D650" t="s">
        <v>3217</v>
      </c>
      <c r="E650">
        <v>0</v>
      </c>
      <c r="F650">
        <v>74.260000000000005</v>
      </c>
    </row>
    <row r="651" spans="1:6" x14ac:dyDescent="0.25">
      <c r="A651" t="s">
        <v>571</v>
      </c>
      <c r="B651" t="s">
        <v>21</v>
      </c>
      <c r="C651" t="s">
        <v>156</v>
      </c>
      <c r="D651" t="s">
        <v>3218</v>
      </c>
      <c r="E651">
        <v>13.58</v>
      </c>
      <c r="F651">
        <v>73.81</v>
      </c>
    </row>
    <row r="652" spans="1:6" x14ac:dyDescent="0.25">
      <c r="A652" t="s">
        <v>571</v>
      </c>
      <c r="B652" t="s">
        <v>21</v>
      </c>
      <c r="C652" t="s">
        <v>156</v>
      </c>
      <c r="D652" t="s">
        <v>3219</v>
      </c>
      <c r="E652">
        <v>29.43</v>
      </c>
      <c r="F652">
        <v>72.680000000000007</v>
      </c>
    </row>
    <row r="653" spans="1:6" x14ac:dyDescent="0.25">
      <c r="A653" t="s">
        <v>572</v>
      </c>
      <c r="B653" t="s">
        <v>21</v>
      </c>
      <c r="C653" t="s">
        <v>157</v>
      </c>
      <c r="D653" t="s">
        <v>3217</v>
      </c>
      <c r="E653">
        <v>0</v>
      </c>
      <c r="F653">
        <v>74.239999999999995</v>
      </c>
    </row>
    <row r="654" spans="1:6" x14ac:dyDescent="0.25">
      <c r="A654" t="s">
        <v>572</v>
      </c>
      <c r="B654" t="s">
        <v>21</v>
      </c>
      <c r="C654" t="s">
        <v>157</v>
      </c>
      <c r="D654" t="s">
        <v>3218</v>
      </c>
      <c r="E654">
        <v>14.12</v>
      </c>
      <c r="F654">
        <v>74.040000000000006</v>
      </c>
    </row>
    <row r="655" spans="1:6" x14ac:dyDescent="0.25">
      <c r="A655" t="s">
        <v>572</v>
      </c>
      <c r="B655" t="s">
        <v>21</v>
      </c>
      <c r="C655" t="s">
        <v>157</v>
      </c>
      <c r="D655" t="s">
        <v>3219</v>
      </c>
      <c r="E655">
        <v>29.81</v>
      </c>
      <c r="F655">
        <v>72.95</v>
      </c>
    </row>
    <row r="656" spans="1:6" x14ac:dyDescent="0.25">
      <c r="A656" t="s">
        <v>573</v>
      </c>
      <c r="B656" t="s">
        <v>21</v>
      </c>
      <c r="C656" t="s">
        <v>158</v>
      </c>
      <c r="D656" t="s">
        <v>3217</v>
      </c>
      <c r="E656">
        <v>0</v>
      </c>
      <c r="F656">
        <v>74.19</v>
      </c>
    </row>
    <row r="657" spans="1:6" x14ac:dyDescent="0.25">
      <c r="A657" t="s">
        <v>573</v>
      </c>
      <c r="B657" t="s">
        <v>21</v>
      </c>
      <c r="C657" t="s">
        <v>158</v>
      </c>
      <c r="D657" t="s">
        <v>3218</v>
      </c>
      <c r="E657">
        <v>15.95</v>
      </c>
      <c r="F657">
        <v>74.34</v>
      </c>
    </row>
    <row r="658" spans="1:6" x14ac:dyDescent="0.25">
      <c r="A658" t="s">
        <v>573</v>
      </c>
      <c r="B658" t="s">
        <v>21</v>
      </c>
      <c r="C658" t="s">
        <v>158</v>
      </c>
      <c r="D658" t="s">
        <v>3219</v>
      </c>
      <c r="E658">
        <v>31.84</v>
      </c>
      <c r="F658">
        <v>73.14</v>
      </c>
    </row>
    <row r="659" spans="1:6" x14ac:dyDescent="0.25">
      <c r="A659" t="s">
        <v>574</v>
      </c>
      <c r="B659" t="s">
        <v>21</v>
      </c>
      <c r="C659" t="s">
        <v>159</v>
      </c>
      <c r="D659" t="s">
        <v>3217</v>
      </c>
      <c r="E659">
        <v>0</v>
      </c>
      <c r="F659">
        <v>74.44</v>
      </c>
    </row>
    <row r="660" spans="1:6" x14ac:dyDescent="0.25">
      <c r="A660" t="s">
        <v>574</v>
      </c>
      <c r="B660" t="s">
        <v>21</v>
      </c>
      <c r="C660" t="s">
        <v>159</v>
      </c>
      <c r="D660" t="s">
        <v>3218</v>
      </c>
      <c r="E660">
        <v>20</v>
      </c>
      <c r="F660">
        <v>74.010000000000005</v>
      </c>
    </row>
    <row r="661" spans="1:6" x14ac:dyDescent="0.25">
      <c r="A661" t="s">
        <v>574</v>
      </c>
      <c r="B661" t="s">
        <v>21</v>
      </c>
      <c r="C661" t="s">
        <v>159</v>
      </c>
      <c r="D661" t="s">
        <v>3219</v>
      </c>
      <c r="E661">
        <v>36.01</v>
      </c>
      <c r="F661">
        <v>72.97</v>
      </c>
    </row>
    <row r="662" spans="1:6" x14ac:dyDescent="0.25">
      <c r="A662" t="s">
        <v>575</v>
      </c>
      <c r="B662" t="s">
        <v>21</v>
      </c>
      <c r="C662" t="s">
        <v>160</v>
      </c>
      <c r="D662" t="s">
        <v>3217</v>
      </c>
      <c r="E662">
        <v>0</v>
      </c>
      <c r="F662">
        <v>74.3</v>
      </c>
    </row>
    <row r="663" spans="1:6" x14ac:dyDescent="0.25">
      <c r="A663" t="s">
        <v>575</v>
      </c>
      <c r="B663" t="s">
        <v>21</v>
      </c>
      <c r="C663" t="s">
        <v>160</v>
      </c>
      <c r="D663" t="s">
        <v>3218</v>
      </c>
      <c r="E663">
        <v>20</v>
      </c>
      <c r="F663">
        <v>72.97</v>
      </c>
    </row>
    <row r="664" spans="1:6" x14ac:dyDescent="0.25">
      <c r="A664" t="s">
        <v>575</v>
      </c>
      <c r="B664" t="s">
        <v>21</v>
      </c>
      <c r="C664" t="s">
        <v>160</v>
      </c>
      <c r="D664" t="s">
        <v>3219</v>
      </c>
      <c r="E664">
        <v>36.28</v>
      </c>
      <c r="F664">
        <v>71.84</v>
      </c>
    </row>
    <row r="665" spans="1:6" x14ac:dyDescent="0.25">
      <c r="A665" t="s">
        <v>576</v>
      </c>
      <c r="B665" t="s">
        <v>21</v>
      </c>
      <c r="C665" t="s">
        <v>161</v>
      </c>
      <c r="D665" t="s">
        <v>3217</v>
      </c>
      <c r="E665">
        <v>0</v>
      </c>
      <c r="F665">
        <v>73.75</v>
      </c>
    </row>
    <row r="666" spans="1:6" x14ac:dyDescent="0.25">
      <c r="A666" t="s">
        <v>576</v>
      </c>
      <c r="B666" t="s">
        <v>21</v>
      </c>
      <c r="C666" t="s">
        <v>161</v>
      </c>
      <c r="D666" t="s">
        <v>3218</v>
      </c>
      <c r="E666">
        <v>20</v>
      </c>
      <c r="F666">
        <v>73.900000000000006</v>
      </c>
    </row>
    <row r="667" spans="1:6" x14ac:dyDescent="0.25">
      <c r="A667" t="s">
        <v>576</v>
      </c>
      <c r="B667" t="s">
        <v>21</v>
      </c>
      <c r="C667" t="s">
        <v>161</v>
      </c>
      <c r="D667" t="s">
        <v>3219</v>
      </c>
      <c r="E667">
        <v>37.78</v>
      </c>
      <c r="F667">
        <v>70.86</v>
      </c>
    </row>
    <row r="668" spans="1:6" x14ac:dyDescent="0.25">
      <c r="A668" t="s">
        <v>577</v>
      </c>
      <c r="B668" t="s">
        <v>21</v>
      </c>
      <c r="C668" t="s">
        <v>162</v>
      </c>
      <c r="D668" t="s">
        <v>3217</v>
      </c>
      <c r="E668">
        <v>0</v>
      </c>
      <c r="F668">
        <v>74.599999999999994</v>
      </c>
    </row>
    <row r="669" spans="1:6" x14ac:dyDescent="0.25">
      <c r="A669" t="s">
        <v>577</v>
      </c>
      <c r="B669" t="s">
        <v>21</v>
      </c>
      <c r="C669" t="s">
        <v>162</v>
      </c>
      <c r="D669" t="s">
        <v>3218</v>
      </c>
      <c r="E669">
        <v>20</v>
      </c>
      <c r="F669">
        <v>72.319999999999993</v>
      </c>
    </row>
    <row r="670" spans="1:6" x14ac:dyDescent="0.25">
      <c r="A670" t="s">
        <v>577</v>
      </c>
      <c r="B670" t="s">
        <v>21</v>
      </c>
      <c r="C670" t="s">
        <v>162</v>
      </c>
      <c r="D670" t="s">
        <v>3219</v>
      </c>
      <c r="E670">
        <v>37.24</v>
      </c>
      <c r="F670">
        <v>69.81</v>
      </c>
    </row>
    <row r="671" spans="1:6" x14ac:dyDescent="0.25">
      <c r="A671" t="s">
        <v>578</v>
      </c>
      <c r="B671" t="s">
        <v>21</v>
      </c>
      <c r="C671" t="s">
        <v>163</v>
      </c>
      <c r="D671" t="s">
        <v>3217</v>
      </c>
      <c r="E671">
        <v>0</v>
      </c>
      <c r="F671">
        <v>72.16</v>
      </c>
    </row>
    <row r="672" spans="1:6" x14ac:dyDescent="0.25">
      <c r="A672" t="s">
        <v>578</v>
      </c>
      <c r="B672" t="s">
        <v>21</v>
      </c>
      <c r="C672" t="s">
        <v>163</v>
      </c>
      <c r="D672" t="s">
        <v>3218</v>
      </c>
      <c r="E672">
        <v>20</v>
      </c>
      <c r="F672">
        <v>70.489999999999995</v>
      </c>
    </row>
    <row r="673" spans="1:6" x14ac:dyDescent="0.25">
      <c r="A673" t="s">
        <v>578</v>
      </c>
      <c r="B673" t="s">
        <v>21</v>
      </c>
      <c r="C673" t="s">
        <v>163</v>
      </c>
      <c r="D673" t="s">
        <v>3219</v>
      </c>
      <c r="E673">
        <v>40</v>
      </c>
      <c r="F673">
        <v>68.650000000000006</v>
      </c>
    </row>
    <row r="674" spans="1:6" x14ac:dyDescent="0.25">
      <c r="A674" t="s">
        <v>579</v>
      </c>
      <c r="B674" t="s">
        <v>21</v>
      </c>
      <c r="C674" t="s">
        <v>164</v>
      </c>
      <c r="D674" t="s">
        <v>3217</v>
      </c>
      <c r="E674">
        <v>0</v>
      </c>
      <c r="F674">
        <v>69.62</v>
      </c>
    </row>
    <row r="675" spans="1:6" x14ac:dyDescent="0.25">
      <c r="A675" t="s">
        <v>579</v>
      </c>
      <c r="B675" t="s">
        <v>21</v>
      </c>
      <c r="C675" t="s">
        <v>164</v>
      </c>
      <c r="D675" t="s">
        <v>3218</v>
      </c>
      <c r="E675">
        <v>20</v>
      </c>
      <c r="F675">
        <v>69.66</v>
      </c>
    </row>
    <row r="676" spans="1:6" x14ac:dyDescent="0.25">
      <c r="A676" t="s">
        <v>579</v>
      </c>
      <c r="B676" t="s">
        <v>21</v>
      </c>
      <c r="C676" t="s">
        <v>164</v>
      </c>
      <c r="D676" t="s">
        <v>3219</v>
      </c>
      <c r="E676">
        <v>40</v>
      </c>
      <c r="F676">
        <v>68.599999999999994</v>
      </c>
    </row>
    <row r="677" spans="1:6" x14ac:dyDescent="0.25">
      <c r="A677" t="s">
        <v>580</v>
      </c>
      <c r="B677" t="s">
        <v>21</v>
      </c>
      <c r="C677" t="s">
        <v>165</v>
      </c>
      <c r="D677" t="s">
        <v>3217</v>
      </c>
      <c r="E677">
        <v>0</v>
      </c>
      <c r="F677">
        <v>69.62</v>
      </c>
    </row>
    <row r="678" spans="1:6" x14ac:dyDescent="0.25">
      <c r="A678" t="s">
        <v>580</v>
      </c>
      <c r="B678" t="s">
        <v>21</v>
      </c>
      <c r="C678" t="s">
        <v>165</v>
      </c>
      <c r="D678" t="s">
        <v>3218</v>
      </c>
      <c r="E678">
        <v>20</v>
      </c>
      <c r="F678">
        <v>69.64</v>
      </c>
    </row>
    <row r="679" spans="1:6" x14ac:dyDescent="0.25">
      <c r="A679" t="s">
        <v>580</v>
      </c>
      <c r="B679" t="s">
        <v>21</v>
      </c>
      <c r="C679" t="s">
        <v>165</v>
      </c>
      <c r="D679" t="s">
        <v>3219</v>
      </c>
      <c r="E679">
        <v>40</v>
      </c>
      <c r="F679">
        <v>68.599999999999994</v>
      </c>
    </row>
    <row r="680" spans="1:6" x14ac:dyDescent="0.25">
      <c r="A680" t="s">
        <v>581</v>
      </c>
      <c r="B680" t="s">
        <v>22</v>
      </c>
      <c r="C680" t="s">
        <v>56</v>
      </c>
      <c r="D680" t="s">
        <v>3217</v>
      </c>
      <c r="E680">
        <v>0</v>
      </c>
      <c r="F680">
        <v>69.489999999999995</v>
      </c>
    </row>
    <row r="681" spans="1:6" x14ac:dyDescent="0.25">
      <c r="A681" t="s">
        <v>581</v>
      </c>
      <c r="B681" t="s">
        <v>22</v>
      </c>
      <c r="C681" t="s">
        <v>56</v>
      </c>
      <c r="D681" t="s">
        <v>3218</v>
      </c>
      <c r="E681">
        <v>20</v>
      </c>
      <c r="F681">
        <v>69.22</v>
      </c>
    </row>
    <row r="682" spans="1:6" x14ac:dyDescent="0.25">
      <c r="A682" t="s">
        <v>581</v>
      </c>
      <c r="B682" t="s">
        <v>22</v>
      </c>
      <c r="C682" t="s">
        <v>56</v>
      </c>
      <c r="D682" t="s">
        <v>3219</v>
      </c>
      <c r="E682">
        <v>40</v>
      </c>
      <c r="F682">
        <v>68.92</v>
      </c>
    </row>
    <row r="683" spans="1:6" x14ac:dyDescent="0.25">
      <c r="A683" t="s">
        <v>582</v>
      </c>
      <c r="B683" t="s">
        <v>22</v>
      </c>
      <c r="C683" t="s">
        <v>57</v>
      </c>
      <c r="D683" t="s">
        <v>3217</v>
      </c>
      <c r="E683">
        <v>0</v>
      </c>
      <c r="F683">
        <v>70.17</v>
      </c>
    </row>
    <row r="684" spans="1:6" x14ac:dyDescent="0.25">
      <c r="A684" t="s">
        <v>582</v>
      </c>
      <c r="B684" t="s">
        <v>22</v>
      </c>
      <c r="C684" t="s">
        <v>57</v>
      </c>
      <c r="D684" t="s">
        <v>3218</v>
      </c>
      <c r="E684">
        <v>20</v>
      </c>
      <c r="F684">
        <v>70.09</v>
      </c>
    </row>
    <row r="685" spans="1:6" x14ac:dyDescent="0.25">
      <c r="A685" t="s">
        <v>582</v>
      </c>
      <c r="B685" t="s">
        <v>22</v>
      </c>
      <c r="C685" t="s">
        <v>57</v>
      </c>
      <c r="D685" t="s">
        <v>3219</v>
      </c>
      <c r="E685">
        <v>40</v>
      </c>
      <c r="F685">
        <v>69.5</v>
      </c>
    </row>
    <row r="686" spans="1:6" x14ac:dyDescent="0.25">
      <c r="A686" t="s">
        <v>583</v>
      </c>
      <c r="B686" t="s">
        <v>22</v>
      </c>
      <c r="C686" t="s">
        <v>58</v>
      </c>
      <c r="D686" t="s">
        <v>3217</v>
      </c>
      <c r="E686">
        <v>0</v>
      </c>
      <c r="F686">
        <v>70.89</v>
      </c>
    </row>
    <row r="687" spans="1:6" x14ac:dyDescent="0.25">
      <c r="A687" t="s">
        <v>583</v>
      </c>
      <c r="B687" t="s">
        <v>22</v>
      </c>
      <c r="C687" t="s">
        <v>58</v>
      </c>
      <c r="D687" t="s">
        <v>3218</v>
      </c>
      <c r="E687">
        <v>18.3</v>
      </c>
      <c r="F687">
        <v>70.55</v>
      </c>
    </row>
    <row r="688" spans="1:6" x14ac:dyDescent="0.25">
      <c r="A688" t="s">
        <v>583</v>
      </c>
      <c r="B688" t="s">
        <v>22</v>
      </c>
      <c r="C688" t="s">
        <v>58</v>
      </c>
      <c r="D688" t="s">
        <v>3219</v>
      </c>
      <c r="E688">
        <v>38.299999999999997</v>
      </c>
      <c r="F688">
        <v>70.459999999999994</v>
      </c>
    </row>
    <row r="689" spans="1:6" x14ac:dyDescent="0.25">
      <c r="A689" t="s">
        <v>584</v>
      </c>
      <c r="B689" t="s">
        <v>22</v>
      </c>
      <c r="C689" t="s">
        <v>59</v>
      </c>
      <c r="D689" t="s">
        <v>3217</v>
      </c>
      <c r="E689">
        <v>0</v>
      </c>
      <c r="F689">
        <v>71.64</v>
      </c>
    </row>
    <row r="690" spans="1:6" x14ac:dyDescent="0.25">
      <c r="A690" t="s">
        <v>584</v>
      </c>
      <c r="B690" t="s">
        <v>22</v>
      </c>
      <c r="C690" t="s">
        <v>59</v>
      </c>
      <c r="D690" t="s">
        <v>3218</v>
      </c>
      <c r="E690">
        <v>17.84</v>
      </c>
      <c r="F690">
        <v>71.33</v>
      </c>
    </row>
    <row r="691" spans="1:6" x14ac:dyDescent="0.25">
      <c r="A691" t="s">
        <v>584</v>
      </c>
      <c r="B691" t="s">
        <v>22</v>
      </c>
      <c r="C691" t="s">
        <v>59</v>
      </c>
      <c r="D691" t="s">
        <v>3219</v>
      </c>
      <c r="E691">
        <v>37.840000000000003</v>
      </c>
      <c r="F691">
        <v>71.209999999999994</v>
      </c>
    </row>
    <row r="692" spans="1:6" x14ac:dyDescent="0.25">
      <c r="A692" t="s">
        <v>585</v>
      </c>
      <c r="B692" t="s">
        <v>22</v>
      </c>
      <c r="C692" t="s">
        <v>60</v>
      </c>
      <c r="D692" t="s">
        <v>3217</v>
      </c>
      <c r="E692">
        <v>0</v>
      </c>
      <c r="F692">
        <v>72.650000000000006</v>
      </c>
    </row>
    <row r="693" spans="1:6" x14ac:dyDescent="0.25">
      <c r="A693" t="s">
        <v>585</v>
      </c>
      <c r="B693" t="s">
        <v>22</v>
      </c>
      <c r="C693" t="s">
        <v>60</v>
      </c>
      <c r="D693" t="s">
        <v>3218</v>
      </c>
      <c r="E693">
        <v>17.54</v>
      </c>
      <c r="F693">
        <v>72.39</v>
      </c>
    </row>
    <row r="694" spans="1:6" x14ac:dyDescent="0.25">
      <c r="A694" t="s">
        <v>585</v>
      </c>
      <c r="B694" t="s">
        <v>22</v>
      </c>
      <c r="C694" t="s">
        <v>60</v>
      </c>
      <c r="D694" t="s">
        <v>3219</v>
      </c>
      <c r="E694">
        <v>37.54</v>
      </c>
      <c r="F694">
        <v>72.540000000000006</v>
      </c>
    </row>
    <row r="695" spans="1:6" x14ac:dyDescent="0.25">
      <c r="A695" t="s">
        <v>586</v>
      </c>
      <c r="B695" t="s">
        <v>22</v>
      </c>
      <c r="C695" t="s">
        <v>61</v>
      </c>
      <c r="D695" t="s">
        <v>3217</v>
      </c>
      <c r="E695">
        <v>0</v>
      </c>
      <c r="F695">
        <v>74.040000000000006</v>
      </c>
    </row>
    <row r="696" spans="1:6" x14ac:dyDescent="0.25">
      <c r="A696" t="s">
        <v>586</v>
      </c>
      <c r="B696" t="s">
        <v>22</v>
      </c>
      <c r="C696" t="s">
        <v>61</v>
      </c>
      <c r="D696" t="s">
        <v>3218</v>
      </c>
      <c r="E696">
        <v>17.54</v>
      </c>
      <c r="F696">
        <v>73.95</v>
      </c>
    </row>
    <row r="697" spans="1:6" x14ac:dyDescent="0.25">
      <c r="A697" t="s">
        <v>586</v>
      </c>
      <c r="B697" t="s">
        <v>22</v>
      </c>
      <c r="C697" t="s">
        <v>61</v>
      </c>
      <c r="D697" t="s">
        <v>3219</v>
      </c>
      <c r="E697">
        <v>33.43</v>
      </c>
      <c r="F697">
        <v>73.62</v>
      </c>
    </row>
    <row r="698" spans="1:6" x14ac:dyDescent="0.25">
      <c r="A698" t="s">
        <v>587</v>
      </c>
      <c r="B698" t="s">
        <v>22</v>
      </c>
      <c r="C698" t="s">
        <v>62</v>
      </c>
      <c r="D698" t="s">
        <v>3217</v>
      </c>
      <c r="E698">
        <v>0</v>
      </c>
      <c r="F698">
        <v>75.52</v>
      </c>
    </row>
    <row r="699" spans="1:6" x14ac:dyDescent="0.25">
      <c r="A699" t="s">
        <v>587</v>
      </c>
      <c r="B699" t="s">
        <v>22</v>
      </c>
      <c r="C699" t="s">
        <v>62</v>
      </c>
      <c r="D699" t="s">
        <v>3218</v>
      </c>
      <c r="E699">
        <v>17.13</v>
      </c>
      <c r="F699">
        <v>75.33</v>
      </c>
    </row>
    <row r="700" spans="1:6" x14ac:dyDescent="0.25">
      <c r="A700" t="s">
        <v>587</v>
      </c>
      <c r="B700" t="s">
        <v>22</v>
      </c>
      <c r="C700" t="s">
        <v>62</v>
      </c>
      <c r="D700" t="s">
        <v>3219</v>
      </c>
      <c r="E700">
        <v>33.39</v>
      </c>
      <c r="F700">
        <v>74.87</v>
      </c>
    </row>
    <row r="701" spans="1:6" x14ac:dyDescent="0.25">
      <c r="A701" t="s">
        <v>588</v>
      </c>
      <c r="B701" t="s">
        <v>22</v>
      </c>
      <c r="C701" t="s">
        <v>63</v>
      </c>
      <c r="D701" t="s">
        <v>3217</v>
      </c>
      <c r="E701">
        <v>0</v>
      </c>
      <c r="F701">
        <v>76.88</v>
      </c>
    </row>
    <row r="702" spans="1:6" x14ac:dyDescent="0.25">
      <c r="A702" t="s">
        <v>588</v>
      </c>
      <c r="B702" t="s">
        <v>22</v>
      </c>
      <c r="C702" t="s">
        <v>63</v>
      </c>
      <c r="D702" t="s">
        <v>3218</v>
      </c>
      <c r="E702">
        <v>16.95</v>
      </c>
      <c r="F702">
        <v>76.69</v>
      </c>
    </row>
    <row r="703" spans="1:6" x14ac:dyDescent="0.25">
      <c r="A703" t="s">
        <v>588</v>
      </c>
      <c r="B703" t="s">
        <v>22</v>
      </c>
      <c r="C703" t="s">
        <v>63</v>
      </c>
      <c r="D703" t="s">
        <v>3219</v>
      </c>
      <c r="E703">
        <v>32.590000000000003</v>
      </c>
      <c r="F703">
        <v>76.22</v>
      </c>
    </row>
    <row r="704" spans="1:6" x14ac:dyDescent="0.25">
      <c r="A704" t="s">
        <v>589</v>
      </c>
      <c r="B704" t="s">
        <v>22</v>
      </c>
      <c r="C704" t="s">
        <v>64</v>
      </c>
      <c r="D704" t="s">
        <v>3217</v>
      </c>
      <c r="E704">
        <v>0</v>
      </c>
      <c r="F704">
        <v>78.37</v>
      </c>
    </row>
    <row r="705" spans="1:6" x14ac:dyDescent="0.25">
      <c r="A705" t="s">
        <v>589</v>
      </c>
      <c r="B705" t="s">
        <v>22</v>
      </c>
      <c r="C705" t="s">
        <v>64</v>
      </c>
      <c r="D705" t="s">
        <v>3218</v>
      </c>
      <c r="E705">
        <v>16.04</v>
      </c>
      <c r="F705">
        <v>78.05</v>
      </c>
    </row>
    <row r="706" spans="1:6" x14ac:dyDescent="0.25">
      <c r="A706" t="s">
        <v>589</v>
      </c>
      <c r="B706" t="s">
        <v>22</v>
      </c>
      <c r="C706" t="s">
        <v>64</v>
      </c>
      <c r="D706" t="s">
        <v>3219</v>
      </c>
      <c r="E706">
        <v>31.44</v>
      </c>
      <c r="F706">
        <v>77.599999999999994</v>
      </c>
    </row>
    <row r="707" spans="1:6" x14ac:dyDescent="0.25">
      <c r="A707" t="s">
        <v>590</v>
      </c>
      <c r="B707" t="s">
        <v>22</v>
      </c>
      <c r="C707" t="s">
        <v>65</v>
      </c>
      <c r="D707" t="s">
        <v>3217</v>
      </c>
      <c r="E707">
        <v>0</v>
      </c>
      <c r="F707">
        <v>79.510000000000005</v>
      </c>
    </row>
    <row r="708" spans="1:6" x14ac:dyDescent="0.25">
      <c r="A708" t="s">
        <v>590</v>
      </c>
      <c r="B708" t="s">
        <v>22</v>
      </c>
      <c r="C708" t="s">
        <v>65</v>
      </c>
      <c r="D708" t="s">
        <v>3218</v>
      </c>
      <c r="E708">
        <v>16.13</v>
      </c>
      <c r="F708">
        <v>79.45</v>
      </c>
    </row>
    <row r="709" spans="1:6" x14ac:dyDescent="0.25">
      <c r="A709" t="s">
        <v>590</v>
      </c>
      <c r="B709" t="s">
        <v>22</v>
      </c>
      <c r="C709" t="s">
        <v>65</v>
      </c>
      <c r="D709" t="s">
        <v>3219</v>
      </c>
      <c r="E709">
        <v>31.79</v>
      </c>
      <c r="F709">
        <v>79.14</v>
      </c>
    </row>
    <row r="710" spans="1:6" x14ac:dyDescent="0.25">
      <c r="A710" t="s">
        <v>591</v>
      </c>
      <c r="B710" t="s">
        <v>22</v>
      </c>
      <c r="C710" t="s">
        <v>66</v>
      </c>
      <c r="D710" t="s">
        <v>3217</v>
      </c>
      <c r="E710">
        <v>0</v>
      </c>
      <c r="F710">
        <v>80.69</v>
      </c>
    </row>
    <row r="711" spans="1:6" x14ac:dyDescent="0.25">
      <c r="A711" t="s">
        <v>591</v>
      </c>
      <c r="B711" t="s">
        <v>22</v>
      </c>
      <c r="C711" t="s">
        <v>66</v>
      </c>
      <c r="D711" t="s">
        <v>3218</v>
      </c>
      <c r="E711">
        <v>15.74</v>
      </c>
      <c r="F711">
        <v>80.709999999999994</v>
      </c>
    </row>
    <row r="712" spans="1:6" x14ac:dyDescent="0.25">
      <c r="A712" t="s">
        <v>591</v>
      </c>
      <c r="B712" t="s">
        <v>22</v>
      </c>
      <c r="C712" t="s">
        <v>66</v>
      </c>
      <c r="D712" t="s">
        <v>3219</v>
      </c>
      <c r="E712">
        <v>30.61</v>
      </c>
      <c r="F712">
        <v>80.400000000000006</v>
      </c>
    </row>
    <row r="713" spans="1:6" x14ac:dyDescent="0.25">
      <c r="A713" t="s">
        <v>592</v>
      </c>
      <c r="B713" t="s">
        <v>22</v>
      </c>
      <c r="C713" t="s">
        <v>67</v>
      </c>
      <c r="D713" t="s">
        <v>3217</v>
      </c>
      <c r="E713">
        <v>0</v>
      </c>
      <c r="F713">
        <v>81.709999999999994</v>
      </c>
    </row>
    <row r="714" spans="1:6" x14ac:dyDescent="0.25">
      <c r="A714" t="s">
        <v>592</v>
      </c>
      <c r="B714" t="s">
        <v>22</v>
      </c>
      <c r="C714" t="s">
        <v>67</v>
      </c>
      <c r="D714" t="s">
        <v>3218</v>
      </c>
      <c r="E714">
        <v>15.79</v>
      </c>
      <c r="F714">
        <v>81.819999999999993</v>
      </c>
    </row>
    <row r="715" spans="1:6" x14ac:dyDescent="0.25">
      <c r="A715" t="s">
        <v>592</v>
      </c>
      <c r="B715" t="s">
        <v>22</v>
      </c>
      <c r="C715" t="s">
        <v>67</v>
      </c>
      <c r="D715" t="s">
        <v>3219</v>
      </c>
      <c r="E715">
        <v>30.55</v>
      </c>
      <c r="F715">
        <v>81.459999999999994</v>
      </c>
    </row>
    <row r="716" spans="1:6" x14ac:dyDescent="0.25">
      <c r="A716" t="s">
        <v>593</v>
      </c>
      <c r="B716" t="s">
        <v>22</v>
      </c>
      <c r="C716" t="s">
        <v>68</v>
      </c>
      <c r="D716" t="s">
        <v>3217</v>
      </c>
      <c r="E716">
        <v>0</v>
      </c>
      <c r="F716">
        <v>82.63</v>
      </c>
    </row>
    <row r="717" spans="1:6" x14ac:dyDescent="0.25">
      <c r="A717" t="s">
        <v>593</v>
      </c>
      <c r="B717" t="s">
        <v>22</v>
      </c>
      <c r="C717" t="s">
        <v>68</v>
      </c>
      <c r="D717" t="s">
        <v>3218</v>
      </c>
      <c r="E717">
        <v>15.79</v>
      </c>
      <c r="F717">
        <v>82.66</v>
      </c>
    </row>
    <row r="718" spans="1:6" x14ac:dyDescent="0.25">
      <c r="A718" t="s">
        <v>593</v>
      </c>
      <c r="B718" t="s">
        <v>22</v>
      </c>
      <c r="C718" t="s">
        <v>68</v>
      </c>
      <c r="D718" t="s">
        <v>3219</v>
      </c>
      <c r="E718">
        <v>30.76</v>
      </c>
      <c r="F718">
        <v>82.57</v>
      </c>
    </row>
    <row r="719" spans="1:6" x14ac:dyDescent="0.25">
      <c r="A719" t="s">
        <v>594</v>
      </c>
      <c r="B719" t="s">
        <v>22</v>
      </c>
      <c r="C719" t="s">
        <v>69</v>
      </c>
      <c r="D719" t="s">
        <v>3217</v>
      </c>
      <c r="E719">
        <v>0</v>
      </c>
      <c r="F719">
        <v>83.23</v>
      </c>
    </row>
    <row r="720" spans="1:6" x14ac:dyDescent="0.25">
      <c r="A720" t="s">
        <v>594</v>
      </c>
      <c r="B720" t="s">
        <v>22</v>
      </c>
      <c r="C720" t="s">
        <v>69</v>
      </c>
      <c r="D720" t="s">
        <v>3218</v>
      </c>
      <c r="E720">
        <v>15.49</v>
      </c>
      <c r="F720">
        <v>83.42</v>
      </c>
    </row>
    <row r="721" spans="1:6" x14ac:dyDescent="0.25">
      <c r="A721" t="s">
        <v>594</v>
      </c>
      <c r="B721" t="s">
        <v>22</v>
      </c>
      <c r="C721" t="s">
        <v>69</v>
      </c>
      <c r="D721" t="s">
        <v>3219</v>
      </c>
      <c r="E721">
        <v>31.49</v>
      </c>
      <c r="F721">
        <v>83.3</v>
      </c>
    </row>
    <row r="722" spans="1:6" x14ac:dyDescent="0.25">
      <c r="A722" t="s">
        <v>595</v>
      </c>
      <c r="B722" t="s">
        <v>22</v>
      </c>
      <c r="C722" t="s">
        <v>70</v>
      </c>
      <c r="D722" t="s">
        <v>3217</v>
      </c>
      <c r="E722">
        <v>0</v>
      </c>
      <c r="F722">
        <v>83.87</v>
      </c>
    </row>
    <row r="723" spans="1:6" x14ac:dyDescent="0.25">
      <c r="A723" t="s">
        <v>595</v>
      </c>
      <c r="B723" t="s">
        <v>22</v>
      </c>
      <c r="C723" t="s">
        <v>70</v>
      </c>
      <c r="D723" t="s">
        <v>3218</v>
      </c>
      <c r="E723">
        <v>15.29</v>
      </c>
      <c r="F723">
        <v>83.93</v>
      </c>
    </row>
    <row r="724" spans="1:6" x14ac:dyDescent="0.25">
      <c r="A724" t="s">
        <v>595</v>
      </c>
      <c r="B724" t="s">
        <v>22</v>
      </c>
      <c r="C724" t="s">
        <v>70</v>
      </c>
      <c r="D724" t="s">
        <v>3219</v>
      </c>
      <c r="E724">
        <v>32.51</v>
      </c>
      <c r="F724">
        <v>83.75</v>
      </c>
    </row>
    <row r="725" spans="1:6" x14ac:dyDescent="0.25">
      <c r="A725" t="s">
        <v>596</v>
      </c>
      <c r="B725" t="s">
        <v>22</v>
      </c>
      <c r="C725" t="s">
        <v>71</v>
      </c>
      <c r="D725" t="s">
        <v>3217</v>
      </c>
      <c r="E725">
        <v>0</v>
      </c>
      <c r="F725">
        <v>84.34</v>
      </c>
    </row>
    <row r="726" spans="1:6" x14ac:dyDescent="0.25">
      <c r="A726" t="s">
        <v>596</v>
      </c>
      <c r="B726" t="s">
        <v>22</v>
      </c>
      <c r="C726" t="s">
        <v>71</v>
      </c>
      <c r="D726" t="s">
        <v>3218</v>
      </c>
      <c r="E726">
        <v>15.98</v>
      </c>
      <c r="F726">
        <v>84.38</v>
      </c>
    </row>
    <row r="727" spans="1:6" x14ac:dyDescent="0.25">
      <c r="A727" t="s">
        <v>596</v>
      </c>
      <c r="B727" t="s">
        <v>22</v>
      </c>
      <c r="C727" t="s">
        <v>71</v>
      </c>
      <c r="D727" t="s">
        <v>3219</v>
      </c>
      <c r="E727">
        <v>33.75</v>
      </c>
      <c r="F727">
        <v>84.39</v>
      </c>
    </row>
    <row r="728" spans="1:6" x14ac:dyDescent="0.25">
      <c r="A728" t="s">
        <v>597</v>
      </c>
      <c r="B728" t="s">
        <v>22</v>
      </c>
      <c r="C728" t="s">
        <v>72</v>
      </c>
      <c r="D728" t="s">
        <v>3217</v>
      </c>
      <c r="E728">
        <v>0</v>
      </c>
      <c r="F728">
        <v>84.99</v>
      </c>
    </row>
    <row r="729" spans="1:6" x14ac:dyDescent="0.25">
      <c r="A729" t="s">
        <v>597</v>
      </c>
      <c r="B729" t="s">
        <v>22</v>
      </c>
      <c r="C729" t="s">
        <v>72</v>
      </c>
      <c r="D729" t="s">
        <v>3218</v>
      </c>
      <c r="E729">
        <v>16.12</v>
      </c>
      <c r="F729">
        <v>84.81</v>
      </c>
    </row>
    <row r="730" spans="1:6" x14ac:dyDescent="0.25">
      <c r="A730" t="s">
        <v>597</v>
      </c>
      <c r="B730" t="s">
        <v>22</v>
      </c>
      <c r="C730" t="s">
        <v>72</v>
      </c>
      <c r="D730" t="s">
        <v>3219</v>
      </c>
      <c r="E730">
        <v>36.119999999999997</v>
      </c>
      <c r="F730">
        <v>84.8</v>
      </c>
    </row>
    <row r="731" spans="1:6" x14ac:dyDescent="0.25">
      <c r="A731" t="s">
        <v>598</v>
      </c>
      <c r="B731" t="s">
        <v>22</v>
      </c>
      <c r="C731" t="s">
        <v>73</v>
      </c>
      <c r="D731" t="s">
        <v>3217</v>
      </c>
      <c r="E731">
        <v>0</v>
      </c>
      <c r="F731">
        <v>85.49</v>
      </c>
    </row>
    <row r="732" spans="1:6" x14ac:dyDescent="0.25">
      <c r="A732" t="s">
        <v>598</v>
      </c>
      <c r="B732" t="s">
        <v>22</v>
      </c>
      <c r="C732" t="s">
        <v>73</v>
      </c>
      <c r="D732" t="s">
        <v>3218</v>
      </c>
      <c r="E732">
        <v>16.100000000000001</v>
      </c>
      <c r="F732">
        <v>85.16</v>
      </c>
    </row>
    <row r="733" spans="1:6" x14ac:dyDescent="0.25">
      <c r="A733" t="s">
        <v>598</v>
      </c>
      <c r="B733" t="s">
        <v>22</v>
      </c>
      <c r="C733" t="s">
        <v>73</v>
      </c>
      <c r="D733" t="s">
        <v>3219</v>
      </c>
      <c r="E733">
        <v>36.1</v>
      </c>
      <c r="F733">
        <v>85</v>
      </c>
    </row>
    <row r="734" spans="1:6" x14ac:dyDescent="0.25">
      <c r="A734" t="s">
        <v>599</v>
      </c>
      <c r="B734" t="s">
        <v>22</v>
      </c>
      <c r="C734" t="s">
        <v>74</v>
      </c>
      <c r="D734" t="s">
        <v>3217</v>
      </c>
      <c r="E734">
        <v>0</v>
      </c>
      <c r="F734">
        <v>85.88</v>
      </c>
    </row>
    <row r="735" spans="1:6" x14ac:dyDescent="0.25">
      <c r="A735" t="s">
        <v>599</v>
      </c>
      <c r="B735" t="s">
        <v>22</v>
      </c>
      <c r="C735" t="s">
        <v>74</v>
      </c>
      <c r="D735" t="s">
        <v>3218</v>
      </c>
      <c r="E735">
        <v>16.350000000000001</v>
      </c>
      <c r="F735">
        <v>85.67</v>
      </c>
    </row>
    <row r="736" spans="1:6" x14ac:dyDescent="0.25">
      <c r="A736" t="s">
        <v>599</v>
      </c>
      <c r="B736" t="s">
        <v>22</v>
      </c>
      <c r="C736" t="s">
        <v>74</v>
      </c>
      <c r="D736" t="s">
        <v>3219</v>
      </c>
      <c r="E736">
        <v>36.35</v>
      </c>
      <c r="F736">
        <v>85.56</v>
      </c>
    </row>
    <row r="737" spans="1:6" x14ac:dyDescent="0.25">
      <c r="A737" t="s">
        <v>600</v>
      </c>
      <c r="B737" t="s">
        <v>22</v>
      </c>
      <c r="C737" t="s">
        <v>75</v>
      </c>
      <c r="D737" t="s">
        <v>3217</v>
      </c>
      <c r="E737">
        <v>0</v>
      </c>
      <c r="F737">
        <v>86.67</v>
      </c>
    </row>
    <row r="738" spans="1:6" x14ac:dyDescent="0.25">
      <c r="A738" t="s">
        <v>600</v>
      </c>
      <c r="B738" t="s">
        <v>22</v>
      </c>
      <c r="C738" t="s">
        <v>75</v>
      </c>
      <c r="D738" t="s">
        <v>3218</v>
      </c>
      <c r="E738">
        <v>16.75</v>
      </c>
      <c r="F738">
        <v>86.47</v>
      </c>
    </row>
    <row r="739" spans="1:6" x14ac:dyDescent="0.25">
      <c r="A739" t="s">
        <v>600</v>
      </c>
      <c r="B739" t="s">
        <v>22</v>
      </c>
      <c r="C739" t="s">
        <v>75</v>
      </c>
      <c r="D739" t="s">
        <v>3219</v>
      </c>
      <c r="E739">
        <v>36.75</v>
      </c>
      <c r="F739">
        <v>86.45</v>
      </c>
    </row>
    <row r="740" spans="1:6" x14ac:dyDescent="0.25">
      <c r="A740" t="s">
        <v>601</v>
      </c>
      <c r="B740" t="s">
        <v>22</v>
      </c>
      <c r="C740" t="s">
        <v>76</v>
      </c>
      <c r="D740" t="s">
        <v>3217</v>
      </c>
      <c r="E740">
        <v>0</v>
      </c>
      <c r="F740">
        <v>87.32</v>
      </c>
    </row>
    <row r="741" spans="1:6" x14ac:dyDescent="0.25">
      <c r="A741" t="s">
        <v>601</v>
      </c>
      <c r="B741" t="s">
        <v>22</v>
      </c>
      <c r="C741" t="s">
        <v>76</v>
      </c>
      <c r="D741" t="s">
        <v>3218</v>
      </c>
      <c r="E741">
        <v>16.12</v>
      </c>
      <c r="F741">
        <v>87.4</v>
      </c>
    </row>
    <row r="742" spans="1:6" x14ac:dyDescent="0.25">
      <c r="A742" t="s">
        <v>601</v>
      </c>
      <c r="B742" t="s">
        <v>22</v>
      </c>
      <c r="C742" t="s">
        <v>76</v>
      </c>
      <c r="D742" t="s">
        <v>3219</v>
      </c>
      <c r="E742">
        <v>36.119999999999997</v>
      </c>
      <c r="F742">
        <v>87.43</v>
      </c>
    </row>
    <row r="743" spans="1:6" x14ac:dyDescent="0.25">
      <c r="A743" t="s">
        <v>602</v>
      </c>
      <c r="B743" t="s">
        <v>22</v>
      </c>
      <c r="C743" t="s">
        <v>77</v>
      </c>
      <c r="D743" t="s">
        <v>3217</v>
      </c>
      <c r="E743">
        <v>0</v>
      </c>
      <c r="F743">
        <v>88.49</v>
      </c>
    </row>
    <row r="744" spans="1:6" x14ac:dyDescent="0.25">
      <c r="A744" t="s">
        <v>602</v>
      </c>
      <c r="B744" t="s">
        <v>22</v>
      </c>
      <c r="C744" t="s">
        <v>77</v>
      </c>
      <c r="D744" t="s">
        <v>3218</v>
      </c>
      <c r="E744">
        <v>15.39</v>
      </c>
      <c r="F744">
        <v>88.57</v>
      </c>
    </row>
    <row r="745" spans="1:6" x14ac:dyDescent="0.25">
      <c r="A745" t="s">
        <v>602</v>
      </c>
      <c r="B745" t="s">
        <v>22</v>
      </c>
      <c r="C745" t="s">
        <v>77</v>
      </c>
      <c r="D745" t="s">
        <v>3219</v>
      </c>
      <c r="E745">
        <v>33.31</v>
      </c>
      <c r="F745">
        <v>88.32</v>
      </c>
    </row>
    <row r="746" spans="1:6" x14ac:dyDescent="0.25">
      <c r="A746" t="s">
        <v>603</v>
      </c>
      <c r="B746" t="s">
        <v>22</v>
      </c>
      <c r="C746" t="s">
        <v>78</v>
      </c>
      <c r="D746" t="s">
        <v>3217</v>
      </c>
      <c r="E746">
        <v>0</v>
      </c>
      <c r="F746">
        <v>89.84</v>
      </c>
    </row>
    <row r="747" spans="1:6" x14ac:dyDescent="0.25">
      <c r="A747" t="s">
        <v>603</v>
      </c>
      <c r="B747" t="s">
        <v>22</v>
      </c>
      <c r="C747" t="s">
        <v>78</v>
      </c>
      <c r="D747" t="s">
        <v>3218</v>
      </c>
      <c r="E747">
        <v>14.97</v>
      </c>
      <c r="F747">
        <v>89.95</v>
      </c>
    </row>
    <row r="748" spans="1:6" x14ac:dyDescent="0.25">
      <c r="A748" t="s">
        <v>603</v>
      </c>
      <c r="B748" t="s">
        <v>22</v>
      </c>
      <c r="C748" t="s">
        <v>78</v>
      </c>
      <c r="D748" t="s">
        <v>3219</v>
      </c>
      <c r="E748">
        <v>32.08</v>
      </c>
      <c r="F748">
        <v>89.54</v>
      </c>
    </row>
    <row r="749" spans="1:6" x14ac:dyDescent="0.25">
      <c r="A749" t="s">
        <v>604</v>
      </c>
      <c r="B749" t="s">
        <v>22</v>
      </c>
      <c r="C749" t="s">
        <v>79</v>
      </c>
      <c r="D749" t="s">
        <v>3217</v>
      </c>
      <c r="E749">
        <v>0</v>
      </c>
      <c r="F749">
        <v>91.39</v>
      </c>
    </row>
    <row r="750" spans="1:6" x14ac:dyDescent="0.25">
      <c r="A750" t="s">
        <v>604</v>
      </c>
      <c r="B750" t="s">
        <v>22</v>
      </c>
      <c r="C750" t="s">
        <v>79</v>
      </c>
      <c r="D750" t="s">
        <v>3218</v>
      </c>
      <c r="E750">
        <v>15.45</v>
      </c>
      <c r="F750">
        <v>91.36</v>
      </c>
    </row>
    <row r="751" spans="1:6" x14ac:dyDescent="0.25">
      <c r="A751" t="s">
        <v>604</v>
      </c>
      <c r="B751" t="s">
        <v>22</v>
      </c>
      <c r="C751" t="s">
        <v>79</v>
      </c>
      <c r="D751" t="s">
        <v>3219</v>
      </c>
      <c r="E751">
        <v>32.799999999999997</v>
      </c>
      <c r="F751">
        <v>91.02</v>
      </c>
    </row>
    <row r="752" spans="1:6" x14ac:dyDescent="0.25">
      <c r="A752" t="s">
        <v>605</v>
      </c>
      <c r="B752" t="s">
        <v>22</v>
      </c>
      <c r="C752" t="s">
        <v>80</v>
      </c>
      <c r="D752" t="s">
        <v>3217</v>
      </c>
      <c r="E752">
        <v>0</v>
      </c>
      <c r="F752">
        <v>92.68</v>
      </c>
    </row>
    <row r="753" spans="1:6" x14ac:dyDescent="0.25">
      <c r="A753" t="s">
        <v>605</v>
      </c>
      <c r="B753" t="s">
        <v>22</v>
      </c>
      <c r="C753" t="s">
        <v>80</v>
      </c>
      <c r="D753" t="s">
        <v>3218</v>
      </c>
      <c r="E753">
        <v>15.37</v>
      </c>
      <c r="F753">
        <v>92.81</v>
      </c>
    </row>
    <row r="754" spans="1:6" x14ac:dyDescent="0.25">
      <c r="A754" t="s">
        <v>605</v>
      </c>
      <c r="B754" t="s">
        <v>22</v>
      </c>
      <c r="C754" t="s">
        <v>80</v>
      </c>
      <c r="D754" t="s">
        <v>3219</v>
      </c>
      <c r="E754">
        <v>32.840000000000003</v>
      </c>
      <c r="F754">
        <v>92.5</v>
      </c>
    </row>
    <row r="755" spans="1:6" x14ac:dyDescent="0.25">
      <c r="A755" t="s">
        <v>606</v>
      </c>
      <c r="B755" t="s">
        <v>22</v>
      </c>
      <c r="C755" t="s">
        <v>81</v>
      </c>
      <c r="D755" t="s">
        <v>3217</v>
      </c>
      <c r="E755">
        <v>0</v>
      </c>
      <c r="F755">
        <v>93.7</v>
      </c>
    </row>
    <row r="756" spans="1:6" x14ac:dyDescent="0.25">
      <c r="A756" t="s">
        <v>606</v>
      </c>
      <c r="B756" t="s">
        <v>22</v>
      </c>
      <c r="C756" t="s">
        <v>81</v>
      </c>
      <c r="D756" t="s">
        <v>3218</v>
      </c>
      <c r="E756">
        <v>14.88</v>
      </c>
      <c r="F756">
        <v>93.95</v>
      </c>
    </row>
    <row r="757" spans="1:6" x14ac:dyDescent="0.25">
      <c r="A757" t="s">
        <v>606</v>
      </c>
      <c r="B757" t="s">
        <v>22</v>
      </c>
      <c r="C757" t="s">
        <v>81</v>
      </c>
      <c r="D757" t="s">
        <v>3219</v>
      </c>
      <c r="E757">
        <v>32.35</v>
      </c>
      <c r="F757">
        <v>94.09</v>
      </c>
    </row>
    <row r="758" spans="1:6" x14ac:dyDescent="0.25">
      <c r="A758" t="s">
        <v>607</v>
      </c>
      <c r="B758" t="s">
        <v>22</v>
      </c>
      <c r="C758" t="s">
        <v>82</v>
      </c>
      <c r="D758" t="s">
        <v>3217</v>
      </c>
      <c r="E758">
        <v>0</v>
      </c>
      <c r="F758">
        <v>94.71</v>
      </c>
    </row>
    <row r="759" spans="1:6" x14ac:dyDescent="0.25">
      <c r="A759" t="s">
        <v>607</v>
      </c>
      <c r="B759" t="s">
        <v>22</v>
      </c>
      <c r="C759" t="s">
        <v>82</v>
      </c>
      <c r="D759" t="s">
        <v>3218</v>
      </c>
      <c r="E759">
        <v>15.74</v>
      </c>
      <c r="F759">
        <v>94.9</v>
      </c>
    </row>
    <row r="760" spans="1:6" x14ac:dyDescent="0.25">
      <c r="A760" t="s">
        <v>607</v>
      </c>
      <c r="B760" t="s">
        <v>22</v>
      </c>
      <c r="C760" t="s">
        <v>82</v>
      </c>
      <c r="D760" t="s">
        <v>3219</v>
      </c>
      <c r="E760">
        <v>33.21</v>
      </c>
      <c r="F760">
        <v>95.12</v>
      </c>
    </row>
    <row r="761" spans="1:6" x14ac:dyDescent="0.25">
      <c r="A761" t="s">
        <v>608</v>
      </c>
      <c r="B761" t="s">
        <v>22</v>
      </c>
      <c r="C761" t="s">
        <v>83</v>
      </c>
      <c r="D761" t="s">
        <v>3217</v>
      </c>
      <c r="E761">
        <v>0</v>
      </c>
      <c r="F761">
        <v>95.73</v>
      </c>
    </row>
    <row r="762" spans="1:6" x14ac:dyDescent="0.25">
      <c r="A762" t="s">
        <v>608</v>
      </c>
      <c r="B762" t="s">
        <v>22</v>
      </c>
      <c r="C762" t="s">
        <v>83</v>
      </c>
      <c r="D762" t="s">
        <v>3218</v>
      </c>
      <c r="E762">
        <v>16.940000000000001</v>
      </c>
      <c r="F762">
        <v>95.89</v>
      </c>
    </row>
    <row r="763" spans="1:6" x14ac:dyDescent="0.25">
      <c r="A763" t="s">
        <v>608</v>
      </c>
      <c r="B763" t="s">
        <v>22</v>
      </c>
      <c r="C763" t="s">
        <v>83</v>
      </c>
      <c r="D763" t="s">
        <v>3219</v>
      </c>
      <c r="E763">
        <v>31.91</v>
      </c>
      <c r="F763">
        <v>95.75</v>
      </c>
    </row>
    <row r="764" spans="1:6" x14ac:dyDescent="0.25">
      <c r="A764" t="s">
        <v>609</v>
      </c>
      <c r="B764" t="s">
        <v>22</v>
      </c>
      <c r="C764" t="s">
        <v>84</v>
      </c>
      <c r="D764" t="s">
        <v>3217</v>
      </c>
      <c r="E764">
        <v>0</v>
      </c>
      <c r="F764">
        <v>96.71</v>
      </c>
    </row>
    <row r="765" spans="1:6" x14ac:dyDescent="0.25">
      <c r="A765" t="s">
        <v>609</v>
      </c>
      <c r="B765" t="s">
        <v>22</v>
      </c>
      <c r="C765" t="s">
        <v>84</v>
      </c>
      <c r="D765" t="s">
        <v>3218</v>
      </c>
      <c r="E765">
        <v>17.2</v>
      </c>
      <c r="F765">
        <v>96.94</v>
      </c>
    </row>
    <row r="766" spans="1:6" x14ac:dyDescent="0.25">
      <c r="A766" t="s">
        <v>609</v>
      </c>
      <c r="B766" t="s">
        <v>22</v>
      </c>
      <c r="C766" t="s">
        <v>84</v>
      </c>
      <c r="D766" t="s">
        <v>3219</v>
      </c>
      <c r="E766">
        <v>32.18</v>
      </c>
      <c r="F766">
        <v>96.75</v>
      </c>
    </row>
    <row r="767" spans="1:6" x14ac:dyDescent="0.25">
      <c r="A767" t="s">
        <v>610</v>
      </c>
      <c r="B767" t="s">
        <v>22</v>
      </c>
      <c r="C767" t="s">
        <v>85</v>
      </c>
      <c r="D767" t="s">
        <v>3217</v>
      </c>
      <c r="E767">
        <v>0</v>
      </c>
      <c r="F767">
        <v>97.9</v>
      </c>
    </row>
    <row r="768" spans="1:6" x14ac:dyDescent="0.25">
      <c r="A768" t="s">
        <v>610</v>
      </c>
      <c r="B768" t="s">
        <v>22</v>
      </c>
      <c r="C768" t="s">
        <v>85</v>
      </c>
      <c r="D768" t="s">
        <v>3218</v>
      </c>
      <c r="E768">
        <v>17.399999999999999</v>
      </c>
      <c r="F768">
        <v>97.97</v>
      </c>
    </row>
    <row r="769" spans="1:6" x14ac:dyDescent="0.25">
      <c r="A769" t="s">
        <v>610</v>
      </c>
      <c r="B769" t="s">
        <v>22</v>
      </c>
      <c r="C769" t="s">
        <v>85</v>
      </c>
      <c r="D769" t="s">
        <v>3219</v>
      </c>
      <c r="E769">
        <v>31.99</v>
      </c>
      <c r="F769">
        <v>97.76</v>
      </c>
    </row>
    <row r="770" spans="1:6" x14ac:dyDescent="0.25">
      <c r="A770" t="s">
        <v>611</v>
      </c>
      <c r="B770" t="s">
        <v>22</v>
      </c>
      <c r="C770" t="s">
        <v>86</v>
      </c>
      <c r="D770" t="s">
        <v>3217</v>
      </c>
      <c r="E770">
        <v>0</v>
      </c>
      <c r="F770">
        <v>99.23</v>
      </c>
    </row>
    <row r="771" spans="1:6" x14ac:dyDescent="0.25">
      <c r="A771" t="s">
        <v>611</v>
      </c>
      <c r="B771" t="s">
        <v>22</v>
      </c>
      <c r="C771" t="s">
        <v>86</v>
      </c>
      <c r="D771" t="s">
        <v>3218</v>
      </c>
      <c r="E771">
        <v>17.46</v>
      </c>
      <c r="F771">
        <v>99.38</v>
      </c>
    </row>
    <row r="772" spans="1:6" x14ac:dyDescent="0.25">
      <c r="A772" t="s">
        <v>611</v>
      </c>
      <c r="B772" t="s">
        <v>22</v>
      </c>
      <c r="C772" t="s">
        <v>86</v>
      </c>
      <c r="D772" t="s">
        <v>3219</v>
      </c>
      <c r="E772">
        <v>32.57</v>
      </c>
      <c r="F772">
        <v>99.14</v>
      </c>
    </row>
    <row r="773" spans="1:6" x14ac:dyDescent="0.25">
      <c r="A773" t="s">
        <v>612</v>
      </c>
      <c r="B773" t="s">
        <v>22</v>
      </c>
      <c r="C773" t="s">
        <v>87</v>
      </c>
      <c r="D773" t="s">
        <v>3217</v>
      </c>
      <c r="E773">
        <v>0</v>
      </c>
      <c r="F773">
        <v>100.41</v>
      </c>
    </row>
    <row r="774" spans="1:6" x14ac:dyDescent="0.25">
      <c r="A774" t="s">
        <v>612</v>
      </c>
      <c r="B774" t="s">
        <v>22</v>
      </c>
      <c r="C774" t="s">
        <v>87</v>
      </c>
      <c r="D774" t="s">
        <v>3218</v>
      </c>
      <c r="E774">
        <v>17.27</v>
      </c>
      <c r="F774">
        <v>100.44</v>
      </c>
    </row>
    <row r="775" spans="1:6" x14ac:dyDescent="0.25">
      <c r="A775" t="s">
        <v>612</v>
      </c>
      <c r="B775" t="s">
        <v>22</v>
      </c>
      <c r="C775" t="s">
        <v>87</v>
      </c>
      <c r="D775" t="s">
        <v>3219</v>
      </c>
      <c r="E775">
        <v>31.92</v>
      </c>
      <c r="F775">
        <v>100.08</v>
      </c>
    </row>
    <row r="776" spans="1:6" x14ac:dyDescent="0.25">
      <c r="A776" t="s">
        <v>613</v>
      </c>
      <c r="B776" t="s">
        <v>22</v>
      </c>
      <c r="C776" t="s">
        <v>88</v>
      </c>
      <c r="D776" t="s">
        <v>3217</v>
      </c>
      <c r="E776">
        <v>0</v>
      </c>
      <c r="F776">
        <v>101.28</v>
      </c>
    </row>
    <row r="777" spans="1:6" x14ac:dyDescent="0.25">
      <c r="A777" t="s">
        <v>613</v>
      </c>
      <c r="B777" t="s">
        <v>22</v>
      </c>
      <c r="C777" t="s">
        <v>88</v>
      </c>
      <c r="D777" t="s">
        <v>3218</v>
      </c>
      <c r="E777">
        <v>17.02</v>
      </c>
      <c r="F777">
        <v>101.43</v>
      </c>
    </row>
    <row r="778" spans="1:6" x14ac:dyDescent="0.25">
      <c r="A778" t="s">
        <v>613</v>
      </c>
      <c r="B778" t="s">
        <v>22</v>
      </c>
      <c r="C778" t="s">
        <v>88</v>
      </c>
      <c r="D778" t="s">
        <v>3219</v>
      </c>
      <c r="E778">
        <v>32.42</v>
      </c>
      <c r="F778">
        <v>101.15</v>
      </c>
    </row>
    <row r="779" spans="1:6" x14ac:dyDescent="0.25">
      <c r="A779" t="s">
        <v>614</v>
      </c>
      <c r="B779" t="s">
        <v>22</v>
      </c>
      <c r="C779" t="s">
        <v>89</v>
      </c>
      <c r="D779" t="s">
        <v>3217</v>
      </c>
      <c r="E779">
        <v>0</v>
      </c>
      <c r="F779">
        <v>102.19</v>
      </c>
    </row>
    <row r="780" spans="1:6" x14ac:dyDescent="0.25">
      <c r="A780" t="s">
        <v>614</v>
      </c>
      <c r="B780" t="s">
        <v>22</v>
      </c>
      <c r="C780" t="s">
        <v>89</v>
      </c>
      <c r="D780" t="s">
        <v>3218</v>
      </c>
      <c r="E780">
        <v>17.149999999999999</v>
      </c>
      <c r="F780">
        <v>102.38</v>
      </c>
    </row>
    <row r="781" spans="1:6" x14ac:dyDescent="0.25">
      <c r="A781" t="s">
        <v>614</v>
      </c>
      <c r="B781" t="s">
        <v>22</v>
      </c>
      <c r="C781" t="s">
        <v>89</v>
      </c>
      <c r="D781" t="s">
        <v>3219</v>
      </c>
      <c r="E781">
        <v>31.65</v>
      </c>
      <c r="F781">
        <v>102.17</v>
      </c>
    </row>
    <row r="782" spans="1:6" x14ac:dyDescent="0.25">
      <c r="A782" t="s">
        <v>615</v>
      </c>
      <c r="B782" t="s">
        <v>22</v>
      </c>
      <c r="C782" t="s">
        <v>90</v>
      </c>
      <c r="D782" t="s">
        <v>3217</v>
      </c>
      <c r="E782">
        <v>0</v>
      </c>
      <c r="F782">
        <v>103.34</v>
      </c>
    </row>
    <row r="783" spans="1:6" x14ac:dyDescent="0.25">
      <c r="A783" t="s">
        <v>615</v>
      </c>
      <c r="B783" t="s">
        <v>22</v>
      </c>
      <c r="C783" t="s">
        <v>90</v>
      </c>
      <c r="D783" t="s">
        <v>3218</v>
      </c>
      <c r="E783">
        <v>17.07</v>
      </c>
      <c r="F783">
        <v>103.57</v>
      </c>
    </row>
    <row r="784" spans="1:6" x14ac:dyDescent="0.25">
      <c r="A784" t="s">
        <v>615</v>
      </c>
      <c r="B784" t="s">
        <v>22</v>
      </c>
      <c r="C784" t="s">
        <v>90</v>
      </c>
      <c r="D784" t="s">
        <v>3219</v>
      </c>
      <c r="E784">
        <v>31.32</v>
      </c>
      <c r="F784">
        <v>103.26</v>
      </c>
    </row>
    <row r="785" spans="1:6" x14ac:dyDescent="0.25">
      <c r="A785" t="s">
        <v>616</v>
      </c>
      <c r="B785" t="s">
        <v>22</v>
      </c>
      <c r="C785" t="s">
        <v>91</v>
      </c>
      <c r="D785" t="s">
        <v>3217</v>
      </c>
      <c r="E785">
        <v>0</v>
      </c>
      <c r="F785">
        <v>104.84</v>
      </c>
    </row>
    <row r="786" spans="1:6" x14ac:dyDescent="0.25">
      <c r="A786" t="s">
        <v>616</v>
      </c>
      <c r="B786" t="s">
        <v>22</v>
      </c>
      <c r="C786" t="s">
        <v>91</v>
      </c>
      <c r="D786" t="s">
        <v>3218</v>
      </c>
      <c r="E786">
        <v>17.16</v>
      </c>
      <c r="F786">
        <v>104.91</v>
      </c>
    </row>
    <row r="787" spans="1:6" x14ac:dyDescent="0.25">
      <c r="A787" t="s">
        <v>616</v>
      </c>
      <c r="B787" t="s">
        <v>22</v>
      </c>
      <c r="C787" t="s">
        <v>91</v>
      </c>
      <c r="D787" t="s">
        <v>3219</v>
      </c>
      <c r="E787">
        <v>31.64</v>
      </c>
      <c r="F787">
        <v>104.6</v>
      </c>
    </row>
    <row r="788" spans="1:6" x14ac:dyDescent="0.25">
      <c r="A788" t="s">
        <v>617</v>
      </c>
      <c r="B788" t="s">
        <v>22</v>
      </c>
      <c r="C788" t="s">
        <v>92</v>
      </c>
      <c r="D788" t="s">
        <v>3217</v>
      </c>
      <c r="E788">
        <v>0</v>
      </c>
      <c r="F788">
        <v>106.46</v>
      </c>
    </row>
    <row r="789" spans="1:6" x14ac:dyDescent="0.25">
      <c r="A789" t="s">
        <v>617</v>
      </c>
      <c r="B789" t="s">
        <v>22</v>
      </c>
      <c r="C789" t="s">
        <v>92</v>
      </c>
      <c r="D789" t="s">
        <v>3218</v>
      </c>
      <c r="E789">
        <v>20</v>
      </c>
      <c r="F789">
        <v>106.49</v>
      </c>
    </row>
    <row r="790" spans="1:6" x14ac:dyDescent="0.25">
      <c r="A790" t="s">
        <v>617</v>
      </c>
      <c r="B790" t="s">
        <v>22</v>
      </c>
      <c r="C790" t="s">
        <v>92</v>
      </c>
      <c r="D790" t="s">
        <v>3219</v>
      </c>
      <c r="E790">
        <v>40</v>
      </c>
      <c r="F790">
        <v>106.84</v>
      </c>
    </row>
    <row r="791" spans="1:6" x14ac:dyDescent="0.25">
      <c r="A791" t="s">
        <v>618</v>
      </c>
      <c r="B791" t="s">
        <v>22</v>
      </c>
      <c r="C791" t="s">
        <v>93</v>
      </c>
      <c r="D791" t="s">
        <v>3217</v>
      </c>
      <c r="E791">
        <v>0</v>
      </c>
      <c r="F791">
        <v>108.05</v>
      </c>
    </row>
    <row r="792" spans="1:6" x14ac:dyDescent="0.25">
      <c r="A792" t="s">
        <v>618</v>
      </c>
      <c r="B792" t="s">
        <v>22</v>
      </c>
      <c r="C792" t="s">
        <v>93</v>
      </c>
      <c r="D792" t="s">
        <v>3218</v>
      </c>
      <c r="E792">
        <v>20</v>
      </c>
      <c r="F792">
        <v>107.95</v>
      </c>
    </row>
    <row r="793" spans="1:6" x14ac:dyDescent="0.25">
      <c r="A793" t="s">
        <v>618</v>
      </c>
      <c r="B793" t="s">
        <v>22</v>
      </c>
      <c r="C793" t="s">
        <v>93</v>
      </c>
      <c r="D793" t="s">
        <v>3219</v>
      </c>
      <c r="E793">
        <v>40</v>
      </c>
      <c r="F793">
        <v>108.22</v>
      </c>
    </row>
    <row r="794" spans="1:6" x14ac:dyDescent="0.25">
      <c r="A794" t="s">
        <v>619</v>
      </c>
      <c r="B794" t="s">
        <v>22</v>
      </c>
      <c r="C794" t="s">
        <v>94</v>
      </c>
      <c r="D794" t="s">
        <v>3217</v>
      </c>
      <c r="E794">
        <v>0</v>
      </c>
      <c r="F794">
        <v>107.36</v>
      </c>
    </row>
    <row r="795" spans="1:6" x14ac:dyDescent="0.25">
      <c r="A795" t="s">
        <v>619</v>
      </c>
      <c r="B795" t="s">
        <v>22</v>
      </c>
      <c r="C795" t="s">
        <v>94</v>
      </c>
      <c r="D795" t="s">
        <v>3218</v>
      </c>
      <c r="E795">
        <v>20</v>
      </c>
      <c r="F795">
        <v>108.17</v>
      </c>
    </row>
    <row r="796" spans="1:6" x14ac:dyDescent="0.25">
      <c r="A796" t="s">
        <v>619</v>
      </c>
      <c r="B796" t="s">
        <v>22</v>
      </c>
      <c r="C796" t="s">
        <v>94</v>
      </c>
      <c r="D796" t="s">
        <v>3219</v>
      </c>
      <c r="E796">
        <v>40</v>
      </c>
      <c r="F796">
        <v>109.19</v>
      </c>
    </row>
    <row r="797" spans="1:6" x14ac:dyDescent="0.25">
      <c r="A797" t="s">
        <v>620</v>
      </c>
      <c r="B797" t="s">
        <v>22</v>
      </c>
      <c r="C797" t="s">
        <v>95</v>
      </c>
      <c r="D797" t="s">
        <v>3217</v>
      </c>
      <c r="E797">
        <v>0</v>
      </c>
      <c r="F797">
        <v>107.86</v>
      </c>
    </row>
    <row r="798" spans="1:6" x14ac:dyDescent="0.25">
      <c r="A798" t="s">
        <v>620</v>
      </c>
      <c r="B798" t="s">
        <v>22</v>
      </c>
      <c r="C798" t="s">
        <v>95</v>
      </c>
      <c r="D798" t="s">
        <v>3218</v>
      </c>
      <c r="E798">
        <v>20</v>
      </c>
      <c r="F798">
        <v>108.64</v>
      </c>
    </row>
    <row r="799" spans="1:6" x14ac:dyDescent="0.25">
      <c r="A799" t="s">
        <v>620</v>
      </c>
      <c r="B799" t="s">
        <v>22</v>
      </c>
      <c r="C799" t="s">
        <v>95</v>
      </c>
      <c r="D799" t="s">
        <v>3219</v>
      </c>
      <c r="E799">
        <v>38.450000000000003</v>
      </c>
      <c r="F799">
        <v>109.54</v>
      </c>
    </row>
    <row r="800" spans="1:6" x14ac:dyDescent="0.25">
      <c r="A800" t="s">
        <v>621</v>
      </c>
      <c r="B800" t="s">
        <v>22</v>
      </c>
      <c r="C800" t="s">
        <v>96</v>
      </c>
      <c r="D800" t="s">
        <v>3217</v>
      </c>
      <c r="E800">
        <v>0</v>
      </c>
      <c r="F800">
        <v>109.76</v>
      </c>
    </row>
    <row r="801" spans="1:6" x14ac:dyDescent="0.25">
      <c r="A801" t="s">
        <v>621</v>
      </c>
      <c r="B801" t="s">
        <v>22</v>
      </c>
      <c r="C801" t="s">
        <v>96</v>
      </c>
      <c r="D801" t="s">
        <v>3218</v>
      </c>
      <c r="E801">
        <v>20</v>
      </c>
      <c r="F801">
        <v>109.82</v>
      </c>
    </row>
    <row r="802" spans="1:6" x14ac:dyDescent="0.25">
      <c r="A802" t="s">
        <v>621</v>
      </c>
      <c r="B802" t="s">
        <v>22</v>
      </c>
      <c r="C802" t="s">
        <v>96</v>
      </c>
      <c r="D802" t="s">
        <v>3219</v>
      </c>
      <c r="E802">
        <v>37.83</v>
      </c>
      <c r="F802">
        <v>110.1</v>
      </c>
    </row>
    <row r="803" spans="1:6" x14ac:dyDescent="0.25">
      <c r="A803" t="s">
        <v>622</v>
      </c>
      <c r="B803" t="s">
        <v>22</v>
      </c>
      <c r="C803" t="s">
        <v>97</v>
      </c>
      <c r="D803" t="s">
        <v>3217</v>
      </c>
      <c r="E803">
        <v>0</v>
      </c>
      <c r="F803">
        <v>110.7</v>
      </c>
    </row>
    <row r="804" spans="1:6" x14ac:dyDescent="0.25">
      <c r="A804" t="s">
        <v>622</v>
      </c>
      <c r="B804" t="s">
        <v>22</v>
      </c>
      <c r="C804" t="s">
        <v>97</v>
      </c>
      <c r="D804" t="s">
        <v>3218</v>
      </c>
      <c r="E804">
        <v>17.84</v>
      </c>
      <c r="F804">
        <v>110.83</v>
      </c>
    </row>
    <row r="805" spans="1:6" x14ac:dyDescent="0.25">
      <c r="A805" t="s">
        <v>622</v>
      </c>
      <c r="B805" t="s">
        <v>22</v>
      </c>
      <c r="C805" t="s">
        <v>97</v>
      </c>
      <c r="D805" t="s">
        <v>3219</v>
      </c>
      <c r="E805">
        <v>35.54</v>
      </c>
      <c r="F805">
        <v>111</v>
      </c>
    </row>
    <row r="806" spans="1:6" x14ac:dyDescent="0.25">
      <c r="A806" t="s">
        <v>623</v>
      </c>
      <c r="B806" t="s">
        <v>22</v>
      </c>
      <c r="C806" t="s">
        <v>98</v>
      </c>
      <c r="D806" t="s">
        <v>3217</v>
      </c>
      <c r="E806">
        <v>0</v>
      </c>
      <c r="F806">
        <v>111.52</v>
      </c>
    </row>
    <row r="807" spans="1:6" x14ac:dyDescent="0.25">
      <c r="A807" t="s">
        <v>623</v>
      </c>
      <c r="B807" t="s">
        <v>22</v>
      </c>
      <c r="C807" t="s">
        <v>98</v>
      </c>
      <c r="D807" t="s">
        <v>3218</v>
      </c>
      <c r="E807">
        <v>17.84</v>
      </c>
      <c r="F807">
        <v>111.82</v>
      </c>
    </row>
    <row r="808" spans="1:6" x14ac:dyDescent="0.25">
      <c r="A808" t="s">
        <v>623</v>
      </c>
      <c r="B808" t="s">
        <v>22</v>
      </c>
      <c r="C808" t="s">
        <v>98</v>
      </c>
      <c r="D808" t="s">
        <v>3219</v>
      </c>
      <c r="E808">
        <v>34.36</v>
      </c>
      <c r="F808">
        <v>111.88</v>
      </c>
    </row>
    <row r="809" spans="1:6" x14ac:dyDescent="0.25">
      <c r="A809" t="s">
        <v>624</v>
      </c>
      <c r="B809" t="s">
        <v>22</v>
      </c>
      <c r="C809" t="s">
        <v>99</v>
      </c>
      <c r="D809" t="s">
        <v>3217</v>
      </c>
      <c r="E809">
        <v>0</v>
      </c>
      <c r="F809">
        <v>112.9</v>
      </c>
    </row>
    <row r="810" spans="1:6" x14ac:dyDescent="0.25">
      <c r="A810" t="s">
        <v>624</v>
      </c>
      <c r="B810" t="s">
        <v>22</v>
      </c>
      <c r="C810" t="s">
        <v>99</v>
      </c>
      <c r="D810" t="s">
        <v>3218</v>
      </c>
      <c r="E810">
        <v>17.84</v>
      </c>
      <c r="F810">
        <v>112.7</v>
      </c>
    </row>
    <row r="811" spans="1:6" x14ac:dyDescent="0.25">
      <c r="A811" t="s">
        <v>624</v>
      </c>
      <c r="B811" t="s">
        <v>22</v>
      </c>
      <c r="C811" t="s">
        <v>99</v>
      </c>
      <c r="D811" t="s">
        <v>3219</v>
      </c>
      <c r="E811">
        <v>35.54</v>
      </c>
      <c r="F811">
        <v>112.82</v>
      </c>
    </row>
    <row r="812" spans="1:6" x14ac:dyDescent="0.25">
      <c r="A812" t="s">
        <v>625</v>
      </c>
      <c r="B812" t="s">
        <v>22</v>
      </c>
      <c r="C812" t="s">
        <v>166</v>
      </c>
      <c r="D812" t="s">
        <v>3217</v>
      </c>
      <c r="E812">
        <v>0</v>
      </c>
      <c r="F812">
        <v>113.39</v>
      </c>
    </row>
    <row r="813" spans="1:6" x14ac:dyDescent="0.25">
      <c r="A813" t="s">
        <v>625</v>
      </c>
      <c r="B813" t="s">
        <v>22</v>
      </c>
      <c r="C813" t="s">
        <v>166</v>
      </c>
      <c r="D813" t="s">
        <v>3218</v>
      </c>
      <c r="E813">
        <v>14.36</v>
      </c>
      <c r="F813">
        <v>113.21</v>
      </c>
    </row>
    <row r="814" spans="1:6" x14ac:dyDescent="0.25">
      <c r="A814" t="s">
        <v>625</v>
      </c>
      <c r="B814" t="s">
        <v>22</v>
      </c>
      <c r="C814" t="s">
        <v>166</v>
      </c>
      <c r="D814" t="s">
        <v>3219</v>
      </c>
      <c r="E814">
        <v>30.88</v>
      </c>
      <c r="F814">
        <v>113.36</v>
      </c>
    </row>
    <row r="815" spans="1:6" x14ac:dyDescent="0.25">
      <c r="A815" t="s">
        <v>626</v>
      </c>
      <c r="B815" t="s">
        <v>23</v>
      </c>
      <c r="C815" t="s">
        <v>56</v>
      </c>
      <c r="D815" t="s">
        <v>3217</v>
      </c>
      <c r="E815">
        <v>0</v>
      </c>
      <c r="F815">
        <v>114.68</v>
      </c>
    </row>
    <row r="816" spans="1:6" x14ac:dyDescent="0.25">
      <c r="A816" t="s">
        <v>626</v>
      </c>
      <c r="B816" t="s">
        <v>23</v>
      </c>
      <c r="C816" t="s">
        <v>56</v>
      </c>
      <c r="D816" t="s">
        <v>3218</v>
      </c>
      <c r="E816">
        <v>14.36</v>
      </c>
      <c r="F816">
        <v>114.54</v>
      </c>
    </row>
    <row r="817" spans="1:6" x14ac:dyDescent="0.25">
      <c r="A817" t="s">
        <v>626</v>
      </c>
      <c r="B817" t="s">
        <v>23</v>
      </c>
      <c r="C817" t="s">
        <v>56</v>
      </c>
      <c r="D817" t="s">
        <v>3219</v>
      </c>
      <c r="E817">
        <v>29.84</v>
      </c>
      <c r="F817">
        <v>113.64</v>
      </c>
    </row>
    <row r="818" spans="1:6" x14ac:dyDescent="0.25">
      <c r="A818" t="s">
        <v>627</v>
      </c>
      <c r="B818" t="s">
        <v>23</v>
      </c>
      <c r="C818" t="s">
        <v>57</v>
      </c>
      <c r="D818" t="s">
        <v>3217</v>
      </c>
      <c r="E818">
        <v>0</v>
      </c>
      <c r="F818">
        <v>114.51</v>
      </c>
    </row>
    <row r="819" spans="1:6" x14ac:dyDescent="0.25">
      <c r="A819" t="s">
        <v>627</v>
      </c>
      <c r="B819" t="s">
        <v>23</v>
      </c>
      <c r="C819" t="s">
        <v>57</v>
      </c>
      <c r="D819" t="s">
        <v>3218</v>
      </c>
      <c r="E819">
        <v>12.85</v>
      </c>
      <c r="F819">
        <v>114.45</v>
      </c>
    </row>
    <row r="820" spans="1:6" x14ac:dyDescent="0.25">
      <c r="A820" t="s">
        <v>627</v>
      </c>
      <c r="B820" t="s">
        <v>23</v>
      </c>
      <c r="C820" t="s">
        <v>57</v>
      </c>
      <c r="D820" t="s">
        <v>3219</v>
      </c>
      <c r="E820">
        <v>28.33</v>
      </c>
      <c r="F820">
        <v>114.3</v>
      </c>
    </row>
    <row r="821" spans="1:6" x14ac:dyDescent="0.25">
      <c r="A821" t="s">
        <v>628</v>
      </c>
      <c r="B821" t="s">
        <v>23</v>
      </c>
      <c r="C821" t="s">
        <v>58</v>
      </c>
      <c r="D821" t="s">
        <v>3217</v>
      </c>
      <c r="E821">
        <v>0</v>
      </c>
      <c r="F821">
        <v>114.46</v>
      </c>
    </row>
    <row r="822" spans="1:6" x14ac:dyDescent="0.25">
      <c r="A822" t="s">
        <v>628</v>
      </c>
      <c r="B822" t="s">
        <v>23</v>
      </c>
      <c r="C822" t="s">
        <v>58</v>
      </c>
      <c r="D822" t="s">
        <v>3218</v>
      </c>
      <c r="E822">
        <v>14.25</v>
      </c>
      <c r="F822">
        <v>114.45</v>
      </c>
    </row>
    <row r="823" spans="1:6" x14ac:dyDescent="0.25">
      <c r="A823" t="s">
        <v>628</v>
      </c>
      <c r="B823" t="s">
        <v>23</v>
      </c>
      <c r="C823" t="s">
        <v>58</v>
      </c>
      <c r="D823" t="s">
        <v>3219</v>
      </c>
      <c r="E823">
        <v>26.25</v>
      </c>
      <c r="F823">
        <v>114.26</v>
      </c>
    </row>
    <row r="824" spans="1:6" x14ac:dyDescent="0.25">
      <c r="A824" t="s">
        <v>629</v>
      </c>
      <c r="B824" t="s">
        <v>23</v>
      </c>
      <c r="C824" t="s">
        <v>59</v>
      </c>
      <c r="D824" t="s">
        <v>3217</v>
      </c>
      <c r="E824">
        <v>0</v>
      </c>
      <c r="F824">
        <v>114.11</v>
      </c>
    </row>
    <row r="825" spans="1:6" x14ac:dyDescent="0.25">
      <c r="A825" t="s">
        <v>629</v>
      </c>
      <c r="B825" t="s">
        <v>23</v>
      </c>
      <c r="C825" t="s">
        <v>59</v>
      </c>
      <c r="D825" t="s">
        <v>3218</v>
      </c>
      <c r="E825">
        <v>14.25</v>
      </c>
      <c r="F825">
        <v>114.57</v>
      </c>
    </row>
    <row r="826" spans="1:6" x14ac:dyDescent="0.25">
      <c r="A826" t="s">
        <v>629</v>
      </c>
      <c r="B826" t="s">
        <v>23</v>
      </c>
      <c r="C826" t="s">
        <v>59</v>
      </c>
      <c r="D826" t="s">
        <v>3219</v>
      </c>
      <c r="E826">
        <v>21</v>
      </c>
      <c r="F826">
        <v>114.7</v>
      </c>
    </row>
    <row r="827" spans="1:6" x14ac:dyDescent="0.25">
      <c r="A827" t="s">
        <v>630</v>
      </c>
      <c r="B827" t="s">
        <v>23</v>
      </c>
      <c r="C827" t="s">
        <v>60</v>
      </c>
      <c r="D827" t="s">
        <v>3217</v>
      </c>
      <c r="E827">
        <v>0</v>
      </c>
      <c r="F827">
        <v>114.4</v>
      </c>
    </row>
    <row r="828" spans="1:6" x14ac:dyDescent="0.25">
      <c r="A828" t="s">
        <v>630</v>
      </c>
      <c r="B828" t="s">
        <v>23</v>
      </c>
      <c r="C828" t="s">
        <v>60</v>
      </c>
      <c r="D828" t="s">
        <v>3218</v>
      </c>
      <c r="E828">
        <v>14.41</v>
      </c>
      <c r="F828">
        <v>114.66</v>
      </c>
    </row>
    <row r="829" spans="1:6" x14ac:dyDescent="0.25">
      <c r="A829" t="s">
        <v>630</v>
      </c>
      <c r="B829" t="s">
        <v>23</v>
      </c>
      <c r="C829" t="s">
        <v>60</v>
      </c>
      <c r="D829" t="s">
        <v>3219</v>
      </c>
      <c r="E829">
        <v>26.41</v>
      </c>
      <c r="F829">
        <v>114.89</v>
      </c>
    </row>
    <row r="830" spans="1:6" x14ac:dyDescent="0.25">
      <c r="A830" t="s">
        <v>631</v>
      </c>
      <c r="B830" t="s">
        <v>23</v>
      </c>
      <c r="C830" t="s">
        <v>61</v>
      </c>
      <c r="D830" t="s">
        <v>3217</v>
      </c>
      <c r="E830">
        <v>0</v>
      </c>
      <c r="F830">
        <v>114.37</v>
      </c>
    </row>
    <row r="831" spans="1:6" x14ac:dyDescent="0.25">
      <c r="A831" t="s">
        <v>631</v>
      </c>
      <c r="B831" t="s">
        <v>23</v>
      </c>
      <c r="C831" t="s">
        <v>61</v>
      </c>
      <c r="D831" t="s">
        <v>3218</v>
      </c>
      <c r="E831">
        <v>15.45</v>
      </c>
      <c r="F831">
        <v>114.62</v>
      </c>
    </row>
    <row r="832" spans="1:6" x14ac:dyDescent="0.25">
      <c r="A832" t="s">
        <v>631</v>
      </c>
      <c r="B832" t="s">
        <v>23</v>
      </c>
      <c r="C832" t="s">
        <v>61</v>
      </c>
      <c r="D832" t="s">
        <v>3219</v>
      </c>
      <c r="E832">
        <v>30.31</v>
      </c>
      <c r="F832">
        <v>114.97</v>
      </c>
    </row>
    <row r="833" spans="1:6" x14ac:dyDescent="0.25">
      <c r="A833" t="s">
        <v>632</v>
      </c>
      <c r="B833" t="s">
        <v>23</v>
      </c>
      <c r="C833" t="s">
        <v>62</v>
      </c>
      <c r="D833" t="s">
        <v>3217</v>
      </c>
      <c r="E833">
        <v>0</v>
      </c>
      <c r="F833">
        <v>114.36</v>
      </c>
    </row>
    <row r="834" spans="1:6" x14ac:dyDescent="0.25">
      <c r="A834" t="s">
        <v>632</v>
      </c>
      <c r="B834" t="s">
        <v>23</v>
      </c>
      <c r="C834" t="s">
        <v>62</v>
      </c>
      <c r="D834" t="s">
        <v>3218</v>
      </c>
      <c r="E834">
        <v>16.63</v>
      </c>
      <c r="F834">
        <v>114.53</v>
      </c>
    </row>
    <row r="835" spans="1:6" x14ac:dyDescent="0.25">
      <c r="A835" t="s">
        <v>632</v>
      </c>
      <c r="B835" t="s">
        <v>23</v>
      </c>
      <c r="C835" t="s">
        <v>62</v>
      </c>
      <c r="D835" t="s">
        <v>3219</v>
      </c>
      <c r="E835">
        <v>31.49</v>
      </c>
      <c r="F835">
        <v>114.88</v>
      </c>
    </row>
    <row r="836" spans="1:6" x14ac:dyDescent="0.25">
      <c r="A836" t="s">
        <v>633</v>
      </c>
      <c r="B836" t="s">
        <v>23</v>
      </c>
      <c r="C836" t="s">
        <v>63</v>
      </c>
      <c r="D836" t="s">
        <v>3217</v>
      </c>
      <c r="E836">
        <v>0</v>
      </c>
      <c r="F836">
        <v>114.27</v>
      </c>
    </row>
    <row r="837" spans="1:6" x14ac:dyDescent="0.25">
      <c r="A837" t="s">
        <v>633</v>
      </c>
      <c r="B837" t="s">
        <v>23</v>
      </c>
      <c r="C837" t="s">
        <v>63</v>
      </c>
      <c r="D837" t="s">
        <v>3218</v>
      </c>
      <c r="E837">
        <v>16.54</v>
      </c>
      <c r="F837">
        <v>114.57</v>
      </c>
    </row>
    <row r="838" spans="1:6" x14ac:dyDescent="0.25">
      <c r="A838" t="s">
        <v>633</v>
      </c>
      <c r="B838" t="s">
        <v>23</v>
      </c>
      <c r="C838" t="s">
        <v>63</v>
      </c>
      <c r="D838" t="s">
        <v>3219</v>
      </c>
      <c r="E838">
        <v>33.64</v>
      </c>
      <c r="F838">
        <v>114.72</v>
      </c>
    </row>
    <row r="839" spans="1:6" x14ac:dyDescent="0.25">
      <c r="A839" t="s">
        <v>634</v>
      </c>
      <c r="B839" t="s">
        <v>23</v>
      </c>
      <c r="C839" t="s">
        <v>64</v>
      </c>
      <c r="D839" t="s">
        <v>3217</v>
      </c>
      <c r="E839">
        <v>0</v>
      </c>
      <c r="F839">
        <v>114.49</v>
      </c>
    </row>
    <row r="840" spans="1:6" x14ac:dyDescent="0.25">
      <c r="A840" t="s">
        <v>634</v>
      </c>
      <c r="B840" t="s">
        <v>23</v>
      </c>
      <c r="C840" t="s">
        <v>64</v>
      </c>
      <c r="D840" t="s">
        <v>3218</v>
      </c>
      <c r="E840">
        <v>16.45</v>
      </c>
      <c r="F840">
        <v>114.4</v>
      </c>
    </row>
    <row r="841" spans="1:6" x14ac:dyDescent="0.25">
      <c r="A841" t="s">
        <v>634</v>
      </c>
      <c r="B841" t="s">
        <v>23</v>
      </c>
      <c r="C841" t="s">
        <v>64</v>
      </c>
      <c r="D841" t="s">
        <v>3219</v>
      </c>
      <c r="E841">
        <v>33.549999999999997</v>
      </c>
      <c r="F841">
        <v>114.56</v>
      </c>
    </row>
    <row r="842" spans="1:6" x14ac:dyDescent="0.25">
      <c r="A842" t="s">
        <v>635</v>
      </c>
      <c r="B842" t="s">
        <v>23</v>
      </c>
      <c r="C842" t="s">
        <v>65</v>
      </c>
      <c r="D842" t="s">
        <v>3217</v>
      </c>
      <c r="E842">
        <v>0</v>
      </c>
      <c r="F842">
        <v>114.42</v>
      </c>
    </row>
    <row r="843" spans="1:6" x14ac:dyDescent="0.25">
      <c r="A843" t="s">
        <v>635</v>
      </c>
      <c r="B843" t="s">
        <v>23</v>
      </c>
      <c r="C843" t="s">
        <v>65</v>
      </c>
      <c r="D843" t="s">
        <v>3218</v>
      </c>
      <c r="E843">
        <v>17.329999999999998</v>
      </c>
      <c r="F843">
        <v>114.43</v>
      </c>
    </row>
    <row r="844" spans="1:6" x14ac:dyDescent="0.25">
      <c r="A844" t="s">
        <v>635</v>
      </c>
      <c r="B844" t="s">
        <v>23</v>
      </c>
      <c r="C844" t="s">
        <v>65</v>
      </c>
      <c r="D844" t="s">
        <v>3219</v>
      </c>
      <c r="E844">
        <v>34.43</v>
      </c>
      <c r="F844">
        <v>114.65</v>
      </c>
    </row>
    <row r="845" spans="1:6" x14ac:dyDescent="0.25">
      <c r="A845" t="s">
        <v>636</v>
      </c>
      <c r="B845" t="s">
        <v>23</v>
      </c>
      <c r="C845" t="s">
        <v>66</v>
      </c>
      <c r="D845" t="s">
        <v>3217</v>
      </c>
      <c r="E845">
        <v>0</v>
      </c>
      <c r="F845">
        <v>114.46</v>
      </c>
    </row>
    <row r="846" spans="1:6" x14ac:dyDescent="0.25">
      <c r="A846" t="s">
        <v>636</v>
      </c>
      <c r="B846" t="s">
        <v>23</v>
      </c>
      <c r="C846" t="s">
        <v>66</v>
      </c>
      <c r="D846" t="s">
        <v>3218</v>
      </c>
      <c r="E846">
        <v>17.329999999999998</v>
      </c>
      <c r="F846">
        <v>114.62</v>
      </c>
    </row>
    <row r="847" spans="1:6" x14ac:dyDescent="0.25">
      <c r="A847" t="s">
        <v>636</v>
      </c>
      <c r="B847" t="s">
        <v>23</v>
      </c>
      <c r="C847" t="s">
        <v>66</v>
      </c>
      <c r="D847" t="s">
        <v>3219</v>
      </c>
      <c r="E847">
        <v>34.409999999999997</v>
      </c>
      <c r="F847">
        <v>114.86</v>
      </c>
    </row>
    <row r="848" spans="1:6" x14ac:dyDescent="0.25">
      <c r="A848" t="s">
        <v>637</v>
      </c>
      <c r="B848" t="s">
        <v>23</v>
      </c>
      <c r="C848" t="s">
        <v>67</v>
      </c>
      <c r="D848" t="s">
        <v>3217</v>
      </c>
      <c r="E848">
        <v>0</v>
      </c>
      <c r="F848">
        <v>114.57</v>
      </c>
    </row>
    <row r="849" spans="1:6" x14ac:dyDescent="0.25">
      <c r="A849" t="s">
        <v>637</v>
      </c>
      <c r="B849" t="s">
        <v>23</v>
      </c>
      <c r="C849" t="s">
        <v>67</v>
      </c>
      <c r="D849" t="s">
        <v>3218</v>
      </c>
      <c r="E849">
        <v>17.690000000000001</v>
      </c>
      <c r="F849">
        <v>114.57</v>
      </c>
    </row>
    <row r="850" spans="1:6" x14ac:dyDescent="0.25">
      <c r="A850" t="s">
        <v>637</v>
      </c>
      <c r="B850" t="s">
        <v>23</v>
      </c>
      <c r="C850" t="s">
        <v>67</v>
      </c>
      <c r="D850" t="s">
        <v>3219</v>
      </c>
      <c r="E850">
        <v>34.69</v>
      </c>
      <c r="F850">
        <v>114.96</v>
      </c>
    </row>
    <row r="851" spans="1:6" x14ac:dyDescent="0.25">
      <c r="A851" t="s">
        <v>638</v>
      </c>
      <c r="B851" t="s">
        <v>23</v>
      </c>
      <c r="C851" t="s">
        <v>68</v>
      </c>
      <c r="D851" t="s">
        <v>3217</v>
      </c>
      <c r="E851">
        <v>0</v>
      </c>
      <c r="F851">
        <v>114.65</v>
      </c>
    </row>
    <row r="852" spans="1:6" x14ac:dyDescent="0.25">
      <c r="A852" t="s">
        <v>638</v>
      </c>
      <c r="B852" t="s">
        <v>23</v>
      </c>
      <c r="C852" t="s">
        <v>68</v>
      </c>
      <c r="D852" t="s">
        <v>3218</v>
      </c>
      <c r="E852">
        <v>17.72</v>
      </c>
      <c r="F852">
        <v>114.78</v>
      </c>
    </row>
    <row r="853" spans="1:6" x14ac:dyDescent="0.25">
      <c r="A853" t="s">
        <v>638</v>
      </c>
      <c r="B853" t="s">
        <v>23</v>
      </c>
      <c r="C853" t="s">
        <v>68</v>
      </c>
      <c r="D853" t="s">
        <v>3219</v>
      </c>
      <c r="E853">
        <v>33.89</v>
      </c>
      <c r="F853">
        <v>115.1</v>
      </c>
    </row>
    <row r="854" spans="1:6" x14ac:dyDescent="0.25">
      <c r="A854" t="s">
        <v>639</v>
      </c>
      <c r="B854" t="s">
        <v>23</v>
      </c>
      <c r="C854" t="s">
        <v>69</v>
      </c>
      <c r="D854" t="s">
        <v>3217</v>
      </c>
      <c r="E854">
        <v>0</v>
      </c>
      <c r="F854">
        <v>114.66</v>
      </c>
    </row>
    <row r="855" spans="1:6" x14ac:dyDescent="0.25">
      <c r="A855" t="s">
        <v>639</v>
      </c>
      <c r="B855" t="s">
        <v>23</v>
      </c>
      <c r="C855" t="s">
        <v>69</v>
      </c>
      <c r="D855" t="s">
        <v>3218</v>
      </c>
      <c r="E855">
        <v>17.72</v>
      </c>
      <c r="F855">
        <v>114.98</v>
      </c>
    </row>
    <row r="856" spans="1:6" x14ac:dyDescent="0.25">
      <c r="A856" t="s">
        <v>639</v>
      </c>
      <c r="B856" t="s">
        <v>23</v>
      </c>
      <c r="C856" t="s">
        <v>69</v>
      </c>
      <c r="D856" t="s">
        <v>3219</v>
      </c>
      <c r="E856">
        <v>33.35</v>
      </c>
      <c r="F856">
        <v>115.3</v>
      </c>
    </row>
    <row r="857" spans="1:6" x14ac:dyDescent="0.25">
      <c r="A857" t="s">
        <v>640</v>
      </c>
      <c r="B857" t="s">
        <v>23</v>
      </c>
      <c r="C857" t="s">
        <v>70</v>
      </c>
      <c r="D857" t="s">
        <v>3217</v>
      </c>
      <c r="E857">
        <v>0</v>
      </c>
      <c r="F857">
        <v>114.76</v>
      </c>
    </row>
    <row r="858" spans="1:6" x14ac:dyDescent="0.25">
      <c r="A858" t="s">
        <v>640</v>
      </c>
      <c r="B858" t="s">
        <v>23</v>
      </c>
      <c r="C858" t="s">
        <v>70</v>
      </c>
      <c r="D858" t="s">
        <v>3218</v>
      </c>
      <c r="E858">
        <v>17.95</v>
      </c>
      <c r="F858">
        <v>115.21</v>
      </c>
    </row>
    <row r="859" spans="1:6" x14ac:dyDescent="0.25">
      <c r="A859" t="s">
        <v>640</v>
      </c>
      <c r="B859" t="s">
        <v>23</v>
      </c>
      <c r="C859" t="s">
        <v>70</v>
      </c>
      <c r="D859" t="s">
        <v>3219</v>
      </c>
      <c r="E859">
        <v>33.11</v>
      </c>
      <c r="F859">
        <v>115.49</v>
      </c>
    </row>
    <row r="860" spans="1:6" x14ac:dyDescent="0.25">
      <c r="A860" t="s">
        <v>641</v>
      </c>
      <c r="B860" t="s">
        <v>23</v>
      </c>
      <c r="C860" t="s">
        <v>71</v>
      </c>
      <c r="D860" t="s">
        <v>3217</v>
      </c>
      <c r="E860">
        <v>0</v>
      </c>
      <c r="F860">
        <v>114.94</v>
      </c>
    </row>
    <row r="861" spans="1:6" x14ac:dyDescent="0.25">
      <c r="A861" t="s">
        <v>641</v>
      </c>
      <c r="B861" t="s">
        <v>23</v>
      </c>
      <c r="C861" t="s">
        <v>71</v>
      </c>
      <c r="D861" t="s">
        <v>3218</v>
      </c>
      <c r="E861">
        <v>16.239999999999998</v>
      </c>
      <c r="F861">
        <v>115.42</v>
      </c>
    </row>
    <row r="862" spans="1:6" x14ac:dyDescent="0.25">
      <c r="A862" t="s">
        <v>641</v>
      </c>
      <c r="B862" t="s">
        <v>23</v>
      </c>
      <c r="C862" t="s">
        <v>71</v>
      </c>
      <c r="D862" t="s">
        <v>3219</v>
      </c>
      <c r="E862">
        <v>31.84</v>
      </c>
      <c r="F862">
        <v>115.67</v>
      </c>
    </row>
    <row r="863" spans="1:6" x14ac:dyDescent="0.25">
      <c r="A863" t="s">
        <v>642</v>
      </c>
      <c r="B863" t="s">
        <v>23</v>
      </c>
      <c r="C863" t="s">
        <v>72</v>
      </c>
      <c r="D863" t="s">
        <v>3217</v>
      </c>
      <c r="E863">
        <v>0</v>
      </c>
      <c r="F863">
        <v>115.36</v>
      </c>
    </row>
    <row r="864" spans="1:6" x14ac:dyDescent="0.25">
      <c r="A864" t="s">
        <v>642</v>
      </c>
      <c r="B864" t="s">
        <v>23</v>
      </c>
      <c r="C864" t="s">
        <v>72</v>
      </c>
      <c r="D864" t="s">
        <v>3218</v>
      </c>
      <c r="E864">
        <v>16.239999999999998</v>
      </c>
      <c r="F864">
        <v>115.41</v>
      </c>
    </row>
    <row r="865" spans="1:6" x14ac:dyDescent="0.25">
      <c r="A865" t="s">
        <v>642</v>
      </c>
      <c r="B865" t="s">
        <v>23</v>
      </c>
      <c r="C865" t="s">
        <v>72</v>
      </c>
      <c r="D865" t="s">
        <v>3219</v>
      </c>
      <c r="E865">
        <v>32.32</v>
      </c>
      <c r="F865">
        <v>115.73</v>
      </c>
    </row>
    <row r="866" spans="1:6" x14ac:dyDescent="0.25">
      <c r="A866" t="s">
        <v>643</v>
      </c>
      <c r="B866" t="s">
        <v>23</v>
      </c>
      <c r="C866" t="s">
        <v>73</v>
      </c>
      <c r="D866" t="s">
        <v>3217</v>
      </c>
      <c r="E866">
        <v>0</v>
      </c>
      <c r="F866">
        <v>115.49</v>
      </c>
    </row>
    <row r="867" spans="1:6" x14ac:dyDescent="0.25">
      <c r="A867" t="s">
        <v>643</v>
      </c>
      <c r="B867" t="s">
        <v>23</v>
      </c>
      <c r="C867" t="s">
        <v>73</v>
      </c>
      <c r="D867" t="s">
        <v>3218</v>
      </c>
      <c r="E867">
        <v>16.239999999999998</v>
      </c>
      <c r="F867">
        <v>115.35</v>
      </c>
    </row>
    <row r="868" spans="1:6" x14ac:dyDescent="0.25">
      <c r="A868" t="s">
        <v>643</v>
      </c>
      <c r="B868" t="s">
        <v>23</v>
      </c>
      <c r="C868" t="s">
        <v>73</v>
      </c>
      <c r="D868" t="s">
        <v>3219</v>
      </c>
      <c r="E868">
        <v>32.82</v>
      </c>
      <c r="F868">
        <v>115.68</v>
      </c>
    </row>
    <row r="869" spans="1:6" x14ac:dyDescent="0.25">
      <c r="A869" t="s">
        <v>644</v>
      </c>
      <c r="B869" t="s">
        <v>23</v>
      </c>
      <c r="C869" t="s">
        <v>74</v>
      </c>
      <c r="D869" t="s">
        <v>3217</v>
      </c>
      <c r="E869">
        <v>0</v>
      </c>
      <c r="F869">
        <v>115.34</v>
      </c>
    </row>
    <row r="870" spans="1:6" x14ac:dyDescent="0.25">
      <c r="A870" t="s">
        <v>644</v>
      </c>
      <c r="B870" t="s">
        <v>23</v>
      </c>
      <c r="C870" t="s">
        <v>74</v>
      </c>
      <c r="D870" t="s">
        <v>3218</v>
      </c>
      <c r="E870">
        <v>17.79</v>
      </c>
      <c r="F870">
        <v>115.49</v>
      </c>
    </row>
    <row r="871" spans="1:6" x14ac:dyDescent="0.25">
      <c r="A871" t="s">
        <v>644</v>
      </c>
      <c r="B871" t="s">
        <v>23</v>
      </c>
      <c r="C871" t="s">
        <v>74</v>
      </c>
      <c r="D871" t="s">
        <v>3219</v>
      </c>
      <c r="E871">
        <v>35.06</v>
      </c>
      <c r="F871">
        <v>115.68</v>
      </c>
    </row>
    <row r="872" spans="1:6" x14ac:dyDescent="0.25">
      <c r="A872" t="s">
        <v>645</v>
      </c>
      <c r="B872" t="s">
        <v>23</v>
      </c>
      <c r="C872" t="s">
        <v>75</v>
      </c>
      <c r="D872" t="s">
        <v>3217</v>
      </c>
      <c r="E872">
        <v>0</v>
      </c>
      <c r="F872">
        <v>115.6</v>
      </c>
    </row>
    <row r="873" spans="1:6" x14ac:dyDescent="0.25">
      <c r="A873" t="s">
        <v>645</v>
      </c>
      <c r="B873" t="s">
        <v>23</v>
      </c>
      <c r="C873" t="s">
        <v>75</v>
      </c>
      <c r="D873" t="s">
        <v>3218</v>
      </c>
      <c r="E873">
        <v>17.79</v>
      </c>
      <c r="F873">
        <v>115.78</v>
      </c>
    </row>
    <row r="874" spans="1:6" x14ac:dyDescent="0.25">
      <c r="A874" t="s">
        <v>645</v>
      </c>
      <c r="B874" t="s">
        <v>23</v>
      </c>
      <c r="C874" t="s">
        <v>75</v>
      </c>
      <c r="D874" t="s">
        <v>3219</v>
      </c>
      <c r="E874">
        <v>33.909999999999997</v>
      </c>
      <c r="F874">
        <v>116.06</v>
      </c>
    </row>
    <row r="875" spans="1:6" x14ac:dyDescent="0.25">
      <c r="A875" t="s">
        <v>646</v>
      </c>
      <c r="B875" t="s">
        <v>23</v>
      </c>
      <c r="C875" t="s">
        <v>76</v>
      </c>
      <c r="D875" t="s">
        <v>3217</v>
      </c>
      <c r="E875">
        <v>0</v>
      </c>
      <c r="F875">
        <v>115.8</v>
      </c>
    </row>
    <row r="876" spans="1:6" x14ac:dyDescent="0.25">
      <c r="A876" t="s">
        <v>646</v>
      </c>
      <c r="B876" t="s">
        <v>23</v>
      </c>
      <c r="C876" t="s">
        <v>76</v>
      </c>
      <c r="D876" t="s">
        <v>3218</v>
      </c>
      <c r="E876">
        <v>17.79</v>
      </c>
      <c r="F876">
        <v>115.88</v>
      </c>
    </row>
    <row r="877" spans="1:6" x14ac:dyDescent="0.25">
      <c r="A877" t="s">
        <v>646</v>
      </c>
      <c r="B877" t="s">
        <v>23</v>
      </c>
      <c r="C877" t="s">
        <v>76</v>
      </c>
      <c r="D877" t="s">
        <v>3219</v>
      </c>
      <c r="E877">
        <v>33.79</v>
      </c>
      <c r="F877">
        <v>116.08</v>
      </c>
    </row>
    <row r="878" spans="1:6" x14ac:dyDescent="0.25">
      <c r="A878" t="s">
        <v>647</v>
      </c>
      <c r="B878" t="s">
        <v>23</v>
      </c>
      <c r="C878" t="s">
        <v>77</v>
      </c>
      <c r="D878" t="s">
        <v>3217</v>
      </c>
      <c r="E878">
        <v>0</v>
      </c>
      <c r="F878">
        <v>116</v>
      </c>
    </row>
    <row r="879" spans="1:6" x14ac:dyDescent="0.25">
      <c r="A879" t="s">
        <v>647</v>
      </c>
      <c r="B879" t="s">
        <v>23</v>
      </c>
      <c r="C879" t="s">
        <v>77</v>
      </c>
      <c r="D879" t="s">
        <v>3218</v>
      </c>
      <c r="E879">
        <v>17.420000000000002</v>
      </c>
      <c r="F879">
        <v>116.13</v>
      </c>
    </row>
    <row r="880" spans="1:6" x14ac:dyDescent="0.25">
      <c r="A880" t="s">
        <v>647</v>
      </c>
      <c r="B880" t="s">
        <v>23</v>
      </c>
      <c r="C880" t="s">
        <v>77</v>
      </c>
      <c r="D880" t="s">
        <v>3219</v>
      </c>
      <c r="E880">
        <v>32.6</v>
      </c>
      <c r="F880">
        <v>116.11</v>
      </c>
    </row>
    <row r="881" spans="1:6" x14ac:dyDescent="0.25">
      <c r="A881" t="s">
        <v>648</v>
      </c>
      <c r="B881" t="s">
        <v>23</v>
      </c>
      <c r="C881" t="s">
        <v>78</v>
      </c>
      <c r="D881" t="s">
        <v>3217</v>
      </c>
      <c r="E881">
        <v>0</v>
      </c>
      <c r="F881">
        <v>116.11</v>
      </c>
    </row>
    <row r="882" spans="1:6" x14ac:dyDescent="0.25">
      <c r="A882" t="s">
        <v>648</v>
      </c>
      <c r="B882" t="s">
        <v>23</v>
      </c>
      <c r="C882" t="s">
        <v>78</v>
      </c>
      <c r="D882" t="s">
        <v>3218</v>
      </c>
      <c r="E882">
        <v>17.05</v>
      </c>
      <c r="F882">
        <v>116.27</v>
      </c>
    </row>
    <row r="883" spans="1:6" x14ac:dyDescent="0.25">
      <c r="A883" t="s">
        <v>648</v>
      </c>
      <c r="B883" t="s">
        <v>23</v>
      </c>
      <c r="C883" t="s">
        <v>78</v>
      </c>
      <c r="D883" t="s">
        <v>3219</v>
      </c>
      <c r="E883">
        <v>32.07</v>
      </c>
      <c r="F883">
        <v>116.4</v>
      </c>
    </row>
    <row r="884" spans="1:6" x14ac:dyDescent="0.25">
      <c r="A884" t="s">
        <v>649</v>
      </c>
      <c r="B884" t="s">
        <v>23</v>
      </c>
      <c r="C884" t="s">
        <v>79</v>
      </c>
      <c r="D884" t="s">
        <v>3217</v>
      </c>
      <c r="E884">
        <v>0</v>
      </c>
      <c r="F884">
        <v>116.13</v>
      </c>
    </row>
    <row r="885" spans="1:6" x14ac:dyDescent="0.25">
      <c r="A885" t="s">
        <v>649</v>
      </c>
      <c r="B885" t="s">
        <v>23</v>
      </c>
      <c r="C885" t="s">
        <v>79</v>
      </c>
      <c r="D885" t="s">
        <v>3218</v>
      </c>
      <c r="E885">
        <v>17.010000000000002</v>
      </c>
      <c r="F885">
        <v>116.33</v>
      </c>
    </row>
    <row r="886" spans="1:6" x14ac:dyDescent="0.25">
      <c r="A886" t="s">
        <v>649</v>
      </c>
      <c r="B886" t="s">
        <v>23</v>
      </c>
      <c r="C886" t="s">
        <v>79</v>
      </c>
      <c r="D886" t="s">
        <v>3219</v>
      </c>
      <c r="E886">
        <v>32.590000000000003</v>
      </c>
      <c r="F886">
        <v>116.44</v>
      </c>
    </row>
    <row r="887" spans="1:6" x14ac:dyDescent="0.25">
      <c r="A887" t="s">
        <v>650</v>
      </c>
      <c r="B887" t="s">
        <v>23</v>
      </c>
      <c r="C887" t="s">
        <v>80</v>
      </c>
      <c r="D887" t="s">
        <v>3217</v>
      </c>
      <c r="E887">
        <v>0</v>
      </c>
      <c r="F887">
        <v>116.21</v>
      </c>
    </row>
    <row r="888" spans="1:6" x14ac:dyDescent="0.25">
      <c r="A888" t="s">
        <v>650</v>
      </c>
      <c r="B888" t="s">
        <v>23</v>
      </c>
      <c r="C888" t="s">
        <v>80</v>
      </c>
      <c r="D888" t="s">
        <v>3218</v>
      </c>
      <c r="E888">
        <v>17.190000000000001</v>
      </c>
      <c r="F888">
        <v>116.34</v>
      </c>
    </row>
    <row r="889" spans="1:6" x14ac:dyDescent="0.25">
      <c r="A889" t="s">
        <v>650</v>
      </c>
      <c r="B889" t="s">
        <v>23</v>
      </c>
      <c r="C889" t="s">
        <v>80</v>
      </c>
      <c r="D889" t="s">
        <v>3219</v>
      </c>
      <c r="E889">
        <v>33.75</v>
      </c>
      <c r="F889">
        <v>116.42</v>
      </c>
    </row>
    <row r="890" spans="1:6" x14ac:dyDescent="0.25">
      <c r="A890" t="s">
        <v>651</v>
      </c>
      <c r="B890" t="s">
        <v>23</v>
      </c>
      <c r="C890" t="s">
        <v>81</v>
      </c>
      <c r="D890" t="s">
        <v>3217</v>
      </c>
      <c r="E890">
        <v>0</v>
      </c>
      <c r="F890">
        <v>116.21</v>
      </c>
    </row>
    <row r="891" spans="1:6" x14ac:dyDescent="0.25">
      <c r="A891" t="s">
        <v>651</v>
      </c>
      <c r="B891" t="s">
        <v>23</v>
      </c>
      <c r="C891" t="s">
        <v>81</v>
      </c>
      <c r="D891" t="s">
        <v>3218</v>
      </c>
      <c r="E891">
        <v>16.739999999999998</v>
      </c>
      <c r="F891">
        <v>116.18</v>
      </c>
    </row>
    <row r="892" spans="1:6" x14ac:dyDescent="0.25">
      <c r="A892" t="s">
        <v>651</v>
      </c>
      <c r="B892" t="s">
        <v>23</v>
      </c>
      <c r="C892" t="s">
        <v>81</v>
      </c>
      <c r="D892" t="s">
        <v>3219</v>
      </c>
      <c r="E892">
        <v>34.44</v>
      </c>
      <c r="F892">
        <v>116.37</v>
      </c>
    </row>
    <row r="893" spans="1:6" x14ac:dyDescent="0.25">
      <c r="A893" t="s">
        <v>652</v>
      </c>
      <c r="B893" t="s">
        <v>23</v>
      </c>
      <c r="C893" t="s">
        <v>82</v>
      </c>
      <c r="D893" t="s">
        <v>3217</v>
      </c>
      <c r="E893">
        <v>0</v>
      </c>
      <c r="F893">
        <v>115.7</v>
      </c>
    </row>
    <row r="894" spans="1:6" x14ac:dyDescent="0.25">
      <c r="A894" t="s">
        <v>652</v>
      </c>
      <c r="B894" t="s">
        <v>23</v>
      </c>
      <c r="C894" t="s">
        <v>82</v>
      </c>
      <c r="D894" t="s">
        <v>3218</v>
      </c>
      <c r="E894">
        <v>17.600000000000001</v>
      </c>
      <c r="F894">
        <v>116.03</v>
      </c>
    </row>
    <row r="895" spans="1:6" x14ac:dyDescent="0.25">
      <c r="A895" t="s">
        <v>652</v>
      </c>
      <c r="B895" t="s">
        <v>23</v>
      </c>
      <c r="C895" t="s">
        <v>82</v>
      </c>
      <c r="D895" t="s">
        <v>3219</v>
      </c>
      <c r="E895">
        <v>34.82</v>
      </c>
      <c r="F895">
        <v>116.29</v>
      </c>
    </row>
    <row r="896" spans="1:6" x14ac:dyDescent="0.25">
      <c r="A896" t="s">
        <v>653</v>
      </c>
      <c r="B896" t="s">
        <v>23</v>
      </c>
      <c r="C896" t="s">
        <v>83</v>
      </c>
      <c r="D896" t="s">
        <v>3217</v>
      </c>
      <c r="E896">
        <v>0</v>
      </c>
      <c r="F896">
        <v>115.35</v>
      </c>
    </row>
    <row r="897" spans="1:6" x14ac:dyDescent="0.25">
      <c r="A897" t="s">
        <v>653</v>
      </c>
      <c r="B897" t="s">
        <v>23</v>
      </c>
      <c r="C897" t="s">
        <v>83</v>
      </c>
      <c r="D897" t="s">
        <v>3218</v>
      </c>
      <c r="E897">
        <v>17.78</v>
      </c>
      <c r="F897">
        <v>115.97</v>
      </c>
    </row>
    <row r="898" spans="1:6" x14ac:dyDescent="0.25">
      <c r="A898" t="s">
        <v>653</v>
      </c>
      <c r="B898" t="s">
        <v>23</v>
      </c>
      <c r="C898" t="s">
        <v>83</v>
      </c>
      <c r="D898" t="s">
        <v>3219</v>
      </c>
      <c r="E898">
        <v>35.11</v>
      </c>
      <c r="F898">
        <v>116.02</v>
      </c>
    </row>
    <row r="899" spans="1:6" x14ac:dyDescent="0.25">
      <c r="A899" t="s">
        <v>654</v>
      </c>
      <c r="B899" t="s">
        <v>23</v>
      </c>
      <c r="C899" t="s">
        <v>84</v>
      </c>
      <c r="D899" t="s">
        <v>3217</v>
      </c>
      <c r="E899">
        <v>0</v>
      </c>
      <c r="F899">
        <v>115.12</v>
      </c>
    </row>
    <row r="900" spans="1:6" x14ac:dyDescent="0.25">
      <c r="A900" t="s">
        <v>654</v>
      </c>
      <c r="B900" t="s">
        <v>23</v>
      </c>
      <c r="C900" t="s">
        <v>84</v>
      </c>
      <c r="D900" t="s">
        <v>3218</v>
      </c>
      <c r="E900">
        <v>17.78</v>
      </c>
      <c r="F900">
        <v>115.6</v>
      </c>
    </row>
    <row r="901" spans="1:6" x14ac:dyDescent="0.25">
      <c r="A901" t="s">
        <v>654</v>
      </c>
      <c r="B901" t="s">
        <v>23</v>
      </c>
      <c r="C901" t="s">
        <v>84</v>
      </c>
      <c r="D901" t="s">
        <v>3219</v>
      </c>
      <c r="E901">
        <v>35.28</v>
      </c>
      <c r="F901">
        <v>115.48</v>
      </c>
    </row>
    <row r="902" spans="1:6" x14ac:dyDescent="0.25">
      <c r="A902" t="s">
        <v>655</v>
      </c>
      <c r="B902" t="s">
        <v>23</v>
      </c>
      <c r="C902" t="s">
        <v>85</v>
      </c>
      <c r="D902" t="s">
        <v>3217</v>
      </c>
      <c r="E902">
        <v>0</v>
      </c>
      <c r="F902">
        <v>114.81</v>
      </c>
    </row>
    <row r="903" spans="1:6" x14ac:dyDescent="0.25">
      <c r="A903" t="s">
        <v>655</v>
      </c>
      <c r="B903" t="s">
        <v>23</v>
      </c>
      <c r="C903" t="s">
        <v>85</v>
      </c>
      <c r="D903" t="s">
        <v>3218</v>
      </c>
      <c r="E903">
        <v>18</v>
      </c>
      <c r="F903">
        <v>115.18</v>
      </c>
    </row>
    <row r="904" spans="1:6" x14ac:dyDescent="0.25">
      <c r="A904" t="s">
        <v>655</v>
      </c>
      <c r="B904" t="s">
        <v>23</v>
      </c>
      <c r="C904" t="s">
        <v>85</v>
      </c>
      <c r="D904" t="s">
        <v>3219</v>
      </c>
      <c r="E904">
        <v>34.42</v>
      </c>
      <c r="F904">
        <v>115.06</v>
      </c>
    </row>
    <row r="905" spans="1:6" x14ac:dyDescent="0.25">
      <c r="A905" t="s">
        <v>656</v>
      </c>
      <c r="B905" t="s">
        <v>23</v>
      </c>
      <c r="C905" t="s">
        <v>86</v>
      </c>
      <c r="D905" t="s">
        <v>3217</v>
      </c>
      <c r="E905">
        <v>0</v>
      </c>
      <c r="F905">
        <v>114.54</v>
      </c>
    </row>
    <row r="906" spans="1:6" x14ac:dyDescent="0.25">
      <c r="A906" t="s">
        <v>656</v>
      </c>
      <c r="B906" t="s">
        <v>23</v>
      </c>
      <c r="C906" t="s">
        <v>86</v>
      </c>
      <c r="D906" t="s">
        <v>3218</v>
      </c>
      <c r="E906">
        <v>17.420000000000002</v>
      </c>
      <c r="F906">
        <v>114.79</v>
      </c>
    </row>
    <row r="907" spans="1:6" x14ac:dyDescent="0.25">
      <c r="A907" t="s">
        <v>656</v>
      </c>
      <c r="B907" t="s">
        <v>23</v>
      </c>
      <c r="C907" t="s">
        <v>86</v>
      </c>
      <c r="D907" t="s">
        <v>3219</v>
      </c>
      <c r="E907">
        <v>32.82</v>
      </c>
      <c r="F907">
        <v>114.75</v>
      </c>
    </row>
    <row r="908" spans="1:6" x14ac:dyDescent="0.25">
      <c r="A908" t="s">
        <v>657</v>
      </c>
      <c r="B908" t="s">
        <v>23</v>
      </c>
      <c r="C908" t="s">
        <v>87</v>
      </c>
      <c r="D908" t="s">
        <v>3217</v>
      </c>
      <c r="E908">
        <v>0</v>
      </c>
      <c r="F908">
        <v>114.27</v>
      </c>
    </row>
    <row r="909" spans="1:6" x14ac:dyDescent="0.25">
      <c r="A909" t="s">
        <v>657</v>
      </c>
      <c r="B909" t="s">
        <v>23</v>
      </c>
      <c r="C909" t="s">
        <v>87</v>
      </c>
      <c r="D909" t="s">
        <v>3218</v>
      </c>
      <c r="E909">
        <v>20</v>
      </c>
      <c r="F909">
        <v>114.32</v>
      </c>
    </row>
    <row r="910" spans="1:6" x14ac:dyDescent="0.25">
      <c r="A910" t="s">
        <v>657</v>
      </c>
      <c r="B910" t="s">
        <v>23</v>
      </c>
      <c r="C910" t="s">
        <v>87</v>
      </c>
      <c r="D910" t="s">
        <v>3219</v>
      </c>
      <c r="E910">
        <v>35.090000000000003</v>
      </c>
      <c r="F910">
        <v>114.34</v>
      </c>
    </row>
    <row r="911" spans="1:6" x14ac:dyDescent="0.25">
      <c r="A911" t="s">
        <v>658</v>
      </c>
      <c r="B911" t="s">
        <v>23</v>
      </c>
      <c r="C911" t="s">
        <v>88</v>
      </c>
      <c r="D911" t="s">
        <v>3217</v>
      </c>
      <c r="E911">
        <v>0</v>
      </c>
      <c r="F911">
        <v>113.74</v>
      </c>
    </row>
    <row r="912" spans="1:6" x14ac:dyDescent="0.25">
      <c r="A912" t="s">
        <v>658</v>
      </c>
      <c r="B912" t="s">
        <v>23</v>
      </c>
      <c r="C912" t="s">
        <v>88</v>
      </c>
      <c r="D912" t="s">
        <v>3218</v>
      </c>
      <c r="E912">
        <v>18.559999999999999</v>
      </c>
      <c r="F912">
        <v>113.87</v>
      </c>
    </row>
    <row r="913" spans="1:6" x14ac:dyDescent="0.25">
      <c r="A913" t="s">
        <v>658</v>
      </c>
      <c r="B913" t="s">
        <v>23</v>
      </c>
      <c r="C913" t="s">
        <v>88</v>
      </c>
      <c r="D913" t="s">
        <v>3219</v>
      </c>
      <c r="E913">
        <v>33.47</v>
      </c>
      <c r="F913">
        <v>113.74</v>
      </c>
    </row>
    <row r="914" spans="1:6" x14ac:dyDescent="0.25">
      <c r="A914" t="s">
        <v>659</v>
      </c>
      <c r="B914" t="s">
        <v>23</v>
      </c>
      <c r="C914" t="s">
        <v>89</v>
      </c>
      <c r="D914" t="s">
        <v>3217</v>
      </c>
      <c r="E914">
        <v>0</v>
      </c>
      <c r="F914">
        <v>113.48</v>
      </c>
    </row>
    <row r="915" spans="1:6" x14ac:dyDescent="0.25">
      <c r="A915" t="s">
        <v>659</v>
      </c>
      <c r="B915" t="s">
        <v>23</v>
      </c>
      <c r="C915" t="s">
        <v>89</v>
      </c>
      <c r="D915" t="s">
        <v>3218</v>
      </c>
      <c r="E915">
        <v>20</v>
      </c>
      <c r="F915">
        <v>113.43</v>
      </c>
    </row>
    <row r="916" spans="1:6" x14ac:dyDescent="0.25">
      <c r="A916" t="s">
        <v>659</v>
      </c>
      <c r="B916" t="s">
        <v>23</v>
      </c>
      <c r="C916" t="s">
        <v>89</v>
      </c>
      <c r="D916" t="s">
        <v>3219</v>
      </c>
      <c r="E916">
        <v>35.51</v>
      </c>
      <c r="F916">
        <v>113.22</v>
      </c>
    </row>
    <row r="917" spans="1:6" x14ac:dyDescent="0.25">
      <c r="A917" t="s">
        <v>660</v>
      </c>
      <c r="B917" t="s">
        <v>23</v>
      </c>
      <c r="C917" t="s">
        <v>90</v>
      </c>
      <c r="D917" t="s">
        <v>3217</v>
      </c>
      <c r="E917">
        <v>0</v>
      </c>
      <c r="F917">
        <v>112.99</v>
      </c>
    </row>
    <row r="918" spans="1:6" x14ac:dyDescent="0.25">
      <c r="A918" t="s">
        <v>660</v>
      </c>
      <c r="B918" t="s">
        <v>23</v>
      </c>
      <c r="C918" t="s">
        <v>90</v>
      </c>
      <c r="D918" t="s">
        <v>3218</v>
      </c>
      <c r="E918">
        <v>20</v>
      </c>
      <c r="F918">
        <v>112.91</v>
      </c>
    </row>
    <row r="919" spans="1:6" x14ac:dyDescent="0.25">
      <c r="A919" t="s">
        <v>660</v>
      </c>
      <c r="B919" t="s">
        <v>23</v>
      </c>
      <c r="C919" t="s">
        <v>90</v>
      </c>
      <c r="D919" t="s">
        <v>3219</v>
      </c>
      <c r="E919">
        <v>35.68</v>
      </c>
      <c r="F919">
        <v>112.77</v>
      </c>
    </row>
    <row r="920" spans="1:6" x14ac:dyDescent="0.25">
      <c r="A920" t="s">
        <v>661</v>
      </c>
      <c r="B920" t="s">
        <v>23</v>
      </c>
      <c r="C920" t="s">
        <v>91</v>
      </c>
      <c r="D920" t="s">
        <v>3217</v>
      </c>
      <c r="E920">
        <v>0</v>
      </c>
      <c r="F920">
        <v>112.2</v>
      </c>
    </row>
    <row r="921" spans="1:6" x14ac:dyDescent="0.25">
      <c r="A921" t="s">
        <v>661</v>
      </c>
      <c r="B921" t="s">
        <v>23</v>
      </c>
      <c r="C921" t="s">
        <v>91</v>
      </c>
      <c r="D921" t="s">
        <v>3218</v>
      </c>
      <c r="E921">
        <v>18.38</v>
      </c>
      <c r="F921">
        <v>112.22</v>
      </c>
    </row>
    <row r="922" spans="1:6" x14ac:dyDescent="0.25">
      <c r="A922" t="s">
        <v>661</v>
      </c>
      <c r="B922" t="s">
        <v>23</v>
      </c>
      <c r="C922" t="s">
        <v>91</v>
      </c>
      <c r="D922" t="s">
        <v>3219</v>
      </c>
      <c r="E922">
        <v>34.369999999999997</v>
      </c>
      <c r="F922">
        <v>112.09</v>
      </c>
    </row>
    <row r="923" spans="1:6" x14ac:dyDescent="0.25">
      <c r="A923" t="s">
        <v>662</v>
      </c>
      <c r="B923" t="s">
        <v>23</v>
      </c>
      <c r="C923" t="s">
        <v>92</v>
      </c>
      <c r="D923" t="s">
        <v>3217</v>
      </c>
      <c r="E923">
        <v>0</v>
      </c>
      <c r="F923">
        <v>111.11</v>
      </c>
    </row>
    <row r="924" spans="1:6" x14ac:dyDescent="0.25">
      <c r="A924" t="s">
        <v>662</v>
      </c>
      <c r="B924" t="s">
        <v>23</v>
      </c>
      <c r="C924" t="s">
        <v>92</v>
      </c>
      <c r="D924" t="s">
        <v>3218</v>
      </c>
      <c r="E924">
        <v>17.510000000000002</v>
      </c>
      <c r="F924">
        <v>111.01</v>
      </c>
    </row>
    <row r="925" spans="1:6" x14ac:dyDescent="0.25">
      <c r="A925" t="s">
        <v>662</v>
      </c>
      <c r="B925" t="s">
        <v>23</v>
      </c>
      <c r="C925" t="s">
        <v>92</v>
      </c>
      <c r="D925" t="s">
        <v>3219</v>
      </c>
      <c r="E925">
        <v>33.380000000000003</v>
      </c>
      <c r="F925">
        <v>111.03</v>
      </c>
    </row>
    <row r="926" spans="1:6" x14ac:dyDescent="0.25">
      <c r="A926" t="s">
        <v>663</v>
      </c>
      <c r="B926" t="s">
        <v>23</v>
      </c>
      <c r="C926" t="s">
        <v>93</v>
      </c>
      <c r="D926" t="s">
        <v>3217</v>
      </c>
      <c r="E926">
        <v>0</v>
      </c>
      <c r="F926">
        <v>109.92</v>
      </c>
    </row>
    <row r="927" spans="1:6" x14ac:dyDescent="0.25">
      <c r="A927" t="s">
        <v>663</v>
      </c>
      <c r="B927" t="s">
        <v>23</v>
      </c>
      <c r="C927" t="s">
        <v>93</v>
      </c>
      <c r="D927" t="s">
        <v>3218</v>
      </c>
      <c r="E927">
        <v>15.91</v>
      </c>
      <c r="F927">
        <v>109.99</v>
      </c>
    </row>
    <row r="928" spans="1:6" x14ac:dyDescent="0.25">
      <c r="A928" t="s">
        <v>663</v>
      </c>
      <c r="B928" t="s">
        <v>23</v>
      </c>
      <c r="C928" t="s">
        <v>93</v>
      </c>
      <c r="D928" t="s">
        <v>3219</v>
      </c>
      <c r="E928">
        <v>31.98</v>
      </c>
      <c r="F928">
        <v>109.91</v>
      </c>
    </row>
    <row r="929" spans="1:6" x14ac:dyDescent="0.25">
      <c r="A929" t="s">
        <v>664</v>
      </c>
      <c r="B929" t="s">
        <v>23</v>
      </c>
      <c r="C929" t="s">
        <v>94</v>
      </c>
      <c r="D929" t="s">
        <v>3217</v>
      </c>
      <c r="E929">
        <v>0</v>
      </c>
      <c r="F929">
        <v>109.02</v>
      </c>
    </row>
    <row r="930" spans="1:6" x14ac:dyDescent="0.25">
      <c r="A930" t="s">
        <v>664</v>
      </c>
      <c r="B930" t="s">
        <v>23</v>
      </c>
      <c r="C930" t="s">
        <v>94</v>
      </c>
      <c r="D930" t="s">
        <v>3218</v>
      </c>
      <c r="E930">
        <v>15.49</v>
      </c>
      <c r="F930">
        <v>108.99</v>
      </c>
    </row>
    <row r="931" spans="1:6" x14ac:dyDescent="0.25">
      <c r="A931" t="s">
        <v>664</v>
      </c>
      <c r="B931" t="s">
        <v>23</v>
      </c>
      <c r="C931" t="s">
        <v>94</v>
      </c>
      <c r="D931" t="s">
        <v>3219</v>
      </c>
      <c r="E931">
        <v>30.13</v>
      </c>
      <c r="F931">
        <v>108.78</v>
      </c>
    </row>
    <row r="932" spans="1:6" x14ac:dyDescent="0.25">
      <c r="A932" t="s">
        <v>665</v>
      </c>
      <c r="B932" t="s">
        <v>23</v>
      </c>
      <c r="C932" t="s">
        <v>95</v>
      </c>
      <c r="D932" t="s">
        <v>3217</v>
      </c>
      <c r="E932">
        <v>0</v>
      </c>
      <c r="F932">
        <v>108.76</v>
      </c>
    </row>
    <row r="933" spans="1:6" x14ac:dyDescent="0.25">
      <c r="A933" t="s">
        <v>665</v>
      </c>
      <c r="B933" t="s">
        <v>23</v>
      </c>
      <c r="C933" t="s">
        <v>95</v>
      </c>
      <c r="D933" t="s">
        <v>3218</v>
      </c>
      <c r="E933">
        <v>16.32</v>
      </c>
      <c r="F933">
        <v>108.35</v>
      </c>
    </row>
    <row r="934" spans="1:6" x14ac:dyDescent="0.25">
      <c r="A934" t="s">
        <v>665</v>
      </c>
      <c r="B934" t="s">
        <v>23</v>
      </c>
      <c r="C934" t="s">
        <v>95</v>
      </c>
      <c r="D934" t="s">
        <v>3219</v>
      </c>
      <c r="E934">
        <v>31.08</v>
      </c>
      <c r="F934">
        <v>108.05</v>
      </c>
    </row>
    <row r="935" spans="1:6" x14ac:dyDescent="0.25">
      <c r="A935" t="s">
        <v>666</v>
      </c>
      <c r="B935" t="s">
        <v>23</v>
      </c>
      <c r="C935" t="s">
        <v>96</v>
      </c>
      <c r="D935" t="s">
        <v>3217</v>
      </c>
      <c r="E935">
        <v>0</v>
      </c>
      <c r="F935">
        <v>108.58</v>
      </c>
    </row>
    <row r="936" spans="1:6" x14ac:dyDescent="0.25">
      <c r="A936" t="s">
        <v>666</v>
      </c>
      <c r="B936" t="s">
        <v>23</v>
      </c>
      <c r="C936" t="s">
        <v>96</v>
      </c>
      <c r="D936" t="s">
        <v>3218</v>
      </c>
      <c r="E936">
        <v>17.45</v>
      </c>
      <c r="F936">
        <v>108.18</v>
      </c>
    </row>
    <row r="937" spans="1:6" x14ac:dyDescent="0.25">
      <c r="A937" t="s">
        <v>666</v>
      </c>
      <c r="B937" t="s">
        <v>23</v>
      </c>
      <c r="C937" t="s">
        <v>96</v>
      </c>
      <c r="D937" t="s">
        <v>3219</v>
      </c>
      <c r="E937">
        <v>35.630000000000003</v>
      </c>
      <c r="F937">
        <v>107.94</v>
      </c>
    </row>
    <row r="938" spans="1:6" x14ac:dyDescent="0.25">
      <c r="A938" t="s">
        <v>667</v>
      </c>
      <c r="B938" t="s">
        <v>23</v>
      </c>
      <c r="C938" t="s">
        <v>97</v>
      </c>
      <c r="D938" t="s">
        <v>3217</v>
      </c>
      <c r="E938">
        <v>0</v>
      </c>
      <c r="F938">
        <v>108.52</v>
      </c>
    </row>
    <row r="939" spans="1:6" x14ac:dyDescent="0.25">
      <c r="A939" t="s">
        <v>667</v>
      </c>
      <c r="B939" t="s">
        <v>23</v>
      </c>
      <c r="C939" t="s">
        <v>97</v>
      </c>
      <c r="D939" t="s">
        <v>3218</v>
      </c>
      <c r="E939">
        <v>16.96</v>
      </c>
      <c r="F939">
        <v>108.31</v>
      </c>
    </row>
    <row r="940" spans="1:6" x14ac:dyDescent="0.25">
      <c r="A940" t="s">
        <v>667</v>
      </c>
      <c r="B940" t="s">
        <v>23</v>
      </c>
      <c r="C940" t="s">
        <v>97</v>
      </c>
      <c r="D940" t="s">
        <v>3219</v>
      </c>
      <c r="E940">
        <v>35.15</v>
      </c>
      <c r="F940">
        <v>108.1</v>
      </c>
    </row>
    <row r="941" spans="1:6" x14ac:dyDescent="0.25">
      <c r="A941" t="s">
        <v>668</v>
      </c>
      <c r="B941" t="s">
        <v>23</v>
      </c>
      <c r="C941" t="s">
        <v>98</v>
      </c>
      <c r="D941" t="s">
        <v>3217</v>
      </c>
      <c r="E941">
        <v>0</v>
      </c>
      <c r="F941">
        <v>108.61</v>
      </c>
    </row>
    <row r="942" spans="1:6" x14ac:dyDescent="0.25">
      <c r="A942" t="s">
        <v>668</v>
      </c>
      <c r="B942" t="s">
        <v>23</v>
      </c>
      <c r="C942" t="s">
        <v>98</v>
      </c>
      <c r="D942" t="s">
        <v>3218</v>
      </c>
      <c r="E942">
        <v>16.09</v>
      </c>
      <c r="F942">
        <v>108.43</v>
      </c>
    </row>
    <row r="943" spans="1:6" x14ac:dyDescent="0.25">
      <c r="A943" t="s">
        <v>668</v>
      </c>
      <c r="B943" t="s">
        <v>23</v>
      </c>
      <c r="C943" t="s">
        <v>98</v>
      </c>
      <c r="D943" t="s">
        <v>3219</v>
      </c>
      <c r="E943">
        <v>34.270000000000003</v>
      </c>
      <c r="F943">
        <v>108.21</v>
      </c>
    </row>
    <row r="944" spans="1:6" x14ac:dyDescent="0.25">
      <c r="A944" t="s">
        <v>669</v>
      </c>
      <c r="B944" t="s">
        <v>23</v>
      </c>
      <c r="C944" t="s">
        <v>99</v>
      </c>
      <c r="D944" t="s">
        <v>3217</v>
      </c>
      <c r="E944">
        <v>0</v>
      </c>
      <c r="F944">
        <v>108.75</v>
      </c>
    </row>
    <row r="945" spans="1:6" x14ac:dyDescent="0.25">
      <c r="A945" t="s">
        <v>669</v>
      </c>
      <c r="B945" t="s">
        <v>23</v>
      </c>
      <c r="C945" t="s">
        <v>99</v>
      </c>
      <c r="D945" t="s">
        <v>3218</v>
      </c>
      <c r="E945">
        <v>16.12</v>
      </c>
      <c r="F945">
        <v>108.6</v>
      </c>
    </row>
    <row r="946" spans="1:6" x14ac:dyDescent="0.25">
      <c r="A946" t="s">
        <v>669</v>
      </c>
      <c r="B946" t="s">
        <v>23</v>
      </c>
      <c r="C946" t="s">
        <v>99</v>
      </c>
      <c r="D946" t="s">
        <v>3219</v>
      </c>
      <c r="E946">
        <v>33.409999999999997</v>
      </c>
      <c r="F946">
        <v>108.49</v>
      </c>
    </row>
    <row r="947" spans="1:6" x14ac:dyDescent="0.25">
      <c r="A947" t="s">
        <v>670</v>
      </c>
      <c r="B947" t="s">
        <v>23</v>
      </c>
      <c r="C947" t="s">
        <v>100</v>
      </c>
      <c r="D947" t="s">
        <v>3217</v>
      </c>
      <c r="E947">
        <v>0</v>
      </c>
      <c r="F947">
        <v>108.86</v>
      </c>
    </row>
    <row r="948" spans="1:6" x14ac:dyDescent="0.25">
      <c r="A948" t="s">
        <v>670</v>
      </c>
      <c r="B948" t="s">
        <v>23</v>
      </c>
      <c r="C948" t="s">
        <v>100</v>
      </c>
      <c r="D948" t="s">
        <v>3218</v>
      </c>
      <c r="E948">
        <v>15.99</v>
      </c>
      <c r="F948">
        <v>108.75</v>
      </c>
    </row>
    <row r="949" spans="1:6" x14ac:dyDescent="0.25">
      <c r="A949" t="s">
        <v>670</v>
      </c>
      <c r="B949" t="s">
        <v>23</v>
      </c>
      <c r="C949" t="s">
        <v>100</v>
      </c>
      <c r="D949" t="s">
        <v>3219</v>
      </c>
      <c r="E949">
        <v>34.17</v>
      </c>
      <c r="F949">
        <v>108.68</v>
      </c>
    </row>
    <row r="950" spans="1:6" x14ac:dyDescent="0.25">
      <c r="A950" t="s">
        <v>671</v>
      </c>
      <c r="B950" t="s">
        <v>23</v>
      </c>
      <c r="C950" t="s">
        <v>101</v>
      </c>
      <c r="D950" t="s">
        <v>3217</v>
      </c>
      <c r="E950">
        <v>0</v>
      </c>
      <c r="F950">
        <v>108.98</v>
      </c>
    </row>
    <row r="951" spans="1:6" x14ac:dyDescent="0.25">
      <c r="A951" t="s">
        <v>671</v>
      </c>
      <c r="B951" t="s">
        <v>23</v>
      </c>
      <c r="C951" t="s">
        <v>101</v>
      </c>
      <c r="D951" t="s">
        <v>3218</v>
      </c>
      <c r="E951">
        <v>16</v>
      </c>
      <c r="F951">
        <v>108.84</v>
      </c>
    </row>
    <row r="952" spans="1:6" x14ac:dyDescent="0.25">
      <c r="A952" t="s">
        <v>671</v>
      </c>
      <c r="B952" t="s">
        <v>23</v>
      </c>
      <c r="C952" t="s">
        <v>101</v>
      </c>
      <c r="D952" t="s">
        <v>3219</v>
      </c>
      <c r="E952">
        <v>36</v>
      </c>
      <c r="F952">
        <v>108.98</v>
      </c>
    </row>
    <row r="953" spans="1:6" x14ac:dyDescent="0.25">
      <c r="A953" t="s">
        <v>672</v>
      </c>
      <c r="B953" t="s">
        <v>23</v>
      </c>
      <c r="C953" t="s">
        <v>102</v>
      </c>
      <c r="D953" t="s">
        <v>3217</v>
      </c>
      <c r="E953">
        <v>0</v>
      </c>
      <c r="F953">
        <v>109.22</v>
      </c>
    </row>
    <row r="954" spans="1:6" x14ac:dyDescent="0.25">
      <c r="A954" t="s">
        <v>672</v>
      </c>
      <c r="B954" t="s">
        <v>23</v>
      </c>
      <c r="C954" t="s">
        <v>102</v>
      </c>
      <c r="D954" t="s">
        <v>3218</v>
      </c>
      <c r="E954">
        <v>15.58</v>
      </c>
      <c r="F954">
        <v>108.99</v>
      </c>
    </row>
    <row r="955" spans="1:6" x14ac:dyDescent="0.25">
      <c r="A955" t="s">
        <v>672</v>
      </c>
      <c r="B955" t="s">
        <v>23</v>
      </c>
      <c r="C955" t="s">
        <v>102</v>
      </c>
      <c r="D955" t="s">
        <v>3219</v>
      </c>
      <c r="E955">
        <v>35.58</v>
      </c>
      <c r="F955">
        <v>109.12</v>
      </c>
    </row>
    <row r="956" spans="1:6" x14ac:dyDescent="0.25">
      <c r="A956" t="s">
        <v>673</v>
      </c>
      <c r="B956" t="s">
        <v>23</v>
      </c>
      <c r="C956" t="s">
        <v>103</v>
      </c>
      <c r="D956" t="s">
        <v>3217</v>
      </c>
      <c r="E956">
        <v>0</v>
      </c>
      <c r="F956">
        <v>109.4</v>
      </c>
    </row>
    <row r="957" spans="1:6" x14ac:dyDescent="0.25">
      <c r="A957" t="s">
        <v>673</v>
      </c>
      <c r="B957" t="s">
        <v>23</v>
      </c>
      <c r="C957" t="s">
        <v>103</v>
      </c>
      <c r="D957" t="s">
        <v>3218</v>
      </c>
      <c r="E957">
        <v>15.52</v>
      </c>
      <c r="F957">
        <v>109.2</v>
      </c>
    </row>
    <row r="958" spans="1:6" x14ac:dyDescent="0.25">
      <c r="A958" t="s">
        <v>673</v>
      </c>
      <c r="B958" t="s">
        <v>23</v>
      </c>
      <c r="C958" t="s">
        <v>103</v>
      </c>
      <c r="D958" t="s">
        <v>3219</v>
      </c>
      <c r="E958">
        <v>35.520000000000003</v>
      </c>
      <c r="F958">
        <v>109.02</v>
      </c>
    </row>
    <row r="959" spans="1:6" x14ac:dyDescent="0.25">
      <c r="A959" t="s">
        <v>674</v>
      </c>
      <c r="B959" t="s">
        <v>23</v>
      </c>
      <c r="C959" t="s">
        <v>104</v>
      </c>
      <c r="D959" t="s">
        <v>3217</v>
      </c>
      <c r="E959">
        <v>0</v>
      </c>
      <c r="F959">
        <v>109.43</v>
      </c>
    </row>
    <row r="960" spans="1:6" x14ac:dyDescent="0.25">
      <c r="A960" t="s">
        <v>674</v>
      </c>
      <c r="B960" t="s">
        <v>23</v>
      </c>
      <c r="C960" t="s">
        <v>104</v>
      </c>
      <c r="D960" t="s">
        <v>3218</v>
      </c>
      <c r="E960">
        <v>14.82</v>
      </c>
      <c r="F960">
        <v>109.34</v>
      </c>
    </row>
    <row r="961" spans="1:6" x14ac:dyDescent="0.25">
      <c r="A961" t="s">
        <v>674</v>
      </c>
      <c r="B961" t="s">
        <v>23</v>
      </c>
      <c r="C961" t="s">
        <v>104</v>
      </c>
      <c r="D961" t="s">
        <v>3219</v>
      </c>
      <c r="E961">
        <v>34.82</v>
      </c>
      <c r="F961">
        <v>109.43</v>
      </c>
    </row>
    <row r="962" spans="1:6" x14ac:dyDescent="0.25">
      <c r="A962" t="s">
        <v>675</v>
      </c>
      <c r="B962" t="s">
        <v>23</v>
      </c>
      <c r="C962" t="s">
        <v>105</v>
      </c>
      <c r="D962" t="s">
        <v>3217</v>
      </c>
      <c r="E962">
        <v>0</v>
      </c>
      <c r="F962">
        <v>109.41</v>
      </c>
    </row>
    <row r="963" spans="1:6" x14ac:dyDescent="0.25">
      <c r="A963" t="s">
        <v>675</v>
      </c>
      <c r="B963" t="s">
        <v>23</v>
      </c>
      <c r="C963" t="s">
        <v>105</v>
      </c>
      <c r="D963" t="s">
        <v>3218</v>
      </c>
      <c r="E963">
        <v>13.2</v>
      </c>
      <c r="F963">
        <v>109.57</v>
      </c>
    </row>
    <row r="964" spans="1:6" x14ac:dyDescent="0.25">
      <c r="A964" t="s">
        <v>675</v>
      </c>
      <c r="B964" t="s">
        <v>23</v>
      </c>
      <c r="C964" t="s">
        <v>105</v>
      </c>
      <c r="D964" t="s">
        <v>3219</v>
      </c>
      <c r="E964">
        <v>33.200000000000003</v>
      </c>
      <c r="F964">
        <v>109.82</v>
      </c>
    </row>
    <row r="965" spans="1:6" x14ac:dyDescent="0.25">
      <c r="A965" t="s">
        <v>676</v>
      </c>
      <c r="B965" t="s">
        <v>23</v>
      </c>
      <c r="C965" t="s">
        <v>106</v>
      </c>
      <c r="D965" t="s">
        <v>3217</v>
      </c>
      <c r="E965">
        <v>0</v>
      </c>
      <c r="F965">
        <v>109.34</v>
      </c>
    </row>
    <row r="966" spans="1:6" x14ac:dyDescent="0.25">
      <c r="A966" t="s">
        <v>676</v>
      </c>
      <c r="B966" t="s">
        <v>23</v>
      </c>
      <c r="C966" t="s">
        <v>106</v>
      </c>
      <c r="D966" t="s">
        <v>3218</v>
      </c>
      <c r="E966">
        <v>14.16</v>
      </c>
      <c r="F966">
        <v>109.74</v>
      </c>
    </row>
    <row r="967" spans="1:6" x14ac:dyDescent="0.25">
      <c r="A967" t="s">
        <v>676</v>
      </c>
      <c r="B967" t="s">
        <v>23</v>
      </c>
      <c r="C967" t="s">
        <v>106</v>
      </c>
      <c r="D967" t="s">
        <v>3219</v>
      </c>
      <c r="E967">
        <v>34.159999999999997</v>
      </c>
      <c r="F967">
        <v>110.64</v>
      </c>
    </row>
    <row r="968" spans="1:6" x14ac:dyDescent="0.25">
      <c r="A968" t="s">
        <v>677</v>
      </c>
      <c r="B968" t="s">
        <v>23</v>
      </c>
      <c r="C968" t="s">
        <v>108</v>
      </c>
      <c r="D968" t="s">
        <v>3217</v>
      </c>
      <c r="E968">
        <v>0</v>
      </c>
      <c r="F968">
        <v>109.51</v>
      </c>
    </row>
    <row r="969" spans="1:6" x14ac:dyDescent="0.25">
      <c r="A969" t="s">
        <v>677</v>
      </c>
      <c r="B969" t="s">
        <v>23</v>
      </c>
      <c r="C969" t="s">
        <v>108</v>
      </c>
      <c r="D969" t="s">
        <v>3218</v>
      </c>
      <c r="E969">
        <v>14.57</v>
      </c>
      <c r="F969">
        <v>109.75</v>
      </c>
    </row>
    <row r="970" spans="1:6" x14ac:dyDescent="0.25">
      <c r="A970" t="s">
        <v>677</v>
      </c>
      <c r="B970" t="s">
        <v>23</v>
      </c>
      <c r="C970" t="s">
        <v>108</v>
      </c>
      <c r="D970" t="s">
        <v>3219</v>
      </c>
      <c r="E970">
        <v>31.84</v>
      </c>
      <c r="F970">
        <v>109.83</v>
      </c>
    </row>
    <row r="971" spans="1:6" x14ac:dyDescent="0.25">
      <c r="A971" t="s">
        <v>678</v>
      </c>
      <c r="B971" t="s">
        <v>23</v>
      </c>
      <c r="C971" t="s">
        <v>109</v>
      </c>
      <c r="D971" t="s">
        <v>3217</v>
      </c>
      <c r="E971">
        <v>0</v>
      </c>
      <c r="F971">
        <v>109.63</v>
      </c>
    </row>
    <row r="972" spans="1:6" x14ac:dyDescent="0.25">
      <c r="A972" t="s">
        <v>678</v>
      </c>
      <c r="B972" t="s">
        <v>23</v>
      </c>
      <c r="C972" t="s">
        <v>109</v>
      </c>
      <c r="D972" t="s">
        <v>3218</v>
      </c>
      <c r="E972">
        <v>14.42</v>
      </c>
      <c r="F972">
        <v>109.83</v>
      </c>
    </row>
    <row r="973" spans="1:6" x14ac:dyDescent="0.25">
      <c r="A973" t="s">
        <v>678</v>
      </c>
      <c r="B973" t="s">
        <v>23</v>
      </c>
      <c r="C973" t="s">
        <v>109</v>
      </c>
      <c r="D973" t="s">
        <v>3219</v>
      </c>
      <c r="E973">
        <v>31.05</v>
      </c>
      <c r="F973">
        <v>109.83</v>
      </c>
    </row>
    <row r="974" spans="1:6" x14ac:dyDescent="0.25">
      <c r="A974" t="s">
        <v>679</v>
      </c>
      <c r="B974" t="s">
        <v>23</v>
      </c>
      <c r="C974" t="s">
        <v>110</v>
      </c>
      <c r="D974" t="s">
        <v>3217</v>
      </c>
      <c r="E974">
        <v>0</v>
      </c>
      <c r="F974">
        <v>109.51</v>
      </c>
    </row>
    <row r="975" spans="1:6" x14ac:dyDescent="0.25">
      <c r="A975" t="s">
        <v>679</v>
      </c>
      <c r="B975" t="s">
        <v>23</v>
      </c>
      <c r="C975" t="s">
        <v>110</v>
      </c>
      <c r="D975" t="s">
        <v>3218</v>
      </c>
      <c r="E975">
        <v>13.94</v>
      </c>
      <c r="F975">
        <v>109.79</v>
      </c>
    </row>
    <row r="976" spans="1:6" x14ac:dyDescent="0.25">
      <c r="A976" t="s">
        <v>679</v>
      </c>
      <c r="B976" t="s">
        <v>23</v>
      </c>
      <c r="C976" t="s">
        <v>110</v>
      </c>
      <c r="D976" t="s">
        <v>3219</v>
      </c>
      <c r="E976">
        <v>29.58</v>
      </c>
      <c r="F976">
        <v>109.97</v>
      </c>
    </row>
    <row r="977" spans="1:6" x14ac:dyDescent="0.25">
      <c r="A977" t="s">
        <v>680</v>
      </c>
      <c r="B977" t="s">
        <v>23</v>
      </c>
      <c r="C977" t="s">
        <v>111</v>
      </c>
      <c r="D977" t="s">
        <v>3217</v>
      </c>
      <c r="E977">
        <v>0</v>
      </c>
      <c r="F977">
        <v>109.36</v>
      </c>
    </row>
    <row r="978" spans="1:6" x14ac:dyDescent="0.25">
      <c r="A978" t="s">
        <v>680</v>
      </c>
      <c r="B978" t="s">
        <v>23</v>
      </c>
      <c r="C978" t="s">
        <v>111</v>
      </c>
      <c r="D978" t="s">
        <v>3218</v>
      </c>
      <c r="E978">
        <v>14.07</v>
      </c>
      <c r="F978">
        <v>109.74</v>
      </c>
    </row>
    <row r="979" spans="1:6" x14ac:dyDescent="0.25">
      <c r="A979" t="s">
        <v>680</v>
      </c>
      <c r="B979" t="s">
        <v>23</v>
      </c>
      <c r="C979" t="s">
        <v>111</v>
      </c>
      <c r="D979" t="s">
        <v>3219</v>
      </c>
      <c r="E979">
        <v>30.26</v>
      </c>
      <c r="F979">
        <v>110.11</v>
      </c>
    </row>
    <row r="980" spans="1:6" x14ac:dyDescent="0.25">
      <c r="A980" t="s">
        <v>681</v>
      </c>
      <c r="B980" t="s">
        <v>23</v>
      </c>
      <c r="C980" t="s">
        <v>112</v>
      </c>
      <c r="D980" t="s">
        <v>3217</v>
      </c>
      <c r="E980">
        <v>0</v>
      </c>
      <c r="F980">
        <v>109.58</v>
      </c>
    </row>
    <row r="981" spans="1:6" x14ac:dyDescent="0.25">
      <c r="A981" t="s">
        <v>681</v>
      </c>
      <c r="B981" t="s">
        <v>23</v>
      </c>
      <c r="C981" t="s">
        <v>112</v>
      </c>
      <c r="D981" t="s">
        <v>3218</v>
      </c>
      <c r="E981">
        <v>14.58</v>
      </c>
      <c r="F981">
        <v>109.77</v>
      </c>
    </row>
    <row r="982" spans="1:6" x14ac:dyDescent="0.25">
      <c r="A982" t="s">
        <v>681</v>
      </c>
      <c r="B982" t="s">
        <v>23</v>
      </c>
      <c r="C982" t="s">
        <v>112</v>
      </c>
      <c r="D982" t="s">
        <v>3219</v>
      </c>
      <c r="E982">
        <v>31.51</v>
      </c>
      <c r="F982">
        <v>110.13</v>
      </c>
    </row>
    <row r="983" spans="1:6" x14ac:dyDescent="0.25">
      <c r="A983" t="s">
        <v>682</v>
      </c>
      <c r="B983" t="s">
        <v>23</v>
      </c>
      <c r="C983" t="s">
        <v>113</v>
      </c>
      <c r="D983" t="s">
        <v>3217</v>
      </c>
      <c r="E983">
        <v>0</v>
      </c>
      <c r="F983">
        <v>109.76</v>
      </c>
    </row>
    <row r="984" spans="1:6" x14ac:dyDescent="0.25">
      <c r="A984" t="s">
        <v>682</v>
      </c>
      <c r="B984" t="s">
        <v>23</v>
      </c>
      <c r="C984" t="s">
        <v>113</v>
      </c>
      <c r="D984" t="s">
        <v>3218</v>
      </c>
      <c r="E984">
        <v>14.5</v>
      </c>
      <c r="F984">
        <v>109.87</v>
      </c>
    </row>
    <row r="985" spans="1:6" x14ac:dyDescent="0.25">
      <c r="A985" t="s">
        <v>682</v>
      </c>
      <c r="B985" t="s">
        <v>23</v>
      </c>
      <c r="C985" t="s">
        <v>113</v>
      </c>
      <c r="D985" t="s">
        <v>3219</v>
      </c>
      <c r="E985">
        <v>31.75</v>
      </c>
      <c r="F985">
        <v>110.15</v>
      </c>
    </row>
    <row r="986" spans="1:6" x14ac:dyDescent="0.25">
      <c r="A986" t="s">
        <v>683</v>
      </c>
      <c r="B986" t="s">
        <v>23</v>
      </c>
      <c r="C986" t="s">
        <v>114</v>
      </c>
      <c r="D986" t="s">
        <v>3217</v>
      </c>
      <c r="E986">
        <v>0</v>
      </c>
      <c r="F986">
        <v>109.89</v>
      </c>
    </row>
    <row r="987" spans="1:6" x14ac:dyDescent="0.25">
      <c r="A987" t="s">
        <v>683</v>
      </c>
      <c r="B987" t="s">
        <v>23</v>
      </c>
      <c r="C987" t="s">
        <v>114</v>
      </c>
      <c r="D987" t="s">
        <v>3218</v>
      </c>
      <c r="E987">
        <v>14.81</v>
      </c>
      <c r="F987">
        <v>110.13</v>
      </c>
    </row>
    <row r="988" spans="1:6" x14ac:dyDescent="0.25">
      <c r="A988" t="s">
        <v>683</v>
      </c>
      <c r="B988" t="s">
        <v>23</v>
      </c>
      <c r="C988" t="s">
        <v>114</v>
      </c>
      <c r="D988" t="s">
        <v>3219</v>
      </c>
      <c r="E988">
        <v>32.06</v>
      </c>
      <c r="F988">
        <v>110.3</v>
      </c>
    </row>
    <row r="989" spans="1:6" x14ac:dyDescent="0.25">
      <c r="A989" t="s">
        <v>684</v>
      </c>
      <c r="B989" t="s">
        <v>23</v>
      </c>
      <c r="C989" t="s">
        <v>115</v>
      </c>
      <c r="D989" t="s">
        <v>3217</v>
      </c>
      <c r="E989">
        <v>0</v>
      </c>
      <c r="F989">
        <v>110.17</v>
      </c>
    </row>
    <row r="990" spans="1:6" x14ac:dyDescent="0.25">
      <c r="A990" t="s">
        <v>684</v>
      </c>
      <c r="B990" t="s">
        <v>23</v>
      </c>
      <c r="C990" t="s">
        <v>115</v>
      </c>
      <c r="D990" t="s">
        <v>3218</v>
      </c>
      <c r="E990">
        <v>14.98</v>
      </c>
      <c r="F990">
        <v>110.31</v>
      </c>
    </row>
    <row r="991" spans="1:6" x14ac:dyDescent="0.25">
      <c r="A991" t="s">
        <v>684</v>
      </c>
      <c r="B991" t="s">
        <v>23</v>
      </c>
      <c r="C991" t="s">
        <v>115</v>
      </c>
      <c r="D991" t="s">
        <v>3219</v>
      </c>
      <c r="E991">
        <v>32.229999999999997</v>
      </c>
      <c r="F991">
        <v>110.41</v>
      </c>
    </row>
    <row r="992" spans="1:6" x14ac:dyDescent="0.25">
      <c r="A992" t="s">
        <v>685</v>
      </c>
      <c r="B992" t="s">
        <v>23</v>
      </c>
      <c r="C992" t="s">
        <v>116</v>
      </c>
      <c r="D992" t="s">
        <v>3217</v>
      </c>
      <c r="E992">
        <v>0</v>
      </c>
      <c r="F992">
        <v>110.28</v>
      </c>
    </row>
    <row r="993" spans="1:6" x14ac:dyDescent="0.25">
      <c r="A993" t="s">
        <v>685</v>
      </c>
      <c r="B993" t="s">
        <v>23</v>
      </c>
      <c r="C993" t="s">
        <v>116</v>
      </c>
      <c r="D993" t="s">
        <v>3218</v>
      </c>
      <c r="E993">
        <v>16.2</v>
      </c>
      <c r="F993">
        <v>110.44</v>
      </c>
    </row>
    <row r="994" spans="1:6" x14ac:dyDescent="0.25">
      <c r="A994" t="s">
        <v>685</v>
      </c>
      <c r="B994" t="s">
        <v>23</v>
      </c>
      <c r="C994" t="s">
        <v>116</v>
      </c>
      <c r="D994" t="s">
        <v>3219</v>
      </c>
      <c r="E994">
        <v>31.92</v>
      </c>
      <c r="F994">
        <v>110.45</v>
      </c>
    </row>
    <row r="995" spans="1:6" x14ac:dyDescent="0.25">
      <c r="A995" t="s">
        <v>686</v>
      </c>
      <c r="B995" t="s">
        <v>23</v>
      </c>
      <c r="C995" t="s">
        <v>117</v>
      </c>
      <c r="D995" t="s">
        <v>3217</v>
      </c>
      <c r="E995">
        <v>0</v>
      </c>
      <c r="F995">
        <v>110.4</v>
      </c>
    </row>
    <row r="996" spans="1:6" x14ac:dyDescent="0.25">
      <c r="A996" t="s">
        <v>686</v>
      </c>
      <c r="B996" t="s">
        <v>23</v>
      </c>
      <c r="C996" t="s">
        <v>117</v>
      </c>
      <c r="D996" t="s">
        <v>3218</v>
      </c>
      <c r="E996">
        <v>15.56</v>
      </c>
      <c r="F996">
        <v>110.66</v>
      </c>
    </row>
    <row r="997" spans="1:6" x14ac:dyDescent="0.25">
      <c r="A997" t="s">
        <v>686</v>
      </c>
      <c r="B997" t="s">
        <v>23</v>
      </c>
      <c r="C997" t="s">
        <v>117</v>
      </c>
      <c r="D997" t="s">
        <v>3219</v>
      </c>
      <c r="E997">
        <v>31.29</v>
      </c>
      <c r="F997">
        <v>110.58</v>
      </c>
    </row>
    <row r="998" spans="1:6" x14ac:dyDescent="0.25">
      <c r="A998" t="s">
        <v>687</v>
      </c>
      <c r="B998" t="s">
        <v>23</v>
      </c>
      <c r="C998" t="s">
        <v>118</v>
      </c>
      <c r="D998" t="s">
        <v>3217</v>
      </c>
      <c r="E998">
        <v>0</v>
      </c>
      <c r="F998">
        <v>110.67</v>
      </c>
    </row>
    <row r="999" spans="1:6" x14ac:dyDescent="0.25">
      <c r="A999" t="s">
        <v>687</v>
      </c>
      <c r="B999" t="s">
        <v>23</v>
      </c>
      <c r="C999" t="s">
        <v>118</v>
      </c>
      <c r="D999" t="s">
        <v>3218</v>
      </c>
      <c r="E999">
        <v>16.239999999999998</v>
      </c>
      <c r="F999">
        <v>110.78</v>
      </c>
    </row>
    <row r="1000" spans="1:6" x14ac:dyDescent="0.25">
      <c r="A1000" t="s">
        <v>687</v>
      </c>
      <c r="B1000" t="s">
        <v>23</v>
      </c>
      <c r="C1000" t="s">
        <v>118</v>
      </c>
      <c r="D1000" t="s">
        <v>3219</v>
      </c>
      <c r="E1000">
        <v>31.26</v>
      </c>
      <c r="F1000">
        <v>110.76</v>
      </c>
    </row>
    <row r="1001" spans="1:6" x14ac:dyDescent="0.25">
      <c r="A1001" t="s">
        <v>688</v>
      </c>
      <c r="B1001" t="s">
        <v>23</v>
      </c>
      <c r="C1001" t="s">
        <v>119</v>
      </c>
      <c r="D1001" t="s">
        <v>3217</v>
      </c>
      <c r="E1001">
        <v>0</v>
      </c>
      <c r="F1001">
        <v>110.6</v>
      </c>
    </row>
    <row r="1002" spans="1:6" x14ac:dyDescent="0.25">
      <c r="A1002" t="s">
        <v>688</v>
      </c>
      <c r="B1002" t="s">
        <v>23</v>
      </c>
      <c r="C1002" t="s">
        <v>119</v>
      </c>
      <c r="D1002" t="s">
        <v>3218</v>
      </c>
      <c r="E1002">
        <v>16.41</v>
      </c>
      <c r="F1002">
        <v>110.69</v>
      </c>
    </row>
    <row r="1003" spans="1:6" x14ac:dyDescent="0.25">
      <c r="A1003" t="s">
        <v>688</v>
      </c>
      <c r="B1003" t="s">
        <v>23</v>
      </c>
      <c r="C1003" t="s">
        <v>119</v>
      </c>
      <c r="D1003" t="s">
        <v>3219</v>
      </c>
      <c r="E1003">
        <v>32.85</v>
      </c>
      <c r="F1003">
        <v>110.87</v>
      </c>
    </row>
    <row r="1004" spans="1:6" x14ac:dyDescent="0.25">
      <c r="A1004" t="s">
        <v>689</v>
      </c>
      <c r="B1004" t="s">
        <v>23</v>
      </c>
      <c r="C1004" t="s">
        <v>120</v>
      </c>
      <c r="D1004" t="s">
        <v>3217</v>
      </c>
      <c r="E1004">
        <v>0</v>
      </c>
      <c r="F1004">
        <v>110.4</v>
      </c>
    </row>
    <row r="1005" spans="1:6" x14ac:dyDescent="0.25">
      <c r="A1005" t="s">
        <v>689</v>
      </c>
      <c r="B1005" t="s">
        <v>23</v>
      </c>
      <c r="C1005" t="s">
        <v>120</v>
      </c>
      <c r="D1005" t="s">
        <v>3218</v>
      </c>
      <c r="E1005">
        <v>16.37</v>
      </c>
      <c r="F1005">
        <v>110.53</v>
      </c>
    </row>
    <row r="1006" spans="1:6" x14ac:dyDescent="0.25">
      <c r="A1006" t="s">
        <v>689</v>
      </c>
      <c r="B1006" t="s">
        <v>23</v>
      </c>
      <c r="C1006" t="s">
        <v>120</v>
      </c>
      <c r="D1006" t="s">
        <v>3219</v>
      </c>
      <c r="E1006">
        <v>32.76</v>
      </c>
      <c r="F1006">
        <v>110.57</v>
      </c>
    </row>
    <row r="1007" spans="1:6" x14ac:dyDescent="0.25">
      <c r="A1007" t="s">
        <v>690</v>
      </c>
      <c r="B1007" t="s">
        <v>23</v>
      </c>
      <c r="C1007" t="s">
        <v>121</v>
      </c>
      <c r="D1007" t="s">
        <v>3217</v>
      </c>
      <c r="E1007">
        <v>0</v>
      </c>
      <c r="F1007">
        <v>110.27</v>
      </c>
    </row>
    <row r="1008" spans="1:6" x14ac:dyDescent="0.25">
      <c r="A1008" t="s">
        <v>690</v>
      </c>
      <c r="B1008" t="s">
        <v>23</v>
      </c>
      <c r="C1008" t="s">
        <v>121</v>
      </c>
      <c r="D1008" t="s">
        <v>3218</v>
      </c>
      <c r="E1008">
        <v>17.309999999999999</v>
      </c>
      <c r="F1008">
        <v>110.55</v>
      </c>
    </row>
    <row r="1009" spans="1:6" x14ac:dyDescent="0.25">
      <c r="A1009" t="s">
        <v>690</v>
      </c>
      <c r="B1009" t="s">
        <v>23</v>
      </c>
      <c r="C1009" t="s">
        <v>121</v>
      </c>
      <c r="D1009" t="s">
        <v>3219</v>
      </c>
      <c r="E1009">
        <v>34.299999999999997</v>
      </c>
      <c r="F1009">
        <v>110.42</v>
      </c>
    </row>
    <row r="1010" spans="1:6" x14ac:dyDescent="0.25">
      <c r="A1010" t="s">
        <v>691</v>
      </c>
      <c r="B1010" t="s">
        <v>23</v>
      </c>
      <c r="C1010" t="s">
        <v>123</v>
      </c>
      <c r="D1010" t="s">
        <v>3217</v>
      </c>
      <c r="E1010">
        <v>0</v>
      </c>
      <c r="F1010">
        <v>110.34</v>
      </c>
    </row>
    <row r="1011" spans="1:6" x14ac:dyDescent="0.25">
      <c r="A1011" t="s">
        <v>691</v>
      </c>
      <c r="B1011" t="s">
        <v>23</v>
      </c>
      <c r="C1011" t="s">
        <v>123</v>
      </c>
      <c r="D1011" t="s">
        <v>3218</v>
      </c>
      <c r="E1011">
        <v>17.309999999999999</v>
      </c>
      <c r="F1011">
        <v>110.42</v>
      </c>
    </row>
    <row r="1012" spans="1:6" x14ac:dyDescent="0.25">
      <c r="A1012" t="s">
        <v>691</v>
      </c>
      <c r="B1012" t="s">
        <v>23</v>
      </c>
      <c r="C1012" t="s">
        <v>123</v>
      </c>
      <c r="D1012" t="s">
        <v>3219</v>
      </c>
      <c r="E1012">
        <v>37.31</v>
      </c>
      <c r="F1012">
        <v>110.25</v>
      </c>
    </row>
    <row r="1013" spans="1:6" x14ac:dyDescent="0.25">
      <c r="A1013" t="s">
        <v>692</v>
      </c>
      <c r="B1013" t="s">
        <v>23</v>
      </c>
      <c r="C1013" t="s">
        <v>167</v>
      </c>
      <c r="D1013" t="s">
        <v>3217</v>
      </c>
      <c r="E1013">
        <v>0</v>
      </c>
      <c r="F1013">
        <v>110.7</v>
      </c>
    </row>
    <row r="1014" spans="1:6" x14ac:dyDescent="0.25">
      <c r="A1014" t="s">
        <v>692</v>
      </c>
      <c r="B1014" t="s">
        <v>23</v>
      </c>
      <c r="C1014" t="s">
        <v>167</v>
      </c>
      <c r="D1014" t="s">
        <v>3218</v>
      </c>
      <c r="E1014">
        <v>20</v>
      </c>
      <c r="F1014">
        <v>110.41</v>
      </c>
    </row>
    <row r="1015" spans="1:6" x14ac:dyDescent="0.25">
      <c r="A1015" t="s">
        <v>692</v>
      </c>
      <c r="B1015" t="s">
        <v>23</v>
      </c>
      <c r="C1015" t="s">
        <v>167</v>
      </c>
      <c r="D1015" t="s">
        <v>3219</v>
      </c>
      <c r="E1015">
        <v>40</v>
      </c>
      <c r="F1015">
        <v>110.16</v>
      </c>
    </row>
    <row r="1016" spans="1:6" x14ac:dyDescent="0.25">
      <c r="A1016" t="s">
        <v>693</v>
      </c>
      <c r="B1016" t="s">
        <v>24</v>
      </c>
      <c r="C1016" t="s">
        <v>56</v>
      </c>
      <c r="D1016" t="s">
        <v>3217</v>
      </c>
      <c r="E1016">
        <v>0</v>
      </c>
      <c r="F1016">
        <v>99.35</v>
      </c>
    </row>
    <row r="1017" spans="1:6" x14ac:dyDescent="0.25">
      <c r="A1017" t="s">
        <v>693</v>
      </c>
      <c r="B1017" t="s">
        <v>24</v>
      </c>
      <c r="C1017" t="s">
        <v>56</v>
      </c>
      <c r="D1017" t="s">
        <v>3218</v>
      </c>
      <c r="E1017">
        <v>20</v>
      </c>
      <c r="F1017">
        <v>100.03</v>
      </c>
    </row>
    <row r="1018" spans="1:6" x14ac:dyDescent="0.25">
      <c r="A1018" t="s">
        <v>693</v>
      </c>
      <c r="B1018" t="s">
        <v>24</v>
      </c>
      <c r="C1018" t="s">
        <v>56</v>
      </c>
      <c r="D1018" t="s">
        <v>3219</v>
      </c>
      <c r="E1018">
        <v>40</v>
      </c>
      <c r="F1018">
        <v>100.64</v>
      </c>
    </row>
    <row r="1019" spans="1:6" x14ac:dyDescent="0.25">
      <c r="A1019" t="s">
        <v>694</v>
      </c>
      <c r="B1019" t="s">
        <v>24</v>
      </c>
      <c r="C1019" t="s">
        <v>57</v>
      </c>
      <c r="D1019" t="s">
        <v>3217</v>
      </c>
      <c r="E1019">
        <v>0</v>
      </c>
      <c r="F1019">
        <v>98.5</v>
      </c>
    </row>
    <row r="1020" spans="1:6" x14ac:dyDescent="0.25">
      <c r="A1020" t="s">
        <v>694</v>
      </c>
      <c r="B1020" t="s">
        <v>24</v>
      </c>
      <c r="C1020" t="s">
        <v>57</v>
      </c>
      <c r="D1020" t="s">
        <v>3218</v>
      </c>
      <c r="E1020">
        <v>20</v>
      </c>
      <c r="F1020">
        <v>99.09</v>
      </c>
    </row>
    <row r="1021" spans="1:6" x14ac:dyDescent="0.25">
      <c r="A1021" t="s">
        <v>694</v>
      </c>
      <c r="B1021" t="s">
        <v>24</v>
      </c>
      <c r="C1021" t="s">
        <v>57</v>
      </c>
      <c r="D1021" t="s">
        <v>3219</v>
      </c>
      <c r="E1021">
        <v>40</v>
      </c>
      <c r="F1021">
        <v>99.72</v>
      </c>
    </row>
    <row r="1022" spans="1:6" x14ac:dyDescent="0.25">
      <c r="A1022" t="s">
        <v>695</v>
      </c>
      <c r="B1022" t="s">
        <v>24</v>
      </c>
      <c r="C1022" t="s">
        <v>58</v>
      </c>
      <c r="D1022" t="s">
        <v>3217</v>
      </c>
      <c r="E1022">
        <v>0</v>
      </c>
      <c r="F1022">
        <v>98.1</v>
      </c>
    </row>
    <row r="1023" spans="1:6" x14ac:dyDescent="0.25">
      <c r="A1023" t="s">
        <v>695</v>
      </c>
      <c r="B1023" t="s">
        <v>24</v>
      </c>
      <c r="C1023" t="s">
        <v>58</v>
      </c>
      <c r="D1023" t="s">
        <v>3218</v>
      </c>
      <c r="E1023">
        <v>20</v>
      </c>
      <c r="F1023">
        <v>98.43</v>
      </c>
    </row>
    <row r="1024" spans="1:6" x14ac:dyDescent="0.25">
      <c r="A1024" t="s">
        <v>695</v>
      </c>
      <c r="B1024" t="s">
        <v>24</v>
      </c>
      <c r="C1024" t="s">
        <v>58</v>
      </c>
      <c r="D1024" t="s">
        <v>3219</v>
      </c>
      <c r="E1024">
        <v>40</v>
      </c>
      <c r="F1024">
        <v>98.78</v>
      </c>
    </row>
    <row r="1025" spans="1:6" x14ac:dyDescent="0.25">
      <c r="A1025" t="s">
        <v>696</v>
      </c>
      <c r="B1025" t="s">
        <v>24</v>
      </c>
      <c r="C1025" t="s">
        <v>59</v>
      </c>
      <c r="D1025" t="s">
        <v>3217</v>
      </c>
      <c r="E1025">
        <v>0</v>
      </c>
      <c r="F1025">
        <v>97.64</v>
      </c>
    </row>
    <row r="1026" spans="1:6" x14ac:dyDescent="0.25">
      <c r="A1026" t="s">
        <v>696</v>
      </c>
      <c r="B1026" t="s">
        <v>24</v>
      </c>
      <c r="C1026" t="s">
        <v>59</v>
      </c>
      <c r="D1026" t="s">
        <v>3218</v>
      </c>
      <c r="E1026">
        <v>20</v>
      </c>
      <c r="F1026">
        <v>97.93</v>
      </c>
    </row>
    <row r="1027" spans="1:6" x14ac:dyDescent="0.25">
      <c r="A1027" t="s">
        <v>696</v>
      </c>
      <c r="B1027" t="s">
        <v>24</v>
      </c>
      <c r="C1027" t="s">
        <v>59</v>
      </c>
      <c r="D1027" t="s">
        <v>3219</v>
      </c>
      <c r="E1027">
        <v>40</v>
      </c>
      <c r="F1027">
        <v>97.93</v>
      </c>
    </row>
    <row r="1028" spans="1:6" x14ac:dyDescent="0.25">
      <c r="A1028" t="s">
        <v>697</v>
      </c>
      <c r="B1028" t="s">
        <v>24</v>
      </c>
      <c r="C1028" t="s">
        <v>60</v>
      </c>
      <c r="D1028" t="s">
        <v>3217</v>
      </c>
      <c r="E1028">
        <v>0</v>
      </c>
      <c r="F1028">
        <v>97.84</v>
      </c>
    </row>
    <row r="1029" spans="1:6" x14ac:dyDescent="0.25">
      <c r="A1029" t="s">
        <v>697</v>
      </c>
      <c r="B1029" t="s">
        <v>24</v>
      </c>
      <c r="C1029" t="s">
        <v>60</v>
      </c>
      <c r="D1029" t="s">
        <v>3218</v>
      </c>
      <c r="E1029">
        <v>20</v>
      </c>
      <c r="F1029">
        <v>97.68</v>
      </c>
    </row>
    <row r="1030" spans="1:6" x14ac:dyDescent="0.25">
      <c r="A1030" t="s">
        <v>697</v>
      </c>
      <c r="B1030" t="s">
        <v>24</v>
      </c>
      <c r="C1030" t="s">
        <v>60</v>
      </c>
      <c r="D1030" t="s">
        <v>3219</v>
      </c>
      <c r="E1030">
        <v>40</v>
      </c>
      <c r="F1030">
        <v>97.8</v>
      </c>
    </row>
    <row r="1031" spans="1:6" x14ac:dyDescent="0.25">
      <c r="A1031" t="s">
        <v>698</v>
      </c>
      <c r="B1031" t="s">
        <v>24</v>
      </c>
      <c r="C1031" t="s">
        <v>61</v>
      </c>
      <c r="D1031" t="s">
        <v>3217</v>
      </c>
      <c r="E1031">
        <v>0</v>
      </c>
      <c r="F1031">
        <v>97.94</v>
      </c>
    </row>
    <row r="1032" spans="1:6" x14ac:dyDescent="0.25">
      <c r="A1032" t="s">
        <v>698</v>
      </c>
      <c r="B1032" t="s">
        <v>24</v>
      </c>
      <c r="C1032" t="s">
        <v>61</v>
      </c>
      <c r="D1032" t="s">
        <v>3218</v>
      </c>
      <c r="E1032">
        <v>20</v>
      </c>
      <c r="F1032">
        <v>97.76</v>
      </c>
    </row>
    <row r="1033" spans="1:6" x14ac:dyDescent="0.25">
      <c r="A1033" t="s">
        <v>698</v>
      </c>
      <c r="B1033" t="s">
        <v>24</v>
      </c>
      <c r="C1033" t="s">
        <v>61</v>
      </c>
      <c r="D1033" t="s">
        <v>3219</v>
      </c>
      <c r="E1033">
        <v>37.270000000000003</v>
      </c>
      <c r="F1033">
        <v>97.77</v>
      </c>
    </row>
    <row r="1034" spans="1:6" x14ac:dyDescent="0.25">
      <c r="A1034" t="s">
        <v>699</v>
      </c>
      <c r="B1034" t="s">
        <v>24</v>
      </c>
      <c r="C1034" t="s">
        <v>62</v>
      </c>
      <c r="D1034" t="s">
        <v>3217</v>
      </c>
      <c r="E1034">
        <v>0</v>
      </c>
      <c r="F1034">
        <v>98</v>
      </c>
    </row>
    <row r="1035" spans="1:6" x14ac:dyDescent="0.25">
      <c r="A1035" t="s">
        <v>699</v>
      </c>
      <c r="B1035" t="s">
        <v>24</v>
      </c>
      <c r="C1035" t="s">
        <v>62</v>
      </c>
      <c r="D1035" t="s">
        <v>3218</v>
      </c>
      <c r="E1035">
        <v>20</v>
      </c>
      <c r="F1035">
        <v>97.8</v>
      </c>
    </row>
    <row r="1036" spans="1:6" x14ac:dyDescent="0.25">
      <c r="A1036" t="s">
        <v>699</v>
      </c>
      <c r="B1036" t="s">
        <v>24</v>
      </c>
      <c r="C1036" t="s">
        <v>62</v>
      </c>
      <c r="D1036" t="s">
        <v>3219</v>
      </c>
      <c r="E1036">
        <v>37.28</v>
      </c>
      <c r="F1036">
        <v>97.76</v>
      </c>
    </row>
    <row r="1037" spans="1:6" x14ac:dyDescent="0.25">
      <c r="A1037" t="s">
        <v>700</v>
      </c>
      <c r="B1037" t="s">
        <v>24</v>
      </c>
      <c r="C1037" t="s">
        <v>63</v>
      </c>
      <c r="D1037" t="s">
        <v>3217</v>
      </c>
      <c r="E1037">
        <v>0</v>
      </c>
      <c r="F1037">
        <v>98.51</v>
      </c>
    </row>
    <row r="1038" spans="1:6" x14ac:dyDescent="0.25">
      <c r="A1038" t="s">
        <v>700</v>
      </c>
      <c r="B1038" t="s">
        <v>24</v>
      </c>
      <c r="C1038" t="s">
        <v>63</v>
      </c>
      <c r="D1038" t="s">
        <v>3218</v>
      </c>
      <c r="E1038">
        <v>16.55</v>
      </c>
      <c r="F1038">
        <v>97.76</v>
      </c>
    </row>
    <row r="1039" spans="1:6" x14ac:dyDescent="0.25">
      <c r="A1039" t="s">
        <v>700</v>
      </c>
      <c r="B1039" t="s">
        <v>24</v>
      </c>
      <c r="C1039" t="s">
        <v>63</v>
      </c>
      <c r="D1039" t="s">
        <v>3219</v>
      </c>
      <c r="E1039">
        <v>32.22</v>
      </c>
      <c r="F1039">
        <v>97.73</v>
      </c>
    </row>
    <row r="1040" spans="1:6" x14ac:dyDescent="0.25">
      <c r="A1040" t="s">
        <v>701</v>
      </c>
      <c r="B1040" t="s">
        <v>24</v>
      </c>
      <c r="C1040" t="s">
        <v>64</v>
      </c>
      <c r="D1040" t="s">
        <v>3217</v>
      </c>
      <c r="E1040">
        <v>0</v>
      </c>
      <c r="F1040">
        <v>98.14</v>
      </c>
    </row>
    <row r="1041" spans="1:6" x14ac:dyDescent="0.25">
      <c r="A1041" t="s">
        <v>701</v>
      </c>
      <c r="B1041" t="s">
        <v>24</v>
      </c>
      <c r="C1041" t="s">
        <v>64</v>
      </c>
      <c r="D1041" t="s">
        <v>3218</v>
      </c>
      <c r="E1041">
        <v>16.55</v>
      </c>
      <c r="F1041">
        <v>97.82</v>
      </c>
    </row>
    <row r="1042" spans="1:6" x14ac:dyDescent="0.25">
      <c r="A1042" t="s">
        <v>701</v>
      </c>
      <c r="B1042" t="s">
        <v>24</v>
      </c>
      <c r="C1042" t="s">
        <v>64</v>
      </c>
      <c r="D1042" t="s">
        <v>3219</v>
      </c>
      <c r="E1042">
        <v>32.22</v>
      </c>
      <c r="F1042">
        <v>97.95</v>
      </c>
    </row>
    <row r="1043" spans="1:6" x14ac:dyDescent="0.25">
      <c r="A1043" t="s">
        <v>702</v>
      </c>
      <c r="B1043" t="s">
        <v>24</v>
      </c>
      <c r="C1043" t="s">
        <v>65</v>
      </c>
      <c r="D1043" t="s">
        <v>3217</v>
      </c>
      <c r="E1043">
        <v>0</v>
      </c>
      <c r="F1043">
        <v>98.19</v>
      </c>
    </row>
    <row r="1044" spans="1:6" x14ac:dyDescent="0.25">
      <c r="A1044" t="s">
        <v>702</v>
      </c>
      <c r="B1044" t="s">
        <v>24</v>
      </c>
      <c r="C1044" t="s">
        <v>65</v>
      </c>
      <c r="D1044" t="s">
        <v>3218</v>
      </c>
      <c r="E1044">
        <v>16.55</v>
      </c>
      <c r="F1044">
        <v>98.02</v>
      </c>
    </row>
    <row r="1045" spans="1:6" x14ac:dyDescent="0.25">
      <c r="A1045" t="s">
        <v>702</v>
      </c>
      <c r="B1045" t="s">
        <v>24</v>
      </c>
      <c r="C1045" t="s">
        <v>65</v>
      </c>
      <c r="D1045" t="s">
        <v>3219</v>
      </c>
      <c r="E1045">
        <v>31.22</v>
      </c>
      <c r="F1045">
        <v>97.9</v>
      </c>
    </row>
    <row r="1046" spans="1:6" x14ac:dyDescent="0.25">
      <c r="A1046" t="s">
        <v>703</v>
      </c>
      <c r="B1046" t="s">
        <v>24</v>
      </c>
      <c r="C1046" t="s">
        <v>66</v>
      </c>
      <c r="D1046" t="s">
        <v>3217</v>
      </c>
      <c r="E1046">
        <v>0</v>
      </c>
      <c r="F1046">
        <v>98.28</v>
      </c>
    </row>
    <row r="1047" spans="1:6" x14ac:dyDescent="0.25">
      <c r="A1047" t="s">
        <v>703</v>
      </c>
      <c r="B1047" t="s">
        <v>24</v>
      </c>
      <c r="C1047" t="s">
        <v>66</v>
      </c>
      <c r="D1047" t="s">
        <v>3218</v>
      </c>
      <c r="E1047">
        <v>16.89</v>
      </c>
      <c r="F1047">
        <v>98.15</v>
      </c>
    </row>
    <row r="1048" spans="1:6" x14ac:dyDescent="0.25">
      <c r="A1048" t="s">
        <v>703</v>
      </c>
      <c r="B1048" t="s">
        <v>24</v>
      </c>
      <c r="C1048" t="s">
        <v>66</v>
      </c>
      <c r="D1048" t="s">
        <v>3219</v>
      </c>
      <c r="E1048">
        <v>32.67</v>
      </c>
      <c r="F1048">
        <v>98.03</v>
      </c>
    </row>
    <row r="1049" spans="1:6" x14ac:dyDescent="0.25">
      <c r="A1049" t="s">
        <v>704</v>
      </c>
      <c r="B1049" t="s">
        <v>24</v>
      </c>
      <c r="C1049" t="s">
        <v>67</v>
      </c>
      <c r="D1049" t="s">
        <v>3217</v>
      </c>
      <c r="E1049">
        <v>0</v>
      </c>
      <c r="F1049">
        <v>98.41</v>
      </c>
    </row>
    <row r="1050" spans="1:6" x14ac:dyDescent="0.25">
      <c r="A1050" t="s">
        <v>704</v>
      </c>
      <c r="B1050" t="s">
        <v>24</v>
      </c>
      <c r="C1050" t="s">
        <v>67</v>
      </c>
      <c r="D1050" t="s">
        <v>3218</v>
      </c>
      <c r="E1050">
        <v>16.940000000000001</v>
      </c>
      <c r="F1050">
        <v>98.18</v>
      </c>
    </row>
    <row r="1051" spans="1:6" x14ac:dyDescent="0.25">
      <c r="A1051" t="s">
        <v>704</v>
      </c>
      <c r="B1051" t="s">
        <v>24</v>
      </c>
      <c r="C1051" t="s">
        <v>67</v>
      </c>
      <c r="D1051" t="s">
        <v>3219</v>
      </c>
      <c r="E1051">
        <v>34.25</v>
      </c>
      <c r="F1051">
        <v>98.27</v>
      </c>
    </row>
    <row r="1052" spans="1:6" x14ac:dyDescent="0.25">
      <c r="A1052" t="s">
        <v>705</v>
      </c>
      <c r="B1052" t="s">
        <v>24</v>
      </c>
      <c r="C1052" t="s">
        <v>68</v>
      </c>
      <c r="D1052" t="s">
        <v>3217</v>
      </c>
      <c r="E1052">
        <v>0</v>
      </c>
      <c r="F1052">
        <v>98.35</v>
      </c>
    </row>
    <row r="1053" spans="1:6" x14ac:dyDescent="0.25">
      <c r="A1053" t="s">
        <v>705</v>
      </c>
      <c r="B1053" t="s">
        <v>24</v>
      </c>
      <c r="C1053" t="s">
        <v>68</v>
      </c>
      <c r="D1053" t="s">
        <v>3218</v>
      </c>
      <c r="E1053">
        <v>17.149999999999999</v>
      </c>
      <c r="F1053">
        <v>98.44</v>
      </c>
    </row>
    <row r="1054" spans="1:6" x14ac:dyDescent="0.25">
      <c r="A1054" t="s">
        <v>705</v>
      </c>
      <c r="B1054" t="s">
        <v>24</v>
      </c>
      <c r="C1054" t="s">
        <v>68</v>
      </c>
      <c r="D1054" t="s">
        <v>3219</v>
      </c>
      <c r="E1054">
        <v>34.47</v>
      </c>
      <c r="F1054">
        <v>98.53</v>
      </c>
    </row>
    <row r="1055" spans="1:6" x14ac:dyDescent="0.25">
      <c r="A1055" t="s">
        <v>706</v>
      </c>
      <c r="B1055" t="s">
        <v>24</v>
      </c>
      <c r="C1055" t="s">
        <v>69</v>
      </c>
      <c r="D1055" t="s">
        <v>3217</v>
      </c>
      <c r="E1055">
        <v>0</v>
      </c>
      <c r="F1055">
        <v>98.09</v>
      </c>
    </row>
    <row r="1056" spans="1:6" x14ac:dyDescent="0.25">
      <c r="A1056" t="s">
        <v>706</v>
      </c>
      <c r="B1056" t="s">
        <v>24</v>
      </c>
      <c r="C1056" t="s">
        <v>69</v>
      </c>
      <c r="D1056" t="s">
        <v>3218</v>
      </c>
      <c r="E1056">
        <v>20</v>
      </c>
      <c r="F1056">
        <v>98.46</v>
      </c>
    </row>
    <row r="1057" spans="1:6" x14ac:dyDescent="0.25">
      <c r="A1057" t="s">
        <v>706</v>
      </c>
      <c r="B1057" t="s">
        <v>24</v>
      </c>
      <c r="C1057" t="s">
        <v>69</v>
      </c>
      <c r="D1057" t="s">
        <v>3219</v>
      </c>
      <c r="E1057">
        <v>37.6</v>
      </c>
      <c r="F1057">
        <v>98.59</v>
      </c>
    </row>
    <row r="1058" spans="1:6" x14ac:dyDescent="0.25">
      <c r="A1058" t="s">
        <v>707</v>
      </c>
      <c r="B1058" t="s">
        <v>24</v>
      </c>
      <c r="C1058" t="s">
        <v>70</v>
      </c>
      <c r="D1058" t="s">
        <v>3217</v>
      </c>
      <c r="E1058">
        <v>0</v>
      </c>
      <c r="F1058">
        <v>98</v>
      </c>
    </row>
    <row r="1059" spans="1:6" x14ac:dyDescent="0.25">
      <c r="A1059" t="s">
        <v>707</v>
      </c>
      <c r="B1059" t="s">
        <v>24</v>
      </c>
      <c r="C1059" t="s">
        <v>70</v>
      </c>
      <c r="D1059" t="s">
        <v>3218</v>
      </c>
      <c r="E1059">
        <v>20</v>
      </c>
      <c r="F1059">
        <v>98.41</v>
      </c>
    </row>
    <row r="1060" spans="1:6" x14ac:dyDescent="0.25">
      <c r="A1060" t="s">
        <v>707</v>
      </c>
      <c r="B1060" t="s">
        <v>24</v>
      </c>
      <c r="C1060" t="s">
        <v>70</v>
      </c>
      <c r="D1060" t="s">
        <v>3219</v>
      </c>
      <c r="E1060">
        <v>37.82</v>
      </c>
      <c r="F1060">
        <v>98.63</v>
      </c>
    </row>
    <row r="1061" spans="1:6" x14ac:dyDescent="0.25">
      <c r="A1061" t="s">
        <v>708</v>
      </c>
      <c r="B1061" t="s">
        <v>24</v>
      </c>
      <c r="C1061" t="s">
        <v>71</v>
      </c>
      <c r="D1061" t="s">
        <v>3217</v>
      </c>
      <c r="E1061">
        <v>0</v>
      </c>
      <c r="F1061">
        <v>97.66</v>
      </c>
    </row>
    <row r="1062" spans="1:6" x14ac:dyDescent="0.25">
      <c r="A1062" t="s">
        <v>708</v>
      </c>
      <c r="B1062" t="s">
        <v>24</v>
      </c>
      <c r="C1062" t="s">
        <v>71</v>
      </c>
      <c r="D1062" t="s">
        <v>3218</v>
      </c>
      <c r="E1062">
        <v>20</v>
      </c>
      <c r="F1062">
        <v>98.25</v>
      </c>
    </row>
    <row r="1063" spans="1:6" x14ac:dyDescent="0.25">
      <c r="A1063" t="s">
        <v>708</v>
      </c>
      <c r="B1063" t="s">
        <v>24</v>
      </c>
      <c r="C1063" t="s">
        <v>71</v>
      </c>
      <c r="D1063" t="s">
        <v>3219</v>
      </c>
      <c r="E1063">
        <v>37.71</v>
      </c>
      <c r="F1063">
        <v>98.52</v>
      </c>
    </row>
    <row r="1064" spans="1:6" x14ac:dyDescent="0.25">
      <c r="A1064" t="s">
        <v>709</v>
      </c>
      <c r="B1064" t="s">
        <v>24</v>
      </c>
      <c r="C1064" t="s">
        <v>72</v>
      </c>
      <c r="D1064" t="s">
        <v>3217</v>
      </c>
      <c r="E1064">
        <v>0</v>
      </c>
      <c r="F1064">
        <v>97.5</v>
      </c>
    </row>
    <row r="1065" spans="1:6" x14ac:dyDescent="0.25">
      <c r="A1065" t="s">
        <v>709</v>
      </c>
      <c r="B1065" t="s">
        <v>24</v>
      </c>
      <c r="C1065" t="s">
        <v>72</v>
      </c>
      <c r="D1065" t="s">
        <v>3218</v>
      </c>
      <c r="E1065">
        <v>20</v>
      </c>
      <c r="F1065">
        <v>98.02</v>
      </c>
    </row>
    <row r="1066" spans="1:6" x14ac:dyDescent="0.25">
      <c r="A1066" t="s">
        <v>709</v>
      </c>
      <c r="B1066" t="s">
        <v>24</v>
      </c>
      <c r="C1066" t="s">
        <v>72</v>
      </c>
      <c r="D1066" t="s">
        <v>3219</v>
      </c>
      <c r="E1066">
        <v>40</v>
      </c>
      <c r="F1066">
        <v>98.31</v>
      </c>
    </row>
    <row r="1067" spans="1:6" x14ac:dyDescent="0.25">
      <c r="A1067" t="s">
        <v>710</v>
      </c>
      <c r="B1067" t="s">
        <v>24</v>
      </c>
      <c r="C1067" t="s">
        <v>73</v>
      </c>
      <c r="D1067" t="s">
        <v>3217</v>
      </c>
      <c r="E1067">
        <v>0</v>
      </c>
      <c r="F1067">
        <v>97.36</v>
      </c>
    </row>
    <row r="1068" spans="1:6" x14ac:dyDescent="0.25">
      <c r="A1068" t="s">
        <v>710</v>
      </c>
      <c r="B1068" t="s">
        <v>24</v>
      </c>
      <c r="C1068" t="s">
        <v>73</v>
      </c>
      <c r="D1068" t="s">
        <v>3218</v>
      </c>
      <c r="E1068">
        <v>20</v>
      </c>
      <c r="F1068">
        <v>97.98</v>
      </c>
    </row>
    <row r="1069" spans="1:6" x14ac:dyDescent="0.25">
      <c r="A1069" t="s">
        <v>710</v>
      </c>
      <c r="B1069" t="s">
        <v>24</v>
      </c>
      <c r="C1069" t="s">
        <v>73</v>
      </c>
      <c r="D1069" t="s">
        <v>3219</v>
      </c>
      <c r="E1069">
        <v>40</v>
      </c>
      <c r="F1069">
        <v>98.26</v>
      </c>
    </row>
    <row r="1070" spans="1:6" x14ac:dyDescent="0.25">
      <c r="A1070" t="s">
        <v>711</v>
      </c>
      <c r="B1070" t="s">
        <v>24</v>
      </c>
      <c r="C1070" t="s">
        <v>74</v>
      </c>
      <c r="D1070" t="s">
        <v>3217</v>
      </c>
      <c r="E1070">
        <v>0</v>
      </c>
      <c r="F1070">
        <v>97.46</v>
      </c>
    </row>
    <row r="1071" spans="1:6" x14ac:dyDescent="0.25">
      <c r="A1071" t="s">
        <v>711</v>
      </c>
      <c r="B1071" t="s">
        <v>24</v>
      </c>
      <c r="C1071" t="s">
        <v>74</v>
      </c>
      <c r="D1071" t="s">
        <v>3218</v>
      </c>
      <c r="E1071">
        <v>20</v>
      </c>
      <c r="F1071">
        <v>97.79</v>
      </c>
    </row>
    <row r="1072" spans="1:6" x14ac:dyDescent="0.25">
      <c r="A1072" t="s">
        <v>711</v>
      </c>
      <c r="B1072" t="s">
        <v>24</v>
      </c>
      <c r="C1072" t="s">
        <v>74</v>
      </c>
      <c r="D1072" t="s">
        <v>3219</v>
      </c>
      <c r="E1072">
        <v>40</v>
      </c>
      <c r="F1072">
        <v>97.99</v>
      </c>
    </row>
    <row r="1073" spans="1:6" x14ac:dyDescent="0.25">
      <c r="A1073" t="s">
        <v>712</v>
      </c>
      <c r="B1073" t="s">
        <v>24</v>
      </c>
      <c r="C1073" t="s">
        <v>75</v>
      </c>
      <c r="D1073" t="s">
        <v>3217</v>
      </c>
      <c r="E1073">
        <v>0</v>
      </c>
      <c r="F1073">
        <v>97.43</v>
      </c>
    </row>
    <row r="1074" spans="1:6" x14ac:dyDescent="0.25">
      <c r="A1074" t="s">
        <v>712</v>
      </c>
      <c r="B1074" t="s">
        <v>24</v>
      </c>
      <c r="C1074" t="s">
        <v>75</v>
      </c>
      <c r="D1074" t="s">
        <v>3218</v>
      </c>
      <c r="E1074">
        <v>20</v>
      </c>
      <c r="F1074">
        <v>97.64</v>
      </c>
    </row>
    <row r="1075" spans="1:6" x14ac:dyDescent="0.25">
      <c r="A1075" t="s">
        <v>712</v>
      </c>
      <c r="B1075" t="s">
        <v>24</v>
      </c>
      <c r="C1075" t="s">
        <v>75</v>
      </c>
      <c r="D1075" t="s">
        <v>3219</v>
      </c>
      <c r="E1075">
        <v>40</v>
      </c>
      <c r="F1075">
        <v>97.87</v>
      </c>
    </row>
    <row r="1076" spans="1:6" x14ac:dyDescent="0.25">
      <c r="A1076" t="s">
        <v>713</v>
      </c>
      <c r="B1076" t="s">
        <v>24</v>
      </c>
      <c r="C1076" t="s">
        <v>76</v>
      </c>
      <c r="D1076" t="s">
        <v>3217</v>
      </c>
      <c r="E1076">
        <v>0</v>
      </c>
      <c r="F1076">
        <v>97.37</v>
      </c>
    </row>
    <row r="1077" spans="1:6" x14ac:dyDescent="0.25">
      <c r="A1077" t="s">
        <v>713</v>
      </c>
      <c r="B1077" t="s">
        <v>24</v>
      </c>
      <c r="C1077" t="s">
        <v>76</v>
      </c>
      <c r="D1077" t="s">
        <v>3218</v>
      </c>
      <c r="E1077">
        <v>20</v>
      </c>
      <c r="F1077">
        <v>97.67</v>
      </c>
    </row>
    <row r="1078" spans="1:6" x14ac:dyDescent="0.25">
      <c r="A1078" t="s">
        <v>713</v>
      </c>
      <c r="B1078" t="s">
        <v>24</v>
      </c>
      <c r="C1078" t="s">
        <v>76</v>
      </c>
      <c r="D1078" t="s">
        <v>3219</v>
      </c>
      <c r="E1078">
        <v>40</v>
      </c>
      <c r="F1078">
        <v>98.04</v>
      </c>
    </row>
    <row r="1079" spans="1:6" x14ac:dyDescent="0.25">
      <c r="A1079" t="s">
        <v>714</v>
      </c>
      <c r="B1079" t="s">
        <v>24</v>
      </c>
      <c r="C1079" t="s">
        <v>77</v>
      </c>
      <c r="D1079" t="s">
        <v>3217</v>
      </c>
      <c r="E1079">
        <v>0</v>
      </c>
      <c r="F1079">
        <v>97.37</v>
      </c>
    </row>
    <row r="1080" spans="1:6" x14ac:dyDescent="0.25">
      <c r="A1080" t="s">
        <v>714</v>
      </c>
      <c r="B1080" t="s">
        <v>24</v>
      </c>
      <c r="C1080" t="s">
        <v>77</v>
      </c>
      <c r="D1080" t="s">
        <v>3218</v>
      </c>
      <c r="E1080">
        <v>18.11</v>
      </c>
      <c r="F1080">
        <v>97.68</v>
      </c>
    </row>
    <row r="1081" spans="1:6" x14ac:dyDescent="0.25">
      <c r="A1081" t="s">
        <v>714</v>
      </c>
      <c r="B1081" t="s">
        <v>24</v>
      </c>
      <c r="C1081" t="s">
        <v>77</v>
      </c>
      <c r="D1081" t="s">
        <v>3219</v>
      </c>
      <c r="E1081">
        <v>38.11</v>
      </c>
      <c r="F1081">
        <v>97.78</v>
      </c>
    </row>
    <row r="1082" spans="1:6" x14ac:dyDescent="0.25">
      <c r="A1082" t="s">
        <v>715</v>
      </c>
      <c r="B1082" t="s">
        <v>24</v>
      </c>
      <c r="C1082" t="s">
        <v>78</v>
      </c>
      <c r="D1082" t="s">
        <v>3217</v>
      </c>
      <c r="E1082">
        <v>0</v>
      </c>
      <c r="F1082">
        <v>97.3</v>
      </c>
    </row>
    <row r="1083" spans="1:6" x14ac:dyDescent="0.25">
      <c r="A1083" t="s">
        <v>715</v>
      </c>
      <c r="B1083" t="s">
        <v>24</v>
      </c>
      <c r="C1083" t="s">
        <v>78</v>
      </c>
      <c r="D1083" t="s">
        <v>3218</v>
      </c>
      <c r="E1083">
        <v>16.28</v>
      </c>
      <c r="F1083">
        <v>97.6</v>
      </c>
    </row>
    <row r="1084" spans="1:6" x14ac:dyDescent="0.25">
      <c r="A1084" t="s">
        <v>715</v>
      </c>
      <c r="B1084" t="s">
        <v>24</v>
      </c>
      <c r="C1084" t="s">
        <v>78</v>
      </c>
      <c r="D1084" t="s">
        <v>3219</v>
      </c>
      <c r="E1084">
        <v>36.28</v>
      </c>
      <c r="F1084">
        <v>97.69</v>
      </c>
    </row>
    <row r="1085" spans="1:6" x14ac:dyDescent="0.25">
      <c r="A1085" t="s">
        <v>716</v>
      </c>
      <c r="B1085" t="s">
        <v>24</v>
      </c>
      <c r="C1085" t="s">
        <v>79</v>
      </c>
      <c r="D1085" t="s">
        <v>3217</v>
      </c>
      <c r="E1085">
        <v>0</v>
      </c>
      <c r="F1085">
        <v>97.17</v>
      </c>
    </row>
    <row r="1086" spans="1:6" x14ac:dyDescent="0.25">
      <c r="A1086" t="s">
        <v>716</v>
      </c>
      <c r="B1086" t="s">
        <v>24</v>
      </c>
      <c r="C1086" t="s">
        <v>79</v>
      </c>
      <c r="D1086" t="s">
        <v>3218</v>
      </c>
      <c r="E1086">
        <v>16.079999999999998</v>
      </c>
      <c r="F1086">
        <v>97.5</v>
      </c>
    </row>
    <row r="1087" spans="1:6" x14ac:dyDescent="0.25">
      <c r="A1087" t="s">
        <v>716</v>
      </c>
      <c r="B1087" t="s">
        <v>24</v>
      </c>
      <c r="C1087" t="s">
        <v>79</v>
      </c>
      <c r="D1087" t="s">
        <v>3219</v>
      </c>
      <c r="E1087">
        <v>36.08</v>
      </c>
      <c r="F1087">
        <v>97.63</v>
      </c>
    </row>
    <row r="1088" spans="1:6" x14ac:dyDescent="0.25">
      <c r="A1088" t="s">
        <v>717</v>
      </c>
      <c r="B1088" t="s">
        <v>24</v>
      </c>
      <c r="C1088" t="s">
        <v>80</v>
      </c>
      <c r="D1088" t="s">
        <v>3217</v>
      </c>
      <c r="E1088">
        <v>0</v>
      </c>
      <c r="F1088">
        <v>96.8</v>
      </c>
    </row>
    <row r="1089" spans="1:6" x14ac:dyDescent="0.25">
      <c r="A1089" t="s">
        <v>717</v>
      </c>
      <c r="B1089" t="s">
        <v>24</v>
      </c>
      <c r="C1089" t="s">
        <v>80</v>
      </c>
      <c r="D1089" t="s">
        <v>3218</v>
      </c>
      <c r="E1089">
        <v>16.61</v>
      </c>
      <c r="F1089">
        <v>97.35</v>
      </c>
    </row>
    <row r="1090" spans="1:6" x14ac:dyDescent="0.25">
      <c r="A1090" t="s">
        <v>717</v>
      </c>
      <c r="B1090" t="s">
        <v>24</v>
      </c>
      <c r="C1090" t="s">
        <v>80</v>
      </c>
      <c r="D1090" t="s">
        <v>3219</v>
      </c>
      <c r="E1090">
        <v>36.61</v>
      </c>
      <c r="F1090">
        <v>97.57</v>
      </c>
    </row>
    <row r="1091" spans="1:6" x14ac:dyDescent="0.25">
      <c r="A1091" t="s">
        <v>718</v>
      </c>
      <c r="B1091" t="s">
        <v>24</v>
      </c>
      <c r="C1091" t="s">
        <v>81</v>
      </c>
      <c r="D1091" t="s">
        <v>3217</v>
      </c>
      <c r="E1091">
        <v>0</v>
      </c>
      <c r="F1091">
        <v>96.69</v>
      </c>
    </row>
    <row r="1092" spans="1:6" x14ac:dyDescent="0.25">
      <c r="A1092" t="s">
        <v>718</v>
      </c>
      <c r="B1092" t="s">
        <v>24</v>
      </c>
      <c r="C1092" t="s">
        <v>81</v>
      </c>
      <c r="D1092" t="s">
        <v>3218</v>
      </c>
      <c r="E1092">
        <v>17.98</v>
      </c>
      <c r="F1092">
        <v>97.25</v>
      </c>
    </row>
    <row r="1093" spans="1:6" x14ac:dyDescent="0.25">
      <c r="A1093" t="s">
        <v>718</v>
      </c>
      <c r="B1093" t="s">
        <v>24</v>
      </c>
      <c r="C1093" t="s">
        <v>81</v>
      </c>
      <c r="D1093" t="s">
        <v>3219</v>
      </c>
      <c r="E1093">
        <v>37.979999999999997</v>
      </c>
      <c r="F1093">
        <v>97.43</v>
      </c>
    </row>
    <row r="1094" spans="1:6" x14ac:dyDescent="0.25">
      <c r="A1094" t="s">
        <v>719</v>
      </c>
      <c r="B1094" t="s">
        <v>24</v>
      </c>
      <c r="C1094" t="s">
        <v>82</v>
      </c>
      <c r="D1094" t="s">
        <v>3217</v>
      </c>
      <c r="E1094">
        <v>0</v>
      </c>
      <c r="F1094">
        <v>96.59</v>
      </c>
    </row>
    <row r="1095" spans="1:6" x14ac:dyDescent="0.25">
      <c r="A1095" t="s">
        <v>719</v>
      </c>
      <c r="B1095" t="s">
        <v>24</v>
      </c>
      <c r="C1095" t="s">
        <v>82</v>
      </c>
      <c r="D1095" t="s">
        <v>3218</v>
      </c>
      <c r="E1095">
        <v>20</v>
      </c>
      <c r="F1095">
        <v>97.01</v>
      </c>
    </row>
    <row r="1096" spans="1:6" x14ac:dyDescent="0.25">
      <c r="A1096" t="s">
        <v>719</v>
      </c>
      <c r="B1096" t="s">
        <v>24</v>
      </c>
      <c r="C1096" t="s">
        <v>82</v>
      </c>
      <c r="D1096" t="s">
        <v>3219</v>
      </c>
      <c r="E1096">
        <v>40</v>
      </c>
      <c r="F1096">
        <v>97.1</v>
      </c>
    </row>
    <row r="1097" spans="1:6" x14ac:dyDescent="0.25">
      <c r="A1097" t="s">
        <v>720</v>
      </c>
      <c r="B1097" t="s">
        <v>24</v>
      </c>
      <c r="C1097" t="s">
        <v>83</v>
      </c>
      <c r="D1097" t="s">
        <v>3217</v>
      </c>
      <c r="E1097">
        <v>0</v>
      </c>
      <c r="F1097">
        <v>96.42</v>
      </c>
    </row>
    <row r="1098" spans="1:6" x14ac:dyDescent="0.25">
      <c r="A1098" t="s">
        <v>720</v>
      </c>
      <c r="B1098" t="s">
        <v>24</v>
      </c>
      <c r="C1098" t="s">
        <v>83</v>
      </c>
      <c r="D1098" t="s">
        <v>3218</v>
      </c>
      <c r="E1098">
        <v>20</v>
      </c>
      <c r="F1098">
        <v>96.96</v>
      </c>
    </row>
    <row r="1099" spans="1:6" x14ac:dyDescent="0.25">
      <c r="A1099" t="s">
        <v>720</v>
      </c>
      <c r="B1099" t="s">
        <v>24</v>
      </c>
      <c r="C1099" t="s">
        <v>83</v>
      </c>
      <c r="D1099" t="s">
        <v>3219</v>
      </c>
      <c r="E1099">
        <v>37.229999999999997</v>
      </c>
      <c r="F1099">
        <v>96.94</v>
      </c>
    </row>
    <row r="1100" spans="1:6" x14ac:dyDescent="0.25">
      <c r="A1100" t="s">
        <v>721</v>
      </c>
      <c r="B1100" t="s">
        <v>24</v>
      </c>
      <c r="C1100" t="s">
        <v>84</v>
      </c>
      <c r="D1100" t="s">
        <v>3217</v>
      </c>
      <c r="E1100">
        <v>0</v>
      </c>
      <c r="F1100">
        <v>96.44</v>
      </c>
    </row>
    <row r="1101" spans="1:6" x14ac:dyDescent="0.25">
      <c r="A1101" t="s">
        <v>721</v>
      </c>
      <c r="B1101" t="s">
        <v>24</v>
      </c>
      <c r="C1101" t="s">
        <v>84</v>
      </c>
      <c r="D1101" t="s">
        <v>3218</v>
      </c>
      <c r="E1101">
        <v>20</v>
      </c>
      <c r="F1101">
        <v>96.91</v>
      </c>
    </row>
    <row r="1102" spans="1:6" x14ac:dyDescent="0.25">
      <c r="A1102" t="s">
        <v>721</v>
      </c>
      <c r="B1102" t="s">
        <v>24</v>
      </c>
      <c r="C1102" t="s">
        <v>84</v>
      </c>
      <c r="D1102" t="s">
        <v>3219</v>
      </c>
      <c r="E1102">
        <v>33.56</v>
      </c>
      <c r="F1102">
        <v>96.98</v>
      </c>
    </row>
    <row r="1103" spans="1:6" x14ac:dyDescent="0.25">
      <c r="A1103" t="s">
        <v>722</v>
      </c>
      <c r="B1103" t="s">
        <v>24</v>
      </c>
      <c r="C1103" t="s">
        <v>85</v>
      </c>
      <c r="D1103" t="s">
        <v>3217</v>
      </c>
      <c r="E1103">
        <v>0</v>
      </c>
      <c r="F1103">
        <v>96.47</v>
      </c>
    </row>
    <row r="1104" spans="1:6" x14ac:dyDescent="0.25">
      <c r="A1104" t="s">
        <v>722</v>
      </c>
      <c r="B1104" t="s">
        <v>24</v>
      </c>
      <c r="C1104" t="s">
        <v>85</v>
      </c>
      <c r="D1104" t="s">
        <v>3218</v>
      </c>
      <c r="E1104">
        <v>20</v>
      </c>
      <c r="F1104">
        <v>96.7</v>
      </c>
    </row>
    <row r="1105" spans="1:6" x14ac:dyDescent="0.25">
      <c r="A1105" t="s">
        <v>722</v>
      </c>
      <c r="B1105" t="s">
        <v>24</v>
      </c>
      <c r="C1105" t="s">
        <v>85</v>
      </c>
      <c r="D1105" t="s">
        <v>3219</v>
      </c>
      <c r="E1105">
        <v>31.84</v>
      </c>
      <c r="F1105">
        <v>97.03</v>
      </c>
    </row>
    <row r="1106" spans="1:6" x14ac:dyDescent="0.25">
      <c r="A1106" t="s">
        <v>723</v>
      </c>
      <c r="B1106" t="s">
        <v>24</v>
      </c>
      <c r="C1106" t="s">
        <v>86</v>
      </c>
      <c r="D1106" t="s">
        <v>3217</v>
      </c>
      <c r="E1106">
        <v>0</v>
      </c>
      <c r="F1106">
        <v>96.43</v>
      </c>
    </row>
    <row r="1107" spans="1:6" x14ac:dyDescent="0.25">
      <c r="A1107" t="s">
        <v>723</v>
      </c>
      <c r="B1107" t="s">
        <v>24</v>
      </c>
      <c r="C1107" t="s">
        <v>86</v>
      </c>
      <c r="D1107" t="s">
        <v>3218</v>
      </c>
      <c r="E1107">
        <v>20</v>
      </c>
      <c r="F1107">
        <v>96.71</v>
      </c>
    </row>
    <row r="1108" spans="1:6" x14ac:dyDescent="0.25">
      <c r="A1108" t="s">
        <v>723</v>
      </c>
      <c r="B1108" t="s">
        <v>24</v>
      </c>
      <c r="C1108" t="s">
        <v>86</v>
      </c>
      <c r="D1108" t="s">
        <v>3219</v>
      </c>
      <c r="E1108">
        <v>31.75</v>
      </c>
      <c r="F1108">
        <v>97.01</v>
      </c>
    </row>
    <row r="1109" spans="1:6" x14ac:dyDescent="0.25">
      <c r="A1109" t="s">
        <v>724</v>
      </c>
      <c r="B1109" t="s">
        <v>24</v>
      </c>
      <c r="C1109" t="s">
        <v>87</v>
      </c>
      <c r="D1109" t="s">
        <v>3217</v>
      </c>
      <c r="E1109">
        <v>0</v>
      </c>
      <c r="F1109">
        <v>96.36</v>
      </c>
    </row>
    <row r="1110" spans="1:6" x14ac:dyDescent="0.25">
      <c r="A1110" t="s">
        <v>724</v>
      </c>
      <c r="B1110" t="s">
        <v>24</v>
      </c>
      <c r="C1110" t="s">
        <v>87</v>
      </c>
      <c r="D1110" t="s">
        <v>3218</v>
      </c>
      <c r="E1110">
        <v>18.48</v>
      </c>
      <c r="F1110">
        <v>96.76</v>
      </c>
    </row>
    <row r="1111" spans="1:6" x14ac:dyDescent="0.25">
      <c r="A1111" t="s">
        <v>724</v>
      </c>
      <c r="B1111" t="s">
        <v>24</v>
      </c>
      <c r="C1111" t="s">
        <v>87</v>
      </c>
      <c r="D1111" t="s">
        <v>3219</v>
      </c>
      <c r="E1111">
        <v>29.49</v>
      </c>
      <c r="F1111">
        <v>96.98</v>
      </c>
    </row>
    <row r="1112" spans="1:6" x14ac:dyDescent="0.25">
      <c r="A1112" t="s">
        <v>725</v>
      </c>
      <c r="B1112" t="s">
        <v>24</v>
      </c>
      <c r="C1112" t="s">
        <v>88</v>
      </c>
      <c r="D1112" t="s">
        <v>3217</v>
      </c>
      <c r="E1112">
        <v>0</v>
      </c>
      <c r="F1112">
        <v>96.54</v>
      </c>
    </row>
    <row r="1113" spans="1:6" x14ac:dyDescent="0.25">
      <c r="A1113" t="s">
        <v>725</v>
      </c>
      <c r="B1113" t="s">
        <v>24</v>
      </c>
      <c r="C1113" t="s">
        <v>88</v>
      </c>
      <c r="D1113" t="s">
        <v>3218</v>
      </c>
      <c r="E1113">
        <v>18.38</v>
      </c>
      <c r="F1113">
        <v>96.93</v>
      </c>
    </row>
    <row r="1114" spans="1:6" x14ac:dyDescent="0.25">
      <c r="A1114" t="s">
        <v>725</v>
      </c>
      <c r="B1114" t="s">
        <v>24</v>
      </c>
      <c r="C1114" t="s">
        <v>88</v>
      </c>
      <c r="D1114" t="s">
        <v>3219</v>
      </c>
      <c r="E1114">
        <v>29.36</v>
      </c>
      <c r="F1114">
        <v>97.01</v>
      </c>
    </row>
    <row r="1115" spans="1:6" x14ac:dyDescent="0.25">
      <c r="A1115" t="s">
        <v>726</v>
      </c>
      <c r="B1115" t="s">
        <v>24</v>
      </c>
      <c r="C1115" t="s">
        <v>89</v>
      </c>
      <c r="D1115" t="s">
        <v>3217</v>
      </c>
      <c r="E1115">
        <v>0</v>
      </c>
      <c r="F1115">
        <v>96.64</v>
      </c>
    </row>
    <row r="1116" spans="1:6" x14ac:dyDescent="0.25">
      <c r="A1116" t="s">
        <v>726</v>
      </c>
      <c r="B1116" t="s">
        <v>24</v>
      </c>
      <c r="C1116" t="s">
        <v>89</v>
      </c>
      <c r="D1116" t="s">
        <v>3218</v>
      </c>
      <c r="E1116">
        <v>17.89</v>
      </c>
      <c r="F1116">
        <v>96.91</v>
      </c>
    </row>
    <row r="1117" spans="1:6" x14ac:dyDescent="0.25">
      <c r="A1117" t="s">
        <v>726</v>
      </c>
      <c r="B1117" t="s">
        <v>24</v>
      </c>
      <c r="C1117" t="s">
        <v>89</v>
      </c>
      <c r="D1117" t="s">
        <v>3219</v>
      </c>
      <c r="E1117">
        <v>29.38</v>
      </c>
      <c r="F1117">
        <v>96.99</v>
      </c>
    </row>
    <row r="1118" spans="1:6" x14ac:dyDescent="0.25">
      <c r="A1118" t="s">
        <v>727</v>
      </c>
      <c r="B1118" t="s">
        <v>24</v>
      </c>
      <c r="C1118" t="s">
        <v>90</v>
      </c>
      <c r="D1118" t="s">
        <v>3217</v>
      </c>
      <c r="E1118">
        <v>0</v>
      </c>
      <c r="F1118">
        <v>96.6</v>
      </c>
    </row>
    <row r="1119" spans="1:6" x14ac:dyDescent="0.25">
      <c r="A1119" t="s">
        <v>727</v>
      </c>
      <c r="B1119" t="s">
        <v>24</v>
      </c>
      <c r="C1119" t="s">
        <v>90</v>
      </c>
      <c r="D1119" t="s">
        <v>3218</v>
      </c>
      <c r="E1119">
        <v>17.61</v>
      </c>
      <c r="F1119">
        <v>96.86</v>
      </c>
    </row>
    <row r="1120" spans="1:6" x14ac:dyDescent="0.25">
      <c r="A1120" t="s">
        <v>727</v>
      </c>
      <c r="B1120" t="s">
        <v>24</v>
      </c>
      <c r="C1120" t="s">
        <v>90</v>
      </c>
      <c r="D1120" t="s">
        <v>3219</v>
      </c>
      <c r="E1120">
        <v>29.56</v>
      </c>
      <c r="F1120">
        <v>96.96</v>
      </c>
    </row>
    <row r="1121" spans="1:6" x14ac:dyDescent="0.25">
      <c r="A1121" t="s">
        <v>728</v>
      </c>
      <c r="B1121" t="s">
        <v>24</v>
      </c>
      <c r="C1121" t="s">
        <v>91</v>
      </c>
      <c r="D1121" t="s">
        <v>3217</v>
      </c>
      <c r="E1121">
        <v>0</v>
      </c>
      <c r="F1121">
        <v>96.6</v>
      </c>
    </row>
    <row r="1122" spans="1:6" x14ac:dyDescent="0.25">
      <c r="A1122" t="s">
        <v>728</v>
      </c>
      <c r="B1122" t="s">
        <v>24</v>
      </c>
      <c r="C1122" t="s">
        <v>91</v>
      </c>
      <c r="D1122" t="s">
        <v>3218</v>
      </c>
      <c r="E1122">
        <v>17.170000000000002</v>
      </c>
      <c r="F1122">
        <v>96.98</v>
      </c>
    </row>
    <row r="1123" spans="1:6" x14ac:dyDescent="0.25">
      <c r="A1123" t="s">
        <v>728</v>
      </c>
      <c r="B1123" t="s">
        <v>24</v>
      </c>
      <c r="C1123" t="s">
        <v>91</v>
      </c>
      <c r="D1123" t="s">
        <v>3219</v>
      </c>
      <c r="E1123">
        <v>29.54</v>
      </c>
      <c r="F1123">
        <v>96.97</v>
      </c>
    </row>
    <row r="1124" spans="1:6" x14ac:dyDescent="0.25">
      <c r="A1124" t="s">
        <v>729</v>
      </c>
      <c r="B1124" t="s">
        <v>24</v>
      </c>
      <c r="C1124" t="s">
        <v>92</v>
      </c>
      <c r="D1124" t="s">
        <v>3217</v>
      </c>
      <c r="E1124">
        <v>0</v>
      </c>
      <c r="F1124">
        <v>96.49</v>
      </c>
    </row>
    <row r="1125" spans="1:6" x14ac:dyDescent="0.25">
      <c r="A1125" t="s">
        <v>729</v>
      </c>
      <c r="B1125" t="s">
        <v>24</v>
      </c>
      <c r="C1125" t="s">
        <v>92</v>
      </c>
      <c r="D1125" t="s">
        <v>3218</v>
      </c>
      <c r="E1125">
        <v>17.18</v>
      </c>
      <c r="F1125">
        <v>96.85</v>
      </c>
    </row>
    <row r="1126" spans="1:6" x14ac:dyDescent="0.25">
      <c r="A1126" t="s">
        <v>729</v>
      </c>
      <c r="B1126" t="s">
        <v>24</v>
      </c>
      <c r="C1126" t="s">
        <v>92</v>
      </c>
      <c r="D1126" t="s">
        <v>3219</v>
      </c>
      <c r="E1126">
        <v>29.99</v>
      </c>
      <c r="F1126">
        <v>97.09</v>
      </c>
    </row>
    <row r="1127" spans="1:6" x14ac:dyDescent="0.25">
      <c r="A1127" t="s">
        <v>730</v>
      </c>
      <c r="B1127" t="s">
        <v>24</v>
      </c>
      <c r="C1127" t="s">
        <v>93</v>
      </c>
      <c r="D1127" t="s">
        <v>3217</v>
      </c>
      <c r="E1127">
        <v>0</v>
      </c>
      <c r="F1127">
        <v>96.51</v>
      </c>
    </row>
    <row r="1128" spans="1:6" x14ac:dyDescent="0.25">
      <c r="A1128" t="s">
        <v>730</v>
      </c>
      <c r="B1128" t="s">
        <v>24</v>
      </c>
      <c r="C1128" t="s">
        <v>93</v>
      </c>
      <c r="D1128" t="s">
        <v>3218</v>
      </c>
      <c r="E1128">
        <v>17.489999999999998</v>
      </c>
      <c r="F1128">
        <v>97.14</v>
      </c>
    </row>
    <row r="1129" spans="1:6" x14ac:dyDescent="0.25">
      <c r="A1129" t="s">
        <v>730</v>
      </c>
      <c r="B1129" t="s">
        <v>24</v>
      </c>
      <c r="C1129" t="s">
        <v>93</v>
      </c>
      <c r="D1129" t="s">
        <v>3219</v>
      </c>
      <c r="E1129">
        <v>31.11</v>
      </c>
      <c r="F1129">
        <v>97.47</v>
      </c>
    </row>
    <row r="1130" spans="1:6" x14ac:dyDescent="0.25">
      <c r="A1130" t="s">
        <v>731</v>
      </c>
      <c r="B1130" t="s">
        <v>24</v>
      </c>
      <c r="C1130" t="s">
        <v>94</v>
      </c>
      <c r="D1130" t="s">
        <v>3217</v>
      </c>
      <c r="E1130">
        <v>0</v>
      </c>
      <c r="F1130">
        <v>96.74</v>
      </c>
    </row>
    <row r="1131" spans="1:6" x14ac:dyDescent="0.25">
      <c r="A1131" t="s">
        <v>731</v>
      </c>
      <c r="B1131" t="s">
        <v>24</v>
      </c>
      <c r="C1131" t="s">
        <v>94</v>
      </c>
      <c r="D1131" t="s">
        <v>3218</v>
      </c>
      <c r="E1131">
        <v>17.059999999999999</v>
      </c>
      <c r="F1131">
        <v>97.17</v>
      </c>
    </row>
    <row r="1132" spans="1:6" x14ac:dyDescent="0.25">
      <c r="A1132" t="s">
        <v>731</v>
      </c>
      <c r="B1132" t="s">
        <v>24</v>
      </c>
      <c r="C1132" t="s">
        <v>94</v>
      </c>
      <c r="D1132" t="s">
        <v>3219</v>
      </c>
      <c r="E1132">
        <v>29.45</v>
      </c>
      <c r="F1132">
        <v>97.1</v>
      </c>
    </row>
    <row r="1133" spans="1:6" x14ac:dyDescent="0.25">
      <c r="A1133" t="s">
        <v>732</v>
      </c>
      <c r="B1133" t="s">
        <v>24</v>
      </c>
      <c r="C1133" t="s">
        <v>95</v>
      </c>
      <c r="D1133" t="s">
        <v>3217</v>
      </c>
      <c r="E1133">
        <v>0</v>
      </c>
      <c r="F1133">
        <v>96.58</v>
      </c>
    </row>
    <row r="1134" spans="1:6" x14ac:dyDescent="0.25">
      <c r="A1134" t="s">
        <v>732</v>
      </c>
      <c r="B1134" t="s">
        <v>24</v>
      </c>
      <c r="C1134" t="s">
        <v>95</v>
      </c>
      <c r="D1134" t="s">
        <v>3218</v>
      </c>
      <c r="E1134">
        <v>17.48</v>
      </c>
      <c r="F1134">
        <v>97.01</v>
      </c>
    </row>
    <row r="1135" spans="1:6" x14ac:dyDescent="0.25">
      <c r="A1135" t="s">
        <v>732</v>
      </c>
      <c r="B1135" t="s">
        <v>24</v>
      </c>
      <c r="C1135" t="s">
        <v>95</v>
      </c>
      <c r="D1135" t="s">
        <v>3219</v>
      </c>
      <c r="E1135">
        <v>29.86</v>
      </c>
      <c r="F1135">
        <v>97.25</v>
      </c>
    </row>
    <row r="1136" spans="1:6" x14ac:dyDescent="0.25">
      <c r="A1136" t="s">
        <v>733</v>
      </c>
      <c r="B1136" t="s">
        <v>24</v>
      </c>
      <c r="C1136" t="s">
        <v>96</v>
      </c>
      <c r="D1136" t="s">
        <v>3217</v>
      </c>
      <c r="E1136">
        <v>0</v>
      </c>
      <c r="F1136">
        <v>96.42</v>
      </c>
    </row>
    <row r="1137" spans="1:6" x14ac:dyDescent="0.25">
      <c r="A1137" t="s">
        <v>733</v>
      </c>
      <c r="B1137" t="s">
        <v>24</v>
      </c>
      <c r="C1137" t="s">
        <v>96</v>
      </c>
      <c r="D1137" t="s">
        <v>3218</v>
      </c>
      <c r="E1137">
        <v>17.2</v>
      </c>
      <c r="F1137">
        <v>96.97</v>
      </c>
    </row>
    <row r="1138" spans="1:6" x14ac:dyDescent="0.25">
      <c r="A1138" t="s">
        <v>733</v>
      </c>
      <c r="B1138" t="s">
        <v>24</v>
      </c>
      <c r="C1138" t="s">
        <v>96</v>
      </c>
      <c r="D1138" t="s">
        <v>3219</v>
      </c>
      <c r="E1138">
        <v>28.76</v>
      </c>
      <c r="F1138">
        <v>97.32</v>
      </c>
    </row>
    <row r="1139" spans="1:6" x14ac:dyDescent="0.25">
      <c r="A1139" t="s">
        <v>734</v>
      </c>
      <c r="B1139" t="s">
        <v>24</v>
      </c>
      <c r="C1139" t="s">
        <v>97</v>
      </c>
      <c r="D1139" t="s">
        <v>3217</v>
      </c>
      <c r="E1139">
        <v>0</v>
      </c>
      <c r="F1139">
        <v>96.39</v>
      </c>
    </row>
    <row r="1140" spans="1:6" x14ac:dyDescent="0.25">
      <c r="A1140" t="s">
        <v>734</v>
      </c>
      <c r="B1140" t="s">
        <v>24</v>
      </c>
      <c r="C1140" t="s">
        <v>97</v>
      </c>
      <c r="D1140" t="s">
        <v>3218</v>
      </c>
      <c r="E1140">
        <v>16.079999999999998</v>
      </c>
      <c r="F1140">
        <v>96.96</v>
      </c>
    </row>
    <row r="1141" spans="1:6" x14ac:dyDescent="0.25">
      <c r="A1141" t="s">
        <v>734</v>
      </c>
      <c r="B1141" t="s">
        <v>24</v>
      </c>
      <c r="C1141" t="s">
        <v>97</v>
      </c>
      <c r="D1141" t="s">
        <v>3219</v>
      </c>
      <c r="E1141">
        <v>28.43</v>
      </c>
      <c r="F1141">
        <v>97.64</v>
      </c>
    </row>
    <row r="1142" spans="1:6" x14ac:dyDescent="0.25">
      <c r="A1142" t="s">
        <v>735</v>
      </c>
      <c r="B1142" t="s">
        <v>24</v>
      </c>
      <c r="C1142" t="s">
        <v>98</v>
      </c>
      <c r="D1142" t="s">
        <v>3217</v>
      </c>
      <c r="E1142">
        <v>0</v>
      </c>
      <c r="F1142">
        <v>96.48</v>
      </c>
    </row>
    <row r="1143" spans="1:6" x14ac:dyDescent="0.25">
      <c r="A1143" t="s">
        <v>735</v>
      </c>
      <c r="B1143" t="s">
        <v>24</v>
      </c>
      <c r="C1143" t="s">
        <v>98</v>
      </c>
      <c r="D1143" t="s">
        <v>3218</v>
      </c>
      <c r="E1143">
        <v>16.46</v>
      </c>
      <c r="F1143">
        <v>97.02</v>
      </c>
    </row>
    <row r="1144" spans="1:6" x14ac:dyDescent="0.25">
      <c r="A1144" t="s">
        <v>735</v>
      </c>
      <c r="B1144" t="s">
        <v>24</v>
      </c>
      <c r="C1144" t="s">
        <v>98</v>
      </c>
      <c r="D1144" t="s">
        <v>3219</v>
      </c>
      <c r="E1144">
        <v>29.01</v>
      </c>
      <c r="F1144">
        <v>97.41</v>
      </c>
    </row>
    <row r="1145" spans="1:6" x14ac:dyDescent="0.25">
      <c r="A1145" t="s">
        <v>736</v>
      </c>
      <c r="B1145" t="s">
        <v>24</v>
      </c>
      <c r="C1145" t="s">
        <v>99</v>
      </c>
      <c r="D1145" t="s">
        <v>3217</v>
      </c>
      <c r="E1145">
        <v>0</v>
      </c>
      <c r="F1145">
        <v>96.58</v>
      </c>
    </row>
    <row r="1146" spans="1:6" x14ac:dyDescent="0.25">
      <c r="A1146" t="s">
        <v>736</v>
      </c>
      <c r="B1146" t="s">
        <v>24</v>
      </c>
      <c r="C1146" t="s">
        <v>99</v>
      </c>
      <c r="D1146" t="s">
        <v>3218</v>
      </c>
      <c r="E1146">
        <v>17.7</v>
      </c>
      <c r="F1146">
        <v>97.18</v>
      </c>
    </row>
    <row r="1147" spans="1:6" x14ac:dyDescent="0.25">
      <c r="A1147" t="s">
        <v>736</v>
      </c>
      <c r="B1147" t="s">
        <v>24</v>
      </c>
      <c r="C1147" t="s">
        <v>99</v>
      </c>
      <c r="D1147" t="s">
        <v>3219</v>
      </c>
      <c r="E1147">
        <v>30.54</v>
      </c>
      <c r="F1147">
        <v>97.42</v>
      </c>
    </row>
    <row r="1148" spans="1:6" x14ac:dyDescent="0.25">
      <c r="A1148" t="s">
        <v>737</v>
      </c>
      <c r="B1148" t="s">
        <v>24</v>
      </c>
      <c r="C1148" t="s">
        <v>100</v>
      </c>
      <c r="D1148" t="s">
        <v>3217</v>
      </c>
      <c r="E1148">
        <v>0</v>
      </c>
      <c r="F1148">
        <v>96.8</v>
      </c>
    </row>
    <row r="1149" spans="1:6" x14ac:dyDescent="0.25">
      <c r="A1149" t="s">
        <v>737</v>
      </c>
      <c r="B1149" t="s">
        <v>24</v>
      </c>
      <c r="C1149" t="s">
        <v>100</v>
      </c>
      <c r="D1149" t="s">
        <v>3218</v>
      </c>
      <c r="E1149">
        <v>20</v>
      </c>
      <c r="F1149">
        <v>97.44</v>
      </c>
    </row>
    <row r="1150" spans="1:6" x14ac:dyDescent="0.25">
      <c r="A1150" t="s">
        <v>737</v>
      </c>
      <c r="B1150" t="s">
        <v>24</v>
      </c>
      <c r="C1150" t="s">
        <v>100</v>
      </c>
      <c r="D1150" t="s">
        <v>3219</v>
      </c>
      <c r="E1150">
        <v>33.659999999999997</v>
      </c>
      <c r="F1150">
        <v>97.44</v>
      </c>
    </row>
    <row r="1151" spans="1:6" x14ac:dyDescent="0.25">
      <c r="A1151" t="s">
        <v>738</v>
      </c>
      <c r="B1151" t="s">
        <v>24</v>
      </c>
      <c r="C1151" t="s">
        <v>101</v>
      </c>
      <c r="D1151" t="s">
        <v>3217</v>
      </c>
      <c r="E1151">
        <v>0</v>
      </c>
      <c r="F1151">
        <v>97.11</v>
      </c>
    </row>
    <row r="1152" spans="1:6" x14ac:dyDescent="0.25">
      <c r="A1152" t="s">
        <v>738</v>
      </c>
      <c r="B1152" t="s">
        <v>24</v>
      </c>
      <c r="C1152" t="s">
        <v>101</v>
      </c>
      <c r="D1152" t="s">
        <v>3218</v>
      </c>
      <c r="E1152">
        <v>20</v>
      </c>
      <c r="F1152">
        <v>97.67</v>
      </c>
    </row>
    <row r="1153" spans="1:6" x14ac:dyDescent="0.25">
      <c r="A1153" t="s">
        <v>738</v>
      </c>
      <c r="B1153" t="s">
        <v>24</v>
      </c>
      <c r="C1153" t="s">
        <v>101</v>
      </c>
      <c r="D1153" t="s">
        <v>3219</v>
      </c>
      <c r="E1153">
        <v>34.47</v>
      </c>
      <c r="F1153">
        <v>97.79</v>
      </c>
    </row>
    <row r="1154" spans="1:6" x14ac:dyDescent="0.25">
      <c r="A1154" t="s">
        <v>739</v>
      </c>
      <c r="B1154" t="s">
        <v>24</v>
      </c>
      <c r="C1154" t="s">
        <v>102</v>
      </c>
      <c r="D1154" t="s">
        <v>3217</v>
      </c>
      <c r="E1154">
        <v>0</v>
      </c>
      <c r="F1154">
        <v>97.25</v>
      </c>
    </row>
    <row r="1155" spans="1:6" x14ac:dyDescent="0.25">
      <c r="A1155" t="s">
        <v>739</v>
      </c>
      <c r="B1155" t="s">
        <v>24</v>
      </c>
      <c r="C1155" t="s">
        <v>102</v>
      </c>
      <c r="D1155" t="s">
        <v>3218</v>
      </c>
      <c r="E1155">
        <v>20</v>
      </c>
      <c r="F1155">
        <v>97.96</v>
      </c>
    </row>
    <row r="1156" spans="1:6" x14ac:dyDescent="0.25">
      <c r="A1156" t="s">
        <v>739</v>
      </c>
      <c r="B1156" t="s">
        <v>24</v>
      </c>
      <c r="C1156" t="s">
        <v>102</v>
      </c>
      <c r="D1156" t="s">
        <v>3219</v>
      </c>
      <c r="E1156">
        <v>34.99</v>
      </c>
      <c r="F1156">
        <v>98.04</v>
      </c>
    </row>
    <row r="1157" spans="1:6" x14ac:dyDescent="0.25">
      <c r="A1157" t="s">
        <v>740</v>
      </c>
      <c r="B1157" t="s">
        <v>24</v>
      </c>
      <c r="C1157" t="s">
        <v>103</v>
      </c>
      <c r="D1157" t="s">
        <v>3217</v>
      </c>
      <c r="E1157">
        <v>0</v>
      </c>
      <c r="F1157">
        <v>97.31</v>
      </c>
    </row>
    <row r="1158" spans="1:6" x14ac:dyDescent="0.25">
      <c r="A1158" t="s">
        <v>740</v>
      </c>
      <c r="B1158" t="s">
        <v>24</v>
      </c>
      <c r="C1158" t="s">
        <v>103</v>
      </c>
      <c r="D1158" t="s">
        <v>3218</v>
      </c>
      <c r="E1158">
        <v>20</v>
      </c>
      <c r="F1158">
        <v>98.21</v>
      </c>
    </row>
    <row r="1159" spans="1:6" x14ac:dyDescent="0.25">
      <c r="A1159" t="s">
        <v>740</v>
      </c>
      <c r="B1159" t="s">
        <v>24</v>
      </c>
      <c r="C1159" t="s">
        <v>103</v>
      </c>
      <c r="D1159" t="s">
        <v>3219</v>
      </c>
      <c r="E1159">
        <v>33.25</v>
      </c>
      <c r="F1159">
        <v>98.48</v>
      </c>
    </row>
    <row r="1160" spans="1:6" x14ac:dyDescent="0.25">
      <c r="A1160" t="s">
        <v>741</v>
      </c>
      <c r="B1160" t="s">
        <v>24</v>
      </c>
      <c r="C1160" t="s">
        <v>104</v>
      </c>
      <c r="D1160" t="s">
        <v>3217</v>
      </c>
      <c r="E1160">
        <v>0</v>
      </c>
      <c r="F1160">
        <v>97.43</v>
      </c>
    </row>
    <row r="1161" spans="1:6" x14ac:dyDescent="0.25">
      <c r="A1161" t="s">
        <v>741</v>
      </c>
      <c r="B1161" t="s">
        <v>24</v>
      </c>
      <c r="C1161" t="s">
        <v>104</v>
      </c>
      <c r="D1161" t="s">
        <v>3218</v>
      </c>
      <c r="E1161">
        <v>20</v>
      </c>
      <c r="F1161">
        <v>98.37</v>
      </c>
    </row>
    <row r="1162" spans="1:6" x14ac:dyDescent="0.25">
      <c r="A1162" t="s">
        <v>741</v>
      </c>
      <c r="B1162" t="s">
        <v>24</v>
      </c>
      <c r="C1162" t="s">
        <v>104</v>
      </c>
      <c r="D1162" t="s">
        <v>3219</v>
      </c>
      <c r="E1162">
        <v>34.54</v>
      </c>
      <c r="F1162">
        <v>98.71</v>
      </c>
    </row>
    <row r="1163" spans="1:6" x14ac:dyDescent="0.25">
      <c r="A1163" t="s">
        <v>742</v>
      </c>
      <c r="B1163" t="s">
        <v>24</v>
      </c>
      <c r="C1163" t="s">
        <v>105</v>
      </c>
      <c r="D1163" t="s">
        <v>3217</v>
      </c>
      <c r="E1163">
        <v>0</v>
      </c>
      <c r="F1163">
        <v>97.76</v>
      </c>
    </row>
    <row r="1164" spans="1:6" x14ac:dyDescent="0.25">
      <c r="A1164" t="s">
        <v>742</v>
      </c>
      <c r="B1164" t="s">
        <v>24</v>
      </c>
      <c r="C1164" t="s">
        <v>105</v>
      </c>
      <c r="D1164" t="s">
        <v>3218</v>
      </c>
      <c r="E1164">
        <v>20</v>
      </c>
      <c r="F1164">
        <v>98.7</v>
      </c>
    </row>
    <row r="1165" spans="1:6" x14ac:dyDescent="0.25">
      <c r="A1165" t="s">
        <v>742</v>
      </c>
      <c r="B1165" t="s">
        <v>24</v>
      </c>
      <c r="C1165" t="s">
        <v>105</v>
      </c>
      <c r="D1165" t="s">
        <v>3219</v>
      </c>
      <c r="E1165">
        <v>34.369999999999997</v>
      </c>
      <c r="F1165">
        <v>99.02</v>
      </c>
    </row>
    <row r="1166" spans="1:6" x14ac:dyDescent="0.25">
      <c r="A1166" t="s">
        <v>743</v>
      </c>
      <c r="B1166" t="s">
        <v>24</v>
      </c>
      <c r="C1166" t="s">
        <v>106</v>
      </c>
      <c r="D1166" t="s">
        <v>3217</v>
      </c>
      <c r="E1166">
        <v>0</v>
      </c>
      <c r="F1166">
        <v>98.14</v>
      </c>
    </row>
    <row r="1167" spans="1:6" x14ac:dyDescent="0.25">
      <c r="A1167" t="s">
        <v>743</v>
      </c>
      <c r="B1167" t="s">
        <v>24</v>
      </c>
      <c r="C1167" t="s">
        <v>106</v>
      </c>
      <c r="D1167" t="s">
        <v>3218</v>
      </c>
      <c r="E1167">
        <v>20</v>
      </c>
      <c r="F1167">
        <v>99.01</v>
      </c>
    </row>
    <row r="1168" spans="1:6" x14ac:dyDescent="0.25">
      <c r="A1168" t="s">
        <v>743</v>
      </c>
      <c r="B1168" t="s">
        <v>24</v>
      </c>
      <c r="C1168" t="s">
        <v>106</v>
      </c>
      <c r="D1168" t="s">
        <v>3219</v>
      </c>
      <c r="E1168">
        <v>34.369999999999997</v>
      </c>
      <c r="F1168">
        <v>99.32</v>
      </c>
    </row>
    <row r="1169" spans="1:6" x14ac:dyDescent="0.25">
      <c r="A1169" t="s">
        <v>744</v>
      </c>
      <c r="B1169" t="s">
        <v>24</v>
      </c>
      <c r="C1169" t="s">
        <v>108</v>
      </c>
      <c r="D1169" t="s">
        <v>3217</v>
      </c>
      <c r="E1169">
        <v>0</v>
      </c>
      <c r="F1169">
        <v>98.34</v>
      </c>
    </row>
    <row r="1170" spans="1:6" x14ac:dyDescent="0.25">
      <c r="A1170" t="s">
        <v>744</v>
      </c>
      <c r="B1170" t="s">
        <v>24</v>
      </c>
      <c r="C1170" t="s">
        <v>108</v>
      </c>
      <c r="D1170" t="s">
        <v>3218</v>
      </c>
      <c r="E1170">
        <v>20</v>
      </c>
      <c r="F1170">
        <v>98.74</v>
      </c>
    </row>
    <row r="1171" spans="1:6" x14ac:dyDescent="0.25">
      <c r="A1171" t="s">
        <v>744</v>
      </c>
      <c r="B1171" t="s">
        <v>24</v>
      </c>
      <c r="C1171" t="s">
        <v>108</v>
      </c>
      <c r="D1171" t="s">
        <v>3219</v>
      </c>
      <c r="E1171">
        <v>36.9</v>
      </c>
      <c r="F1171">
        <v>100.14</v>
      </c>
    </row>
    <row r="1172" spans="1:6" x14ac:dyDescent="0.25">
      <c r="A1172" t="s">
        <v>745</v>
      </c>
      <c r="B1172" t="s">
        <v>24</v>
      </c>
      <c r="C1172" t="s">
        <v>109</v>
      </c>
      <c r="D1172" t="s">
        <v>3217</v>
      </c>
      <c r="E1172">
        <v>0</v>
      </c>
      <c r="F1172">
        <v>98.22</v>
      </c>
    </row>
    <row r="1173" spans="1:6" x14ac:dyDescent="0.25">
      <c r="A1173" t="s">
        <v>745</v>
      </c>
      <c r="B1173" t="s">
        <v>24</v>
      </c>
      <c r="C1173" t="s">
        <v>109</v>
      </c>
      <c r="D1173" t="s">
        <v>3218</v>
      </c>
      <c r="E1173">
        <v>20</v>
      </c>
      <c r="F1173">
        <v>99.04</v>
      </c>
    </row>
    <row r="1174" spans="1:6" x14ac:dyDescent="0.25">
      <c r="A1174" t="s">
        <v>745</v>
      </c>
      <c r="B1174" t="s">
        <v>24</v>
      </c>
      <c r="C1174" t="s">
        <v>109</v>
      </c>
      <c r="D1174" t="s">
        <v>3219</v>
      </c>
      <c r="E1174">
        <v>36.9</v>
      </c>
      <c r="F1174">
        <v>99.48</v>
      </c>
    </row>
    <row r="1175" spans="1:6" x14ac:dyDescent="0.25">
      <c r="A1175" t="s">
        <v>746</v>
      </c>
      <c r="B1175" t="s">
        <v>24</v>
      </c>
      <c r="C1175" t="s">
        <v>110</v>
      </c>
      <c r="D1175" t="s">
        <v>3217</v>
      </c>
      <c r="E1175">
        <v>0</v>
      </c>
      <c r="F1175">
        <v>98.24</v>
      </c>
    </row>
    <row r="1176" spans="1:6" x14ac:dyDescent="0.25">
      <c r="A1176" t="s">
        <v>746</v>
      </c>
      <c r="B1176" t="s">
        <v>24</v>
      </c>
      <c r="C1176" t="s">
        <v>110</v>
      </c>
      <c r="D1176" t="s">
        <v>3218</v>
      </c>
      <c r="E1176">
        <v>17.53</v>
      </c>
      <c r="F1176">
        <v>98.89</v>
      </c>
    </row>
    <row r="1177" spans="1:6" x14ac:dyDescent="0.25">
      <c r="A1177" t="s">
        <v>746</v>
      </c>
      <c r="B1177" t="s">
        <v>24</v>
      </c>
      <c r="C1177" t="s">
        <v>110</v>
      </c>
      <c r="D1177" t="s">
        <v>3219</v>
      </c>
      <c r="E1177">
        <v>37.53</v>
      </c>
      <c r="F1177">
        <v>99.54</v>
      </c>
    </row>
    <row r="1178" spans="1:6" x14ac:dyDescent="0.25">
      <c r="A1178" t="s">
        <v>747</v>
      </c>
      <c r="B1178" t="s">
        <v>24</v>
      </c>
      <c r="C1178" t="s">
        <v>111</v>
      </c>
      <c r="D1178" t="s">
        <v>3217</v>
      </c>
      <c r="E1178">
        <v>0</v>
      </c>
      <c r="F1178">
        <v>98.13</v>
      </c>
    </row>
    <row r="1179" spans="1:6" x14ac:dyDescent="0.25">
      <c r="A1179" t="s">
        <v>747</v>
      </c>
      <c r="B1179" t="s">
        <v>24</v>
      </c>
      <c r="C1179" t="s">
        <v>111</v>
      </c>
      <c r="D1179" t="s">
        <v>3218</v>
      </c>
      <c r="E1179">
        <v>16.34</v>
      </c>
      <c r="F1179">
        <v>98.77</v>
      </c>
    </row>
    <row r="1180" spans="1:6" x14ac:dyDescent="0.25">
      <c r="A1180" t="s">
        <v>747</v>
      </c>
      <c r="B1180" t="s">
        <v>24</v>
      </c>
      <c r="C1180" t="s">
        <v>111</v>
      </c>
      <c r="D1180" t="s">
        <v>3219</v>
      </c>
      <c r="E1180">
        <v>36.340000000000003</v>
      </c>
      <c r="F1180">
        <v>99.41</v>
      </c>
    </row>
    <row r="1181" spans="1:6" x14ac:dyDescent="0.25">
      <c r="A1181" t="s">
        <v>748</v>
      </c>
      <c r="B1181" t="s">
        <v>24</v>
      </c>
      <c r="C1181" t="s">
        <v>112</v>
      </c>
      <c r="D1181" t="s">
        <v>3217</v>
      </c>
      <c r="E1181">
        <v>0</v>
      </c>
      <c r="F1181">
        <v>98.09</v>
      </c>
    </row>
    <row r="1182" spans="1:6" x14ac:dyDescent="0.25">
      <c r="A1182" t="s">
        <v>748</v>
      </c>
      <c r="B1182" t="s">
        <v>24</v>
      </c>
      <c r="C1182" t="s">
        <v>112</v>
      </c>
      <c r="D1182" t="s">
        <v>3218</v>
      </c>
      <c r="E1182">
        <v>15.43</v>
      </c>
      <c r="F1182">
        <v>98.73</v>
      </c>
    </row>
    <row r="1183" spans="1:6" x14ac:dyDescent="0.25">
      <c r="A1183" t="s">
        <v>748</v>
      </c>
      <c r="B1183" t="s">
        <v>24</v>
      </c>
      <c r="C1183" t="s">
        <v>112</v>
      </c>
      <c r="D1183" t="s">
        <v>3219</v>
      </c>
      <c r="E1183">
        <v>35.43</v>
      </c>
      <c r="F1183">
        <v>99.51</v>
      </c>
    </row>
    <row r="1184" spans="1:6" x14ac:dyDescent="0.25">
      <c r="A1184" t="s">
        <v>749</v>
      </c>
      <c r="B1184" t="s">
        <v>24</v>
      </c>
      <c r="C1184" t="s">
        <v>113</v>
      </c>
      <c r="D1184" t="s">
        <v>3217</v>
      </c>
      <c r="E1184">
        <v>0</v>
      </c>
      <c r="F1184">
        <v>98.29</v>
      </c>
    </row>
    <row r="1185" spans="1:6" x14ac:dyDescent="0.25">
      <c r="A1185" t="s">
        <v>749</v>
      </c>
      <c r="B1185" t="s">
        <v>24</v>
      </c>
      <c r="C1185" t="s">
        <v>113</v>
      </c>
      <c r="D1185" t="s">
        <v>3218</v>
      </c>
      <c r="E1185">
        <v>15.63</v>
      </c>
      <c r="F1185">
        <v>98.63</v>
      </c>
    </row>
    <row r="1186" spans="1:6" x14ac:dyDescent="0.25">
      <c r="A1186" t="s">
        <v>749</v>
      </c>
      <c r="B1186" t="s">
        <v>24</v>
      </c>
      <c r="C1186" t="s">
        <v>113</v>
      </c>
      <c r="D1186" t="s">
        <v>3219</v>
      </c>
      <c r="E1186">
        <v>35.630000000000003</v>
      </c>
      <c r="F1186">
        <v>99.45</v>
      </c>
    </row>
    <row r="1187" spans="1:6" x14ac:dyDescent="0.25">
      <c r="A1187" t="s">
        <v>750</v>
      </c>
      <c r="B1187" t="s">
        <v>24</v>
      </c>
      <c r="C1187" t="s">
        <v>114</v>
      </c>
      <c r="D1187" t="s">
        <v>3217</v>
      </c>
      <c r="E1187">
        <v>0</v>
      </c>
      <c r="F1187">
        <v>98.31</v>
      </c>
    </row>
    <row r="1188" spans="1:6" x14ac:dyDescent="0.25">
      <c r="A1188" t="s">
        <v>750</v>
      </c>
      <c r="B1188" t="s">
        <v>24</v>
      </c>
      <c r="C1188" t="s">
        <v>114</v>
      </c>
      <c r="D1188" t="s">
        <v>3218</v>
      </c>
      <c r="E1188">
        <v>15.37</v>
      </c>
      <c r="F1188">
        <v>98.6</v>
      </c>
    </row>
    <row r="1189" spans="1:6" x14ac:dyDescent="0.25">
      <c r="A1189" t="s">
        <v>750</v>
      </c>
      <c r="B1189" t="s">
        <v>24</v>
      </c>
      <c r="C1189" t="s">
        <v>114</v>
      </c>
      <c r="D1189" t="s">
        <v>3219</v>
      </c>
      <c r="E1189">
        <v>35.369999999999997</v>
      </c>
      <c r="F1189">
        <v>99.59</v>
      </c>
    </row>
    <row r="1190" spans="1:6" x14ac:dyDescent="0.25">
      <c r="A1190" t="s">
        <v>751</v>
      </c>
      <c r="B1190" t="s">
        <v>24</v>
      </c>
      <c r="C1190" t="s">
        <v>115</v>
      </c>
      <c r="D1190" t="s">
        <v>3217</v>
      </c>
      <c r="E1190">
        <v>0</v>
      </c>
      <c r="F1190">
        <v>98.29</v>
      </c>
    </row>
    <row r="1191" spans="1:6" x14ac:dyDescent="0.25">
      <c r="A1191" t="s">
        <v>751</v>
      </c>
      <c r="B1191" t="s">
        <v>24</v>
      </c>
      <c r="C1191" t="s">
        <v>115</v>
      </c>
      <c r="D1191" t="s">
        <v>3218</v>
      </c>
      <c r="E1191">
        <v>15.52</v>
      </c>
      <c r="F1191">
        <v>98.7</v>
      </c>
    </row>
    <row r="1192" spans="1:6" x14ac:dyDescent="0.25">
      <c r="A1192" t="s">
        <v>751</v>
      </c>
      <c r="B1192" t="s">
        <v>24</v>
      </c>
      <c r="C1192" t="s">
        <v>115</v>
      </c>
      <c r="D1192" t="s">
        <v>3219</v>
      </c>
      <c r="E1192">
        <v>35.520000000000003</v>
      </c>
      <c r="F1192">
        <v>100.39</v>
      </c>
    </row>
    <row r="1193" spans="1:6" x14ac:dyDescent="0.25">
      <c r="A1193" t="s">
        <v>752</v>
      </c>
      <c r="B1193" t="s">
        <v>24</v>
      </c>
      <c r="C1193" t="s">
        <v>116</v>
      </c>
      <c r="D1193" t="s">
        <v>3217</v>
      </c>
      <c r="E1193">
        <v>0</v>
      </c>
      <c r="F1193">
        <v>98.08</v>
      </c>
    </row>
    <row r="1194" spans="1:6" x14ac:dyDescent="0.25">
      <c r="A1194" t="s">
        <v>752</v>
      </c>
      <c r="B1194" t="s">
        <v>24</v>
      </c>
      <c r="C1194" t="s">
        <v>116</v>
      </c>
      <c r="D1194" t="s">
        <v>3218</v>
      </c>
      <c r="E1194">
        <v>15.37</v>
      </c>
      <c r="F1194">
        <v>98.63</v>
      </c>
    </row>
    <row r="1195" spans="1:6" x14ac:dyDescent="0.25">
      <c r="A1195" t="s">
        <v>752</v>
      </c>
      <c r="B1195" t="s">
        <v>24</v>
      </c>
      <c r="C1195" t="s">
        <v>116</v>
      </c>
      <c r="D1195" t="s">
        <v>3219</v>
      </c>
      <c r="E1195">
        <v>30.55</v>
      </c>
      <c r="F1195">
        <v>98.89</v>
      </c>
    </row>
    <row r="1196" spans="1:6" x14ac:dyDescent="0.25">
      <c r="A1196" t="s">
        <v>753</v>
      </c>
      <c r="B1196" t="s">
        <v>24</v>
      </c>
      <c r="C1196" t="s">
        <v>117</v>
      </c>
      <c r="D1196" t="s">
        <v>3217</v>
      </c>
      <c r="E1196">
        <v>0</v>
      </c>
      <c r="F1196">
        <v>97.73</v>
      </c>
    </row>
    <row r="1197" spans="1:6" x14ac:dyDescent="0.25">
      <c r="A1197" t="s">
        <v>753</v>
      </c>
      <c r="B1197" t="s">
        <v>24</v>
      </c>
      <c r="C1197" t="s">
        <v>117</v>
      </c>
      <c r="D1197" t="s">
        <v>3218</v>
      </c>
      <c r="E1197">
        <v>13.99</v>
      </c>
      <c r="F1197">
        <v>98.43</v>
      </c>
    </row>
    <row r="1198" spans="1:6" x14ac:dyDescent="0.25">
      <c r="A1198" t="s">
        <v>753</v>
      </c>
      <c r="B1198" t="s">
        <v>24</v>
      </c>
      <c r="C1198" t="s">
        <v>117</v>
      </c>
      <c r="D1198" t="s">
        <v>3219</v>
      </c>
      <c r="E1198">
        <v>29.21</v>
      </c>
      <c r="F1198">
        <v>98.66</v>
      </c>
    </row>
    <row r="1199" spans="1:6" x14ac:dyDescent="0.25">
      <c r="A1199" t="s">
        <v>754</v>
      </c>
      <c r="B1199" t="s">
        <v>24</v>
      </c>
      <c r="C1199" t="s">
        <v>118</v>
      </c>
      <c r="D1199" t="s">
        <v>3217</v>
      </c>
      <c r="E1199">
        <v>0</v>
      </c>
      <c r="F1199">
        <v>97.46</v>
      </c>
    </row>
    <row r="1200" spans="1:6" x14ac:dyDescent="0.25">
      <c r="A1200" t="s">
        <v>754</v>
      </c>
      <c r="B1200" t="s">
        <v>24</v>
      </c>
      <c r="C1200" t="s">
        <v>118</v>
      </c>
      <c r="D1200" t="s">
        <v>3218</v>
      </c>
      <c r="E1200">
        <v>14.74</v>
      </c>
      <c r="F1200">
        <v>98.09</v>
      </c>
    </row>
    <row r="1201" spans="1:6" x14ac:dyDescent="0.25">
      <c r="A1201" t="s">
        <v>754</v>
      </c>
      <c r="B1201" t="s">
        <v>24</v>
      </c>
      <c r="C1201" t="s">
        <v>118</v>
      </c>
      <c r="D1201" t="s">
        <v>3219</v>
      </c>
      <c r="E1201">
        <v>29.96</v>
      </c>
      <c r="F1201">
        <v>98.49</v>
      </c>
    </row>
    <row r="1202" spans="1:6" x14ac:dyDescent="0.25">
      <c r="A1202" t="s">
        <v>755</v>
      </c>
      <c r="B1202" t="s">
        <v>24</v>
      </c>
      <c r="C1202" t="s">
        <v>119</v>
      </c>
      <c r="D1202" t="s">
        <v>3217</v>
      </c>
      <c r="E1202">
        <v>0</v>
      </c>
      <c r="F1202">
        <v>97.38</v>
      </c>
    </row>
    <row r="1203" spans="1:6" x14ac:dyDescent="0.25">
      <c r="A1203" t="s">
        <v>755</v>
      </c>
      <c r="B1203" t="s">
        <v>24</v>
      </c>
      <c r="C1203" t="s">
        <v>119</v>
      </c>
      <c r="D1203" t="s">
        <v>3218</v>
      </c>
      <c r="E1203">
        <v>15.07</v>
      </c>
      <c r="F1203">
        <v>97.84</v>
      </c>
    </row>
    <row r="1204" spans="1:6" x14ac:dyDescent="0.25">
      <c r="A1204" t="s">
        <v>755</v>
      </c>
      <c r="B1204" t="s">
        <v>24</v>
      </c>
      <c r="C1204" t="s">
        <v>119</v>
      </c>
      <c r="D1204" t="s">
        <v>3219</v>
      </c>
      <c r="E1204">
        <v>30.17</v>
      </c>
      <c r="F1204">
        <v>98.12</v>
      </c>
    </row>
    <row r="1205" spans="1:6" x14ac:dyDescent="0.25">
      <c r="A1205" t="s">
        <v>756</v>
      </c>
      <c r="B1205" t="s">
        <v>24</v>
      </c>
      <c r="C1205" t="s">
        <v>120</v>
      </c>
      <c r="D1205" t="s">
        <v>3217</v>
      </c>
      <c r="E1205">
        <v>0</v>
      </c>
      <c r="F1205">
        <v>97.32</v>
      </c>
    </row>
    <row r="1206" spans="1:6" x14ac:dyDescent="0.25">
      <c r="A1206" t="s">
        <v>756</v>
      </c>
      <c r="B1206" t="s">
        <v>24</v>
      </c>
      <c r="C1206" t="s">
        <v>120</v>
      </c>
      <c r="D1206" t="s">
        <v>3218</v>
      </c>
      <c r="E1206">
        <v>16.57</v>
      </c>
      <c r="F1206">
        <v>97.62</v>
      </c>
    </row>
    <row r="1207" spans="1:6" x14ac:dyDescent="0.25">
      <c r="A1207" t="s">
        <v>756</v>
      </c>
      <c r="B1207" t="s">
        <v>24</v>
      </c>
      <c r="C1207" t="s">
        <v>120</v>
      </c>
      <c r="D1207" t="s">
        <v>3219</v>
      </c>
      <c r="E1207">
        <v>32.15</v>
      </c>
      <c r="F1207">
        <v>97.93</v>
      </c>
    </row>
    <row r="1208" spans="1:6" x14ac:dyDescent="0.25">
      <c r="A1208" t="s">
        <v>757</v>
      </c>
      <c r="B1208" t="s">
        <v>24</v>
      </c>
      <c r="C1208" t="s">
        <v>121</v>
      </c>
      <c r="D1208" t="s">
        <v>3217</v>
      </c>
      <c r="E1208">
        <v>0</v>
      </c>
      <c r="F1208">
        <v>97</v>
      </c>
    </row>
    <row r="1209" spans="1:6" x14ac:dyDescent="0.25">
      <c r="A1209" t="s">
        <v>757</v>
      </c>
      <c r="B1209" t="s">
        <v>24</v>
      </c>
      <c r="C1209" t="s">
        <v>121</v>
      </c>
      <c r="D1209" t="s">
        <v>3218</v>
      </c>
      <c r="E1209">
        <v>17.989999999999998</v>
      </c>
      <c r="F1209">
        <v>97.44</v>
      </c>
    </row>
    <row r="1210" spans="1:6" x14ac:dyDescent="0.25">
      <c r="A1210" t="s">
        <v>757</v>
      </c>
      <c r="B1210" t="s">
        <v>24</v>
      </c>
      <c r="C1210" t="s">
        <v>121</v>
      </c>
      <c r="D1210" t="s">
        <v>3219</v>
      </c>
      <c r="E1210">
        <v>34.14</v>
      </c>
      <c r="F1210">
        <v>97.84</v>
      </c>
    </row>
    <row r="1211" spans="1:6" x14ac:dyDescent="0.25">
      <c r="A1211" t="s">
        <v>758</v>
      </c>
      <c r="B1211" t="s">
        <v>24</v>
      </c>
      <c r="C1211" t="s">
        <v>123</v>
      </c>
      <c r="D1211" t="s">
        <v>3217</v>
      </c>
      <c r="E1211">
        <v>0</v>
      </c>
      <c r="F1211">
        <v>96.74</v>
      </c>
    </row>
    <row r="1212" spans="1:6" x14ac:dyDescent="0.25">
      <c r="A1212" t="s">
        <v>758</v>
      </c>
      <c r="B1212" t="s">
        <v>24</v>
      </c>
      <c r="C1212" t="s">
        <v>123</v>
      </c>
      <c r="D1212" t="s">
        <v>3218</v>
      </c>
      <c r="E1212">
        <v>18.02</v>
      </c>
      <c r="F1212">
        <v>97.33</v>
      </c>
    </row>
    <row r="1213" spans="1:6" x14ac:dyDescent="0.25">
      <c r="A1213" t="s">
        <v>758</v>
      </c>
      <c r="B1213" t="s">
        <v>24</v>
      </c>
      <c r="C1213" t="s">
        <v>123</v>
      </c>
      <c r="D1213" t="s">
        <v>3219</v>
      </c>
      <c r="E1213">
        <v>33.299999999999997</v>
      </c>
      <c r="F1213">
        <v>97.78</v>
      </c>
    </row>
    <row r="1214" spans="1:6" x14ac:dyDescent="0.25">
      <c r="A1214" t="s">
        <v>759</v>
      </c>
      <c r="B1214" t="s">
        <v>24</v>
      </c>
      <c r="C1214" t="s">
        <v>124</v>
      </c>
      <c r="D1214" t="s">
        <v>3217</v>
      </c>
      <c r="E1214">
        <v>0</v>
      </c>
      <c r="F1214">
        <v>96.62</v>
      </c>
    </row>
    <row r="1215" spans="1:6" x14ac:dyDescent="0.25">
      <c r="A1215" t="s">
        <v>759</v>
      </c>
      <c r="B1215" t="s">
        <v>24</v>
      </c>
      <c r="C1215" t="s">
        <v>124</v>
      </c>
      <c r="D1215" t="s">
        <v>3218</v>
      </c>
      <c r="E1215">
        <v>18.54</v>
      </c>
      <c r="F1215">
        <v>97.13</v>
      </c>
    </row>
    <row r="1216" spans="1:6" x14ac:dyDescent="0.25">
      <c r="A1216" t="s">
        <v>759</v>
      </c>
      <c r="B1216" t="s">
        <v>24</v>
      </c>
      <c r="C1216" t="s">
        <v>124</v>
      </c>
      <c r="D1216" t="s">
        <v>3219</v>
      </c>
      <c r="E1216">
        <v>32.99</v>
      </c>
      <c r="F1216">
        <v>97.77</v>
      </c>
    </row>
    <row r="1217" spans="1:6" x14ac:dyDescent="0.25">
      <c r="A1217" t="s">
        <v>760</v>
      </c>
      <c r="B1217" t="s">
        <v>24</v>
      </c>
      <c r="C1217" t="s">
        <v>125</v>
      </c>
      <c r="D1217" t="s">
        <v>3217</v>
      </c>
      <c r="E1217">
        <v>0</v>
      </c>
      <c r="F1217">
        <v>96.46</v>
      </c>
    </row>
    <row r="1218" spans="1:6" x14ac:dyDescent="0.25">
      <c r="A1218" t="s">
        <v>760</v>
      </c>
      <c r="B1218" t="s">
        <v>24</v>
      </c>
      <c r="C1218" t="s">
        <v>125</v>
      </c>
      <c r="D1218" t="s">
        <v>3218</v>
      </c>
      <c r="E1218">
        <v>18.27</v>
      </c>
      <c r="F1218">
        <v>97.03</v>
      </c>
    </row>
    <row r="1219" spans="1:6" x14ac:dyDescent="0.25">
      <c r="A1219" t="s">
        <v>760</v>
      </c>
      <c r="B1219" t="s">
        <v>24</v>
      </c>
      <c r="C1219" t="s">
        <v>125</v>
      </c>
      <c r="D1219" t="s">
        <v>3219</v>
      </c>
      <c r="E1219">
        <v>32.25</v>
      </c>
      <c r="F1219">
        <v>97.68</v>
      </c>
    </row>
    <row r="1220" spans="1:6" x14ac:dyDescent="0.25">
      <c r="A1220" t="s">
        <v>761</v>
      </c>
      <c r="B1220" t="s">
        <v>24</v>
      </c>
      <c r="C1220" t="s">
        <v>126</v>
      </c>
      <c r="D1220" t="s">
        <v>3217</v>
      </c>
      <c r="E1220">
        <v>0</v>
      </c>
      <c r="F1220">
        <v>96.57</v>
      </c>
    </row>
    <row r="1221" spans="1:6" x14ac:dyDescent="0.25">
      <c r="A1221" t="s">
        <v>761</v>
      </c>
      <c r="B1221" t="s">
        <v>24</v>
      </c>
      <c r="C1221" t="s">
        <v>126</v>
      </c>
      <c r="D1221" t="s">
        <v>3218</v>
      </c>
      <c r="E1221">
        <v>16.96</v>
      </c>
      <c r="F1221">
        <v>96.98</v>
      </c>
    </row>
    <row r="1222" spans="1:6" x14ac:dyDescent="0.25">
      <c r="A1222" t="s">
        <v>761</v>
      </c>
      <c r="B1222" t="s">
        <v>24</v>
      </c>
      <c r="C1222" t="s">
        <v>126</v>
      </c>
      <c r="D1222" t="s">
        <v>3219</v>
      </c>
      <c r="E1222">
        <v>30.08</v>
      </c>
      <c r="F1222">
        <v>97.49</v>
      </c>
    </row>
    <row r="1223" spans="1:6" x14ac:dyDescent="0.25">
      <c r="A1223" t="s">
        <v>762</v>
      </c>
      <c r="B1223" t="s">
        <v>24</v>
      </c>
      <c r="C1223" t="s">
        <v>127</v>
      </c>
      <c r="D1223" t="s">
        <v>3217</v>
      </c>
      <c r="E1223">
        <v>0</v>
      </c>
      <c r="F1223">
        <v>96.36</v>
      </c>
    </row>
    <row r="1224" spans="1:6" x14ac:dyDescent="0.25">
      <c r="A1224" t="s">
        <v>762</v>
      </c>
      <c r="B1224" t="s">
        <v>24</v>
      </c>
      <c r="C1224" t="s">
        <v>127</v>
      </c>
      <c r="D1224" t="s">
        <v>3218</v>
      </c>
      <c r="E1224">
        <v>16.16</v>
      </c>
      <c r="F1224">
        <v>96.89</v>
      </c>
    </row>
    <row r="1225" spans="1:6" x14ac:dyDescent="0.25">
      <c r="A1225" t="s">
        <v>762</v>
      </c>
      <c r="B1225" t="s">
        <v>24</v>
      </c>
      <c r="C1225" t="s">
        <v>127</v>
      </c>
      <c r="D1225" t="s">
        <v>3219</v>
      </c>
      <c r="E1225">
        <v>28.84</v>
      </c>
      <c r="F1225">
        <v>97.31</v>
      </c>
    </row>
    <row r="1226" spans="1:6" x14ac:dyDescent="0.25">
      <c r="A1226" t="s">
        <v>763</v>
      </c>
      <c r="B1226" t="s">
        <v>24</v>
      </c>
      <c r="C1226" t="s">
        <v>128</v>
      </c>
      <c r="D1226" t="s">
        <v>3217</v>
      </c>
      <c r="E1226">
        <v>0</v>
      </c>
      <c r="F1226">
        <v>96.44</v>
      </c>
    </row>
    <row r="1227" spans="1:6" x14ac:dyDescent="0.25">
      <c r="A1227" t="s">
        <v>763</v>
      </c>
      <c r="B1227" t="s">
        <v>24</v>
      </c>
      <c r="C1227" t="s">
        <v>128</v>
      </c>
      <c r="D1227" t="s">
        <v>3218</v>
      </c>
      <c r="E1227">
        <v>15.25</v>
      </c>
      <c r="F1227">
        <v>96.9</v>
      </c>
    </row>
    <row r="1228" spans="1:6" x14ac:dyDescent="0.25">
      <c r="A1228" t="s">
        <v>763</v>
      </c>
      <c r="B1228" t="s">
        <v>24</v>
      </c>
      <c r="C1228" t="s">
        <v>128</v>
      </c>
      <c r="D1228" t="s">
        <v>3219</v>
      </c>
      <c r="E1228">
        <v>26.94</v>
      </c>
      <c r="F1228">
        <v>97.18</v>
      </c>
    </row>
    <row r="1229" spans="1:6" x14ac:dyDescent="0.25">
      <c r="A1229" t="s">
        <v>764</v>
      </c>
      <c r="B1229" t="s">
        <v>24</v>
      </c>
      <c r="C1229" t="s">
        <v>129</v>
      </c>
      <c r="D1229" t="s">
        <v>3217</v>
      </c>
      <c r="E1229">
        <v>0</v>
      </c>
      <c r="F1229">
        <v>96.49</v>
      </c>
    </row>
    <row r="1230" spans="1:6" x14ac:dyDescent="0.25">
      <c r="A1230" t="s">
        <v>764</v>
      </c>
      <c r="B1230" t="s">
        <v>24</v>
      </c>
      <c r="C1230" t="s">
        <v>129</v>
      </c>
      <c r="D1230" t="s">
        <v>3218</v>
      </c>
      <c r="E1230">
        <v>14.48</v>
      </c>
      <c r="F1230">
        <v>97.07</v>
      </c>
    </row>
    <row r="1231" spans="1:6" x14ac:dyDescent="0.25">
      <c r="A1231" t="s">
        <v>764</v>
      </c>
      <c r="B1231" t="s">
        <v>24</v>
      </c>
      <c r="C1231" t="s">
        <v>129</v>
      </c>
      <c r="D1231" t="s">
        <v>3219</v>
      </c>
      <c r="E1231">
        <v>26.41</v>
      </c>
      <c r="F1231">
        <v>97.45</v>
      </c>
    </row>
    <row r="1232" spans="1:6" x14ac:dyDescent="0.25">
      <c r="A1232" t="s">
        <v>765</v>
      </c>
      <c r="B1232" t="s">
        <v>24</v>
      </c>
      <c r="C1232" t="s">
        <v>130</v>
      </c>
      <c r="D1232" t="s">
        <v>3217</v>
      </c>
      <c r="E1232">
        <v>0</v>
      </c>
      <c r="F1232">
        <v>96.7</v>
      </c>
    </row>
    <row r="1233" spans="1:6" x14ac:dyDescent="0.25">
      <c r="A1233" t="s">
        <v>765</v>
      </c>
      <c r="B1233" t="s">
        <v>24</v>
      </c>
      <c r="C1233" t="s">
        <v>130</v>
      </c>
      <c r="D1233" t="s">
        <v>3218</v>
      </c>
      <c r="E1233">
        <v>15.3</v>
      </c>
      <c r="F1233">
        <v>96.96</v>
      </c>
    </row>
    <row r="1234" spans="1:6" x14ac:dyDescent="0.25">
      <c r="A1234" t="s">
        <v>765</v>
      </c>
      <c r="B1234" t="s">
        <v>24</v>
      </c>
      <c r="C1234" t="s">
        <v>130</v>
      </c>
      <c r="D1234" t="s">
        <v>3219</v>
      </c>
      <c r="E1234">
        <v>29.4</v>
      </c>
      <c r="F1234">
        <v>98.44</v>
      </c>
    </row>
    <row r="1235" spans="1:6" x14ac:dyDescent="0.25">
      <c r="A1235" t="s">
        <v>766</v>
      </c>
      <c r="B1235" t="s">
        <v>24</v>
      </c>
      <c r="C1235" t="s">
        <v>131</v>
      </c>
      <c r="D1235" t="s">
        <v>3217</v>
      </c>
      <c r="E1235">
        <v>0</v>
      </c>
      <c r="F1235">
        <v>97.04</v>
      </c>
    </row>
    <row r="1236" spans="1:6" x14ac:dyDescent="0.25">
      <c r="A1236" t="s">
        <v>766</v>
      </c>
      <c r="B1236" t="s">
        <v>24</v>
      </c>
      <c r="C1236" t="s">
        <v>131</v>
      </c>
      <c r="D1236" t="s">
        <v>3218</v>
      </c>
      <c r="E1236">
        <v>16.989999999999998</v>
      </c>
      <c r="F1236">
        <v>97.63</v>
      </c>
    </row>
    <row r="1237" spans="1:6" x14ac:dyDescent="0.25">
      <c r="A1237" t="s">
        <v>766</v>
      </c>
      <c r="B1237" t="s">
        <v>24</v>
      </c>
      <c r="C1237" t="s">
        <v>131</v>
      </c>
      <c r="D1237" t="s">
        <v>3219</v>
      </c>
      <c r="E1237">
        <v>36.99</v>
      </c>
      <c r="F1237">
        <v>99.82</v>
      </c>
    </row>
    <row r="1238" spans="1:6" x14ac:dyDescent="0.25">
      <c r="A1238" t="s">
        <v>767</v>
      </c>
      <c r="B1238" t="s">
        <v>24</v>
      </c>
      <c r="C1238" t="s">
        <v>168</v>
      </c>
      <c r="D1238" t="s">
        <v>3217</v>
      </c>
      <c r="E1238">
        <v>0</v>
      </c>
      <c r="F1238">
        <v>97.3</v>
      </c>
    </row>
    <row r="1239" spans="1:6" x14ac:dyDescent="0.25">
      <c r="A1239" t="s">
        <v>767</v>
      </c>
      <c r="B1239" t="s">
        <v>24</v>
      </c>
      <c r="C1239" t="s">
        <v>168</v>
      </c>
      <c r="D1239" t="s">
        <v>3218</v>
      </c>
      <c r="E1239">
        <v>15.59</v>
      </c>
      <c r="F1239">
        <v>97.78</v>
      </c>
    </row>
    <row r="1240" spans="1:6" x14ac:dyDescent="0.25">
      <c r="A1240" t="s">
        <v>767</v>
      </c>
      <c r="B1240" t="s">
        <v>24</v>
      </c>
      <c r="C1240" t="s">
        <v>168</v>
      </c>
      <c r="D1240" t="s">
        <v>3219</v>
      </c>
      <c r="E1240">
        <v>35.590000000000003</v>
      </c>
      <c r="F1240">
        <v>99.92</v>
      </c>
    </row>
    <row r="1241" spans="1:6" x14ac:dyDescent="0.25">
      <c r="A1241" t="s">
        <v>768</v>
      </c>
      <c r="B1241" t="s">
        <v>25</v>
      </c>
      <c r="C1241" t="s">
        <v>56</v>
      </c>
      <c r="D1241" t="s">
        <v>3217</v>
      </c>
      <c r="E1241">
        <v>0</v>
      </c>
      <c r="F1241">
        <v>152.83000000000001</v>
      </c>
    </row>
    <row r="1242" spans="1:6" x14ac:dyDescent="0.25">
      <c r="A1242" t="s">
        <v>768</v>
      </c>
      <c r="B1242" t="s">
        <v>25</v>
      </c>
      <c r="C1242" t="s">
        <v>56</v>
      </c>
      <c r="D1242" t="s">
        <v>3218</v>
      </c>
      <c r="E1242">
        <v>15.59</v>
      </c>
      <c r="F1242">
        <v>153.1</v>
      </c>
    </row>
    <row r="1243" spans="1:6" x14ac:dyDescent="0.25">
      <c r="A1243" t="s">
        <v>768</v>
      </c>
      <c r="B1243" t="s">
        <v>25</v>
      </c>
      <c r="C1243" t="s">
        <v>56</v>
      </c>
      <c r="D1243" t="s">
        <v>3219</v>
      </c>
      <c r="E1243">
        <v>35.590000000000003</v>
      </c>
      <c r="F1243">
        <v>153.62</v>
      </c>
    </row>
    <row r="1244" spans="1:6" x14ac:dyDescent="0.25">
      <c r="A1244" t="s">
        <v>769</v>
      </c>
      <c r="B1244" t="s">
        <v>25</v>
      </c>
      <c r="C1244" t="s">
        <v>57</v>
      </c>
      <c r="D1244" t="s">
        <v>3217</v>
      </c>
      <c r="E1244">
        <v>0</v>
      </c>
      <c r="F1244">
        <v>152.16999999999999</v>
      </c>
    </row>
    <row r="1245" spans="1:6" x14ac:dyDescent="0.25">
      <c r="A1245" t="s">
        <v>769</v>
      </c>
      <c r="B1245" t="s">
        <v>25</v>
      </c>
      <c r="C1245" t="s">
        <v>57</v>
      </c>
      <c r="D1245" t="s">
        <v>3218</v>
      </c>
      <c r="E1245">
        <v>15.58</v>
      </c>
      <c r="F1245">
        <v>152.5</v>
      </c>
    </row>
    <row r="1246" spans="1:6" x14ac:dyDescent="0.25">
      <c r="A1246" t="s">
        <v>769</v>
      </c>
      <c r="B1246" t="s">
        <v>25</v>
      </c>
      <c r="C1246" t="s">
        <v>57</v>
      </c>
      <c r="D1246" t="s">
        <v>3219</v>
      </c>
      <c r="E1246">
        <v>33.43</v>
      </c>
      <c r="F1246">
        <v>152.88999999999999</v>
      </c>
    </row>
    <row r="1247" spans="1:6" x14ac:dyDescent="0.25">
      <c r="A1247" t="s">
        <v>770</v>
      </c>
      <c r="B1247" t="s">
        <v>25</v>
      </c>
      <c r="C1247" t="s">
        <v>58</v>
      </c>
      <c r="D1247" t="s">
        <v>3217</v>
      </c>
      <c r="E1247">
        <v>0</v>
      </c>
      <c r="F1247">
        <v>151.74</v>
      </c>
    </row>
    <row r="1248" spans="1:6" x14ac:dyDescent="0.25">
      <c r="A1248" t="s">
        <v>770</v>
      </c>
      <c r="B1248" t="s">
        <v>25</v>
      </c>
      <c r="C1248" t="s">
        <v>58</v>
      </c>
      <c r="D1248" t="s">
        <v>3218</v>
      </c>
      <c r="E1248">
        <v>14.21</v>
      </c>
      <c r="F1248">
        <v>152.15</v>
      </c>
    </row>
    <row r="1249" spans="1:6" x14ac:dyDescent="0.25">
      <c r="A1249" t="s">
        <v>770</v>
      </c>
      <c r="B1249" t="s">
        <v>25</v>
      </c>
      <c r="C1249" t="s">
        <v>58</v>
      </c>
      <c r="D1249" t="s">
        <v>3219</v>
      </c>
      <c r="E1249">
        <v>31.2</v>
      </c>
      <c r="F1249">
        <v>152.30000000000001</v>
      </c>
    </row>
    <row r="1250" spans="1:6" x14ac:dyDescent="0.25">
      <c r="A1250" t="s">
        <v>771</v>
      </c>
      <c r="B1250" t="s">
        <v>25</v>
      </c>
      <c r="C1250" t="s">
        <v>59</v>
      </c>
      <c r="D1250" t="s">
        <v>3217</v>
      </c>
      <c r="E1250">
        <v>0</v>
      </c>
      <c r="F1250">
        <v>151.44</v>
      </c>
    </row>
    <row r="1251" spans="1:6" x14ac:dyDescent="0.25">
      <c r="A1251" t="s">
        <v>771</v>
      </c>
      <c r="B1251" t="s">
        <v>25</v>
      </c>
      <c r="C1251" t="s">
        <v>59</v>
      </c>
      <c r="D1251" t="s">
        <v>3218</v>
      </c>
      <c r="E1251">
        <v>13.75</v>
      </c>
      <c r="F1251">
        <v>151.62</v>
      </c>
    </row>
    <row r="1252" spans="1:6" x14ac:dyDescent="0.25">
      <c r="A1252" t="s">
        <v>771</v>
      </c>
      <c r="B1252" t="s">
        <v>25</v>
      </c>
      <c r="C1252" t="s">
        <v>59</v>
      </c>
      <c r="D1252" t="s">
        <v>3219</v>
      </c>
      <c r="E1252">
        <v>31.6</v>
      </c>
      <c r="F1252">
        <v>151.72999999999999</v>
      </c>
    </row>
    <row r="1253" spans="1:6" x14ac:dyDescent="0.25">
      <c r="A1253" t="s">
        <v>772</v>
      </c>
      <c r="B1253" t="s">
        <v>25</v>
      </c>
      <c r="C1253" t="s">
        <v>60</v>
      </c>
      <c r="D1253" t="s">
        <v>3217</v>
      </c>
      <c r="E1253">
        <v>0</v>
      </c>
      <c r="F1253">
        <v>150.88999999999999</v>
      </c>
    </row>
    <row r="1254" spans="1:6" x14ac:dyDescent="0.25">
      <c r="A1254" t="s">
        <v>772</v>
      </c>
      <c r="B1254" t="s">
        <v>25</v>
      </c>
      <c r="C1254" t="s">
        <v>60</v>
      </c>
      <c r="D1254" t="s">
        <v>3218</v>
      </c>
      <c r="E1254">
        <v>14</v>
      </c>
      <c r="F1254">
        <v>151.07</v>
      </c>
    </row>
    <row r="1255" spans="1:6" x14ac:dyDescent="0.25">
      <c r="A1255" t="s">
        <v>772</v>
      </c>
      <c r="B1255" t="s">
        <v>25</v>
      </c>
      <c r="C1255" t="s">
        <v>60</v>
      </c>
      <c r="D1255" t="s">
        <v>3219</v>
      </c>
      <c r="E1255">
        <v>31.85</v>
      </c>
      <c r="F1255">
        <v>151.22999999999999</v>
      </c>
    </row>
    <row r="1256" spans="1:6" x14ac:dyDescent="0.25">
      <c r="A1256" t="s">
        <v>773</v>
      </c>
      <c r="B1256" t="s">
        <v>25</v>
      </c>
      <c r="C1256" t="s">
        <v>61</v>
      </c>
      <c r="D1256" t="s">
        <v>3217</v>
      </c>
      <c r="E1256">
        <v>0</v>
      </c>
      <c r="F1256">
        <v>150.19</v>
      </c>
    </row>
    <row r="1257" spans="1:6" x14ac:dyDescent="0.25">
      <c r="A1257" t="s">
        <v>773</v>
      </c>
      <c r="B1257" t="s">
        <v>25</v>
      </c>
      <c r="C1257" t="s">
        <v>61</v>
      </c>
      <c r="D1257" t="s">
        <v>3218</v>
      </c>
      <c r="E1257">
        <v>14.5</v>
      </c>
      <c r="F1257">
        <v>150.6</v>
      </c>
    </row>
    <row r="1258" spans="1:6" x14ac:dyDescent="0.25">
      <c r="A1258" t="s">
        <v>773</v>
      </c>
      <c r="B1258" t="s">
        <v>25</v>
      </c>
      <c r="C1258" t="s">
        <v>61</v>
      </c>
      <c r="D1258" t="s">
        <v>3219</v>
      </c>
      <c r="E1258">
        <v>32.56</v>
      </c>
      <c r="F1258">
        <v>150.81</v>
      </c>
    </row>
    <row r="1259" spans="1:6" x14ac:dyDescent="0.25">
      <c r="A1259" t="s">
        <v>774</v>
      </c>
      <c r="B1259" t="s">
        <v>25</v>
      </c>
      <c r="C1259" t="s">
        <v>62</v>
      </c>
      <c r="D1259" t="s">
        <v>3217</v>
      </c>
      <c r="E1259">
        <v>0</v>
      </c>
      <c r="F1259">
        <v>149.66999999999999</v>
      </c>
    </row>
    <row r="1260" spans="1:6" x14ac:dyDescent="0.25">
      <c r="A1260" t="s">
        <v>774</v>
      </c>
      <c r="B1260" t="s">
        <v>25</v>
      </c>
      <c r="C1260" t="s">
        <v>62</v>
      </c>
      <c r="D1260" t="s">
        <v>3218</v>
      </c>
      <c r="E1260">
        <v>14.59</v>
      </c>
      <c r="F1260">
        <v>149.96</v>
      </c>
    </row>
    <row r="1261" spans="1:6" x14ac:dyDescent="0.25">
      <c r="A1261" t="s">
        <v>774</v>
      </c>
      <c r="B1261" t="s">
        <v>25</v>
      </c>
      <c r="C1261" t="s">
        <v>62</v>
      </c>
      <c r="D1261" t="s">
        <v>3219</v>
      </c>
      <c r="E1261">
        <v>34.590000000000003</v>
      </c>
      <c r="F1261">
        <v>150.4</v>
      </c>
    </row>
    <row r="1262" spans="1:6" x14ac:dyDescent="0.25">
      <c r="A1262" t="s">
        <v>775</v>
      </c>
      <c r="B1262" t="s">
        <v>25</v>
      </c>
      <c r="C1262" t="s">
        <v>63</v>
      </c>
      <c r="D1262" t="s">
        <v>3217</v>
      </c>
      <c r="E1262">
        <v>0</v>
      </c>
      <c r="F1262">
        <v>148.88</v>
      </c>
    </row>
    <row r="1263" spans="1:6" x14ac:dyDescent="0.25">
      <c r="A1263" t="s">
        <v>775</v>
      </c>
      <c r="B1263" t="s">
        <v>25</v>
      </c>
      <c r="C1263" t="s">
        <v>63</v>
      </c>
      <c r="D1263" t="s">
        <v>3218</v>
      </c>
      <c r="E1263">
        <v>13.89</v>
      </c>
      <c r="F1263">
        <v>149.16</v>
      </c>
    </row>
    <row r="1264" spans="1:6" x14ac:dyDescent="0.25">
      <c r="A1264" t="s">
        <v>775</v>
      </c>
      <c r="B1264" t="s">
        <v>25</v>
      </c>
      <c r="C1264" t="s">
        <v>63</v>
      </c>
      <c r="D1264" t="s">
        <v>3219</v>
      </c>
      <c r="E1264">
        <v>31.96</v>
      </c>
      <c r="F1264">
        <v>149.33000000000001</v>
      </c>
    </row>
    <row r="1265" spans="1:6" x14ac:dyDescent="0.25">
      <c r="A1265" t="s">
        <v>776</v>
      </c>
      <c r="B1265" t="s">
        <v>25</v>
      </c>
      <c r="C1265" t="s">
        <v>64</v>
      </c>
      <c r="D1265" t="s">
        <v>3217</v>
      </c>
      <c r="E1265">
        <v>0</v>
      </c>
      <c r="F1265">
        <v>148.41</v>
      </c>
    </row>
    <row r="1266" spans="1:6" x14ac:dyDescent="0.25">
      <c r="A1266" t="s">
        <v>776</v>
      </c>
      <c r="B1266" t="s">
        <v>25</v>
      </c>
      <c r="C1266" t="s">
        <v>64</v>
      </c>
      <c r="D1266" t="s">
        <v>3218</v>
      </c>
      <c r="E1266">
        <v>13.25</v>
      </c>
      <c r="F1266">
        <v>148.6</v>
      </c>
    </row>
    <row r="1267" spans="1:6" x14ac:dyDescent="0.25">
      <c r="A1267" t="s">
        <v>776</v>
      </c>
      <c r="B1267" t="s">
        <v>25</v>
      </c>
      <c r="C1267" t="s">
        <v>64</v>
      </c>
      <c r="D1267" t="s">
        <v>3219</v>
      </c>
      <c r="E1267">
        <v>30.92</v>
      </c>
      <c r="F1267">
        <v>148.72</v>
      </c>
    </row>
    <row r="1268" spans="1:6" x14ac:dyDescent="0.25">
      <c r="A1268" t="s">
        <v>777</v>
      </c>
      <c r="B1268" t="s">
        <v>25</v>
      </c>
      <c r="C1268" t="s">
        <v>65</v>
      </c>
      <c r="D1268" t="s">
        <v>3217</v>
      </c>
      <c r="E1268">
        <v>0</v>
      </c>
      <c r="F1268">
        <v>147.63</v>
      </c>
    </row>
    <row r="1269" spans="1:6" x14ac:dyDescent="0.25">
      <c r="A1269" t="s">
        <v>777</v>
      </c>
      <c r="B1269" t="s">
        <v>25</v>
      </c>
      <c r="C1269" t="s">
        <v>65</v>
      </c>
      <c r="D1269" t="s">
        <v>3218</v>
      </c>
      <c r="E1269">
        <v>12.56</v>
      </c>
      <c r="F1269">
        <v>148.16</v>
      </c>
    </row>
    <row r="1270" spans="1:6" x14ac:dyDescent="0.25">
      <c r="A1270" t="s">
        <v>777</v>
      </c>
      <c r="B1270" t="s">
        <v>25</v>
      </c>
      <c r="C1270" t="s">
        <v>65</v>
      </c>
      <c r="D1270" t="s">
        <v>3219</v>
      </c>
      <c r="E1270">
        <v>30.23</v>
      </c>
      <c r="F1270">
        <v>148.28</v>
      </c>
    </row>
    <row r="1271" spans="1:6" x14ac:dyDescent="0.25">
      <c r="A1271" t="s">
        <v>778</v>
      </c>
      <c r="B1271" t="s">
        <v>25</v>
      </c>
      <c r="C1271" t="s">
        <v>66</v>
      </c>
      <c r="D1271" t="s">
        <v>3217</v>
      </c>
      <c r="E1271">
        <v>0</v>
      </c>
      <c r="F1271">
        <v>147.24</v>
      </c>
    </row>
    <row r="1272" spans="1:6" x14ac:dyDescent="0.25">
      <c r="A1272" t="s">
        <v>778</v>
      </c>
      <c r="B1272" t="s">
        <v>25</v>
      </c>
      <c r="C1272" t="s">
        <v>66</v>
      </c>
      <c r="D1272" t="s">
        <v>3218</v>
      </c>
      <c r="E1272">
        <v>12.5</v>
      </c>
      <c r="F1272">
        <v>147.79</v>
      </c>
    </row>
    <row r="1273" spans="1:6" x14ac:dyDescent="0.25">
      <c r="A1273" t="s">
        <v>778</v>
      </c>
      <c r="B1273" t="s">
        <v>25</v>
      </c>
      <c r="C1273" t="s">
        <v>66</v>
      </c>
      <c r="D1273" t="s">
        <v>3219</v>
      </c>
      <c r="E1273">
        <v>27.25</v>
      </c>
      <c r="F1273">
        <v>147.51</v>
      </c>
    </row>
    <row r="1274" spans="1:6" x14ac:dyDescent="0.25">
      <c r="A1274" t="s">
        <v>779</v>
      </c>
      <c r="B1274" t="s">
        <v>25</v>
      </c>
      <c r="C1274" t="s">
        <v>67</v>
      </c>
      <c r="D1274" t="s">
        <v>3217</v>
      </c>
      <c r="E1274">
        <v>0</v>
      </c>
      <c r="F1274">
        <v>146.84</v>
      </c>
    </row>
    <row r="1275" spans="1:6" x14ac:dyDescent="0.25">
      <c r="A1275" t="s">
        <v>779</v>
      </c>
      <c r="B1275" t="s">
        <v>25</v>
      </c>
      <c r="C1275" t="s">
        <v>67</v>
      </c>
      <c r="D1275" t="s">
        <v>3218</v>
      </c>
      <c r="E1275">
        <v>12.25</v>
      </c>
      <c r="F1275">
        <v>147.47999999999999</v>
      </c>
    </row>
    <row r="1276" spans="1:6" x14ac:dyDescent="0.25">
      <c r="A1276" t="s">
        <v>779</v>
      </c>
      <c r="B1276" t="s">
        <v>25</v>
      </c>
      <c r="C1276" t="s">
        <v>67</v>
      </c>
      <c r="D1276" t="s">
        <v>3219</v>
      </c>
      <c r="E1276">
        <v>25.42</v>
      </c>
      <c r="F1276">
        <v>147.18</v>
      </c>
    </row>
    <row r="1277" spans="1:6" x14ac:dyDescent="0.25">
      <c r="A1277" t="s">
        <v>780</v>
      </c>
      <c r="B1277" t="s">
        <v>25</v>
      </c>
      <c r="C1277" t="s">
        <v>68</v>
      </c>
      <c r="D1277" t="s">
        <v>3217</v>
      </c>
      <c r="E1277">
        <v>0</v>
      </c>
      <c r="F1277">
        <v>146.43</v>
      </c>
    </row>
    <row r="1278" spans="1:6" x14ac:dyDescent="0.25">
      <c r="A1278" t="s">
        <v>780</v>
      </c>
      <c r="B1278" t="s">
        <v>25</v>
      </c>
      <c r="C1278" t="s">
        <v>68</v>
      </c>
      <c r="D1278" t="s">
        <v>3218</v>
      </c>
      <c r="E1278">
        <v>11.96</v>
      </c>
      <c r="F1278">
        <v>147.04</v>
      </c>
    </row>
    <row r="1279" spans="1:6" x14ac:dyDescent="0.25">
      <c r="A1279" t="s">
        <v>780</v>
      </c>
      <c r="B1279" t="s">
        <v>25</v>
      </c>
      <c r="C1279" t="s">
        <v>68</v>
      </c>
      <c r="D1279" t="s">
        <v>3219</v>
      </c>
      <c r="E1279">
        <v>25.05</v>
      </c>
      <c r="F1279">
        <v>146.66999999999999</v>
      </c>
    </row>
    <row r="1280" spans="1:6" x14ac:dyDescent="0.25">
      <c r="A1280" t="s">
        <v>781</v>
      </c>
      <c r="B1280" t="s">
        <v>25</v>
      </c>
      <c r="C1280" t="s">
        <v>69</v>
      </c>
      <c r="D1280" t="s">
        <v>3217</v>
      </c>
      <c r="E1280">
        <v>0</v>
      </c>
      <c r="F1280">
        <v>146.03</v>
      </c>
    </row>
    <row r="1281" spans="1:6" x14ac:dyDescent="0.25">
      <c r="A1281" t="s">
        <v>781</v>
      </c>
      <c r="B1281" t="s">
        <v>25</v>
      </c>
      <c r="C1281" t="s">
        <v>69</v>
      </c>
      <c r="D1281" t="s">
        <v>3218</v>
      </c>
      <c r="E1281">
        <v>11.65</v>
      </c>
      <c r="F1281">
        <v>146.68</v>
      </c>
    </row>
    <row r="1282" spans="1:6" x14ac:dyDescent="0.25">
      <c r="A1282" t="s">
        <v>781</v>
      </c>
      <c r="B1282" t="s">
        <v>25</v>
      </c>
      <c r="C1282" t="s">
        <v>69</v>
      </c>
      <c r="D1282" t="s">
        <v>3219</v>
      </c>
      <c r="E1282">
        <v>24.34</v>
      </c>
      <c r="F1282">
        <v>146.59</v>
      </c>
    </row>
    <row r="1283" spans="1:6" x14ac:dyDescent="0.25">
      <c r="A1283" t="s">
        <v>782</v>
      </c>
      <c r="B1283" t="s">
        <v>25</v>
      </c>
      <c r="C1283" t="s">
        <v>70</v>
      </c>
      <c r="D1283" t="s">
        <v>3217</v>
      </c>
      <c r="E1283">
        <v>0</v>
      </c>
      <c r="F1283">
        <v>145.75</v>
      </c>
    </row>
    <row r="1284" spans="1:6" x14ac:dyDescent="0.25">
      <c r="A1284" t="s">
        <v>782</v>
      </c>
      <c r="B1284" t="s">
        <v>25</v>
      </c>
      <c r="C1284" t="s">
        <v>70</v>
      </c>
      <c r="D1284" t="s">
        <v>3218</v>
      </c>
      <c r="E1284">
        <v>12.47</v>
      </c>
      <c r="F1284">
        <v>146.37</v>
      </c>
    </row>
    <row r="1285" spans="1:6" x14ac:dyDescent="0.25">
      <c r="A1285" t="s">
        <v>782</v>
      </c>
      <c r="B1285" t="s">
        <v>25</v>
      </c>
      <c r="C1285" t="s">
        <v>70</v>
      </c>
      <c r="D1285" t="s">
        <v>3219</v>
      </c>
      <c r="E1285">
        <v>26.93</v>
      </c>
      <c r="F1285">
        <v>146.19999999999999</v>
      </c>
    </row>
    <row r="1286" spans="1:6" x14ac:dyDescent="0.25">
      <c r="A1286" t="s">
        <v>783</v>
      </c>
      <c r="B1286" t="s">
        <v>25</v>
      </c>
      <c r="C1286" t="s">
        <v>71</v>
      </c>
      <c r="D1286" t="s">
        <v>3217</v>
      </c>
      <c r="E1286">
        <v>0</v>
      </c>
      <c r="F1286">
        <v>145.57</v>
      </c>
    </row>
    <row r="1287" spans="1:6" x14ac:dyDescent="0.25">
      <c r="A1287" t="s">
        <v>783</v>
      </c>
      <c r="B1287" t="s">
        <v>25</v>
      </c>
      <c r="C1287" t="s">
        <v>71</v>
      </c>
      <c r="D1287" t="s">
        <v>3218</v>
      </c>
      <c r="E1287">
        <v>13.75</v>
      </c>
      <c r="F1287">
        <v>146.01</v>
      </c>
    </row>
    <row r="1288" spans="1:6" x14ac:dyDescent="0.25">
      <c r="A1288" t="s">
        <v>783</v>
      </c>
      <c r="B1288" t="s">
        <v>25</v>
      </c>
      <c r="C1288" t="s">
        <v>71</v>
      </c>
      <c r="D1288" t="s">
        <v>3219</v>
      </c>
      <c r="E1288">
        <v>29.19</v>
      </c>
      <c r="F1288">
        <v>145.74</v>
      </c>
    </row>
    <row r="1289" spans="1:6" x14ac:dyDescent="0.25">
      <c r="A1289" t="s">
        <v>784</v>
      </c>
      <c r="B1289" t="s">
        <v>25</v>
      </c>
      <c r="C1289" t="s">
        <v>72</v>
      </c>
      <c r="D1289" t="s">
        <v>3217</v>
      </c>
      <c r="E1289">
        <v>0</v>
      </c>
      <c r="F1289">
        <v>145.19</v>
      </c>
    </row>
    <row r="1290" spans="1:6" x14ac:dyDescent="0.25">
      <c r="A1290" t="s">
        <v>784</v>
      </c>
      <c r="B1290" t="s">
        <v>25</v>
      </c>
      <c r="C1290" t="s">
        <v>72</v>
      </c>
      <c r="D1290" t="s">
        <v>3218</v>
      </c>
      <c r="E1290">
        <v>14.3</v>
      </c>
      <c r="F1290">
        <v>145.59</v>
      </c>
    </row>
    <row r="1291" spans="1:6" x14ac:dyDescent="0.25">
      <c r="A1291" t="s">
        <v>784</v>
      </c>
      <c r="B1291" t="s">
        <v>25</v>
      </c>
      <c r="C1291" t="s">
        <v>72</v>
      </c>
      <c r="D1291" t="s">
        <v>3219</v>
      </c>
      <c r="E1291">
        <v>30.33</v>
      </c>
      <c r="F1291">
        <v>145.5</v>
      </c>
    </row>
    <row r="1292" spans="1:6" x14ac:dyDescent="0.25">
      <c r="A1292" t="s">
        <v>785</v>
      </c>
      <c r="B1292" t="s">
        <v>25</v>
      </c>
      <c r="C1292" t="s">
        <v>73</v>
      </c>
      <c r="D1292" t="s">
        <v>3217</v>
      </c>
      <c r="E1292">
        <v>0</v>
      </c>
      <c r="F1292">
        <v>144.5</v>
      </c>
    </row>
    <row r="1293" spans="1:6" x14ac:dyDescent="0.25">
      <c r="A1293" t="s">
        <v>785</v>
      </c>
      <c r="B1293" t="s">
        <v>25</v>
      </c>
      <c r="C1293" t="s">
        <v>73</v>
      </c>
      <c r="D1293" t="s">
        <v>3218</v>
      </c>
      <c r="E1293">
        <v>15.83</v>
      </c>
      <c r="F1293">
        <v>144.84</v>
      </c>
    </row>
    <row r="1294" spans="1:6" x14ac:dyDescent="0.25">
      <c r="A1294" t="s">
        <v>785</v>
      </c>
      <c r="B1294" t="s">
        <v>25</v>
      </c>
      <c r="C1294" t="s">
        <v>73</v>
      </c>
      <c r="D1294" t="s">
        <v>3219</v>
      </c>
      <c r="E1294">
        <v>31.58</v>
      </c>
      <c r="F1294">
        <v>144.54</v>
      </c>
    </row>
    <row r="1295" spans="1:6" x14ac:dyDescent="0.25">
      <c r="A1295" t="s">
        <v>786</v>
      </c>
      <c r="B1295" t="s">
        <v>25</v>
      </c>
      <c r="C1295" t="s">
        <v>74</v>
      </c>
      <c r="D1295" t="s">
        <v>3217</v>
      </c>
      <c r="E1295">
        <v>0</v>
      </c>
      <c r="F1295">
        <v>143.72999999999999</v>
      </c>
    </row>
    <row r="1296" spans="1:6" x14ac:dyDescent="0.25">
      <c r="A1296" t="s">
        <v>786</v>
      </c>
      <c r="B1296" t="s">
        <v>25</v>
      </c>
      <c r="C1296" t="s">
        <v>74</v>
      </c>
      <c r="D1296" t="s">
        <v>3218</v>
      </c>
      <c r="E1296">
        <v>15.67</v>
      </c>
      <c r="F1296">
        <v>144.02000000000001</v>
      </c>
    </row>
    <row r="1297" spans="1:6" x14ac:dyDescent="0.25">
      <c r="A1297" t="s">
        <v>786</v>
      </c>
      <c r="B1297" t="s">
        <v>25</v>
      </c>
      <c r="C1297" t="s">
        <v>74</v>
      </c>
      <c r="D1297" t="s">
        <v>3219</v>
      </c>
      <c r="E1297">
        <v>35.67</v>
      </c>
      <c r="F1297">
        <v>144.13999999999999</v>
      </c>
    </row>
    <row r="1298" spans="1:6" x14ac:dyDescent="0.25">
      <c r="A1298" t="s">
        <v>787</v>
      </c>
      <c r="B1298" t="s">
        <v>25</v>
      </c>
      <c r="C1298" t="s">
        <v>75</v>
      </c>
      <c r="D1298" t="s">
        <v>3217</v>
      </c>
      <c r="E1298">
        <v>0</v>
      </c>
      <c r="F1298">
        <v>143.16</v>
      </c>
    </row>
    <row r="1299" spans="1:6" x14ac:dyDescent="0.25">
      <c r="A1299" t="s">
        <v>787</v>
      </c>
      <c r="B1299" t="s">
        <v>25</v>
      </c>
      <c r="C1299" t="s">
        <v>75</v>
      </c>
      <c r="D1299" t="s">
        <v>3218</v>
      </c>
      <c r="E1299">
        <v>16.59</v>
      </c>
      <c r="F1299">
        <v>143.26</v>
      </c>
    </row>
    <row r="1300" spans="1:6" x14ac:dyDescent="0.25">
      <c r="A1300" t="s">
        <v>787</v>
      </c>
      <c r="B1300" t="s">
        <v>25</v>
      </c>
      <c r="C1300" t="s">
        <v>75</v>
      </c>
      <c r="D1300" t="s">
        <v>3219</v>
      </c>
      <c r="E1300">
        <v>36.590000000000003</v>
      </c>
      <c r="F1300">
        <v>143.13</v>
      </c>
    </row>
    <row r="1301" spans="1:6" x14ac:dyDescent="0.25">
      <c r="A1301" t="s">
        <v>788</v>
      </c>
      <c r="B1301" t="s">
        <v>25</v>
      </c>
      <c r="C1301" t="s">
        <v>76</v>
      </c>
      <c r="D1301" t="s">
        <v>3217</v>
      </c>
      <c r="E1301">
        <v>0</v>
      </c>
      <c r="F1301">
        <v>142.35</v>
      </c>
    </row>
    <row r="1302" spans="1:6" x14ac:dyDescent="0.25">
      <c r="A1302" t="s">
        <v>788</v>
      </c>
      <c r="B1302" t="s">
        <v>25</v>
      </c>
      <c r="C1302" t="s">
        <v>76</v>
      </c>
      <c r="D1302" t="s">
        <v>3218</v>
      </c>
      <c r="E1302">
        <v>16.71</v>
      </c>
      <c r="F1302">
        <v>142.61000000000001</v>
      </c>
    </row>
    <row r="1303" spans="1:6" x14ac:dyDescent="0.25">
      <c r="A1303" t="s">
        <v>788</v>
      </c>
      <c r="B1303" t="s">
        <v>25</v>
      </c>
      <c r="C1303" t="s">
        <v>76</v>
      </c>
      <c r="D1303" t="s">
        <v>3219</v>
      </c>
      <c r="E1303">
        <v>36.71</v>
      </c>
      <c r="F1303">
        <v>142.6</v>
      </c>
    </row>
    <row r="1304" spans="1:6" x14ac:dyDescent="0.25">
      <c r="A1304" t="s">
        <v>789</v>
      </c>
      <c r="B1304" t="s">
        <v>25</v>
      </c>
      <c r="C1304" t="s">
        <v>77</v>
      </c>
      <c r="D1304" t="s">
        <v>3217</v>
      </c>
      <c r="E1304">
        <v>0</v>
      </c>
      <c r="F1304">
        <v>141.87</v>
      </c>
    </row>
    <row r="1305" spans="1:6" x14ac:dyDescent="0.25">
      <c r="A1305" t="s">
        <v>789</v>
      </c>
      <c r="B1305" t="s">
        <v>25</v>
      </c>
      <c r="C1305" t="s">
        <v>77</v>
      </c>
      <c r="D1305" t="s">
        <v>3218</v>
      </c>
      <c r="E1305">
        <v>15</v>
      </c>
      <c r="F1305">
        <v>142.15</v>
      </c>
    </row>
    <row r="1306" spans="1:6" x14ac:dyDescent="0.25">
      <c r="A1306" t="s">
        <v>789</v>
      </c>
      <c r="B1306" t="s">
        <v>25</v>
      </c>
      <c r="C1306" t="s">
        <v>77</v>
      </c>
      <c r="D1306" t="s">
        <v>3219</v>
      </c>
      <c r="E1306">
        <v>35</v>
      </c>
      <c r="F1306">
        <v>142.07</v>
      </c>
    </row>
    <row r="1307" spans="1:6" x14ac:dyDescent="0.25">
      <c r="A1307" t="s">
        <v>790</v>
      </c>
      <c r="B1307" t="s">
        <v>25</v>
      </c>
      <c r="C1307" t="s">
        <v>78</v>
      </c>
      <c r="D1307" t="s">
        <v>3217</v>
      </c>
      <c r="E1307">
        <v>0</v>
      </c>
      <c r="F1307">
        <v>141.58000000000001</v>
      </c>
    </row>
    <row r="1308" spans="1:6" x14ac:dyDescent="0.25">
      <c r="A1308" t="s">
        <v>790</v>
      </c>
      <c r="B1308" t="s">
        <v>25</v>
      </c>
      <c r="C1308" t="s">
        <v>78</v>
      </c>
      <c r="D1308" t="s">
        <v>3218</v>
      </c>
      <c r="E1308">
        <v>14.08</v>
      </c>
      <c r="F1308">
        <v>141.79</v>
      </c>
    </row>
    <row r="1309" spans="1:6" x14ac:dyDescent="0.25">
      <c r="A1309" t="s">
        <v>790</v>
      </c>
      <c r="B1309" t="s">
        <v>25</v>
      </c>
      <c r="C1309" t="s">
        <v>78</v>
      </c>
      <c r="D1309" t="s">
        <v>3219</v>
      </c>
      <c r="E1309">
        <v>34.08</v>
      </c>
      <c r="F1309">
        <v>141.76</v>
      </c>
    </row>
    <row r="1310" spans="1:6" x14ac:dyDescent="0.25">
      <c r="A1310" t="s">
        <v>791</v>
      </c>
      <c r="B1310" t="s">
        <v>25</v>
      </c>
      <c r="C1310" t="s">
        <v>79</v>
      </c>
      <c r="D1310" t="s">
        <v>3217</v>
      </c>
      <c r="E1310">
        <v>0</v>
      </c>
      <c r="F1310">
        <v>141.32</v>
      </c>
    </row>
    <row r="1311" spans="1:6" x14ac:dyDescent="0.25">
      <c r="A1311" t="s">
        <v>791</v>
      </c>
      <c r="B1311" t="s">
        <v>25</v>
      </c>
      <c r="C1311" t="s">
        <v>79</v>
      </c>
      <c r="D1311" t="s">
        <v>3218</v>
      </c>
      <c r="E1311">
        <v>15</v>
      </c>
      <c r="F1311">
        <v>141.38</v>
      </c>
    </row>
    <row r="1312" spans="1:6" x14ac:dyDescent="0.25">
      <c r="A1312" t="s">
        <v>791</v>
      </c>
      <c r="B1312" t="s">
        <v>25</v>
      </c>
      <c r="C1312" t="s">
        <v>79</v>
      </c>
      <c r="D1312" t="s">
        <v>3219</v>
      </c>
      <c r="E1312">
        <v>35</v>
      </c>
      <c r="F1312">
        <v>141.27000000000001</v>
      </c>
    </row>
    <row r="1313" spans="1:6" x14ac:dyDescent="0.25">
      <c r="A1313" t="s">
        <v>792</v>
      </c>
      <c r="B1313" t="s">
        <v>25</v>
      </c>
      <c r="C1313" t="s">
        <v>80</v>
      </c>
      <c r="D1313" t="s">
        <v>3217</v>
      </c>
      <c r="E1313">
        <v>0</v>
      </c>
      <c r="F1313">
        <v>141.25</v>
      </c>
    </row>
    <row r="1314" spans="1:6" x14ac:dyDescent="0.25">
      <c r="A1314" t="s">
        <v>792</v>
      </c>
      <c r="B1314" t="s">
        <v>25</v>
      </c>
      <c r="C1314" t="s">
        <v>80</v>
      </c>
      <c r="D1314" t="s">
        <v>3218</v>
      </c>
      <c r="E1314">
        <v>16.25</v>
      </c>
      <c r="F1314">
        <v>140.96</v>
      </c>
    </row>
    <row r="1315" spans="1:6" x14ac:dyDescent="0.25">
      <c r="A1315" t="s">
        <v>792</v>
      </c>
      <c r="B1315" t="s">
        <v>25</v>
      </c>
      <c r="C1315" t="s">
        <v>80</v>
      </c>
      <c r="D1315" t="s">
        <v>3219</v>
      </c>
      <c r="E1315">
        <v>36.25</v>
      </c>
      <c r="F1315">
        <v>140.94999999999999</v>
      </c>
    </row>
    <row r="1316" spans="1:6" x14ac:dyDescent="0.25">
      <c r="A1316" t="s">
        <v>793</v>
      </c>
      <c r="B1316" t="s">
        <v>25</v>
      </c>
      <c r="C1316" t="s">
        <v>81</v>
      </c>
      <c r="D1316" t="s">
        <v>3217</v>
      </c>
      <c r="E1316">
        <v>0</v>
      </c>
      <c r="F1316">
        <v>140.82</v>
      </c>
    </row>
    <row r="1317" spans="1:6" x14ac:dyDescent="0.25">
      <c r="A1317" t="s">
        <v>793</v>
      </c>
      <c r="B1317" t="s">
        <v>25</v>
      </c>
      <c r="C1317" t="s">
        <v>81</v>
      </c>
      <c r="D1317" t="s">
        <v>3218</v>
      </c>
      <c r="E1317">
        <v>16.73</v>
      </c>
      <c r="F1317">
        <v>140.52000000000001</v>
      </c>
    </row>
    <row r="1318" spans="1:6" x14ac:dyDescent="0.25">
      <c r="A1318" t="s">
        <v>793</v>
      </c>
      <c r="B1318" t="s">
        <v>25</v>
      </c>
      <c r="C1318" t="s">
        <v>81</v>
      </c>
      <c r="D1318" t="s">
        <v>3219</v>
      </c>
      <c r="E1318">
        <v>36.729999999999997</v>
      </c>
      <c r="F1318">
        <v>140.81</v>
      </c>
    </row>
    <row r="1319" spans="1:6" x14ac:dyDescent="0.25">
      <c r="A1319" t="s">
        <v>794</v>
      </c>
      <c r="B1319" t="s">
        <v>25</v>
      </c>
      <c r="C1319" t="s">
        <v>82</v>
      </c>
      <c r="D1319" t="s">
        <v>3217</v>
      </c>
      <c r="E1319">
        <v>0</v>
      </c>
      <c r="F1319">
        <v>140.04</v>
      </c>
    </row>
    <row r="1320" spans="1:6" x14ac:dyDescent="0.25">
      <c r="A1320" t="s">
        <v>794</v>
      </c>
      <c r="B1320" t="s">
        <v>25</v>
      </c>
      <c r="C1320" t="s">
        <v>82</v>
      </c>
      <c r="D1320" t="s">
        <v>3218</v>
      </c>
      <c r="E1320">
        <v>16.73</v>
      </c>
      <c r="F1320">
        <v>140.22999999999999</v>
      </c>
    </row>
    <row r="1321" spans="1:6" x14ac:dyDescent="0.25">
      <c r="A1321" t="s">
        <v>794</v>
      </c>
      <c r="B1321" t="s">
        <v>25</v>
      </c>
      <c r="C1321" t="s">
        <v>82</v>
      </c>
      <c r="D1321" t="s">
        <v>3219</v>
      </c>
      <c r="E1321">
        <v>34.83</v>
      </c>
      <c r="F1321">
        <v>140.31</v>
      </c>
    </row>
    <row r="1322" spans="1:6" x14ac:dyDescent="0.25">
      <c r="A1322" t="s">
        <v>795</v>
      </c>
      <c r="B1322" t="s">
        <v>25</v>
      </c>
      <c r="C1322" t="s">
        <v>83</v>
      </c>
      <c r="D1322" t="s">
        <v>3217</v>
      </c>
      <c r="E1322">
        <v>0</v>
      </c>
      <c r="F1322">
        <v>139.94999999999999</v>
      </c>
    </row>
    <row r="1323" spans="1:6" x14ac:dyDescent="0.25">
      <c r="A1323" t="s">
        <v>795</v>
      </c>
      <c r="B1323" t="s">
        <v>25</v>
      </c>
      <c r="C1323" t="s">
        <v>83</v>
      </c>
      <c r="D1323" t="s">
        <v>3218</v>
      </c>
      <c r="E1323">
        <v>16.73</v>
      </c>
      <c r="F1323">
        <v>139.88999999999999</v>
      </c>
    </row>
    <row r="1324" spans="1:6" x14ac:dyDescent="0.25">
      <c r="A1324" t="s">
        <v>795</v>
      </c>
      <c r="B1324" t="s">
        <v>25</v>
      </c>
      <c r="C1324" t="s">
        <v>83</v>
      </c>
      <c r="D1324" t="s">
        <v>3219</v>
      </c>
      <c r="E1324">
        <v>34.22</v>
      </c>
      <c r="F1324">
        <v>139.71</v>
      </c>
    </row>
    <row r="1325" spans="1:6" x14ac:dyDescent="0.25">
      <c r="A1325" t="s">
        <v>796</v>
      </c>
      <c r="B1325" t="s">
        <v>25</v>
      </c>
      <c r="C1325" t="s">
        <v>84</v>
      </c>
      <c r="D1325" t="s">
        <v>3217</v>
      </c>
      <c r="E1325">
        <v>0</v>
      </c>
      <c r="F1325">
        <v>140.05000000000001</v>
      </c>
    </row>
    <row r="1326" spans="1:6" x14ac:dyDescent="0.25">
      <c r="A1326" t="s">
        <v>796</v>
      </c>
      <c r="B1326" t="s">
        <v>25</v>
      </c>
      <c r="C1326" t="s">
        <v>84</v>
      </c>
      <c r="D1326" t="s">
        <v>3218</v>
      </c>
      <c r="E1326">
        <v>16.73</v>
      </c>
      <c r="F1326">
        <v>139.56</v>
      </c>
    </row>
    <row r="1327" spans="1:6" x14ac:dyDescent="0.25">
      <c r="A1327" t="s">
        <v>796</v>
      </c>
      <c r="B1327" t="s">
        <v>25</v>
      </c>
      <c r="C1327" t="s">
        <v>84</v>
      </c>
      <c r="D1327" t="s">
        <v>3219</v>
      </c>
      <c r="E1327">
        <v>34.700000000000003</v>
      </c>
      <c r="F1327">
        <v>139.13999999999999</v>
      </c>
    </row>
    <row r="1328" spans="1:6" x14ac:dyDescent="0.25">
      <c r="A1328" t="s">
        <v>797</v>
      </c>
      <c r="B1328" t="s">
        <v>25</v>
      </c>
      <c r="C1328" t="s">
        <v>85</v>
      </c>
      <c r="D1328" t="s">
        <v>3217</v>
      </c>
      <c r="E1328">
        <v>0</v>
      </c>
      <c r="F1328">
        <v>139.61000000000001</v>
      </c>
    </row>
    <row r="1329" spans="1:6" x14ac:dyDescent="0.25">
      <c r="A1329" t="s">
        <v>797</v>
      </c>
      <c r="B1329" t="s">
        <v>25</v>
      </c>
      <c r="C1329" t="s">
        <v>85</v>
      </c>
      <c r="D1329" t="s">
        <v>3218</v>
      </c>
      <c r="E1329">
        <v>15.24</v>
      </c>
      <c r="F1329">
        <v>139.62</v>
      </c>
    </row>
    <row r="1330" spans="1:6" x14ac:dyDescent="0.25">
      <c r="A1330" t="s">
        <v>797</v>
      </c>
      <c r="B1330" t="s">
        <v>25</v>
      </c>
      <c r="C1330" t="s">
        <v>85</v>
      </c>
      <c r="D1330" t="s">
        <v>3219</v>
      </c>
      <c r="E1330">
        <v>35.24</v>
      </c>
      <c r="F1330">
        <v>139.07</v>
      </c>
    </row>
    <row r="1331" spans="1:6" x14ac:dyDescent="0.25">
      <c r="A1331" t="s">
        <v>798</v>
      </c>
      <c r="B1331" t="s">
        <v>25</v>
      </c>
      <c r="C1331" t="s">
        <v>86</v>
      </c>
      <c r="D1331" t="s">
        <v>3217</v>
      </c>
      <c r="E1331">
        <v>0</v>
      </c>
      <c r="F1331">
        <v>139.44</v>
      </c>
    </row>
    <row r="1332" spans="1:6" x14ac:dyDescent="0.25">
      <c r="A1332" t="s">
        <v>798</v>
      </c>
      <c r="B1332" t="s">
        <v>25</v>
      </c>
      <c r="C1332" t="s">
        <v>86</v>
      </c>
      <c r="D1332" t="s">
        <v>3218</v>
      </c>
      <c r="E1332">
        <v>17.64</v>
      </c>
      <c r="F1332">
        <v>139.29</v>
      </c>
    </row>
    <row r="1333" spans="1:6" x14ac:dyDescent="0.25">
      <c r="A1333" t="s">
        <v>798</v>
      </c>
      <c r="B1333" t="s">
        <v>25</v>
      </c>
      <c r="C1333" t="s">
        <v>86</v>
      </c>
      <c r="D1333" t="s">
        <v>3219</v>
      </c>
      <c r="E1333">
        <v>37.64</v>
      </c>
      <c r="F1333">
        <v>138.77000000000001</v>
      </c>
    </row>
    <row r="1334" spans="1:6" x14ac:dyDescent="0.25">
      <c r="A1334" t="s">
        <v>799</v>
      </c>
      <c r="B1334" t="s">
        <v>25</v>
      </c>
      <c r="C1334" t="s">
        <v>87</v>
      </c>
      <c r="D1334" t="s">
        <v>3217</v>
      </c>
      <c r="E1334">
        <v>0</v>
      </c>
      <c r="F1334">
        <v>139.31</v>
      </c>
    </row>
    <row r="1335" spans="1:6" x14ac:dyDescent="0.25">
      <c r="A1335" t="s">
        <v>799</v>
      </c>
      <c r="B1335" t="s">
        <v>25</v>
      </c>
      <c r="C1335" t="s">
        <v>87</v>
      </c>
      <c r="D1335" t="s">
        <v>3218</v>
      </c>
      <c r="E1335">
        <v>16.29</v>
      </c>
      <c r="F1335">
        <v>139.19</v>
      </c>
    </row>
    <row r="1336" spans="1:6" x14ac:dyDescent="0.25">
      <c r="A1336" t="s">
        <v>799</v>
      </c>
      <c r="B1336" t="s">
        <v>25</v>
      </c>
      <c r="C1336" t="s">
        <v>87</v>
      </c>
      <c r="D1336" t="s">
        <v>3219</v>
      </c>
      <c r="E1336">
        <v>36.29</v>
      </c>
      <c r="F1336">
        <v>138.93</v>
      </c>
    </row>
    <row r="1337" spans="1:6" x14ac:dyDescent="0.25">
      <c r="A1337" t="s">
        <v>800</v>
      </c>
      <c r="B1337" t="s">
        <v>25</v>
      </c>
      <c r="C1337" t="s">
        <v>88</v>
      </c>
      <c r="D1337" t="s">
        <v>3217</v>
      </c>
      <c r="E1337">
        <v>0</v>
      </c>
      <c r="F1337">
        <v>139.46</v>
      </c>
    </row>
    <row r="1338" spans="1:6" x14ac:dyDescent="0.25">
      <c r="A1338" t="s">
        <v>800</v>
      </c>
      <c r="B1338" t="s">
        <v>25</v>
      </c>
      <c r="C1338" t="s">
        <v>88</v>
      </c>
      <c r="D1338" t="s">
        <v>3218</v>
      </c>
      <c r="E1338">
        <v>20</v>
      </c>
      <c r="F1338">
        <v>139.36000000000001</v>
      </c>
    </row>
    <row r="1339" spans="1:6" x14ac:dyDescent="0.25">
      <c r="A1339" t="s">
        <v>800</v>
      </c>
      <c r="B1339" t="s">
        <v>25</v>
      </c>
      <c r="C1339" t="s">
        <v>88</v>
      </c>
      <c r="D1339" t="s">
        <v>3219</v>
      </c>
      <c r="E1339">
        <v>40</v>
      </c>
      <c r="F1339">
        <v>139.19999999999999</v>
      </c>
    </row>
    <row r="1340" spans="1:6" x14ac:dyDescent="0.25">
      <c r="A1340" t="s">
        <v>801</v>
      </c>
      <c r="B1340" t="s">
        <v>25</v>
      </c>
      <c r="C1340" t="s">
        <v>89</v>
      </c>
      <c r="D1340" t="s">
        <v>3217</v>
      </c>
      <c r="E1340">
        <v>0</v>
      </c>
      <c r="F1340">
        <v>139.43</v>
      </c>
    </row>
    <row r="1341" spans="1:6" x14ac:dyDescent="0.25">
      <c r="A1341" t="s">
        <v>801</v>
      </c>
      <c r="B1341" t="s">
        <v>25</v>
      </c>
      <c r="C1341" t="s">
        <v>89</v>
      </c>
      <c r="D1341" t="s">
        <v>3218</v>
      </c>
      <c r="E1341">
        <v>20</v>
      </c>
      <c r="F1341">
        <v>139.49</v>
      </c>
    </row>
    <row r="1342" spans="1:6" x14ac:dyDescent="0.25">
      <c r="A1342" t="s">
        <v>801</v>
      </c>
      <c r="B1342" t="s">
        <v>25</v>
      </c>
      <c r="C1342" t="s">
        <v>89</v>
      </c>
      <c r="D1342" t="s">
        <v>3219</v>
      </c>
      <c r="E1342">
        <v>40</v>
      </c>
      <c r="F1342">
        <v>139.19999999999999</v>
      </c>
    </row>
    <row r="1343" spans="1:6" x14ac:dyDescent="0.25">
      <c r="A1343" t="s">
        <v>802</v>
      </c>
      <c r="B1343" t="s">
        <v>25</v>
      </c>
      <c r="C1343" t="s">
        <v>90</v>
      </c>
      <c r="D1343" t="s">
        <v>3217</v>
      </c>
      <c r="E1343">
        <v>0</v>
      </c>
      <c r="F1343">
        <v>139.38</v>
      </c>
    </row>
    <row r="1344" spans="1:6" x14ac:dyDescent="0.25">
      <c r="A1344" t="s">
        <v>802</v>
      </c>
      <c r="B1344" t="s">
        <v>25</v>
      </c>
      <c r="C1344" t="s">
        <v>90</v>
      </c>
      <c r="D1344" t="s">
        <v>3218</v>
      </c>
      <c r="E1344">
        <v>20</v>
      </c>
      <c r="F1344">
        <v>139.38999999999999</v>
      </c>
    </row>
    <row r="1345" spans="1:6" x14ac:dyDescent="0.25">
      <c r="A1345" t="s">
        <v>802</v>
      </c>
      <c r="B1345" t="s">
        <v>25</v>
      </c>
      <c r="C1345" t="s">
        <v>90</v>
      </c>
      <c r="D1345" t="s">
        <v>3219</v>
      </c>
      <c r="E1345">
        <v>40</v>
      </c>
      <c r="F1345">
        <v>139.03</v>
      </c>
    </row>
    <row r="1346" spans="1:6" x14ac:dyDescent="0.25">
      <c r="A1346" t="s">
        <v>803</v>
      </c>
      <c r="B1346" t="s">
        <v>25</v>
      </c>
      <c r="C1346" t="s">
        <v>91</v>
      </c>
      <c r="D1346" t="s">
        <v>3217</v>
      </c>
      <c r="E1346">
        <v>0</v>
      </c>
      <c r="F1346">
        <v>138.99</v>
      </c>
    </row>
    <row r="1347" spans="1:6" x14ac:dyDescent="0.25">
      <c r="A1347" t="s">
        <v>803</v>
      </c>
      <c r="B1347" t="s">
        <v>25</v>
      </c>
      <c r="C1347" t="s">
        <v>91</v>
      </c>
      <c r="D1347" t="s">
        <v>3218</v>
      </c>
      <c r="E1347">
        <v>20</v>
      </c>
      <c r="F1347">
        <v>139.28</v>
      </c>
    </row>
    <row r="1348" spans="1:6" x14ac:dyDescent="0.25">
      <c r="A1348" t="s">
        <v>803</v>
      </c>
      <c r="B1348" t="s">
        <v>25</v>
      </c>
      <c r="C1348" t="s">
        <v>91</v>
      </c>
      <c r="D1348" t="s">
        <v>3219</v>
      </c>
      <c r="E1348">
        <v>40</v>
      </c>
      <c r="F1348">
        <v>138.78</v>
      </c>
    </row>
    <row r="1349" spans="1:6" x14ac:dyDescent="0.25">
      <c r="A1349" t="s">
        <v>804</v>
      </c>
      <c r="B1349" t="s">
        <v>25</v>
      </c>
      <c r="C1349" t="s">
        <v>92</v>
      </c>
      <c r="D1349" t="s">
        <v>3217</v>
      </c>
      <c r="E1349">
        <v>0</v>
      </c>
      <c r="F1349">
        <v>138.69</v>
      </c>
    </row>
    <row r="1350" spans="1:6" x14ac:dyDescent="0.25">
      <c r="A1350" t="s">
        <v>804</v>
      </c>
      <c r="B1350" t="s">
        <v>25</v>
      </c>
      <c r="C1350" t="s">
        <v>92</v>
      </c>
      <c r="D1350" t="s">
        <v>3218</v>
      </c>
      <c r="E1350">
        <v>16.989999999999998</v>
      </c>
      <c r="F1350">
        <v>138.96</v>
      </c>
    </row>
    <row r="1351" spans="1:6" x14ac:dyDescent="0.25">
      <c r="A1351" t="s">
        <v>804</v>
      </c>
      <c r="B1351" t="s">
        <v>25</v>
      </c>
      <c r="C1351" t="s">
        <v>92</v>
      </c>
      <c r="D1351" t="s">
        <v>3219</v>
      </c>
      <c r="E1351">
        <v>36.99</v>
      </c>
      <c r="F1351">
        <v>138.46</v>
      </c>
    </row>
    <row r="1352" spans="1:6" x14ac:dyDescent="0.25">
      <c r="A1352" t="s">
        <v>805</v>
      </c>
      <c r="B1352" t="s">
        <v>25</v>
      </c>
      <c r="C1352" t="s">
        <v>93</v>
      </c>
      <c r="D1352" t="s">
        <v>3217</v>
      </c>
      <c r="E1352">
        <v>0</v>
      </c>
      <c r="F1352">
        <v>138.57</v>
      </c>
    </row>
    <row r="1353" spans="1:6" x14ac:dyDescent="0.25">
      <c r="A1353" t="s">
        <v>805</v>
      </c>
      <c r="B1353" t="s">
        <v>25</v>
      </c>
      <c r="C1353" t="s">
        <v>93</v>
      </c>
      <c r="D1353" t="s">
        <v>3218</v>
      </c>
      <c r="E1353">
        <v>16.52</v>
      </c>
      <c r="F1353">
        <v>138.63</v>
      </c>
    </row>
    <row r="1354" spans="1:6" x14ac:dyDescent="0.25">
      <c r="A1354" t="s">
        <v>805</v>
      </c>
      <c r="B1354" t="s">
        <v>25</v>
      </c>
      <c r="C1354" t="s">
        <v>93</v>
      </c>
      <c r="D1354" t="s">
        <v>3219</v>
      </c>
      <c r="E1354">
        <v>36.520000000000003</v>
      </c>
      <c r="F1354">
        <v>138.1</v>
      </c>
    </row>
    <row r="1355" spans="1:6" x14ac:dyDescent="0.25">
      <c r="A1355" t="s">
        <v>806</v>
      </c>
      <c r="B1355" t="s">
        <v>25</v>
      </c>
      <c r="C1355" t="s">
        <v>94</v>
      </c>
      <c r="D1355" t="s">
        <v>3217</v>
      </c>
      <c r="E1355">
        <v>0</v>
      </c>
      <c r="F1355">
        <v>138.22999999999999</v>
      </c>
    </row>
    <row r="1356" spans="1:6" x14ac:dyDescent="0.25">
      <c r="A1356" t="s">
        <v>806</v>
      </c>
      <c r="B1356" t="s">
        <v>25</v>
      </c>
      <c r="C1356" t="s">
        <v>94</v>
      </c>
      <c r="D1356" t="s">
        <v>3218</v>
      </c>
      <c r="E1356">
        <v>16.16</v>
      </c>
      <c r="F1356">
        <v>138.16</v>
      </c>
    </row>
    <row r="1357" spans="1:6" x14ac:dyDescent="0.25">
      <c r="A1357" t="s">
        <v>806</v>
      </c>
      <c r="B1357" t="s">
        <v>25</v>
      </c>
      <c r="C1357" t="s">
        <v>94</v>
      </c>
      <c r="D1357" t="s">
        <v>3219</v>
      </c>
      <c r="E1357">
        <v>36.159999999999997</v>
      </c>
      <c r="F1357">
        <v>137.72</v>
      </c>
    </row>
    <row r="1358" spans="1:6" x14ac:dyDescent="0.25">
      <c r="A1358" t="s">
        <v>807</v>
      </c>
      <c r="B1358" t="s">
        <v>25</v>
      </c>
      <c r="C1358" t="s">
        <v>95</v>
      </c>
      <c r="D1358" t="s">
        <v>3217</v>
      </c>
      <c r="E1358">
        <v>0</v>
      </c>
      <c r="F1358">
        <v>137.72</v>
      </c>
    </row>
    <row r="1359" spans="1:6" x14ac:dyDescent="0.25">
      <c r="A1359" t="s">
        <v>807</v>
      </c>
      <c r="B1359" t="s">
        <v>25</v>
      </c>
      <c r="C1359" t="s">
        <v>95</v>
      </c>
      <c r="D1359" t="s">
        <v>3218</v>
      </c>
      <c r="E1359">
        <v>16.62</v>
      </c>
      <c r="F1359">
        <v>137.66</v>
      </c>
    </row>
    <row r="1360" spans="1:6" x14ac:dyDescent="0.25">
      <c r="A1360" t="s">
        <v>807</v>
      </c>
      <c r="B1360" t="s">
        <v>25</v>
      </c>
      <c r="C1360" t="s">
        <v>95</v>
      </c>
      <c r="D1360" t="s">
        <v>3219</v>
      </c>
      <c r="E1360">
        <v>36.619999999999997</v>
      </c>
      <c r="F1360">
        <v>137.13999999999999</v>
      </c>
    </row>
    <row r="1361" spans="1:6" x14ac:dyDescent="0.25">
      <c r="A1361" t="s">
        <v>808</v>
      </c>
      <c r="B1361" t="s">
        <v>25</v>
      </c>
      <c r="C1361" t="s">
        <v>96</v>
      </c>
      <c r="D1361" t="s">
        <v>3217</v>
      </c>
      <c r="E1361">
        <v>0</v>
      </c>
      <c r="F1361">
        <v>137.18</v>
      </c>
    </row>
    <row r="1362" spans="1:6" x14ac:dyDescent="0.25">
      <c r="A1362" t="s">
        <v>808</v>
      </c>
      <c r="B1362" t="s">
        <v>25</v>
      </c>
      <c r="C1362" t="s">
        <v>96</v>
      </c>
      <c r="D1362" t="s">
        <v>3218</v>
      </c>
      <c r="E1362">
        <v>16.62</v>
      </c>
      <c r="F1362">
        <v>137.13999999999999</v>
      </c>
    </row>
    <row r="1363" spans="1:6" x14ac:dyDescent="0.25">
      <c r="A1363" t="s">
        <v>808</v>
      </c>
      <c r="B1363" t="s">
        <v>25</v>
      </c>
      <c r="C1363" t="s">
        <v>96</v>
      </c>
      <c r="D1363" t="s">
        <v>3219</v>
      </c>
      <c r="E1363">
        <v>36.619999999999997</v>
      </c>
      <c r="F1363">
        <v>136.69</v>
      </c>
    </row>
    <row r="1364" spans="1:6" x14ac:dyDescent="0.25">
      <c r="A1364" t="s">
        <v>809</v>
      </c>
      <c r="B1364" t="s">
        <v>25</v>
      </c>
      <c r="C1364" t="s">
        <v>97</v>
      </c>
      <c r="D1364" t="s">
        <v>3217</v>
      </c>
      <c r="E1364">
        <v>0</v>
      </c>
      <c r="F1364">
        <v>136.86000000000001</v>
      </c>
    </row>
    <row r="1365" spans="1:6" x14ac:dyDescent="0.25">
      <c r="A1365" t="s">
        <v>809</v>
      </c>
      <c r="B1365" t="s">
        <v>25</v>
      </c>
      <c r="C1365" t="s">
        <v>97</v>
      </c>
      <c r="D1365" t="s">
        <v>3218</v>
      </c>
      <c r="E1365">
        <v>16.62</v>
      </c>
      <c r="F1365">
        <v>136.75</v>
      </c>
    </row>
    <row r="1366" spans="1:6" x14ac:dyDescent="0.25">
      <c r="A1366" t="s">
        <v>809</v>
      </c>
      <c r="B1366" t="s">
        <v>25</v>
      </c>
      <c r="C1366" t="s">
        <v>97</v>
      </c>
      <c r="D1366" t="s">
        <v>3219</v>
      </c>
      <c r="E1366">
        <v>36.619999999999997</v>
      </c>
      <c r="F1366">
        <v>136.85</v>
      </c>
    </row>
    <row r="1367" spans="1:6" x14ac:dyDescent="0.25">
      <c r="A1367" t="s">
        <v>810</v>
      </c>
      <c r="B1367" t="s">
        <v>25</v>
      </c>
      <c r="C1367" t="s">
        <v>98</v>
      </c>
      <c r="D1367" t="s">
        <v>3217</v>
      </c>
      <c r="E1367">
        <v>0</v>
      </c>
      <c r="F1367">
        <v>136.38</v>
      </c>
    </row>
    <row r="1368" spans="1:6" x14ac:dyDescent="0.25">
      <c r="A1368" t="s">
        <v>810</v>
      </c>
      <c r="B1368" t="s">
        <v>25</v>
      </c>
      <c r="C1368" t="s">
        <v>98</v>
      </c>
      <c r="D1368" t="s">
        <v>3218</v>
      </c>
      <c r="E1368">
        <v>15.9</v>
      </c>
      <c r="F1368">
        <v>136.54</v>
      </c>
    </row>
    <row r="1369" spans="1:6" x14ac:dyDescent="0.25">
      <c r="A1369" t="s">
        <v>810</v>
      </c>
      <c r="B1369" t="s">
        <v>25</v>
      </c>
      <c r="C1369" t="s">
        <v>98</v>
      </c>
      <c r="D1369" t="s">
        <v>3219</v>
      </c>
      <c r="E1369">
        <v>35.9</v>
      </c>
      <c r="F1369">
        <v>136.47</v>
      </c>
    </row>
    <row r="1370" spans="1:6" x14ac:dyDescent="0.25">
      <c r="A1370" t="s">
        <v>811</v>
      </c>
      <c r="B1370" t="s">
        <v>25</v>
      </c>
      <c r="C1370" t="s">
        <v>99</v>
      </c>
      <c r="D1370" t="s">
        <v>3217</v>
      </c>
      <c r="E1370">
        <v>0</v>
      </c>
      <c r="F1370">
        <v>135.75</v>
      </c>
    </row>
    <row r="1371" spans="1:6" x14ac:dyDescent="0.25">
      <c r="A1371" t="s">
        <v>811</v>
      </c>
      <c r="B1371" t="s">
        <v>25</v>
      </c>
      <c r="C1371" t="s">
        <v>99</v>
      </c>
      <c r="D1371" t="s">
        <v>3218</v>
      </c>
      <c r="E1371">
        <v>15.67</v>
      </c>
      <c r="F1371">
        <v>135.97</v>
      </c>
    </row>
    <row r="1372" spans="1:6" x14ac:dyDescent="0.25">
      <c r="A1372" t="s">
        <v>811</v>
      </c>
      <c r="B1372" t="s">
        <v>25</v>
      </c>
      <c r="C1372" t="s">
        <v>99</v>
      </c>
      <c r="D1372" t="s">
        <v>3219</v>
      </c>
      <c r="E1372">
        <v>28.37</v>
      </c>
      <c r="F1372">
        <v>135.86000000000001</v>
      </c>
    </row>
    <row r="1373" spans="1:6" x14ac:dyDescent="0.25">
      <c r="A1373" t="s">
        <v>812</v>
      </c>
      <c r="B1373" t="s">
        <v>25</v>
      </c>
      <c r="C1373" t="s">
        <v>100</v>
      </c>
      <c r="D1373" t="s">
        <v>3217</v>
      </c>
      <c r="E1373">
        <v>0</v>
      </c>
      <c r="F1373">
        <v>134.65</v>
      </c>
    </row>
    <row r="1374" spans="1:6" x14ac:dyDescent="0.25">
      <c r="A1374" t="s">
        <v>812</v>
      </c>
      <c r="B1374" t="s">
        <v>25</v>
      </c>
      <c r="C1374" t="s">
        <v>100</v>
      </c>
      <c r="D1374" t="s">
        <v>3218</v>
      </c>
      <c r="E1374">
        <v>14.83</v>
      </c>
      <c r="F1374">
        <v>135.19</v>
      </c>
    </row>
    <row r="1375" spans="1:6" x14ac:dyDescent="0.25">
      <c r="A1375" t="s">
        <v>812</v>
      </c>
      <c r="B1375" t="s">
        <v>25</v>
      </c>
      <c r="C1375" t="s">
        <v>100</v>
      </c>
      <c r="D1375" t="s">
        <v>3219</v>
      </c>
      <c r="E1375">
        <v>28.63</v>
      </c>
      <c r="F1375">
        <v>135.02000000000001</v>
      </c>
    </row>
    <row r="1376" spans="1:6" x14ac:dyDescent="0.25">
      <c r="A1376" t="s">
        <v>813</v>
      </c>
      <c r="B1376" t="s">
        <v>25</v>
      </c>
      <c r="C1376" t="s">
        <v>101</v>
      </c>
      <c r="D1376" t="s">
        <v>3217</v>
      </c>
      <c r="E1376">
        <v>0</v>
      </c>
      <c r="F1376">
        <v>134.05000000000001</v>
      </c>
    </row>
    <row r="1377" spans="1:6" x14ac:dyDescent="0.25">
      <c r="A1377" t="s">
        <v>813</v>
      </c>
      <c r="B1377" t="s">
        <v>25</v>
      </c>
      <c r="C1377" t="s">
        <v>101</v>
      </c>
      <c r="D1377" t="s">
        <v>3218</v>
      </c>
      <c r="E1377">
        <v>15.39</v>
      </c>
      <c r="F1377">
        <v>134.49</v>
      </c>
    </row>
    <row r="1378" spans="1:6" x14ac:dyDescent="0.25">
      <c r="A1378" t="s">
        <v>813</v>
      </c>
      <c r="B1378" t="s">
        <v>25</v>
      </c>
      <c r="C1378" t="s">
        <v>101</v>
      </c>
      <c r="D1378" t="s">
        <v>3219</v>
      </c>
      <c r="E1378">
        <v>28.37</v>
      </c>
      <c r="F1378">
        <v>134.29</v>
      </c>
    </row>
    <row r="1379" spans="1:6" x14ac:dyDescent="0.25">
      <c r="A1379" t="s">
        <v>814</v>
      </c>
      <c r="B1379" t="s">
        <v>25</v>
      </c>
      <c r="C1379" t="s">
        <v>102</v>
      </c>
      <c r="D1379" t="s">
        <v>3217</v>
      </c>
      <c r="E1379">
        <v>0</v>
      </c>
      <c r="F1379">
        <v>133.44999999999999</v>
      </c>
    </row>
    <row r="1380" spans="1:6" x14ac:dyDescent="0.25">
      <c r="A1380" t="s">
        <v>814</v>
      </c>
      <c r="B1380" t="s">
        <v>25</v>
      </c>
      <c r="C1380" t="s">
        <v>102</v>
      </c>
      <c r="D1380" t="s">
        <v>3218</v>
      </c>
      <c r="E1380">
        <v>15.59</v>
      </c>
      <c r="F1380">
        <v>133.97</v>
      </c>
    </row>
    <row r="1381" spans="1:6" x14ac:dyDescent="0.25">
      <c r="A1381" t="s">
        <v>814</v>
      </c>
      <c r="B1381" t="s">
        <v>25</v>
      </c>
      <c r="C1381" t="s">
        <v>102</v>
      </c>
      <c r="D1381" t="s">
        <v>3219</v>
      </c>
      <c r="E1381">
        <v>27.73</v>
      </c>
      <c r="F1381">
        <v>133.74</v>
      </c>
    </row>
    <row r="1382" spans="1:6" x14ac:dyDescent="0.25">
      <c r="A1382" t="s">
        <v>815</v>
      </c>
      <c r="B1382" t="s">
        <v>25</v>
      </c>
      <c r="C1382" t="s">
        <v>103</v>
      </c>
      <c r="D1382" t="s">
        <v>3217</v>
      </c>
      <c r="E1382">
        <v>0</v>
      </c>
      <c r="F1382">
        <v>133.11000000000001</v>
      </c>
    </row>
    <row r="1383" spans="1:6" x14ac:dyDescent="0.25">
      <c r="A1383" t="s">
        <v>815</v>
      </c>
      <c r="B1383" t="s">
        <v>25</v>
      </c>
      <c r="C1383" t="s">
        <v>103</v>
      </c>
      <c r="D1383" t="s">
        <v>3218</v>
      </c>
      <c r="E1383">
        <v>14.99</v>
      </c>
      <c r="F1383">
        <v>133.59</v>
      </c>
    </row>
    <row r="1384" spans="1:6" x14ac:dyDescent="0.25">
      <c r="A1384" t="s">
        <v>815</v>
      </c>
      <c r="B1384" t="s">
        <v>25</v>
      </c>
      <c r="C1384" t="s">
        <v>103</v>
      </c>
      <c r="D1384" t="s">
        <v>3219</v>
      </c>
      <c r="E1384">
        <v>28.55</v>
      </c>
      <c r="F1384">
        <v>133.68</v>
      </c>
    </row>
    <row r="1385" spans="1:6" x14ac:dyDescent="0.25">
      <c r="A1385" t="s">
        <v>816</v>
      </c>
      <c r="B1385" t="s">
        <v>25</v>
      </c>
      <c r="C1385" t="s">
        <v>104</v>
      </c>
      <c r="D1385" t="s">
        <v>3217</v>
      </c>
      <c r="E1385">
        <v>0</v>
      </c>
      <c r="F1385">
        <v>133.22</v>
      </c>
    </row>
    <row r="1386" spans="1:6" x14ac:dyDescent="0.25">
      <c r="A1386" t="s">
        <v>816</v>
      </c>
      <c r="B1386" t="s">
        <v>25</v>
      </c>
      <c r="C1386" t="s">
        <v>104</v>
      </c>
      <c r="D1386" t="s">
        <v>3218</v>
      </c>
      <c r="E1386">
        <v>15.49</v>
      </c>
      <c r="F1386">
        <v>133.58000000000001</v>
      </c>
    </row>
    <row r="1387" spans="1:6" x14ac:dyDescent="0.25">
      <c r="A1387" t="s">
        <v>816</v>
      </c>
      <c r="B1387" t="s">
        <v>25</v>
      </c>
      <c r="C1387" t="s">
        <v>104</v>
      </c>
      <c r="D1387" t="s">
        <v>3219</v>
      </c>
      <c r="E1387">
        <v>30.57</v>
      </c>
      <c r="F1387">
        <v>133.57</v>
      </c>
    </row>
    <row r="1388" spans="1:6" x14ac:dyDescent="0.25">
      <c r="A1388" t="s">
        <v>817</v>
      </c>
      <c r="B1388" t="s">
        <v>25</v>
      </c>
      <c r="C1388" t="s">
        <v>105</v>
      </c>
      <c r="D1388" t="s">
        <v>3217</v>
      </c>
      <c r="E1388">
        <v>0</v>
      </c>
      <c r="F1388">
        <v>133.33000000000001</v>
      </c>
    </row>
    <row r="1389" spans="1:6" x14ac:dyDescent="0.25">
      <c r="A1389" t="s">
        <v>817</v>
      </c>
      <c r="B1389" t="s">
        <v>25</v>
      </c>
      <c r="C1389" t="s">
        <v>105</v>
      </c>
      <c r="D1389" t="s">
        <v>3218</v>
      </c>
      <c r="E1389">
        <v>15.88</v>
      </c>
      <c r="F1389">
        <v>133.57</v>
      </c>
    </row>
    <row r="1390" spans="1:6" x14ac:dyDescent="0.25">
      <c r="A1390" t="s">
        <v>817</v>
      </c>
      <c r="B1390" t="s">
        <v>25</v>
      </c>
      <c r="C1390" t="s">
        <v>105</v>
      </c>
      <c r="D1390" t="s">
        <v>3219</v>
      </c>
      <c r="E1390">
        <v>31.89</v>
      </c>
      <c r="F1390">
        <v>133.29</v>
      </c>
    </row>
    <row r="1391" spans="1:6" x14ac:dyDescent="0.25">
      <c r="A1391" t="s">
        <v>818</v>
      </c>
      <c r="B1391" t="s">
        <v>25</v>
      </c>
      <c r="C1391" t="s">
        <v>106</v>
      </c>
      <c r="D1391" t="s">
        <v>3217</v>
      </c>
      <c r="E1391">
        <v>0</v>
      </c>
      <c r="F1391">
        <v>133.41</v>
      </c>
    </row>
    <row r="1392" spans="1:6" x14ac:dyDescent="0.25">
      <c r="A1392" t="s">
        <v>818</v>
      </c>
      <c r="B1392" t="s">
        <v>25</v>
      </c>
      <c r="C1392" t="s">
        <v>106</v>
      </c>
      <c r="D1392" t="s">
        <v>3218</v>
      </c>
      <c r="E1392">
        <v>15.88</v>
      </c>
      <c r="F1392">
        <v>133.56</v>
      </c>
    </row>
    <row r="1393" spans="1:6" x14ac:dyDescent="0.25">
      <c r="A1393" t="s">
        <v>818</v>
      </c>
      <c r="B1393" t="s">
        <v>25</v>
      </c>
      <c r="C1393" t="s">
        <v>106</v>
      </c>
      <c r="D1393" t="s">
        <v>3219</v>
      </c>
      <c r="E1393">
        <v>31.89</v>
      </c>
      <c r="F1393">
        <v>133</v>
      </c>
    </row>
    <row r="1394" spans="1:6" x14ac:dyDescent="0.25">
      <c r="A1394" t="s">
        <v>819</v>
      </c>
      <c r="B1394" t="s">
        <v>25</v>
      </c>
      <c r="C1394" t="s">
        <v>169</v>
      </c>
      <c r="D1394" t="s">
        <v>3217</v>
      </c>
      <c r="E1394">
        <v>0</v>
      </c>
      <c r="F1394">
        <v>133.4</v>
      </c>
    </row>
    <row r="1395" spans="1:6" x14ac:dyDescent="0.25">
      <c r="A1395" t="s">
        <v>819</v>
      </c>
      <c r="B1395" t="s">
        <v>25</v>
      </c>
      <c r="C1395" t="s">
        <v>169</v>
      </c>
      <c r="D1395" t="s">
        <v>3218</v>
      </c>
      <c r="E1395">
        <v>15.88</v>
      </c>
      <c r="F1395">
        <v>133.47999999999999</v>
      </c>
    </row>
    <row r="1396" spans="1:6" x14ac:dyDescent="0.25">
      <c r="A1396" t="s">
        <v>819</v>
      </c>
      <c r="B1396" t="s">
        <v>25</v>
      </c>
      <c r="C1396" t="s">
        <v>169</v>
      </c>
      <c r="D1396" t="s">
        <v>3219</v>
      </c>
      <c r="E1396">
        <v>31.89</v>
      </c>
      <c r="F1396">
        <v>132.96</v>
      </c>
    </row>
    <row r="1397" spans="1:6" x14ac:dyDescent="0.25">
      <c r="A1397" t="s">
        <v>820</v>
      </c>
      <c r="B1397" t="s">
        <v>26</v>
      </c>
      <c r="C1397" t="s">
        <v>56</v>
      </c>
      <c r="D1397" t="s">
        <v>3217</v>
      </c>
      <c r="E1397">
        <v>0</v>
      </c>
      <c r="F1397">
        <v>133.15</v>
      </c>
    </row>
    <row r="1398" spans="1:6" x14ac:dyDescent="0.25">
      <c r="A1398" t="s">
        <v>820</v>
      </c>
      <c r="B1398" t="s">
        <v>26</v>
      </c>
      <c r="C1398" t="s">
        <v>56</v>
      </c>
      <c r="D1398" t="s">
        <v>3218</v>
      </c>
      <c r="E1398">
        <v>15.17</v>
      </c>
      <c r="F1398">
        <v>133.47</v>
      </c>
    </row>
    <row r="1399" spans="1:6" x14ac:dyDescent="0.25">
      <c r="A1399" t="s">
        <v>820</v>
      </c>
      <c r="B1399" t="s">
        <v>26</v>
      </c>
      <c r="C1399" t="s">
        <v>56</v>
      </c>
      <c r="D1399" t="s">
        <v>3219</v>
      </c>
      <c r="E1399">
        <v>30.44</v>
      </c>
      <c r="F1399">
        <v>133.94</v>
      </c>
    </row>
    <row r="1400" spans="1:6" x14ac:dyDescent="0.25">
      <c r="A1400" t="s">
        <v>821</v>
      </c>
      <c r="B1400" t="s">
        <v>26</v>
      </c>
      <c r="C1400" t="s">
        <v>57</v>
      </c>
      <c r="D1400" t="s">
        <v>3217</v>
      </c>
      <c r="E1400">
        <v>0</v>
      </c>
      <c r="F1400">
        <v>133.52000000000001</v>
      </c>
    </row>
    <row r="1401" spans="1:6" x14ac:dyDescent="0.25">
      <c r="A1401" t="s">
        <v>821</v>
      </c>
      <c r="B1401" t="s">
        <v>26</v>
      </c>
      <c r="C1401" t="s">
        <v>57</v>
      </c>
      <c r="D1401" t="s">
        <v>3218</v>
      </c>
      <c r="E1401">
        <v>13.73</v>
      </c>
      <c r="F1401">
        <v>133.93</v>
      </c>
    </row>
    <row r="1402" spans="1:6" x14ac:dyDescent="0.25">
      <c r="A1402" t="s">
        <v>821</v>
      </c>
      <c r="B1402" t="s">
        <v>26</v>
      </c>
      <c r="C1402" t="s">
        <v>57</v>
      </c>
      <c r="D1402" t="s">
        <v>3219</v>
      </c>
      <c r="E1402">
        <v>29</v>
      </c>
      <c r="F1402">
        <v>134.33000000000001</v>
      </c>
    </row>
    <row r="1403" spans="1:6" x14ac:dyDescent="0.25">
      <c r="A1403" t="s">
        <v>822</v>
      </c>
      <c r="B1403" t="s">
        <v>26</v>
      </c>
      <c r="C1403" t="s">
        <v>58</v>
      </c>
      <c r="D1403" t="s">
        <v>3217</v>
      </c>
      <c r="E1403">
        <v>0</v>
      </c>
      <c r="F1403">
        <v>133.77000000000001</v>
      </c>
    </row>
    <row r="1404" spans="1:6" x14ac:dyDescent="0.25">
      <c r="A1404" t="s">
        <v>822</v>
      </c>
      <c r="B1404" t="s">
        <v>26</v>
      </c>
      <c r="C1404" t="s">
        <v>58</v>
      </c>
      <c r="D1404" t="s">
        <v>3218</v>
      </c>
      <c r="E1404">
        <v>13.15</v>
      </c>
      <c r="F1404">
        <v>134.31</v>
      </c>
    </row>
    <row r="1405" spans="1:6" x14ac:dyDescent="0.25">
      <c r="A1405" t="s">
        <v>822</v>
      </c>
      <c r="B1405" t="s">
        <v>26</v>
      </c>
      <c r="C1405" t="s">
        <v>58</v>
      </c>
      <c r="D1405" t="s">
        <v>3219</v>
      </c>
      <c r="E1405">
        <v>28.42</v>
      </c>
      <c r="F1405">
        <v>134.51</v>
      </c>
    </row>
    <row r="1406" spans="1:6" x14ac:dyDescent="0.25">
      <c r="A1406" t="s">
        <v>823</v>
      </c>
      <c r="B1406" t="s">
        <v>26</v>
      </c>
      <c r="C1406" t="s">
        <v>59</v>
      </c>
      <c r="D1406" t="s">
        <v>3217</v>
      </c>
      <c r="E1406">
        <v>0</v>
      </c>
      <c r="F1406">
        <v>133.94999999999999</v>
      </c>
    </row>
    <row r="1407" spans="1:6" x14ac:dyDescent="0.25">
      <c r="A1407" t="s">
        <v>823</v>
      </c>
      <c r="B1407" t="s">
        <v>26</v>
      </c>
      <c r="C1407" t="s">
        <v>59</v>
      </c>
      <c r="D1407" t="s">
        <v>3218</v>
      </c>
      <c r="E1407">
        <v>13.23</v>
      </c>
      <c r="F1407">
        <v>134.44999999999999</v>
      </c>
    </row>
    <row r="1408" spans="1:6" x14ac:dyDescent="0.25">
      <c r="A1408" t="s">
        <v>823</v>
      </c>
      <c r="B1408" t="s">
        <v>26</v>
      </c>
      <c r="C1408" t="s">
        <v>59</v>
      </c>
      <c r="D1408" t="s">
        <v>3219</v>
      </c>
      <c r="E1408">
        <v>29.63</v>
      </c>
      <c r="F1408">
        <v>134.76</v>
      </c>
    </row>
    <row r="1409" spans="1:6" x14ac:dyDescent="0.25">
      <c r="A1409" t="s">
        <v>824</v>
      </c>
      <c r="B1409" t="s">
        <v>26</v>
      </c>
      <c r="C1409" t="s">
        <v>60</v>
      </c>
      <c r="D1409" t="s">
        <v>3217</v>
      </c>
      <c r="E1409">
        <v>0</v>
      </c>
      <c r="F1409">
        <v>134.01</v>
      </c>
    </row>
    <row r="1410" spans="1:6" x14ac:dyDescent="0.25">
      <c r="A1410" t="s">
        <v>824</v>
      </c>
      <c r="B1410" t="s">
        <v>26</v>
      </c>
      <c r="C1410" t="s">
        <v>60</v>
      </c>
      <c r="D1410" t="s">
        <v>3218</v>
      </c>
      <c r="E1410">
        <v>15.89</v>
      </c>
      <c r="F1410">
        <v>134.61000000000001</v>
      </c>
    </row>
    <row r="1411" spans="1:6" x14ac:dyDescent="0.25">
      <c r="A1411" t="s">
        <v>824</v>
      </c>
      <c r="B1411" t="s">
        <v>26</v>
      </c>
      <c r="C1411" t="s">
        <v>60</v>
      </c>
      <c r="D1411" t="s">
        <v>3219</v>
      </c>
      <c r="E1411">
        <v>32.01</v>
      </c>
      <c r="F1411">
        <v>134.76</v>
      </c>
    </row>
    <row r="1412" spans="1:6" x14ac:dyDescent="0.25">
      <c r="A1412" t="s">
        <v>825</v>
      </c>
      <c r="B1412" t="s">
        <v>26</v>
      </c>
      <c r="C1412" t="s">
        <v>61</v>
      </c>
      <c r="D1412" t="s">
        <v>3217</v>
      </c>
      <c r="E1412">
        <v>0</v>
      </c>
      <c r="F1412">
        <v>134.15</v>
      </c>
    </row>
    <row r="1413" spans="1:6" x14ac:dyDescent="0.25">
      <c r="A1413" t="s">
        <v>825</v>
      </c>
      <c r="B1413" t="s">
        <v>26</v>
      </c>
      <c r="C1413" t="s">
        <v>61</v>
      </c>
      <c r="D1413" t="s">
        <v>3218</v>
      </c>
      <c r="E1413">
        <v>20</v>
      </c>
      <c r="F1413">
        <v>134.71</v>
      </c>
    </row>
    <row r="1414" spans="1:6" x14ac:dyDescent="0.25">
      <c r="A1414" t="s">
        <v>825</v>
      </c>
      <c r="B1414" t="s">
        <v>26</v>
      </c>
      <c r="C1414" t="s">
        <v>61</v>
      </c>
      <c r="D1414" t="s">
        <v>3219</v>
      </c>
      <c r="E1414">
        <v>37.28</v>
      </c>
      <c r="F1414">
        <v>134.72999999999999</v>
      </c>
    </row>
    <row r="1415" spans="1:6" x14ac:dyDescent="0.25">
      <c r="A1415" t="s">
        <v>826</v>
      </c>
      <c r="B1415" t="s">
        <v>26</v>
      </c>
      <c r="C1415" t="s">
        <v>62</v>
      </c>
      <c r="D1415" t="s">
        <v>3217</v>
      </c>
      <c r="E1415">
        <v>0</v>
      </c>
      <c r="F1415">
        <v>135.07</v>
      </c>
    </row>
    <row r="1416" spans="1:6" x14ac:dyDescent="0.25">
      <c r="A1416" t="s">
        <v>826</v>
      </c>
      <c r="B1416" t="s">
        <v>26</v>
      </c>
      <c r="C1416" t="s">
        <v>62</v>
      </c>
      <c r="D1416" t="s">
        <v>3218</v>
      </c>
      <c r="E1416">
        <v>20</v>
      </c>
      <c r="F1416">
        <v>134.53</v>
      </c>
    </row>
    <row r="1417" spans="1:6" x14ac:dyDescent="0.25">
      <c r="A1417" t="s">
        <v>826</v>
      </c>
      <c r="B1417" t="s">
        <v>26</v>
      </c>
      <c r="C1417" t="s">
        <v>62</v>
      </c>
      <c r="D1417" t="s">
        <v>3219</v>
      </c>
      <c r="E1417">
        <v>37.06</v>
      </c>
      <c r="F1417">
        <v>134.71</v>
      </c>
    </row>
    <row r="1418" spans="1:6" x14ac:dyDescent="0.25">
      <c r="A1418" t="s">
        <v>827</v>
      </c>
      <c r="B1418" t="s">
        <v>26</v>
      </c>
      <c r="C1418" t="s">
        <v>63</v>
      </c>
      <c r="D1418" t="s">
        <v>3217</v>
      </c>
      <c r="E1418">
        <v>0</v>
      </c>
      <c r="F1418">
        <v>133.81</v>
      </c>
    </row>
    <row r="1419" spans="1:6" x14ac:dyDescent="0.25">
      <c r="A1419" t="s">
        <v>827</v>
      </c>
      <c r="B1419" t="s">
        <v>26</v>
      </c>
      <c r="C1419" t="s">
        <v>63</v>
      </c>
      <c r="D1419" t="s">
        <v>3218</v>
      </c>
      <c r="E1419">
        <v>20</v>
      </c>
      <c r="F1419">
        <v>134.38999999999999</v>
      </c>
    </row>
    <row r="1420" spans="1:6" x14ac:dyDescent="0.25">
      <c r="A1420" t="s">
        <v>827</v>
      </c>
      <c r="B1420" t="s">
        <v>26</v>
      </c>
      <c r="C1420" t="s">
        <v>63</v>
      </c>
      <c r="D1420" t="s">
        <v>3219</v>
      </c>
      <c r="E1420">
        <v>36.380000000000003</v>
      </c>
      <c r="F1420">
        <v>134.47</v>
      </c>
    </row>
    <row r="1421" spans="1:6" x14ac:dyDescent="0.25">
      <c r="A1421" t="s">
        <v>828</v>
      </c>
      <c r="B1421" t="s">
        <v>26</v>
      </c>
      <c r="C1421" t="s">
        <v>64</v>
      </c>
      <c r="D1421" t="s">
        <v>3217</v>
      </c>
      <c r="E1421">
        <v>0</v>
      </c>
      <c r="F1421">
        <v>134.57</v>
      </c>
    </row>
    <row r="1422" spans="1:6" x14ac:dyDescent="0.25">
      <c r="A1422" t="s">
        <v>828</v>
      </c>
      <c r="B1422" t="s">
        <v>26</v>
      </c>
      <c r="C1422" t="s">
        <v>64</v>
      </c>
      <c r="D1422" t="s">
        <v>3218</v>
      </c>
      <c r="E1422">
        <v>20</v>
      </c>
      <c r="F1422">
        <v>133.9</v>
      </c>
    </row>
    <row r="1423" spans="1:6" x14ac:dyDescent="0.25">
      <c r="A1423" t="s">
        <v>828</v>
      </c>
      <c r="B1423" t="s">
        <v>26</v>
      </c>
      <c r="C1423" t="s">
        <v>64</v>
      </c>
      <c r="D1423" t="s">
        <v>3219</v>
      </c>
      <c r="E1423">
        <v>37.159999999999997</v>
      </c>
      <c r="F1423">
        <v>134.19999999999999</v>
      </c>
    </row>
    <row r="1424" spans="1:6" x14ac:dyDescent="0.25">
      <c r="A1424" t="s">
        <v>829</v>
      </c>
      <c r="B1424" t="s">
        <v>26</v>
      </c>
      <c r="C1424" t="s">
        <v>65</v>
      </c>
      <c r="D1424" t="s">
        <v>3217</v>
      </c>
      <c r="E1424">
        <v>0</v>
      </c>
      <c r="F1424">
        <v>133.30000000000001</v>
      </c>
    </row>
    <row r="1425" spans="1:6" x14ac:dyDescent="0.25">
      <c r="A1425" t="s">
        <v>829</v>
      </c>
      <c r="B1425" t="s">
        <v>26</v>
      </c>
      <c r="C1425" t="s">
        <v>65</v>
      </c>
      <c r="D1425" t="s">
        <v>3218</v>
      </c>
      <c r="E1425">
        <v>20</v>
      </c>
      <c r="F1425">
        <v>133.54</v>
      </c>
    </row>
    <row r="1426" spans="1:6" x14ac:dyDescent="0.25">
      <c r="A1426" t="s">
        <v>829</v>
      </c>
      <c r="B1426" t="s">
        <v>26</v>
      </c>
      <c r="C1426" t="s">
        <v>65</v>
      </c>
      <c r="D1426" t="s">
        <v>3219</v>
      </c>
      <c r="E1426">
        <v>40</v>
      </c>
      <c r="F1426">
        <v>133.72</v>
      </c>
    </row>
    <row r="1427" spans="1:6" x14ac:dyDescent="0.25">
      <c r="A1427" t="s">
        <v>830</v>
      </c>
      <c r="B1427" t="s">
        <v>26</v>
      </c>
      <c r="C1427" t="s">
        <v>66</v>
      </c>
      <c r="D1427" t="s">
        <v>3217</v>
      </c>
      <c r="E1427">
        <v>0</v>
      </c>
      <c r="F1427">
        <v>132.63999999999999</v>
      </c>
    </row>
    <row r="1428" spans="1:6" x14ac:dyDescent="0.25">
      <c r="A1428" t="s">
        <v>830</v>
      </c>
      <c r="B1428" t="s">
        <v>26</v>
      </c>
      <c r="C1428" t="s">
        <v>66</v>
      </c>
      <c r="D1428" t="s">
        <v>3218</v>
      </c>
      <c r="E1428">
        <v>20</v>
      </c>
      <c r="F1428">
        <v>132.88</v>
      </c>
    </row>
    <row r="1429" spans="1:6" x14ac:dyDescent="0.25">
      <c r="A1429" t="s">
        <v>830</v>
      </c>
      <c r="B1429" t="s">
        <v>26</v>
      </c>
      <c r="C1429" t="s">
        <v>66</v>
      </c>
      <c r="D1429" t="s">
        <v>3219</v>
      </c>
      <c r="E1429">
        <v>40</v>
      </c>
      <c r="F1429">
        <v>133.31</v>
      </c>
    </row>
    <row r="1430" spans="1:6" x14ac:dyDescent="0.25">
      <c r="A1430" t="s">
        <v>831</v>
      </c>
      <c r="B1430" t="s">
        <v>26</v>
      </c>
      <c r="C1430" t="s">
        <v>67</v>
      </c>
      <c r="D1430" t="s">
        <v>3217</v>
      </c>
      <c r="E1430">
        <v>0</v>
      </c>
      <c r="F1430">
        <v>132.31</v>
      </c>
    </row>
    <row r="1431" spans="1:6" x14ac:dyDescent="0.25">
      <c r="A1431" t="s">
        <v>831</v>
      </c>
      <c r="B1431" t="s">
        <v>26</v>
      </c>
      <c r="C1431" t="s">
        <v>67</v>
      </c>
      <c r="D1431" t="s">
        <v>3218</v>
      </c>
      <c r="E1431">
        <v>20</v>
      </c>
      <c r="F1431">
        <v>132.27000000000001</v>
      </c>
    </row>
    <row r="1432" spans="1:6" x14ac:dyDescent="0.25">
      <c r="A1432" t="s">
        <v>831</v>
      </c>
      <c r="B1432" t="s">
        <v>26</v>
      </c>
      <c r="C1432" t="s">
        <v>67</v>
      </c>
      <c r="D1432" t="s">
        <v>3219</v>
      </c>
      <c r="E1432">
        <v>40</v>
      </c>
      <c r="F1432">
        <v>132.9</v>
      </c>
    </row>
    <row r="1433" spans="1:6" x14ac:dyDescent="0.25">
      <c r="A1433" t="s">
        <v>832</v>
      </c>
      <c r="B1433" t="s">
        <v>26</v>
      </c>
      <c r="C1433" t="s">
        <v>68</v>
      </c>
      <c r="D1433" t="s">
        <v>3217</v>
      </c>
      <c r="E1433">
        <v>0</v>
      </c>
      <c r="F1433">
        <v>131.56</v>
      </c>
    </row>
    <row r="1434" spans="1:6" x14ac:dyDescent="0.25">
      <c r="A1434" t="s">
        <v>832</v>
      </c>
      <c r="B1434" t="s">
        <v>26</v>
      </c>
      <c r="C1434" t="s">
        <v>68</v>
      </c>
      <c r="D1434" t="s">
        <v>3218</v>
      </c>
      <c r="E1434">
        <v>20</v>
      </c>
      <c r="F1434">
        <v>132.03</v>
      </c>
    </row>
    <row r="1435" spans="1:6" x14ac:dyDescent="0.25">
      <c r="A1435" t="s">
        <v>832</v>
      </c>
      <c r="B1435" t="s">
        <v>26</v>
      </c>
      <c r="C1435" t="s">
        <v>68</v>
      </c>
      <c r="D1435" t="s">
        <v>3219</v>
      </c>
      <c r="E1435">
        <v>40</v>
      </c>
      <c r="F1435">
        <v>132.38999999999999</v>
      </c>
    </row>
    <row r="1436" spans="1:6" x14ac:dyDescent="0.25">
      <c r="A1436" t="s">
        <v>833</v>
      </c>
      <c r="B1436" t="s">
        <v>26</v>
      </c>
      <c r="C1436" t="s">
        <v>69</v>
      </c>
      <c r="D1436" t="s">
        <v>3217</v>
      </c>
      <c r="E1436">
        <v>0</v>
      </c>
      <c r="F1436">
        <v>130.84</v>
      </c>
    </row>
    <row r="1437" spans="1:6" x14ac:dyDescent="0.25">
      <c r="A1437" t="s">
        <v>833</v>
      </c>
      <c r="B1437" t="s">
        <v>26</v>
      </c>
      <c r="C1437" t="s">
        <v>69</v>
      </c>
      <c r="D1437" t="s">
        <v>3218</v>
      </c>
      <c r="E1437">
        <v>20</v>
      </c>
      <c r="F1437">
        <v>131.31</v>
      </c>
    </row>
    <row r="1438" spans="1:6" x14ac:dyDescent="0.25">
      <c r="A1438" t="s">
        <v>833</v>
      </c>
      <c r="B1438" t="s">
        <v>26</v>
      </c>
      <c r="C1438" t="s">
        <v>69</v>
      </c>
      <c r="D1438" t="s">
        <v>3219</v>
      </c>
      <c r="E1438">
        <v>38.36</v>
      </c>
      <c r="F1438">
        <v>131.68</v>
      </c>
    </row>
    <row r="1439" spans="1:6" x14ac:dyDescent="0.25">
      <c r="A1439" t="s">
        <v>834</v>
      </c>
      <c r="B1439" t="s">
        <v>26</v>
      </c>
      <c r="C1439" t="s">
        <v>70</v>
      </c>
      <c r="D1439" t="s">
        <v>3217</v>
      </c>
      <c r="E1439">
        <v>0</v>
      </c>
      <c r="F1439">
        <v>130.05000000000001</v>
      </c>
    </row>
    <row r="1440" spans="1:6" x14ac:dyDescent="0.25">
      <c r="A1440" t="s">
        <v>834</v>
      </c>
      <c r="B1440" t="s">
        <v>26</v>
      </c>
      <c r="C1440" t="s">
        <v>70</v>
      </c>
      <c r="D1440" t="s">
        <v>3218</v>
      </c>
      <c r="E1440">
        <v>20</v>
      </c>
      <c r="F1440">
        <v>130.83000000000001</v>
      </c>
    </row>
    <row r="1441" spans="1:6" x14ac:dyDescent="0.25">
      <c r="A1441" t="s">
        <v>834</v>
      </c>
      <c r="B1441" t="s">
        <v>26</v>
      </c>
      <c r="C1441" t="s">
        <v>70</v>
      </c>
      <c r="D1441" t="s">
        <v>3219</v>
      </c>
      <c r="E1441">
        <v>35.26</v>
      </c>
      <c r="F1441">
        <v>131.02000000000001</v>
      </c>
    </row>
    <row r="1442" spans="1:6" x14ac:dyDescent="0.25">
      <c r="A1442" t="s">
        <v>835</v>
      </c>
      <c r="B1442" t="s">
        <v>26</v>
      </c>
      <c r="C1442" t="s">
        <v>71</v>
      </c>
      <c r="D1442" t="s">
        <v>3217</v>
      </c>
      <c r="E1442">
        <v>0</v>
      </c>
      <c r="F1442">
        <v>129.77000000000001</v>
      </c>
    </row>
    <row r="1443" spans="1:6" x14ac:dyDescent="0.25">
      <c r="A1443" t="s">
        <v>835</v>
      </c>
      <c r="B1443" t="s">
        <v>26</v>
      </c>
      <c r="C1443" t="s">
        <v>71</v>
      </c>
      <c r="D1443" t="s">
        <v>3218</v>
      </c>
      <c r="E1443">
        <v>20</v>
      </c>
      <c r="F1443">
        <v>130.24</v>
      </c>
    </row>
    <row r="1444" spans="1:6" x14ac:dyDescent="0.25">
      <c r="A1444" t="s">
        <v>835</v>
      </c>
      <c r="B1444" t="s">
        <v>26</v>
      </c>
      <c r="C1444" t="s">
        <v>71</v>
      </c>
      <c r="D1444" t="s">
        <v>3219</v>
      </c>
      <c r="E1444">
        <v>32.840000000000003</v>
      </c>
      <c r="F1444">
        <v>130.37</v>
      </c>
    </row>
    <row r="1445" spans="1:6" x14ac:dyDescent="0.25">
      <c r="A1445" t="s">
        <v>836</v>
      </c>
      <c r="B1445" t="s">
        <v>26</v>
      </c>
      <c r="C1445" t="s">
        <v>72</v>
      </c>
      <c r="D1445" t="s">
        <v>3217</v>
      </c>
      <c r="E1445">
        <v>0</v>
      </c>
      <c r="F1445">
        <v>128.99</v>
      </c>
    </row>
    <row r="1446" spans="1:6" x14ac:dyDescent="0.25">
      <c r="A1446" t="s">
        <v>836</v>
      </c>
      <c r="B1446" t="s">
        <v>26</v>
      </c>
      <c r="C1446" t="s">
        <v>72</v>
      </c>
      <c r="D1446" t="s">
        <v>3218</v>
      </c>
      <c r="E1446">
        <v>17.93</v>
      </c>
      <c r="F1446">
        <v>129.63999999999999</v>
      </c>
    </row>
    <row r="1447" spans="1:6" x14ac:dyDescent="0.25">
      <c r="A1447" t="s">
        <v>836</v>
      </c>
      <c r="B1447" t="s">
        <v>26</v>
      </c>
      <c r="C1447" t="s">
        <v>72</v>
      </c>
      <c r="D1447" t="s">
        <v>3219</v>
      </c>
      <c r="E1447">
        <v>30.7</v>
      </c>
      <c r="F1447">
        <v>129.58000000000001</v>
      </c>
    </row>
    <row r="1448" spans="1:6" x14ac:dyDescent="0.25">
      <c r="A1448" t="s">
        <v>837</v>
      </c>
      <c r="B1448" t="s">
        <v>26</v>
      </c>
      <c r="C1448" t="s">
        <v>73</v>
      </c>
      <c r="D1448" t="s">
        <v>3217</v>
      </c>
      <c r="E1448">
        <v>0</v>
      </c>
      <c r="F1448">
        <v>128.52000000000001</v>
      </c>
    </row>
    <row r="1449" spans="1:6" x14ac:dyDescent="0.25">
      <c r="A1449" t="s">
        <v>837</v>
      </c>
      <c r="B1449" t="s">
        <v>26</v>
      </c>
      <c r="C1449" t="s">
        <v>73</v>
      </c>
      <c r="D1449" t="s">
        <v>3218</v>
      </c>
      <c r="E1449">
        <v>17.93</v>
      </c>
      <c r="F1449">
        <v>128.97</v>
      </c>
    </row>
    <row r="1450" spans="1:6" x14ac:dyDescent="0.25">
      <c r="A1450" t="s">
        <v>837</v>
      </c>
      <c r="B1450" t="s">
        <v>26</v>
      </c>
      <c r="C1450" t="s">
        <v>73</v>
      </c>
      <c r="D1450" t="s">
        <v>3219</v>
      </c>
      <c r="E1450">
        <v>30.09</v>
      </c>
      <c r="F1450">
        <v>128.94999999999999</v>
      </c>
    </row>
    <row r="1451" spans="1:6" x14ac:dyDescent="0.25">
      <c r="A1451" t="s">
        <v>838</v>
      </c>
      <c r="B1451" t="s">
        <v>26</v>
      </c>
      <c r="C1451" t="s">
        <v>74</v>
      </c>
      <c r="D1451" t="s">
        <v>3217</v>
      </c>
      <c r="E1451">
        <v>0</v>
      </c>
      <c r="F1451">
        <v>127.9</v>
      </c>
    </row>
    <row r="1452" spans="1:6" x14ac:dyDescent="0.25">
      <c r="A1452" t="s">
        <v>838</v>
      </c>
      <c r="B1452" t="s">
        <v>26</v>
      </c>
      <c r="C1452" t="s">
        <v>74</v>
      </c>
      <c r="D1452" t="s">
        <v>3218</v>
      </c>
      <c r="E1452">
        <v>16.45</v>
      </c>
      <c r="F1452">
        <v>128.16999999999999</v>
      </c>
    </row>
    <row r="1453" spans="1:6" x14ac:dyDescent="0.25">
      <c r="A1453" t="s">
        <v>838</v>
      </c>
      <c r="B1453" t="s">
        <v>26</v>
      </c>
      <c r="C1453" t="s">
        <v>74</v>
      </c>
      <c r="D1453" t="s">
        <v>3219</v>
      </c>
      <c r="E1453">
        <v>28.7</v>
      </c>
      <c r="F1453">
        <v>128.06</v>
      </c>
    </row>
    <row r="1454" spans="1:6" x14ac:dyDescent="0.25">
      <c r="A1454" t="s">
        <v>839</v>
      </c>
      <c r="B1454" t="s">
        <v>26</v>
      </c>
      <c r="C1454" t="s">
        <v>75</v>
      </c>
      <c r="D1454" t="s">
        <v>3217</v>
      </c>
      <c r="E1454">
        <v>0</v>
      </c>
      <c r="F1454">
        <v>127.06</v>
      </c>
    </row>
    <row r="1455" spans="1:6" x14ac:dyDescent="0.25">
      <c r="A1455" t="s">
        <v>839</v>
      </c>
      <c r="B1455" t="s">
        <v>26</v>
      </c>
      <c r="C1455" t="s">
        <v>75</v>
      </c>
      <c r="D1455" t="s">
        <v>3218</v>
      </c>
      <c r="E1455">
        <v>15.77</v>
      </c>
      <c r="F1455">
        <v>127.33</v>
      </c>
    </row>
    <row r="1456" spans="1:6" x14ac:dyDescent="0.25">
      <c r="A1456" t="s">
        <v>839</v>
      </c>
      <c r="B1456" t="s">
        <v>26</v>
      </c>
      <c r="C1456" t="s">
        <v>75</v>
      </c>
      <c r="D1456" t="s">
        <v>3219</v>
      </c>
      <c r="E1456">
        <v>28.95</v>
      </c>
      <c r="F1456">
        <v>127.13</v>
      </c>
    </row>
    <row r="1457" spans="1:6" x14ac:dyDescent="0.25">
      <c r="A1457" t="s">
        <v>840</v>
      </c>
      <c r="B1457" t="s">
        <v>26</v>
      </c>
      <c r="C1457" t="s">
        <v>76</v>
      </c>
      <c r="D1457" t="s">
        <v>3217</v>
      </c>
      <c r="E1457">
        <v>0</v>
      </c>
      <c r="F1457">
        <v>126.22</v>
      </c>
    </row>
    <row r="1458" spans="1:6" x14ac:dyDescent="0.25">
      <c r="A1458" t="s">
        <v>840</v>
      </c>
      <c r="B1458" t="s">
        <v>26</v>
      </c>
      <c r="C1458" t="s">
        <v>76</v>
      </c>
      <c r="D1458" t="s">
        <v>3218</v>
      </c>
      <c r="E1458">
        <v>15.09</v>
      </c>
      <c r="F1458">
        <v>126.36</v>
      </c>
    </row>
    <row r="1459" spans="1:6" x14ac:dyDescent="0.25">
      <c r="A1459" t="s">
        <v>840</v>
      </c>
      <c r="B1459" t="s">
        <v>26</v>
      </c>
      <c r="C1459" t="s">
        <v>76</v>
      </c>
      <c r="D1459" t="s">
        <v>3219</v>
      </c>
      <c r="E1459">
        <v>31.38</v>
      </c>
      <c r="F1459">
        <v>126.22</v>
      </c>
    </row>
    <row r="1460" spans="1:6" x14ac:dyDescent="0.25">
      <c r="A1460" t="s">
        <v>841</v>
      </c>
      <c r="B1460" t="s">
        <v>26</v>
      </c>
      <c r="C1460" t="s">
        <v>77</v>
      </c>
      <c r="D1460" t="s">
        <v>3217</v>
      </c>
      <c r="E1460">
        <v>0</v>
      </c>
      <c r="F1460">
        <v>125.28</v>
      </c>
    </row>
    <row r="1461" spans="1:6" x14ac:dyDescent="0.25">
      <c r="A1461" t="s">
        <v>841</v>
      </c>
      <c r="B1461" t="s">
        <v>26</v>
      </c>
      <c r="C1461" t="s">
        <v>77</v>
      </c>
      <c r="D1461" t="s">
        <v>3218</v>
      </c>
      <c r="E1461">
        <v>15.77</v>
      </c>
      <c r="F1461">
        <v>125.33</v>
      </c>
    </row>
    <row r="1462" spans="1:6" x14ac:dyDescent="0.25">
      <c r="A1462" t="s">
        <v>841</v>
      </c>
      <c r="B1462" t="s">
        <v>26</v>
      </c>
      <c r="C1462" t="s">
        <v>77</v>
      </c>
      <c r="D1462" t="s">
        <v>3219</v>
      </c>
      <c r="E1462">
        <v>31.98</v>
      </c>
      <c r="F1462">
        <v>125.06</v>
      </c>
    </row>
    <row r="1463" spans="1:6" x14ac:dyDescent="0.25">
      <c r="A1463" t="s">
        <v>842</v>
      </c>
      <c r="B1463" t="s">
        <v>26</v>
      </c>
      <c r="C1463" t="s">
        <v>78</v>
      </c>
      <c r="D1463" t="s">
        <v>3217</v>
      </c>
      <c r="E1463">
        <v>0</v>
      </c>
      <c r="F1463">
        <v>123.73</v>
      </c>
    </row>
    <row r="1464" spans="1:6" x14ac:dyDescent="0.25">
      <c r="A1464" t="s">
        <v>842</v>
      </c>
      <c r="B1464" t="s">
        <v>26</v>
      </c>
      <c r="C1464" t="s">
        <v>78</v>
      </c>
      <c r="D1464" t="s">
        <v>3218</v>
      </c>
      <c r="E1464">
        <v>20</v>
      </c>
      <c r="F1464">
        <v>124.16</v>
      </c>
    </row>
    <row r="1465" spans="1:6" x14ac:dyDescent="0.25">
      <c r="A1465" t="s">
        <v>842</v>
      </c>
      <c r="B1465" t="s">
        <v>26</v>
      </c>
      <c r="C1465" t="s">
        <v>78</v>
      </c>
      <c r="D1465" t="s">
        <v>3219</v>
      </c>
      <c r="E1465">
        <v>40</v>
      </c>
      <c r="F1465">
        <v>124</v>
      </c>
    </row>
    <row r="1466" spans="1:6" x14ac:dyDescent="0.25">
      <c r="A1466" t="s">
        <v>843</v>
      </c>
      <c r="B1466" t="s">
        <v>26</v>
      </c>
      <c r="C1466" t="s">
        <v>79</v>
      </c>
      <c r="D1466" t="s">
        <v>3217</v>
      </c>
      <c r="E1466">
        <v>0</v>
      </c>
      <c r="F1466">
        <v>122.64</v>
      </c>
    </row>
    <row r="1467" spans="1:6" x14ac:dyDescent="0.25">
      <c r="A1467" t="s">
        <v>843</v>
      </c>
      <c r="B1467" t="s">
        <v>26</v>
      </c>
      <c r="C1467" t="s">
        <v>79</v>
      </c>
      <c r="D1467" t="s">
        <v>3218</v>
      </c>
      <c r="E1467">
        <v>20</v>
      </c>
      <c r="F1467">
        <v>123.03</v>
      </c>
    </row>
    <row r="1468" spans="1:6" x14ac:dyDescent="0.25">
      <c r="A1468" t="s">
        <v>843</v>
      </c>
      <c r="B1468" t="s">
        <v>26</v>
      </c>
      <c r="C1468" t="s">
        <v>79</v>
      </c>
      <c r="D1468" t="s">
        <v>3219</v>
      </c>
      <c r="E1468">
        <v>40</v>
      </c>
      <c r="F1468">
        <v>122.95</v>
      </c>
    </row>
    <row r="1469" spans="1:6" x14ac:dyDescent="0.25">
      <c r="A1469" t="s">
        <v>844</v>
      </c>
      <c r="B1469" t="s">
        <v>26</v>
      </c>
      <c r="C1469" t="s">
        <v>80</v>
      </c>
      <c r="D1469" t="s">
        <v>3217</v>
      </c>
      <c r="E1469">
        <v>0</v>
      </c>
      <c r="F1469">
        <v>121.54</v>
      </c>
    </row>
    <row r="1470" spans="1:6" x14ac:dyDescent="0.25">
      <c r="A1470" t="s">
        <v>844</v>
      </c>
      <c r="B1470" t="s">
        <v>26</v>
      </c>
      <c r="C1470" t="s">
        <v>80</v>
      </c>
      <c r="D1470" t="s">
        <v>3218</v>
      </c>
      <c r="E1470">
        <v>20</v>
      </c>
      <c r="F1470">
        <v>121.77</v>
      </c>
    </row>
    <row r="1471" spans="1:6" x14ac:dyDescent="0.25">
      <c r="A1471" t="s">
        <v>844</v>
      </c>
      <c r="B1471" t="s">
        <v>26</v>
      </c>
      <c r="C1471" t="s">
        <v>80</v>
      </c>
      <c r="D1471" t="s">
        <v>3219</v>
      </c>
      <c r="E1471">
        <v>40</v>
      </c>
      <c r="F1471">
        <v>121.89</v>
      </c>
    </row>
    <row r="1472" spans="1:6" x14ac:dyDescent="0.25">
      <c r="A1472" t="s">
        <v>845</v>
      </c>
      <c r="B1472" t="s">
        <v>26</v>
      </c>
      <c r="C1472" t="s">
        <v>81</v>
      </c>
      <c r="D1472" t="s">
        <v>3217</v>
      </c>
      <c r="E1472">
        <v>0</v>
      </c>
      <c r="F1472">
        <v>120.57</v>
      </c>
    </row>
    <row r="1473" spans="1:6" x14ac:dyDescent="0.25">
      <c r="A1473" t="s">
        <v>845</v>
      </c>
      <c r="B1473" t="s">
        <v>26</v>
      </c>
      <c r="C1473" t="s">
        <v>81</v>
      </c>
      <c r="D1473" t="s">
        <v>3218</v>
      </c>
      <c r="E1473">
        <v>20</v>
      </c>
      <c r="F1473">
        <v>120.73</v>
      </c>
    </row>
    <row r="1474" spans="1:6" x14ac:dyDescent="0.25">
      <c r="A1474" t="s">
        <v>845</v>
      </c>
      <c r="B1474" t="s">
        <v>26</v>
      </c>
      <c r="C1474" t="s">
        <v>81</v>
      </c>
      <c r="D1474" t="s">
        <v>3219</v>
      </c>
      <c r="E1474">
        <v>40</v>
      </c>
      <c r="F1474">
        <v>121.08</v>
      </c>
    </row>
    <row r="1475" spans="1:6" x14ac:dyDescent="0.25">
      <c r="A1475" t="s">
        <v>846</v>
      </c>
      <c r="B1475" t="s">
        <v>26</v>
      </c>
      <c r="C1475" t="s">
        <v>82</v>
      </c>
      <c r="D1475" t="s">
        <v>3217</v>
      </c>
      <c r="E1475">
        <v>0</v>
      </c>
      <c r="F1475">
        <v>119.21</v>
      </c>
    </row>
    <row r="1476" spans="1:6" x14ac:dyDescent="0.25">
      <c r="A1476" t="s">
        <v>846</v>
      </c>
      <c r="B1476" t="s">
        <v>26</v>
      </c>
      <c r="C1476" t="s">
        <v>82</v>
      </c>
      <c r="D1476" t="s">
        <v>3218</v>
      </c>
      <c r="E1476">
        <v>20</v>
      </c>
      <c r="F1476">
        <v>119.79</v>
      </c>
    </row>
    <row r="1477" spans="1:6" x14ac:dyDescent="0.25">
      <c r="A1477" t="s">
        <v>846</v>
      </c>
      <c r="B1477" t="s">
        <v>26</v>
      </c>
      <c r="C1477" t="s">
        <v>82</v>
      </c>
      <c r="D1477" t="s">
        <v>3219</v>
      </c>
      <c r="E1477">
        <v>40</v>
      </c>
      <c r="F1477">
        <v>120.06</v>
      </c>
    </row>
    <row r="1478" spans="1:6" x14ac:dyDescent="0.25">
      <c r="A1478" t="s">
        <v>847</v>
      </c>
      <c r="B1478" t="s">
        <v>26</v>
      </c>
      <c r="C1478" t="s">
        <v>83</v>
      </c>
      <c r="D1478" t="s">
        <v>3217</v>
      </c>
      <c r="E1478">
        <v>0</v>
      </c>
      <c r="F1478">
        <v>120.22</v>
      </c>
    </row>
    <row r="1479" spans="1:6" x14ac:dyDescent="0.25">
      <c r="A1479" t="s">
        <v>847</v>
      </c>
      <c r="B1479" t="s">
        <v>26</v>
      </c>
      <c r="C1479" t="s">
        <v>83</v>
      </c>
      <c r="D1479" t="s">
        <v>3218</v>
      </c>
      <c r="E1479">
        <v>20</v>
      </c>
      <c r="F1479">
        <v>119.13</v>
      </c>
    </row>
    <row r="1480" spans="1:6" x14ac:dyDescent="0.25">
      <c r="A1480" t="s">
        <v>847</v>
      </c>
      <c r="B1480" t="s">
        <v>26</v>
      </c>
      <c r="C1480" t="s">
        <v>83</v>
      </c>
      <c r="D1480" t="s">
        <v>3219</v>
      </c>
      <c r="E1480">
        <v>40</v>
      </c>
      <c r="F1480">
        <v>119.41</v>
      </c>
    </row>
    <row r="1481" spans="1:6" x14ac:dyDescent="0.25">
      <c r="A1481" t="s">
        <v>848</v>
      </c>
      <c r="B1481" t="s">
        <v>26</v>
      </c>
      <c r="C1481" t="s">
        <v>84</v>
      </c>
      <c r="D1481" t="s">
        <v>3217</v>
      </c>
      <c r="E1481">
        <v>0</v>
      </c>
      <c r="F1481">
        <v>118.06</v>
      </c>
    </row>
    <row r="1482" spans="1:6" x14ac:dyDescent="0.25">
      <c r="A1482" t="s">
        <v>848</v>
      </c>
      <c r="B1482" t="s">
        <v>26</v>
      </c>
      <c r="C1482" t="s">
        <v>84</v>
      </c>
      <c r="D1482" t="s">
        <v>3218</v>
      </c>
      <c r="E1482">
        <v>20</v>
      </c>
      <c r="F1482">
        <v>118.52</v>
      </c>
    </row>
    <row r="1483" spans="1:6" x14ac:dyDescent="0.25">
      <c r="A1483" t="s">
        <v>848</v>
      </c>
      <c r="B1483" t="s">
        <v>26</v>
      </c>
      <c r="C1483" t="s">
        <v>84</v>
      </c>
      <c r="D1483" t="s">
        <v>3219</v>
      </c>
      <c r="E1483">
        <v>40</v>
      </c>
      <c r="F1483">
        <v>118.55</v>
      </c>
    </row>
    <row r="1484" spans="1:6" x14ac:dyDescent="0.25">
      <c r="A1484" t="s">
        <v>849</v>
      </c>
      <c r="B1484" t="s">
        <v>26</v>
      </c>
      <c r="C1484" t="s">
        <v>85</v>
      </c>
      <c r="D1484" t="s">
        <v>3217</v>
      </c>
      <c r="E1484">
        <v>0</v>
      </c>
      <c r="F1484">
        <v>117.8</v>
      </c>
    </row>
    <row r="1485" spans="1:6" x14ac:dyDescent="0.25">
      <c r="A1485" t="s">
        <v>849</v>
      </c>
      <c r="B1485" t="s">
        <v>26</v>
      </c>
      <c r="C1485" t="s">
        <v>85</v>
      </c>
      <c r="D1485" t="s">
        <v>3218</v>
      </c>
      <c r="E1485">
        <v>14.7</v>
      </c>
      <c r="F1485">
        <v>117.68</v>
      </c>
    </row>
    <row r="1486" spans="1:6" x14ac:dyDescent="0.25">
      <c r="A1486" t="s">
        <v>849</v>
      </c>
      <c r="B1486" t="s">
        <v>26</v>
      </c>
      <c r="C1486" t="s">
        <v>85</v>
      </c>
      <c r="D1486" t="s">
        <v>3219</v>
      </c>
      <c r="E1486">
        <v>34.700000000000003</v>
      </c>
      <c r="F1486">
        <v>117.42</v>
      </c>
    </row>
    <row r="1487" spans="1:6" x14ac:dyDescent="0.25">
      <c r="A1487" t="s">
        <v>850</v>
      </c>
      <c r="B1487" t="s">
        <v>26</v>
      </c>
      <c r="C1487" t="s">
        <v>86</v>
      </c>
      <c r="D1487" t="s">
        <v>3217</v>
      </c>
      <c r="E1487">
        <v>0</v>
      </c>
      <c r="F1487">
        <v>116.81</v>
      </c>
    </row>
    <row r="1488" spans="1:6" x14ac:dyDescent="0.25">
      <c r="A1488" t="s">
        <v>850</v>
      </c>
      <c r="B1488" t="s">
        <v>26</v>
      </c>
      <c r="C1488" t="s">
        <v>86</v>
      </c>
      <c r="D1488" t="s">
        <v>3218</v>
      </c>
      <c r="E1488">
        <v>14.26</v>
      </c>
      <c r="F1488">
        <v>116.59</v>
      </c>
    </row>
    <row r="1489" spans="1:6" x14ac:dyDescent="0.25">
      <c r="A1489" t="s">
        <v>850</v>
      </c>
      <c r="B1489" t="s">
        <v>26</v>
      </c>
      <c r="C1489" t="s">
        <v>86</v>
      </c>
      <c r="D1489" t="s">
        <v>3219</v>
      </c>
      <c r="E1489">
        <v>29.34</v>
      </c>
      <c r="F1489">
        <v>116.29</v>
      </c>
    </row>
    <row r="1490" spans="1:6" x14ac:dyDescent="0.25">
      <c r="A1490" t="s">
        <v>851</v>
      </c>
      <c r="B1490" t="s">
        <v>26</v>
      </c>
      <c r="C1490" t="s">
        <v>87</v>
      </c>
      <c r="D1490" t="s">
        <v>3217</v>
      </c>
      <c r="E1490">
        <v>0</v>
      </c>
      <c r="F1490">
        <v>114.93</v>
      </c>
    </row>
    <row r="1491" spans="1:6" x14ac:dyDescent="0.25">
      <c r="A1491" t="s">
        <v>851</v>
      </c>
      <c r="B1491" t="s">
        <v>26</v>
      </c>
      <c r="C1491" t="s">
        <v>87</v>
      </c>
      <c r="D1491" t="s">
        <v>3218</v>
      </c>
      <c r="E1491">
        <v>14.05</v>
      </c>
      <c r="F1491">
        <v>115.08</v>
      </c>
    </row>
    <row r="1492" spans="1:6" x14ac:dyDescent="0.25">
      <c r="A1492" t="s">
        <v>851</v>
      </c>
      <c r="B1492" t="s">
        <v>26</v>
      </c>
      <c r="C1492" t="s">
        <v>87</v>
      </c>
      <c r="D1492" t="s">
        <v>3219</v>
      </c>
      <c r="E1492">
        <v>29.88</v>
      </c>
      <c r="F1492">
        <v>114.81</v>
      </c>
    </row>
    <row r="1493" spans="1:6" x14ac:dyDescent="0.25">
      <c r="A1493" t="s">
        <v>852</v>
      </c>
      <c r="B1493" t="s">
        <v>26</v>
      </c>
      <c r="C1493" t="s">
        <v>88</v>
      </c>
      <c r="D1493" t="s">
        <v>3217</v>
      </c>
      <c r="E1493">
        <v>0</v>
      </c>
      <c r="F1493">
        <v>113.51</v>
      </c>
    </row>
    <row r="1494" spans="1:6" x14ac:dyDescent="0.25">
      <c r="A1494" t="s">
        <v>852</v>
      </c>
      <c r="B1494" t="s">
        <v>26</v>
      </c>
      <c r="C1494" t="s">
        <v>88</v>
      </c>
      <c r="D1494" t="s">
        <v>3218</v>
      </c>
      <c r="E1494">
        <v>15.4</v>
      </c>
      <c r="F1494">
        <v>113.67</v>
      </c>
    </row>
    <row r="1495" spans="1:6" x14ac:dyDescent="0.25">
      <c r="A1495" t="s">
        <v>852</v>
      </c>
      <c r="B1495" t="s">
        <v>26</v>
      </c>
      <c r="C1495" t="s">
        <v>88</v>
      </c>
      <c r="D1495" t="s">
        <v>3219</v>
      </c>
      <c r="E1495">
        <v>30.04</v>
      </c>
      <c r="F1495">
        <v>113.68</v>
      </c>
    </row>
    <row r="1496" spans="1:6" x14ac:dyDescent="0.25">
      <c r="A1496" t="s">
        <v>853</v>
      </c>
      <c r="B1496" t="s">
        <v>26</v>
      </c>
      <c r="C1496" t="s">
        <v>89</v>
      </c>
      <c r="D1496" t="s">
        <v>3217</v>
      </c>
      <c r="E1496">
        <v>0</v>
      </c>
      <c r="F1496">
        <v>112.41</v>
      </c>
    </row>
    <row r="1497" spans="1:6" x14ac:dyDescent="0.25">
      <c r="A1497" t="s">
        <v>853</v>
      </c>
      <c r="B1497" t="s">
        <v>26</v>
      </c>
      <c r="C1497" t="s">
        <v>89</v>
      </c>
      <c r="D1497" t="s">
        <v>3218</v>
      </c>
      <c r="E1497">
        <v>16.670000000000002</v>
      </c>
      <c r="F1497">
        <v>112.6</v>
      </c>
    </row>
    <row r="1498" spans="1:6" x14ac:dyDescent="0.25">
      <c r="A1498" t="s">
        <v>853</v>
      </c>
      <c r="B1498" t="s">
        <v>26</v>
      </c>
      <c r="C1498" t="s">
        <v>89</v>
      </c>
      <c r="D1498" t="s">
        <v>3219</v>
      </c>
      <c r="E1498">
        <v>29.88</v>
      </c>
      <c r="F1498">
        <v>112.39</v>
      </c>
    </row>
    <row r="1499" spans="1:6" x14ac:dyDescent="0.25">
      <c r="A1499" t="s">
        <v>854</v>
      </c>
      <c r="B1499" t="s">
        <v>26</v>
      </c>
      <c r="C1499" t="s">
        <v>90</v>
      </c>
      <c r="D1499" t="s">
        <v>3217</v>
      </c>
      <c r="E1499">
        <v>0</v>
      </c>
      <c r="F1499">
        <v>111.22</v>
      </c>
    </row>
    <row r="1500" spans="1:6" x14ac:dyDescent="0.25">
      <c r="A1500" t="s">
        <v>854</v>
      </c>
      <c r="B1500" t="s">
        <v>26</v>
      </c>
      <c r="C1500" t="s">
        <v>90</v>
      </c>
      <c r="D1500" t="s">
        <v>3218</v>
      </c>
      <c r="E1500">
        <v>17.07</v>
      </c>
      <c r="F1500">
        <v>111.38</v>
      </c>
    </row>
    <row r="1501" spans="1:6" x14ac:dyDescent="0.25">
      <c r="A1501" t="s">
        <v>854</v>
      </c>
      <c r="B1501" t="s">
        <v>26</v>
      </c>
      <c r="C1501" t="s">
        <v>90</v>
      </c>
      <c r="D1501" t="s">
        <v>3219</v>
      </c>
      <c r="E1501">
        <v>30.51</v>
      </c>
      <c r="F1501">
        <v>111.26</v>
      </c>
    </row>
    <row r="1502" spans="1:6" x14ac:dyDescent="0.25">
      <c r="A1502" t="s">
        <v>855</v>
      </c>
      <c r="B1502" t="s">
        <v>26</v>
      </c>
      <c r="C1502" t="s">
        <v>91</v>
      </c>
      <c r="D1502" t="s">
        <v>3217</v>
      </c>
      <c r="E1502">
        <v>0</v>
      </c>
      <c r="F1502">
        <v>109.92</v>
      </c>
    </row>
    <row r="1503" spans="1:6" x14ac:dyDescent="0.25">
      <c r="A1503" t="s">
        <v>855</v>
      </c>
      <c r="B1503" t="s">
        <v>26</v>
      </c>
      <c r="C1503" t="s">
        <v>91</v>
      </c>
      <c r="D1503" t="s">
        <v>3218</v>
      </c>
      <c r="E1503">
        <v>17.37</v>
      </c>
      <c r="F1503">
        <v>110.11</v>
      </c>
    </row>
    <row r="1504" spans="1:6" x14ac:dyDescent="0.25">
      <c r="A1504" t="s">
        <v>855</v>
      </c>
      <c r="B1504" t="s">
        <v>26</v>
      </c>
      <c r="C1504" t="s">
        <v>91</v>
      </c>
      <c r="D1504" t="s">
        <v>3219</v>
      </c>
      <c r="E1504">
        <v>31.3</v>
      </c>
      <c r="F1504">
        <v>109.87</v>
      </c>
    </row>
    <row r="1505" spans="1:6" x14ac:dyDescent="0.25">
      <c r="A1505" t="s">
        <v>856</v>
      </c>
      <c r="B1505" t="s">
        <v>26</v>
      </c>
      <c r="C1505" t="s">
        <v>92</v>
      </c>
      <c r="D1505" t="s">
        <v>3217</v>
      </c>
      <c r="E1505">
        <v>0</v>
      </c>
      <c r="F1505">
        <v>108.71</v>
      </c>
    </row>
    <row r="1506" spans="1:6" x14ac:dyDescent="0.25">
      <c r="A1506" t="s">
        <v>856</v>
      </c>
      <c r="B1506" t="s">
        <v>26</v>
      </c>
      <c r="C1506" t="s">
        <v>92</v>
      </c>
      <c r="D1506" t="s">
        <v>3218</v>
      </c>
      <c r="E1506">
        <v>17.489999999999998</v>
      </c>
      <c r="F1506">
        <v>108.79</v>
      </c>
    </row>
    <row r="1507" spans="1:6" x14ac:dyDescent="0.25">
      <c r="A1507" t="s">
        <v>856</v>
      </c>
      <c r="B1507" t="s">
        <v>26</v>
      </c>
      <c r="C1507" t="s">
        <v>92</v>
      </c>
      <c r="D1507" t="s">
        <v>3219</v>
      </c>
      <c r="E1507">
        <v>31.26</v>
      </c>
      <c r="F1507">
        <v>108.68</v>
      </c>
    </row>
    <row r="1508" spans="1:6" x14ac:dyDescent="0.25">
      <c r="A1508" t="s">
        <v>857</v>
      </c>
      <c r="B1508" t="s">
        <v>26</v>
      </c>
      <c r="C1508" t="s">
        <v>93</v>
      </c>
      <c r="D1508" t="s">
        <v>3217</v>
      </c>
      <c r="E1508">
        <v>0</v>
      </c>
      <c r="F1508">
        <v>107.65</v>
      </c>
    </row>
    <row r="1509" spans="1:6" x14ac:dyDescent="0.25">
      <c r="A1509" t="s">
        <v>857</v>
      </c>
      <c r="B1509" t="s">
        <v>26</v>
      </c>
      <c r="C1509" t="s">
        <v>93</v>
      </c>
      <c r="D1509" t="s">
        <v>3218</v>
      </c>
      <c r="E1509">
        <v>17.899999999999999</v>
      </c>
      <c r="F1509">
        <v>107.59</v>
      </c>
    </row>
    <row r="1510" spans="1:6" x14ac:dyDescent="0.25">
      <c r="A1510" t="s">
        <v>857</v>
      </c>
      <c r="B1510" t="s">
        <v>26</v>
      </c>
      <c r="C1510" t="s">
        <v>93</v>
      </c>
      <c r="D1510" t="s">
        <v>3219</v>
      </c>
      <c r="E1510">
        <v>32.31</v>
      </c>
      <c r="F1510">
        <v>107.43</v>
      </c>
    </row>
    <row r="1511" spans="1:6" x14ac:dyDescent="0.25">
      <c r="A1511" t="s">
        <v>858</v>
      </c>
      <c r="B1511" t="s">
        <v>26</v>
      </c>
      <c r="C1511" t="s">
        <v>94</v>
      </c>
      <c r="D1511" t="s">
        <v>3217</v>
      </c>
      <c r="E1511">
        <v>0</v>
      </c>
      <c r="F1511">
        <v>106.15</v>
      </c>
    </row>
    <row r="1512" spans="1:6" x14ac:dyDescent="0.25">
      <c r="A1512" t="s">
        <v>858</v>
      </c>
      <c r="B1512" t="s">
        <v>26</v>
      </c>
      <c r="C1512" t="s">
        <v>94</v>
      </c>
      <c r="D1512" t="s">
        <v>3218</v>
      </c>
      <c r="E1512">
        <v>17.829999999999998</v>
      </c>
      <c r="F1512">
        <v>106.31</v>
      </c>
    </row>
    <row r="1513" spans="1:6" x14ac:dyDescent="0.25">
      <c r="A1513" t="s">
        <v>858</v>
      </c>
      <c r="B1513" t="s">
        <v>26</v>
      </c>
      <c r="C1513" t="s">
        <v>94</v>
      </c>
      <c r="D1513" t="s">
        <v>3219</v>
      </c>
      <c r="E1513">
        <v>31.55</v>
      </c>
      <c r="F1513">
        <v>106.08</v>
      </c>
    </row>
    <row r="1514" spans="1:6" x14ac:dyDescent="0.25">
      <c r="A1514" t="s">
        <v>859</v>
      </c>
      <c r="B1514" t="s">
        <v>26</v>
      </c>
      <c r="C1514" t="s">
        <v>95</v>
      </c>
      <c r="D1514" t="s">
        <v>3217</v>
      </c>
      <c r="E1514">
        <v>0</v>
      </c>
      <c r="F1514">
        <v>104.74</v>
      </c>
    </row>
    <row r="1515" spans="1:6" x14ac:dyDescent="0.25">
      <c r="A1515" t="s">
        <v>859</v>
      </c>
      <c r="B1515" t="s">
        <v>26</v>
      </c>
      <c r="C1515" t="s">
        <v>95</v>
      </c>
      <c r="D1515" t="s">
        <v>3218</v>
      </c>
      <c r="E1515">
        <v>17.29</v>
      </c>
      <c r="F1515">
        <v>105.01</v>
      </c>
    </row>
    <row r="1516" spans="1:6" x14ac:dyDescent="0.25">
      <c r="A1516" t="s">
        <v>859</v>
      </c>
      <c r="B1516" t="s">
        <v>26</v>
      </c>
      <c r="C1516" t="s">
        <v>95</v>
      </c>
      <c r="D1516" t="s">
        <v>3219</v>
      </c>
      <c r="E1516">
        <v>30.95</v>
      </c>
      <c r="F1516">
        <v>104.71</v>
      </c>
    </row>
    <row r="1517" spans="1:6" x14ac:dyDescent="0.25">
      <c r="A1517" t="s">
        <v>860</v>
      </c>
      <c r="B1517" t="s">
        <v>26</v>
      </c>
      <c r="C1517" t="s">
        <v>96</v>
      </c>
      <c r="D1517" t="s">
        <v>3217</v>
      </c>
      <c r="E1517">
        <v>0</v>
      </c>
      <c r="F1517">
        <v>103.54</v>
      </c>
    </row>
    <row r="1518" spans="1:6" x14ac:dyDescent="0.25">
      <c r="A1518" t="s">
        <v>860</v>
      </c>
      <c r="B1518" t="s">
        <v>26</v>
      </c>
      <c r="C1518" t="s">
        <v>96</v>
      </c>
      <c r="D1518" t="s">
        <v>3218</v>
      </c>
      <c r="E1518">
        <v>16.75</v>
      </c>
      <c r="F1518">
        <v>103.73</v>
      </c>
    </row>
    <row r="1519" spans="1:6" x14ac:dyDescent="0.25">
      <c r="A1519" t="s">
        <v>860</v>
      </c>
      <c r="B1519" t="s">
        <v>26</v>
      </c>
      <c r="C1519" t="s">
        <v>96</v>
      </c>
      <c r="D1519" t="s">
        <v>3219</v>
      </c>
      <c r="E1519">
        <v>30.01</v>
      </c>
      <c r="F1519">
        <v>103.31</v>
      </c>
    </row>
    <row r="1520" spans="1:6" x14ac:dyDescent="0.25">
      <c r="A1520" t="s">
        <v>861</v>
      </c>
      <c r="B1520" t="s">
        <v>26</v>
      </c>
      <c r="C1520" t="s">
        <v>97</v>
      </c>
      <c r="D1520" t="s">
        <v>3217</v>
      </c>
      <c r="E1520">
        <v>0</v>
      </c>
      <c r="F1520">
        <v>102.53</v>
      </c>
    </row>
    <row r="1521" spans="1:6" x14ac:dyDescent="0.25">
      <c r="A1521" t="s">
        <v>861</v>
      </c>
      <c r="B1521" t="s">
        <v>26</v>
      </c>
      <c r="C1521" t="s">
        <v>97</v>
      </c>
      <c r="D1521" t="s">
        <v>3218</v>
      </c>
      <c r="E1521">
        <v>16.54</v>
      </c>
      <c r="F1521">
        <v>102.52</v>
      </c>
    </row>
    <row r="1522" spans="1:6" x14ac:dyDescent="0.25">
      <c r="A1522" t="s">
        <v>861</v>
      </c>
      <c r="B1522" t="s">
        <v>26</v>
      </c>
      <c r="C1522" t="s">
        <v>97</v>
      </c>
      <c r="D1522" t="s">
        <v>3219</v>
      </c>
      <c r="E1522">
        <v>30.06</v>
      </c>
      <c r="F1522">
        <v>102.02</v>
      </c>
    </row>
    <row r="1523" spans="1:6" x14ac:dyDescent="0.25">
      <c r="A1523" t="s">
        <v>862</v>
      </c>
      <c r="B1523" t="s">
        <v>26</v>
      </c>
      <c r="C1523" t="s">
        <v>98</v>
      </c>
      <c r="D1523" t="s">
        <v>3217</v>
      </c>
      <c r="E1523">
        <v>0</v>
      </c>
      <c r="F1523">
        <v>101.25</v>
      </c>
    </row>
    <row r="1524" spans="1:6" x14ac:dyDescent="0.25">
      <c r="A1524" t="s">
        <v>862</v>
      </c>
      <c r="B1524" t="s">
        <v>26</v>
      </c>
      <c r="C1524" t="s">
        <v>98</v>
      </c>
      <c r="D1524" t="s">
        <v>3218</v>
      </c>
      <c r="E1524">
        <v>16.350000000000001</v>
      </c>
      <c r="F1524">
        <v>101.33</v>
      </c>
    </row>
    <row r="1525" spans="1:6" x14ac:dyDescent="0.25">
      <c r="A1525" t="s">
        <v>862</v>
      </c>
      <c r="B1525" t="s">
        <v>26</v>
      </c>
      <c r="C1525" t="s">
        <v>98</v>
      </c>
      <c r="D1525" t="s">
        <v>3219</v>
      </c>
      <c r="E1525">
        <v>29.95</v>
      </c>
      <c r="F1525">
        <v>100.89</v>
      </c>
    </row>
    <row r="1526" spans="1:6" x14ac:dyDescent="0.25">
      <c r="A1526" t="s">
        <v>863</v>
      </c>
      <c r="B1526" t="s">
        <v>26</v>
      </c>
      <c r="C1526" t="s">
        <v>99</v>
      </c>
      <c r="D1526" t="s">
        <v>3217</v>
      </c>
      <c r="E1526">
        <v>0</v>
      </c>
      <c r="F1526">
        <v>100.07</v>
      </c>
    </row>
    <row r="1527" spans="1:6" x14ac:dyDescent="0.25">
      <c r="A1527" t="s">
        <v>863</v>
      </c>
      <c r="B1527" t="s">
        <v>26</v>
      </c>
      <c r="C1527" t="s">
        <v>99</v>
      </c>
      <c r="D1527" t="s">
        <v>3218</v>
      </c>
      <c r="E1527">
        <v>15.4</v>
      </c>
      <c r="F1527">
        <v>100.08</v>
      </c>
    </row>
    <row r="1528" spans="1:6" x14ac:dyDescent="0.25">
      <c r="A1528" t="s">
        <v>863</v>
      </c>
      <c r="B1528" t="s">
        <v>26</v>
      </c>
      <c r="C1528" t="s">
        <v>99</v>
      </c>
      <c r="D1528" t="s">
        <v>3219</v>
      </c>
      <c r="E1528">
        <v>29.94</v>
      </c>
      <c r="F1528">
        <v>99.61</v>
      </c>
    </row>
    <row r="1529" spans="1:6" x14ac:dyDescent="0.25">
      <c r="A1529" t="s">
        <v>864</v>
      </c>
      <c r="B1529" t="s">
        <v>26</v>
      </c>
      <c r="C1529" t="s">
        <v>100</v>
      </c>
      <c r="D1529" t="s">
        <v>3217</v>
      </c>
      <c r="E1529">
        <v>0</v>
      </c>
      <c r="F1529">
        <v>98.67</v>
      </c>
    </row>
    <row r="1530" spans="1:6" x14ac:dyDescent="0.25">
      <c r="A1530" t="s">
        <v>864</v>
      </c>
      <c r="B1530" t="s">
        <v>26</v>
      </c>
      <c r="C1530" t="s">
        <v>100</v>
      </c>
      <c r="D1530" t="s">
        <v>3218</v>
      </c>
      <c r="E1530">
        <v>15.18</v>
      </c>
      <c r="F1530">
        <v>98.89</v>
      </c>
    </row>
    <row r="1531" spans="1:6" x14ac:dyDescent="0.25">
      <c r="A1531" t="s">
        <v>864</v>
      </c>
      <c r="B1531" t="s">
        <v>26</v>
      </c>
      <c r="C1531" t="s">
        <v>100</v>
      </c>
      <c r="D1531" t="s">
        <v>3219</v>
      </c>
      <c r="E1531">
        <v>30.24</v>
      </c>
      <c r="F1531">
        <v>98.55</v>
      </c>
    </row>
    <row r="1532" spans="1:6" x14ac:dyDescent="0.25">
      <c r="A1532" t="s">
        <v>865</v>
      </c>
      <c r="B1532" t="s">
        <v>26</v>
      </c>
      <c r="C1532" t="s">
        <v>101</v>
      </c>
      <c r="D1532" t="s">
        <v>3217</v>
      </c>
      <c r="E1532">
        <v>0</v>
      </c>
      <c r="F1532">
        <v>97.37</v>
      </c>
    </row>
    <row r="1533" spans="1:6" x14ac:dyDescent="0.25">
      <c r="A1533" t="s">
        <v>865</v>
      </c>
      <c r="B1533" t="s">
        <v>26</v>
      </c>
      <c r="C1533" t="s">
        <v>101</v>
      </c>
      <c r="D1533" t="s">
        <v>3218</v>
      </c>
      <c r="E1533">
        <v>15.17</v>
      </c>
      <c r="F1533">
        <v>97.61</v>
      </c>
    </row>
    <row r="1534" spans="1:6" x14ac:dyDescent="0.25">
      <c r="A1534" t="s">
        <v>865</v>
      </c>
      <c r="B1534" t="s">
        <v>26</v>
      </c>
      <c r="C1534" t="s">
        <v>101</v>
      </c>
      <c r="D1534" t="s">
        <v>3219</v>
      </c>
      <c r="E1534">
        <v>30.8</v>
      </c>
      <c r="F1534">
        <v>97.39</v>
      </c>
    </row>
    <row r="1535" spans="1:6" x14ac:dyDescent="0.25">
      <c r="A1535" t="s">
        <v>866</v>
      </c>
      <c r="B1535" t="s">
        <v>26</v>
      </c>
      <c r="C1535" t="s">
        <v>102</v>
      </c>
      <c r="D1535" t="s">
        <v>3217</v>
      </c>
      <c r="E1535">
        <v>0</v>
      </c>
      <c r="F1535">
        <v>96.13</v>
      </c>
    </row>
    <row r="1536" spans="1:6" x14ac:dyDescent="0.25">
      <c r="A1536" t="s">
        <v>866</v>
      </c>
      <c r="B1536" t="s">
        <v>26</v>
      </c>
      <c r="C1536" t="s">
        <v>102</v>
      </c>
      <c r="D1536" t="s">
        <v>3218</v>
      </c>
      <c r="E1536">
        <v>15.62</v>
      </c>
      <c r="F1536">
        <v>96.3</v>
      </c>
    </row>
    <row r="1537" spans="1:6" x14ac:dyDescent="0.25">
      <c r="A1537" t="s">
        <v>866</v>
      </c>
      <c r="B1537" t="s">
        <v>26</v>
      </c>
      <c r="C1537" t="s">
        <v>102</v>
      </c>
      <c r="D1537" t="s">
        <v>3219</v>
      </c>
      <c r="E1537">
        <v>31.65</v>
      </c>
      <c r="F1537">
        <v>96</v>
      </c>
    </row>
    <row r="1538" spans="1:6" x14ac:dyDescent="0.25">
      <c r="A1538" t="s">
        <v>867</v>
      </c>
      <c r="B1538" t="s">
        <v>26</v>
      </c>
      <c r="C1538" t="s">
        <v>103</v>
      </c>
      <c r="D1538" t="s">
        <v>3217</v>
      </c>
      <c r="E1538">
        <v>0</v>
      </c>
      <c r="F1538">
        <v>94.73</v>
      </c>
    </row>
    <row r="1539" spans="1:6" x14ac:dyDescent="0.25">
      <c r="A1539" t="s">
        <v>867</v>
      </c>
      <c r="B1539" t="s">
        <v>26</v>
      </c>
      <c r="C1539" t="s">
        <v>103</v>
      </c>
      <c r="D1539" t="s">
        <v>3218</v>
      </c>
      <c r="E1539">
        <v>15.24</v>
      </c>
      <c r="F1539">
        <v>94.86</v>
      </c>
    </row>
    <row r="1540" spans="1:6" x14ac:dyDescent="0.25">
      <c r="A1540" t="s">
        <v>867</v>
      </c>
      <c r="B1540" t="s">
        <v>26</v>
      </c>
      <c r="C1540" t="s">
        <v>103</v>
      </c>
      <c r="D1540" t="s">
        <v>3219</v>
      </c>
      <c r="E1540">
        <v>30.1</v>
      </c>
      <c r="F1540">
        <v>94.64</v>
      </c>
    </row>
    <row r="1541" spans="1:6" x14ac:dyDescent="0.25">
      <c r="A1541" t="s">
        <v>868</v>
      </c>
      <c r="B1541" t="s">
        <v>26</v>
      </c>
      <c r="C1541" t="s">
        <v>104</v>
      </c>
      <c r="D1541" t="s">
        <v>3217</v>
      </c>
      <c r="E1541">
        <v>0</v>
      </c>
      <c r="F1541">
        <v>93.55</v>
      </c>
    </row>
    <row r="1542" spans="1:6" x14ac:dyDescent="0.25">
      <c r="A1542" t="s">
        <v>868</v>
      </c>
      <c r="B1542" t="s">
        <v>26</v>
      </c>
      <c r="C1542" t="s">
        <v>104</v>
      </c>
      <c r="D1542" t="s">
        <v>3218</v>
      </c>
      <c r="E1542">
        <v>14.79</v>
      </c>
      <c r="F1542">
        <v>93.59</v>
      </c>
    </row>
    <row r="1543" spans="1:6" x14ac:dyDescent="0.25">
      <c r="A1543" t="s">
        <v>868</v>
      </c>
      <c r="B1543" t="s">
        <v>26</v>
      </c>
      <c r="C1543" t="s">
        <v>104</v>
      </c>
      <c r="D1543" t="s">
        <v>3219</v>
      </c>
      <c r="E1543">
        <v>28.91</v>
      </c>
      <c r="F1543">
        <v>93.51</v>
      </c>
    </row>
    <row r="1544" spans="1:6" x14ac:dyDescent="0.25">
      <c r="A1544" t="s">
        <v>869</v>
      </c>
      <c r="B1544" t="s">
        <v>26</v>
      </c>
      <c r="C1544" t="s">
        <v>105</v>
      </c>
      <c r="D1544" t="s">
        <v>3217</v>
      </c>
      <c r="E1544">
        <v>0</v>
      </c>
      <c r="F1544">
        <v>92.31</v>
      </c>
    </row>
    <row r="1545" spans="1:6" x14ac:dyDescent="0.25">
      <c r="A1545" t="s">
        <v>869</v>
      </c>
      <c r="B1545" t="s">
        <v>26</v>
      </c>
      <c r="C1545" t="s">
        <v>105</v>
      </c>
      <c r="D1545" t="s">
        <v>3218</v>
      </c>
      <c r="E1545">
        <v>14.35</v>
      </c>
      <c r="F1545">
        <v>92.36</v>
      </c>
    </row>
    <row r="1546" spans="1:6" x14ac:dyDescent="0.25">
      <c r="A1546" t="s">
        <v>869</v>
      </c>
      <c r="B1546" t="s">
        <v>26</v>
      </c>
      <c r="C1546" t="s">
        <v>105</v>
      </c>
      <c r="D1546" t="s">
        <v>3219</v>
      </c>
      <c r="E1546">
        <v>28.94</v>
      </c>
      <c r="F1546">
        <v>92.16</v>
      </c>
    </row>
    <row r="1547" spans="1:6" x14ac:dyDescent="0.25">
      <c r="A1547" t="s">
        <v>870</v>
      </c>
      <c r="B1547" t="s">
        <v>26</v>
      </c>
      <c r="C1547" t="s">
        <v>106</v>
      </c>
      <c r="D1547" t="s">
        <v>3217</v>
      </c>
      <c r="E1547">
        <v>0</v>
      </c>
      <c r="F1547">
        <v>90.89</v>
      </c>
    </row>
    <row r="1548" spans="1:6" x14ac:dyDescent="0.25">
      <c r="A1548" t="s">
        <v>870</v>
      </c>
      <c r="B1548" t="s">
        <v>26</v>
      </c>
      <c r="C1548" t="s">
        <v>106</v>
      </c>
      <c r="D1548" t="s">
        <v>3218</v>
      </c>
      <c r="E1548">
        <v>14.37</v>
      </c>
      <c r="F1548">
        <v>91.21</v>
      </c>
    </row>
    <row r="1549" spans="1:6" x14ac:dyDescent="0.25">
      <c r="A1549" t="s">
        <v>870</v>
      </c>
      <c r="B1549" t="s">
        <v>26</v>
      </c>
      <c r="C1549" t="s">
        <v>106</v>
      </c>
      <c r="D1549" t="s">
        <v>3219</v>
      </c>
      <c r="E1549">
        <v>27.84</v>
      </c>
      <c r="F1549">
        <v>91.07</v>
      </c>
    </row>
    <row r="1550" spans="1:6" x14ac:dyDescent="0.25">
      <c r="A1550" t="s">
        <v>871</v>
      </c>
      <c r="B1550" t="s">
        <v>26</v>
      </c>
      <c r="C1550" t="s">
        <v>108</v>
      </c>
      <c r="D1550" t="s">
        <v>3217</v>
      </c>
      <c r="E1550">
        <v>0</v>
      </c>
      <c r="F1550">
        <v>89.52</v>
      </c>
    </row>
    <row r="1551" spans="1:6" x14ac:dyDescent="0.25">
      <c r="A1551" t="s">
        <v>871</v>
      </c>
      <c r="B1551" t="s">
        <v>26</v>
      </c>
      <c r="C1551" t="s">
        <v>108</v>
      </c>
      <c r="D1551" t="s">
        <v>3218</v>
      </c>
      <c r="E1551">
        <v>14.8</v>
      </c>
      <c r="F1551">
        <v>90.04</v>
      </c>
    </row>
    <row r="1552" spans="1:6" x14ac:dyDescent="0.25">
      <c r="A1552" t="s">
        <v>871</v>
      </c>
      <c r="B1552" t="s">
        <v>26</v>
      </c>
      <c r="C1552" t="s">
        <v>108</v>
      </c>
      <c r="D1552" t="s">
        <v>3219</v>
      </c>
      <c r="E1552">
        <v>27.9</v>
      </c>
      <c r="F1552">
        <v>89.89</v>
      </c>
    </row>
    <row r="1553" spans="1:6" x14ac:dyDescent="0.25">
      <c r="A1553" t="s">
        <v>872</v>
      </c>
      <c r="B1553" t="s">
        <v>26</v>
      </c>
      <c r="C1553" t="s">
        <v>109</v>
      </c>
      <c r="D1553" t="s">
        <v>3217</v>
      </c>
      <c r="E1553">
        <v>0</v>
      </c>
      <c r="F1553">
        <v>88.39</v>
      </c>
    </row>
    <row r="1554" spans="1:6" x14ac:dyDescent="0.25">
      <c r="A1554" t="s">
        <v>872</v>
      </c>
      <c r="B1554" t="s">
        <v>26</v>
      </c>
      <c r="C1554" t="s">
        <v>109</v>
      </c>
      <c r="D1554" t="s">
        <v>3218</v>
      </c>
      <c r="E1554">
        <v>13.46</v>
      </c>
      <c r="F1554">
        <v>88.7</v>
      </c>
    </row>
    <row r="1555" spans="1:6" x14ac:dyDescent="0.25">
      <c r="A1555" t="s">
        <v>872</v>
      </c>
      <c r="B1555" t="s">
        <v>26</v>
      </c>
      <c r="C1555" t="s">
        <v>109</v>
      </c>
      <c r="D1555" t="s">
        <v>3219</v>
      </c>
      <c r="E1555">
        <v>26.7</v>
      </c>
      <c r="F1555">
        <v>88.86</v>
      </c>
    </row>
    <row r="1556" spans="1:6" x14ac:dyDescent="0.25">
      <c r="A1556" t="s">
        <v>873</v>
      </c>
      <c r="B1556" t="s">
        <v>26</v>
      </c>
      <c r="C1556" t="s">
        <v>110</v>
      </c>
      <c r="D1556" t="s">
        <v>3217</v>
      </c>
      <c r="E1556">
        <v>0</v>
      </c>
      <c r="F1556">
        <v>87.31</v>
      </c>
    </row>
    <row r="1557" spans="1:6" x14ac:dyDescent="0.25">
      <c r="A1557" t="s">
        <v>873</v>
      </c>
      <c r="B1557" t="s">
        <v>26</v>
      </c>
      <c r="C1557" t="s">
        <v>110</v>
      </c>
      <c r="D1557" t="s">
        <v>3218</v>
      </c>
      <c r="E1557">
        <v>13.15</v>
      </c>
      <c r="F1557">
        <v>87.67</v>
      </c>
    </row>
    <row r="1558" spans="1:6" x14ac:dyDescent="0.25">
      <c r="A1558" t="s">
        <v>873</v>
      </c>
      <c r="B1558" t="s">
        <v>26</v>
      </c>
      <c r="C1558" t="s">
        <v>110</v>
      </c>
      <c r="D1558" t="s">
        <v>3219</v>
      </c>
      <c r="E1558">
        <v>25.18</v>
      </c>
      <c r="F1558">
        <v>87.69</v>
      </c>
    </row>
    <row r="1559" spans="1:6" x14ac:dyDescent="0.25">
      <c r="A1559" t="s">
        <v>874</v>
      </c>
      <c r="B1559" t="s">
        <v>26</v>
      </c>
      <c r="C1559" t="s">
        <v>111</v>
      </c>
      <c r="D1559" t="s">
        <v>3217</v>
      </c>
      <c r="E1559">
        <v>0</v>
      </c>
      <c r="F1559">
        <v>86.1</v>
      </c>
    </row>
    <row r="1560" spans="1:6" x14ac:dyDescent="0.25">
      <c r="A1560" t="s">
        <v>874</v>
      </c>
      <c r="B1560" t="s">
        <v>26</v>
      </c>
      <c r="C1560" t="s">
        <v>111</v>
      </c>
      <c r="D1560" t="s">
        <v>3218</v>
      </c>
      <c r="E1560">
        <v>13.48</v>
      </c>
      <c r="F1560">
        <v>86.52</v>
      </c>
    </row>
    <row r="1561" spans="1:6" x14ac:dyDescent="0.25">
      <c r="A1561" t="s">
        <v>874</v>
      </c>
      <c r="B1561" t="s">
        <v>26</v>
      </c>
      <c r="C1561" t="s">
        <v>111</v>
      </c>
      <c r="D1561" t="s">
        <v>3219</v>
      </c>
      <c r="E1561">
        <v>25.06</v>
      </c>
      <c r="F1561">
        <v>86.43</v>
      </c>
    </row>
    <row r="1562" spans="1:6" x14ac:dyDescent="0.25">
      <c r="A1562" t="s">
        <v>875</v>
      </c>
      <c r="B1562" t="s">
        <v>26</v>
      </c>
      <c r="C1562" t="s">
        <v>112</v>
      </c>
      <c r="D1562" t="s">
        <v>3217</v>
      </c>
      <c r="E1562">
        <v>0</v>
      </c>
      <c r="F1562">
        <v>84.95</v>
      </c>
    </row>
    <row r="1563" spans="1:6" x14ac:dyDescent="0.25">
      <c r="A1563" t="s">
        <v>875</v>
      </c>
      <c r="B1563" t="s">
        <v>26</v>
      </c>
      <c r="C1563" t="s">
        <v>112</v>
      </c>
      <c r="D1563" t="s">
        <v>3218</v>
      </c>
      <c r="E1563">
        <v>14.06</v>
      </c>
      <c r="F1563">
        <v>85.09</v>
      </c>
    </row>
    <row r="1564" spans="1:6" x14ac:dyDescent="0.25">
      <c r="A1564" t="s">
        <v>875</v>
      </c>
      <c r="B1564" t="s">
        <v>26</v>
      </c>
      <c r="C1564" t="s">
        <v>112</v>
      </c>
      <c r="D1564" t="s">
        <v>3219</v>
      </c>
      <c r="E1564">
        <v>26.08</v>
      </c>
      <c r="F1564">
        <v>85.06</v>
      </c>
    </row>
    <row r="1565" spans="1:6" x14ac:dyDescent="0.25">
      <c r="A1565" t="s">
        <v>876</v>
      </c>
      <c r="B1565" t="s">
        <v>26</v>
      </c>
      <c r="C1565" t="s">
        <v>113</v>
      </c>
      <c r="D1565" t="s">
        <v>3217</v>
      </c>
      <c r="E1565">
        <v>0</v>
      </c>
      <c r="F1565">
        <v>83.52</v>
      </c>
    </row>
    <row r="1566" spans="1:6" x14ac:dyDescent="0.25">
      <c r="A1566" t="s">
        <v>876</v>
      </c>
      <c r="B1566" t="s">
        <v>26</v>
      </c>
      <c r="C1566" t="s">
        <v>113</v>
      </c>
      <c r="D1566" t="s">
        <v>3218</v>
      </c>
      <c r="E1566">
        <v>13.28</v>
      </c>
      <c r="F1566">
        <v>83.69</v>
      </c>
    </row>
    <row r="1567" spans="1:6" x14ac:dyDescent="0.25">
      <c r="A1567" t="s">
        <v>876</v>
      </c>
      <c r="B1567" t="s">
        <v>26</v>
      </c>
      <c r="C1567" t="s">
        <v>113</v>
      </c>
      <c r="D1567" t="s">
        <v>3219</v>
      </c>
      <c r="E1567">
        <v>25.8</v>
      </c>
      <c r="F1567">
        <v>83.65</v>
      </c>
    </row>
    <row r="1568" spans="1:6" x14ac:dyDescent="0.25">
      <c r="A1568" t="s">
        <v>877</v>
      </c>
      <c r="B1568" t="s">
        <v>26</v>
      </c>
      <c r="C1568" t="s">
        <v>114</v>
      </c>
      <c r="D1568" t="s">
        <v>3217</v>
      </c>
      <c r="E1568">
        <v>0</v>
      </c>
      <c r="F1568">
        <v>82.18</v>
      </c>
    </row>
    <row r="1569" spans="1:6" x14ac:dyDescent="0.25">
      <c r="A1569" t="s">
        <v>877</v>
      </c>
      <c r="B1569" t="s">
        <v>26</v>
      </c>
      <c r="C1569" t="s">
        <v>114</v>
      </c>
      <c r="D1569" t="s">
        <v>3218</v>
      </c>
      <c r="E1569">
        <v>13.47</v>
      </c>
      <c r="F1569">
        <v>82.27</v>
      </c>
    </row>
    <row r="1570" spans="1:6" x14ac:dyDescent="0.25">
      <c r="A1570" t="s">
        <v>877</v>
      </c>
      <c r="B1570" t="s">
        <v>26</v>
      </c>
      <c r="C1570" t="s">
        <v>114</v>
      </c>
      <c r="D1570" t="s">
        <v>3219</v>
      </c>
      <c r="E1570">
        <v>26.02</v>
      </c>
      <c r="F1570">
        <v>82</v>
      </c>
    </row>
    <row r="1571" spans="1:6" x14ac:dyDescent="0.25">
      <c r="A1571" t="s">
        <v>878</v>
      </c>
      <c r="B1571" t="s">
        <v>26</v>
      </c>
      <c r="C1571" t="s">
        <v>115</v>
      </c>
      <c r="D1571" t="s">
        <v>3217</v>
      </c>
      <c r="E1571">
        <v>0</v>
      </c>
      <c r="F1571">
        <v>81.05</v>
      </c>
    </row>
    <row r="1572" spans="1:6" x14ac:dyDescent="0.25">
      <c r="A1572" t="s">
        <v>878</v>
      </c>
      <c r="B1572" t="s">
        <v>26</v>
      </c>
      <c r="C1572" t="s">
        <v>115</v>
      </c>
      <c r="D1572" t="s">
        <v>3218</v>
      </c>
      <c r="E1572">
        <v>13.51</v>
      </c>
      <c r="F1572">
        <v>81.010000000000005</v>
      </c>
    </row>
    <row r="1573" spans="1:6" x14ac:dyDescent="0.25">
      <c r="A1573" t="s">
        <v>878</v>
      </c>
      <c r="B1573" t="s">
        <v>26</v>
      </c>
      <c r="C1573" t="s">
        <v>115</v>
      </c>
      <c r="D1573" t="s">
        <v>3219</v>
      </c>
      <c r="E1573">
        <v>26.06</v>
      </c>
      <c r="F1573">
        <v>80.59</v>
      </c>
    </row>
    <row r="1574" spans="1:6" x14ac:dyDescent="0.25">
      <c r="A1574" t="s">
        <v>879</v>
      </c>
      <c r="B1574" t="s">
        <v>26</v>
      </c>
      <c r="C1574" t="s">
        <v>116</v>
      </c>
      <c r="D1574" t="s">
        <v>3217</v>
      </c>
      <c r="E1574">
        <v>0</v>
      </c>
      <c r="F1574">
        <v>79.7</v>
      </c>
    </row>
    <row r="1575" spans="1:6" x14ac:dyDescent="0.25">
      <c r="A1575" t="s">
        <v>879</v>
      </c>
      <c r="B1575" t="s">
        <v>26</v>
      </c>
      <c r="C1575" t="s">
        <v>116</v>
      </c>
      <c r="D1575" t="s">
        <v>3218</v>
      </c>
      <c r="E1575">
        <v>14.39</v>
      </c>
      <c r="F1575">
        <v>79.77</v>
      </c>
    </row>
    <row r="1576" spans="1:6" x14ac:dyDescent="0.25">
      <c r="A1576" t="s">
        <v>879</v>
      </c>
      <c r="B1576" t="s">
        <v>26</v>
      </c>
      <c r="C1576" t="s">
        <v>116</v>
      </c>
      <c r="D1576" t="s">
        <v>3219</v>
      </c>
      <c r="E1576">
        <v>27.27</v>
      </c>
      <c r="F1576">
        <v>79.42</v>
      </c>
    </row>
    <row r="1577" spans="1:6" x14ac:dyDescent="0.25">
      <c r="A1577" t="s">
        <v>880</v>
      </c>
      <c r="B1577" t="s">
        <v>26</v>
      </c>
      <c r="C1577" t="s">
        <v>117</v>
      </c>
      <c r="D1577" t="s">
        <v>3217</v>
      </c>
      <c r="E1577">
        <v>0</v>
      </c>
      <c r="F1577">
        <v>78.290000000000006</v>
      </c>
    </row>
    <row r="1578" spans="1:6" x14ac:dyDescent="0.25">
      <c r="A1578" t="s">
        <v>880</v>
      </c>
      <c r="B1578" t="s">
        <v>26</v>
      </c>
      <c r="C1578" t="s">
        <v>117</v>
      </c>
      <c r="D1578" t="s">
        <v>3218</v>
      </c>
      <c r="E1578">
        <v>15.55</v>
      </c>
      <c r="F1578">
        <v>78.39</v>
      </c>
    </row>
    <row r="1579" spans="1:6" x14ac:dyDescent="0.25">
      <c r="A1579" t="s">
        <v>880</v>
      </c>
      <c r="B1579" t="s">
        <v>26</v>
      </c>
      <c r="C1579" t="s">
        <v>117</v>
      </c>
      <c r="D1579" t="s">
        <v>3219</v>
      </c>
      <c r="E1579">
        <v>28.01</v>
      </c>
      <c r="F1579">
        <v>78.19</v>
      </c>
    </row>
    <row r="1580" spans="1:6" x14ac:dyDescent="0.25">
      <c r="A1580" t="s">
        <v>881</v>
      </c>
      <c r="B1580" t="s">
        <v>26</v>
      </c>
      <c r="C1580" t="s">
        <v>118</v>
      </c>
      <c r="D1580" t="s">
        <v>3217</v>
      </c>
      <c r="E1580">
        <v>0</v>
      </c>
      <c r="F1580">
        <v>76.97</v>
      </c>
    </row>
    <row r="1581" spans="1:6" x14ac:dyDescent="0.25">
      <c r="A1581" t="s">
        <v>881</v>
      </c>
      <c r="B1581" t="s">
        <v>26</v>
      </c>
      <c r="C1581" t="s">
        <v>118</v>
      </c>
      <c r="D1581" t="s">
        <v>3218</v>
      </c>
      <c r="E1581">
        <v>16.75</v>
      </c>
      <c r="F1581">
        <v>77.14</v>
      </c>
    </row>
    <row r="1582" spans="1:6" x14ac:dyDescent="0.25">
      <c r="A1582" t="s">
        <v>881</v>
      </c>
      <c r="B1582" t="s">
        <v>26</v>
      </c>
      <c r="C1582" t="s">
        <v>118</v>
      </c>
      <c r="D1582" t="s">
        <v>3219</v>
      </c>
      <c r="E1582">
        <v>29.05</v>
      </c>
      <c r="F1582">
        <v>76.92</v>
      </c>
    </row>
    <row r="1583" spans="1:6" x14ac:dyDescent="0.25">
      <c r="A1583" t="s">
        <v>882</v>
      </c>
      <c r="B1583" t="s">
        <v>26</v>
      </c>
      <c r="C1583" t="s">
        <v>119</v>
      </c>
      <c r="D1583" t="s">
        <v>3217</v>
      </c>
      <c r="E1583">
        <v>0</v>
      </c>
      <c r="F1583">
        <v>75.709999999999994</v>
      </c>
    </row>
    <row r="1584" spans="1:6" x14ac:dyDescent="0.25">
      <c r="A1584" t="s">
        <v>882</v>
      </c>
      <c r="B1584" t="s">
        <v>26</v>
      </c>
      <c r="C1584" t="s">
        <v>119</v>
      </c>
      <c r="D1584" t="s">
        <v>3218</v>
      </c>
      <c r="E1584">
        <v>17.04</v>
      </c>
      <c r="F1584">
        <v>75.83</v>
      </c>
    </row>
    <row r="1585" spans="1:6" x14ac:dyDescent="0.25">
      <c r="A1585" t="s">
        <v>882</v>
      </c>
      <c r="B1585" t="s">
        <v>26</v>
      </c>
      <c r="C1585" t="s">
        <v>119</v>
      </c>
      <c r="D1585" t="s">
        <v>3219</v>
      </c>
      <c r="E1585">
        <v>28.82</v>
      </c>
      <c r="F1585">
        <v>75.56</v>
      </c>
    </row>
    <row r="1586" spans="1:6" x14ac:dyDescent="0.25">
      <c r="A1586" t="s">
        <v>883</v>
      </c>
      <c r="B1586" t="s">
        <v>26</v>
      </c>
      <c r="C1586" t="s">
        <v>120</v>
      </c>
      <c r="D1586" t="s">
        <v>3217</v>
      </c>
      <c r="E1586">
        <v>0</v>
      </c>
      <c r="F1586">
        <v>74.42</v>
      </c>
    </row>
    <row r="1587" spans="1:6" x14ac:dyDescent="0.25">
      <c r="A1587" t="s">
        <v>883</v>
      </c>
      <c r="B1587" t="s">
        <v>26</v>
      </c>
      <c r="C1587" t="s">
        <v>120</v>
      </c>
      <c r="D1587" t="s">
        <v>3218</v>
      </c>
      <c r="E1587">
        <v>17.61</v>
      </c>
      <c r="F1587">
        <v>74.650000000000006</v>
      </c>
    </row>
    <row r="1588" spans="1:6" x14ac:dyDescent="0.25">
      <c r="A1588" t="s">
        <v>883</v>
      </c>
      <c r="B1588" t="s">
        <v>26</v>
      </c>
      <c r="C1588" t="s">
        <v>120</v>
      </c>
      <c r="D1588" t="s">
        <v>3219</v>
      </c>
      <c r="E1588">
        <v>28.91</v>
      </c>
      <c r="F1588">
        <v>74.38</v>
      </c>
    </row>
    <row r="1589" spans="1:6" x14ac:dyDescent="0.25">
      <c r="A1589" t="s">
        <v>884</v>
      </c>
      <c r="B1589" t="s">
        <v>26</v>
      </c>
      <c r="C1589" t="s">
        <v>121</v>
      </c>
      <c r="D1589" t="s">
        <v>3217</v>
      </c>
      <c r="E1589">
        <v>0</v>
      </c>
      <c r="F1589">
        <v>73.11</v>
      </c>
    </row>
    <row r="1590" spans="1:6" x14ac:dyDescent="0.25">
      <c r="A1590" t="s">
        <v>884</v>
      </c>
      <c r="B1590" t="s">
        <v>26</v>
      </c>
      <c r="C1590" t="s">
        <v>121</v>
      </c>
      <c r="D1590" t="s">
        <v>3218</v>
      </c>
      <c r="E1590">
        <v>17.87</v>
      </c>
      <c r="F1590">
        <v>73.05</v>
      </c>
    </row>
    <row r="1591" spans="1:6" x14ac:dyDescent="0.25">
      <c r="A1591" t="s">
        <v>884</v>
      </c>
      <c r="B1591" t="s">
        <v>26</v>
      </c>
      <c r="C1591" t="s">
        <v>121</v>
      </c>
      <c r="D1591" t="s">
        <v>3219</v>
      </c>
      <c r="E1591">
        <v>29.65</v>
      </c>
      <c r="F1591">
        <v>72.569999999999993</v>
      </c>
    </row>
    <row r="1592" spans="1:6" x14ac:dyDescent="0.25">
      <c r="A1592" t="s">
        <v>885</v>
      </c>
      <c r="B1592" t="s">
        <v>26</v>
      </c>
      <c r="C1592" t="s">
        <v>123</v>
      </c>
      <c r="D1592" t="s">
        <v>3217</v>
      </c>
      <c r="E1592">
        <v>0</v>
      </c>
      <c r="F1592">
        <v>71.31</v>
      </c>
    </row>
    <row r="1593" spans="1:6" x14ac:dyDescent="0.25">
      <c r="A1593" t="s">
        <v>885</v>
      </c>
      <c r="B1593" t="s">
        <v>26</v>
      </c>
      <c r="C1593" t="s">
        <v>123</v>
      </c>
      <c r="D1593" t="s">
        <v>3218</v>
      </c>
      <c r="E1593">
        <v>17.02</v>
      </c>
      <c r="F1593">
        <v>71.290000000000006</v>
      </c>
    </row>
    <row r="1594" spans="1:6" x14ac:dyDescent="0.25">
      <c r="A1594" t="s">
        <v>885</v>
      </c>
      <c r="B1594" t="s">
        <v>26</v>
      </c>
      <c r="C1594" t="s">
        <v>123</v>
      </c>
      <c r="D1594" t="s">
        <v>3219</v>
      </c>
      <c r="E1594">
        <v>28.73</v>
      </c>
      <c r="F1594">
        <v>70.89</v>
      </c>
    </row>
    <row r="1595" spans="1:6" x14ac:dyDescent="0.25">
      <c r="A1595" t="s">
        <v>886</v>
      </c>
      <c r="B1595" t="s">
        <v>26</v>
      </c>
      <c r="C1595" t="s">
        <v>124</v>
      </c>
      <c r="D1595" t="s">
        <v>3217</v>
      </c>
      <c r="E1595">
        <v>0</v>
      </c>
      <c r="F1595">
        <v>69.92</v>
      </c>
    </row>
    <row r="1596" spans="1:6" x14ac:dyDescent="0.25">
      <c r="A1596" t="s">
        <v>886</v>
      </c>
      <c r="B1596" t="s">
        <v>26</v>
      </c>
      <c r="C1596" t="s">
        <v>124</v>
      </c>
      <c r="D1596" t="s">
        <v>3218</v>
      </c>
      <c r="E1596">
        <v>18.11</v>
      </c>
      <c r="F1596">
        <v>69.86</v>
      </c>
    </row>
    <row r="1597" spans="1:6" x14ac:dyDescent="0.25">
      <c r="A1597" t="s">
        <v>886</v>
      </c>
      <c r="B1597" t="s">
        <v>26</v>
      </c>
      <c r="C1597" t="s">
        <v>124</v>
      </c>
      <c r="D1597" t="s">
        <v>3219</v>
      </c>
      <c r="E1597">
        <v>30.3</v>
      </c>
      <c r="F1597">
        <v>69.489999999999995</v>
      </c>
    </row>
    <row r="1598" spans="1:6" x14ac:dyDescent="0.25">
      <c r="A1598" t="s">
        <v>887</v>
      </c>
      <c r="B1598" t="s">
        <v>26</v>
      </c>
      <c r="C1598" t="s">
        <v>125</v>
      </c>
      <c r="D1598" t="s">
        <v>3217</v>
      </c>
      <c r="E1598">
        <v>0</v>
      </c>
      <c r="F1598">
        <v>68.55</v>
      </c>
    </row>
    <row r="1599" spans="1:6" x14ac:dyDescent="0.25">
      <c r="A1599" t="s">
        <v>887</v>
      </c>
      <c r="B1599" t="s">
        <v>26</v>
      </c>
      <c r="C1599" t="s">
        <v>125</v>
      </c>
      <c r="D1599" t="s">
        <v>3218</v>
      </c>
      <c r="E1599">
        <v>17.7</v>
      </c>
      <c r="F1599">
        <v>68.540000000000006</v>
      </c>
    </row>
    <row r="1600" spans="1:6" x14ac:dyDescent="0.25">
      <c r="A1600" t="s">
        <v>887</v>
      </c>
      <c r="B1600" t="s">
        <v>26</v>
      </c>
      <c r="C1600" t="s">
        <v>125</v>
      </c>
      <c r="D1600" t="s">
        <v>3219</v>
      </c>
      <c r="E1600">
        <v>30.67</v>
      </c>
      <c r="F1600">
        <v>68.05</v>
      </c>
    </row>
    <row r="1601" spans="1:6" x14ac:dyDescent="0.25">
      <c r="A1601" t="s">
        <v>888</v>
      </c>
      <c r="B1601" t="s">
        <v>26</v>
      </c>
      <c r="C1601" t="s">
        <v>126</v>
      </c>
      <c r="D1601" t="s">
        <v>3217</v>
      </c>
      <c r="E1601">
        <v>0</v>
      </c>
      <c r="F1601">
        <v>67.27</v>
      </c>
    </row>
    <row r="1602" spans="1:6" x14ac:dyDescent="0.25">
      <c r="A1602" t="s">
        <v>888</v>
      </c>
      <c r="B1602" t="s">
        <v>26</v>
      </c>
      <c r="C1602" t="s">
        <v>126</v>
      </c>
      <c r="D1602" t="s">
        <v>3218</v>
      </c>
      <c r="E1602">
        <v>16.29</v>
      </c>
      <c r="F1602">
        <v>67.13</v>
      </c>
    </row>
    <row r="1603" spans="1:6" x14ac:dyDescent="0.25">
      <c r="A1603" t="s">
        <v>888</v>
      </c>
      <c r="B1603" t="s">
        <v>26</v>
      </c>
      <c r="C1603" t="s">
        <v>126</v>
      </c>
      <c r="D1603" t="s">
        <v>3219</v>
      </c>
      <c r="E1603">
        <v>29.13</v>
      </c>
      <c r="F1603">
        <v>66.489999999999995</v>
      </c>
    </row>
    <row r="1604" spans="1:6" x14ac:dyDescent="0.25">
      <c r="A1604" t="s">
        <v>889</v>
      </c>
      <c r="B1604" t="s">
        <v>26</v>
      </c>
      <c r="C1604" t="s">
        <v>127</v>
      </c>
      <c r="D1604" t="s">
        <v>3217</v>
      </c>
      <c r="E1604">
        <v>0</v>
      </c>
      <c r="F1604">
        <v>66.06</v>
      </c>
    </row>
    <row r="1605" spans="1:6" x14ac:dyDescent="0.25">
      <c r="A1605" t="s">
        <v>889</v>
      </c>
      <c r="B1605" t="s">
        <v>26</v>
      </c>
      <c r="C1605" t="s">
        <v>127</v>
      </c>
      <c r="D1605" t="s">
        <v>3218</v>
      </c>
      <c r="E1605">
        <v>14.55</v>
      </c>
      <c r="F1605">
        <v>65.959999999999994</v>
      </c>
    </row>
    <row r="1606" spans="1:6" x14ac:dyDescent="0.25">
      <c r="A1606" t="s">
        <v>889</v>
      </c>
      <c r="B1606" t="s">
        <v>26</v>
      </c>
      <c r="C1606" t="s">
        <v>127</v>
      </c>
      <c r="D1606" t="s">
        <v>3219</v>
      </c>
      <c r="E1606">
        <v>28.63</v>
      </c>
      <c r="F1606">
        <v>65.22</v>
      </c>
    </row>
    <row r="1607" spans="1:6" x14ac:dyDescent="0.25">
      <c r="A1607" t="s">
        <v>890</v>
      </c>
      <c r="B1607" t="s">
        <v>26</v>
      </c>
      <c r="C1607" t="s">
        <v>128</v>
      </c>
      <c r="D1607" t="s">
        <v>3217</v>
      </c>
      <c r="E1607">
        <v>0</v>
      </c>
      <c r="F1607">
        <v>64.760000000000005</v>
      </c>
    </row>
    <row r="1608" spans="1:6" x14ac:dyDescent="0.25">
      <c r="A1608" t="s">
        <v>890</v>
      </c>
      <c r="B1608" t="s">
        <v>26</v>
      </c>
      <c r="C1608" t="s">
        <v>128</v>
      </c>
      <c r="D1608" t="s">
        <v>3218</v>
      </c>
      <c r="E1608">
        <v>13.58</v>
      </c>
      <c r="F1608">
        <v>64.680000000000007</v>
      </c>
    </row>
    <row r="1609" spans="1:6" x14ac:dyDescent="0.25">
      <c r="A1609" t="s">
        <v>890</v>
      </c>
      <c r="B1609" t="s">
        <v>26</v>
      </c>
      <c r="C1609" t="s">
        <v>128</v>
      </c>
      <c r="D1609" t="s">
        <v>3219</v>
      </c>
      <c r="E1609">
        <v>27.66</v>
      </c>
      <c r="F1609">
        <v>64.150000000000006</v>
      </c>
    </row>
    <row r="1610" spans="1:6" x14ac:dyDescent="0.25">
      <c r="A1610" t="s">
        <v>891</v>
      </c>
      <c r="B1610" t="s">
        <v>26</v>
      </c>
      <c r="C1610" t="s">
        <v>129</v>
      </c>
      <c r="D1610" t="s">
        <v>3217</v>
      </c>
      <c r="E1610">
        <v>0</v>
      </c>
      <c r="F1610">
        <v>63.4</v>
      </c>
    </row>
    <row r="1611" spans="1:6" x14ac:dyDescent="0.25">
      <c r="A1611" t="s">
        <v>891</v>
      </c>
      <c r="B1611" t="s">
        <v>26</v>
      </c>
      <c r="C1611" t="s">
        <v>129</v>
      </c>
      <c r="D1611" t="s">
        <v>3218</v>
      </c>
      <c r="E1611">
        <v>12.71</v>
      </c>
      <c r="F1611">
        <v>63.29</v>
      </c>
    </row>
    <row r="1612" spans="1:6" x14ac:dyDescent="0.25">
      <c r="A1612" t="s">
        <v>891</v>
      </c>
      <c r="B1612" t="s">
        <v>26</v>
      </c>
      <c r="C1612" t="s">
        <v>129</v>
      </c>
      <c r="D1612" t="s">
        <v>3219</v>
      </c>
      <c r="E1612">
        <v>27.33</v>
      </c>
      <c r="F1612">
        <v>62.92</v>
      </c>
    </row>
    <row r="1613" spans="1:6" x14ac:dyDescent="0.25">
      <c r="A1613" t="s">
        <v>892</v>
      </c>
      <c r="B1613" t="s">
        <v>26</v>
      </c>
      <c r="C1613" t="s">
        <v>130</v>
      </c>
      <c r="D1613" t="s">
        <v>3217</v>
      </c>
      <c r="E1613">
        <v>0</v>
      </c>
      <c r="F1613">
        <v>62.02</v>
      </c>
    </row>
    <row r="1614" spans="1:6" x14ac:dyDescent="0.25">
      <c r="A1614" t="s">
        <v>892</v>
      </c>
      <c r="B1614" t="s">
        <v>26</v>
      </c>
      <c r="C1614" t="s">
        <v>130</v>
      </c>
      <c r="D1614" t="s">
        <v>3218</v>
      </c>
      <c r="E1614">
        <v>11.87</v>
      </c>
      <c r="F1614">
        <v>61.97</v>
      </c>
    </row>
    <row r="1615" spans="1:6" x14ac:dyDescent="0.25">
      <c r="A1615" t="s">
        <v>892</v>
      </c>
      <c r="B1615" t="s">
        <v>26</v>
      </c>
      <c r="C1615" t="s">
        <v>130</v>
      </c>
      <c r="D1615" t="s">
        <v>3219</v>
      </c>
      <c r="E1615">
        <v>27.15</v>
      </c>
      <c r="F1615">
        <v>61.74</v>
      </c>
    </row>
    <row r="1616" spans="1:6" x14ac:dyDescent="0.25">
      <c r="A1616" t="s">
        <v>893</v>
      </c>
      <c r="B1616" t="s">
        <v>26</v>
      </c>
      <c r="C1616" t="s">
        <v>131</v>
      </c>
      <c r="D1616" t="s">
        <v>3217</v>
      </c>
      <c r="E1616">
        <v>0</v>
      </c>
      <c r="F1616">
        <v>60.55</v>
      </c>
    </row>
    <row r="1617" spans="1:6" x14ac:dyDescent="0.25">
      <c r="A1617" t="s">
        <v>893</v>
      </c>
      <c r="B1617" t="s">
        <v>26</v>
      </c>
      <c r="C1617" t="s">
        <v>131</v>
      </c>
      <c r="D1617" t="s">
        <v>3218</v>
      </c>
      <c r="E1617">
        <v>12.6</v>
      </c>
      <c r="F1617">
        <v>60.64</v>
      </c>
    </row>
    <row r="1618" spans="1:6" x14ac:dyDescent="0.25">
      <c r="A1618" t="s">
        <v>893</v>
      </c>
      <c r="B1618" t="s">
        <v>26</v>
      </c>
      <c r="C1618" t="s">
        <v>131</v>
      </c>
      <c r="D1618" t="s">
        <v>3219</v>
      </c>
      <c r="E1618">
        <v>25.12</v>
      </c>
      <c r="F1618">
        <v>60.36</v>
      </c>
    </row>
    <row r="1619" spans="1:6" x14ac:dyDescent="0.25">
      <c r="A1619" t="s">
        <v>894</v>
      </c>
      <c r="B1619" t="s">
        <v>26</v>
      </c>
      <c r="C1619" t="s">
        <v>132</v>
      </c>
      <c r="D1619" t="s">
        <v>3217</v>
      </c>
      <c r="E1619">
        <v>0</v>
      </c>
      <c r="F1619">
        <v>59.07</v>
      </c>
    </row>
    <row r="1620" spans="1:6" x14ac:dyDescent="0.25">
      <c r="A1620" t="s">
        <v>894</v>
      </c>
      <c r="B1620" t="s">
        <v>26</v>
      </c>
      <c r="C1620" t="s">
        <v>132</v>
      </c>
      <c r="D1620" t="s">
        <v>3218</v>
      </c>
      <c r="E1620">
        <v>15.18</v>
      </c>
      <c r="F1620">
        <v>59.36</v>
      </c>
    </row>
    <row r="1621" spans="1:6" x14ac:dyDescent="0.25">
      <c r="A1621" t="s">
        <v>894</v>
      </c>
      <c r="B1621" t="s">
        <v>26</v>
      </c>
      <c r="C1621" t="s">
        <v>132</v>
      </c>
      <c r="D1621" t="s">
        <v>3219</v>
      </c>
      <c r="E1621">
        <v>26.43</v>
      </c>
      <c r="F1621">
        <v>59.31</v>
      </c>
    </row>
    <row r="1622" spans="1:6" x14ac:dyDescent="0.25">
      <c r="A1622" t="s">
        <v>895</v>
      </c>
      <c r="B1622" t="s">
        <v>26</v>
      </c>
      <c r="C1622" t="s">
        <v>133</v>
      </c>
      <c r="D1622" t="s">
        <v>3217</v>
      </c>
      <c r="E1622">
        <v>0</v>
      </c>
      <c r="F1622">
        <v>57.33</v>
      </c>
    </row>
    <row r="1623" spans="1:6" x14ac:dyDescent="0.25">
      <c r="A1623" t="s">
        <v>895</v>
      </c>
      <c r="B1623" t="s">
        <v>26</v>
      </c>
      <c r="C1623" t="s">
        <v>133</v>
      </c>
      <c r="D1623" t="s">
        <v>3218</v>
      </c>
      <c r="E1623">
        <v>20</v>
      </c>
      <c r="F1623">
        <v>57.8</v>
      </c>
    </row>
    <row r="1624" spans="1:6" x14ac:dyDescent="0.25">
      <c r="A1624" t="s">
        <v>895</v>
      </c>
      <c r="B1624" t="s">
        <v>26</v>
      </c>
      <c r="C1624" t="s">
        <v>133</v>
      </c>
      <c r="D1624" t="s">
        <v>3219</v>
      </c>
      <c r="E1624">
        <v>28</v>
      </c>
      <c r="F1624">
        <v>57.52</v>
      </c>
    </row>
    <row r="1625" spans="1:6" x14ac:dyDescent="0.25">
      <c r="A1625" t="s">
        <v>896</v>
      </c>
      <c r="B1625" t="s">
        <v>26</v>
      </c>
      <c r="C1625" t="s">
        <v>134</v>
      </c>
      <c r="D1625" t="s">
        <v>3217</v>
      </c>
      <c r="E1625">
        <v>0</v>
      </c>
      <c r="F1625">
        <v>57.03</v>
      </c>
    </row>
    <row r="1626" spans="1:6" x14ac:dyDescent="0.25">
      <c r="A1626" t="s">
        <v>896</v>
      </c>
      <c r="B1626" t="s">
        <v>26</v>
      </c>
      <c r="C1626" t="s">
        <v>134</v>
      </c>
      <c r="D1626" t="s">
        <v>3218</v>
      </c>
      <c r="E1626">
        <v>20</v>
      </c>
      <c r="F1626">
        <v>56.88</v>
      </c>
    </row>
    <row r="1627" spans="1:6" x14ac:dyDescent="0.25">
      <c r="A1627" t="s">
        <v>896</v>
      </c>
      <c r="B1627" t="s">
        <v>26</v>
      </c>
      <c r="C1627" t="s">
        <v>134</v>
      </c>
      <c r="D1627" t="s">
        <v>3219</v>
      </c>
      <c r="E1627">
        <v>28.04</v>
      </c>
      <c r="F1627">
        <v>56.63</v>
      </c>
    </row>
    <row r="1628" spans="1:6" x14ac:dyDescent="0.25">
      <c r="A1628" t="s">
        <v>897</v>
      </c>
      <c r="B1628" t="s">
        <v>26</v>
      </c>
      <c r="C1628" t="s">
        <v>135</v>
      </c>
      <c r="D1628" t="s">
        <v>3217</v>
      </c>
      <c r="E1628">
        <v>0</v>
      </c>
      <c r="F1628">
        <v>52.56</v>
      </c>
    </row>
    <row r="1629" spans="1:6" x14ac:dyDescent="0.25">
      <c r="A1629" t="s">
        <v>897</v>
      </c>
      <c r="B1629" t="s">
        <v>26</v>
      </c>
      <c r="C1629" t="s">
        <v>135</v>
      </c>
      <c r="D1629" t="s">
        <v>3218</v>
      </c>
      <c r="E1629">
        <v>20</v>
      </c>
      <c r="F1629">
        <v>55.19</v>
      </c>
    </row>
    <row r="1630" spans="1:6" x14ac:dyDescent="0.25">
      <c r="A1630" t="s">
        <v>897</v>
      </c>
      <c r="B1630" t="s">
        <v>26</v>
      </c>
      <c r="C1630" t="s">
        <v>135</v>
      </c>
      <c r="D1630" t="s">
        <v>3219</v>
      </c>
      <c r="E1630">
        <v>28.5</v>
      </c>
      <c r="F1630">
        <v>55.19</v>
      </c>
    </row>
    <row r="1631" spans="1:6" x14ac:dyDescent="0.25">
      <c r="A1631" t="s">
        <v>898</v>
      </c>
      <c r="B1631" t="s">
        <v>26</v>
      </c>
      <c r="C1631" t="s">
        <v>136</v>
      </c>
      <c r="D1631" t="s">
        <v>3217</v>
      </c>
      <c r="E1631">
        <v>0</v>
      </c>
      <c r="F1631">
        <v>51.72</v>
      </c>
    </row>
    <row r="1632" spans="1:6" x14ac:dyDescent="0.25">
      <c r="A1632" t="s">
        <v>898</v>
      </c>
      <c r="B1632" t="s">
        <v>26</v>
      </c>
      <c r="C1632" t="s">
        <v>136</v>
      </c>
      <c r="D1632" t="s">
        <v>3218</v>
      </c>
      <c r="E1632">
        <v>20</v>
      </c>
      <c r="F1632">
        <v>54.17</v>
      </c>
    </row>
    <row r="1633" spans="1:6" x14ac:dyDescent="0.25">
      <c r="A1633" t="s">
        <v>898</v>
      </c>
      <c r="B1633" t="s">
        <v>26</v>
      </c>
      <c r="C1633" t="s">
        <v>136</v>
      </c>
      <c r="D1633" t="s">
        <v>3219</v>
      </c>
      <c r="E1633">
        <v>30.05</v>
      </c>
      <c r="F1633">
        <v>53.67</v>
      </c>
    </row>
    <row r="1634" spans="1:6" x14ac:dyDescent="0.25">
      <c r="A1634" t="s">
        <v>899</v>
      </c>
      <c r="B1634" t="s">
        <v>26</v>
      </c>
      <c r="C1634" t="s">
        <v>137</v>
      </c>
      <c r="D1634" t="s">
        <v>3217</v>
      </c>
      <c r="E1634">
        <v>0</v>
      </c>
      <c r="F1634">
        <v>51.09</v>
      </c>
    </row>
    <row r="1635" spans="1:6" x14ac:dyDescent="0.25">
      <c r="A1635" t="s">
        <v>899</v>
      </c>
      <c r="B1635" t="s">
        <v>26</v>
      </c>
      <c r="C1635" t="s">
        <v>137</v>
      </c>
      <c r="D1635" t="s">
        <v>3218</v>
      </c>
      <c r="E1635">
        <v>16.760000000000002</v>
      </c>
      <c r="F1635">
        <v>51.25</v>
      </c>
    </row>
    <row r="1636" spans="1:6" x14ac:dyDescent="0.25">
      <c r="A1636" t="s">
        <v>899</v>
      </c>
      <c r="B1636" t="s">
        <v>26</v>
      </c>
      <c r="C1636" t="s">
        <v>137</v>
      </c>
      <c r="D1636" t="s">
        <v>3219</v>
      </c>
      <c r="E1636">
        <v>27.96</v>
      </c>
      <c r="F1636">
        <v>52.68</v>
      </c>
    </row>
    <row r="1637" spans="1:6" x14ac:dyDescent="0.25">
      <c r="A1637" t="s">
        <v>900</v>
      </c>
      <c r="B1637" t="s">
        <v>26</v>
      </c>
      <c r="C1637" t="s">
        <v>138</v>
      </c>
      <c r="D1637" t="s">
        <v>3217</v>
      </c>
      <c r="E1637">
        <v>0</v>
      </c>
      <c r="F1637">
        <v>50.36</v>
      </c>
    </row>
    <row r="1638" spans="1:6" x14ac:dyDescent="0.25">
      <c r="A1638" t="s">
        <v>900</v>
      </c>
      <c r="B1638" t="s">
        <v>26</v>
      </c>
      <c r="C1638" t="s">
        <v>138</v>
      </c>
      <c r="D1638" t="s">
        <v>3218</v>
      </c>
      <c r="E1638">
        <v>15.42</v>
      </c>
      <c r="F1638">
        <v>50.66</v>
      </c>
    </row>
    <row r="1639" spans="1:6" x14ac:dyDescent="0.25">
      <c r="A1639" t="s">
        <v>900</v>
      </c>
      <c r="B1639" t="s">
        <v>26</v>
      </c>
      <c r="C1639" t="s">
        <v>138</v>
      </c>
      <c r="D1639" t="s">
        <v>3219</v>
      </c>
      <c r="E1639">
        <v>26.56</v>
      </c>
      <c r="F1639">
        <v>51.79</v>
      </c>
    </row>
    <row r="1640" spans="1:6" x14ac:dyDescent="0.25">
      <c r="A1640" t="s">
        <v>901</v>
      </c>
      <c r="B1640" t="s">
        <v>26</v>
      </c>
      <c r="C1640" t="s">
        <v>139</v>
      </c>
      <c r="D1640" t="s">
        <v>3217</v>
      </c>
      <c r="E1640">
        <v>0</v>
      </c>
      <c r="F1640">
        <v>49.97</v>
      </c>
    </row>
    <row r="1641" spans="1:6" x14ac:dyDescent="0.25">
      <c r="A1641" t="s">
        <v>901</v>
      </c>
      <c r="B1641" t="s">
        <v>26</v>
      </c>
      <c r="C1641" t="s">
        <v>139</v>
      </c>
      <c r="D1641" t="s">
        <v>3218</v>
      </c>
      <c r="E1641">
        <v>13.5</v>
      </c>
      <c r="F1641">
        <v>50.17</v>
      </c>
    </row>
    <row r="1642" spans="1:6" x14ac:dyDescent="0.25">
      <c r="A1642" t="s">
        <v>901</v>
      </c>
      <c r="B1642" t="s">
        <v>26</v>
      </c>
      <c r="C1642" t="s">
        <v>139</v>
      </c>
      <c r="D1642" t="s">
        <v>3219</v>
      </c>
      <c r="E1642">
        <v>25.35</v>
      </c>
      <c r="F1642">
        <v>51.34</v>
      </c>
    </row>
    <row r="1643" spans="1:6" x14ac:dyDescent="0.25">
      <c r="A1643" t="s">
        <v>902</v>
      </c>
      <c r="B1643" t="s">
        <v>26</v>
      </c>
      <c r="C1643" t="s">
        <v>140</v>
      </c>
      <c r="D1643" t="s">
        <v>3217</v>
      </c>
      <c r="E1643">
        <v>0</v>
      </c>
      <c r="F1643">
        <v>49.61</v>
      </c>
    </row>
    <row r="1644" spans="1:6" x14ac:dyDescent="0.25">
      <c r="A1644" t="s">
        <v>902</v>
      </c>
      <c r="B1644" t="s">
        <v>26</v>
      </c>
      <c r="C1644" t="s">
        <v>140</v>
      </c>
      <c r="D1644" t="s">
        <v>3218</v>
      </c>
      <c r="E1644">
        <v>14.57</v>
      </c>
      <c r="F1644">
        <v>50.14</v>
      </c>
    </row>
    <row r="1645" spans="1:6" x14ac:dyDescent="0.25">
      <c r="A1645" t="s">
        <v>902</v>
      </c>
      <c r="B1645" t="s">
        <v>26</v>
      </c>
      <c r="C1645" t="s">
        <v>140</v>
      </c>
      <c r="D1645" t="s">
        <v>3219</v>
      </c>
      <c r="E1645">
        <v>27.75</v>
      </c>
      <c r="F1645">
        <v>50.78</v>
      </c>
    </row>
    <row r="1646" spans="1:6" x14ac:dyDescent="0.25">
      <c r="A1646" t="s">
        <v>903</v>
      </c>
      <c r="B1646" t="s">
        <v>26</v>
      </c>
      <c r="C1646" t="s">
        <v>141</v>
      </c>
      <c r="D1646" t="s">
        <v>3217</v>
      </c>
      <c r="E1646">
        <v>0</v>
      </c>
      <c r="F1646">
        <v>49.39</v>
      </c>
    </row>
    <row r="1647" spans="1:6" x14ac:dyDescent="0.25">
      <c r="A1647" t="s">
        <v>903</v>
      </c>
      <c r="B1647" t="s">
        <v>26</v>
      </c>
      <c r="C1647" t="s">
        <v>141</v>
      </c>
      <c r="D1647" t="s">
        <v>3218</v>
      </c>
      <c r="E1647">
        <v>14.43</v>
      </c>
      <c r="F1647">
        <v>49.99</v>
      </c>
    </row>
    <row r="1648" spans="1:6" x14ac:dyDescent="0.25">
      <c r="A1648" t="s">
        <v>903</v>
      </c>
      <c r="B1648" t="s">
        <v>26</v>
      </c>
      <c r="C1648" t="s">
        <v>141</v>
      </c>
      <c r="D1648" t="s">
        <v>3219</v>
      </c>
      <c r="E1648">
        <v>27.91</v>
      </c>
      <c r="F1648">
        <v>50.38</v>
      </c>
    </row>
    <row r="1649" spans="1:6" x14ac:dyDescent="0.25">
      <c r="A1649" t="s">
        <v>904</v>
      </c>
      <c r="B1649" t="s">
        <v>26</v>
      </c>
      <c r="C1649" t="s">
        <v>142</v>
      </c>
      <c r="D1649" t="s">
        <v>3217</v>
      </c>
      <c r="E1649">
        <v>0</v>
      </c>
      <c r="F1649">
        <v>49.13</v>
      </c>
    </row>
    <row r="1650" spans="1:6" x14ac:dyDescent="0.25">
      <c r="A1650" t="s">
        <v>904</v>
      </c>
      <c r="B1650" t="s">
        <v>26</v>
      </c>
      <c r="C1650" t="s">
        <v>142</v>
      </c>
      <c r="D1650" t="s">
        <v>3218</v>
      </c>
      <c r="E1650">
        <v>13.23</v>
      </c>
      <c r="F1650">
        <v>49.39</v>
      </c>
    </row>
    <row r="1651" spans="1:6" x14ac:dyDescent="0.25">
      <c r="A1651" t="s">
        <v>904</v>
      </c>
      <c r="B1651" t="s">
        <v>26</v>
      </c>
      <c r="C1651" t="s">
        <v>142</v>
      </c>
      <c r="D1651" t="s">
        <v>3219</v>
      </c>
      <c r="E1651">
        <v>26</v>
      </c>
      <c r="F1651">
        <v>49.95</v>
      </c>
    </row>
    <row r="1652" spans="1:6" x14ac:dyDescent="0.25">
      <c r="A1652" t="s">
        <v>905</v>
      </c>
      <c r="B1652" t="s">
        <v>26</v>
      </c>
      <c r="C1652" t="s">
        <v>143</v>
      </c>
      <c r="D1652" t="s">
        <v>3217</v>
      </c>
      <c r="E1652">
        <v>0</v>
      </c>
      <c r="F1652">
        <v>48.79</v>
      </c>
    </row>
    <row r="1653" spans="1:6" x14ac:dyDescent="0.25">
      <c r="A1653" t="s">
        <v>905</v>
      </c>
      <c r="B1653" t="s">
        <v>26</v>
      </c>
      <c r="C1653" t="s">
        <v>143</v>
      </c>
      <c r="D1653" t="s">
        <v>3218</v>
      </c>
      <c r="E1653">
        <v>12.39</v>
      </c>
      <c r="F1653">
        <v>49.34</v>
      </c>
    </row>
    <row r="1654" spans="1:6" x14ac:dyDescent="0.25">
      <c r="A1654" t="s">
        <v>905</v>
      </c>
      <c r="B1654" t="s">
        <v>26</v>
      </c>
      <c r="C1654" t="s">
        <v>143</v>
      </c>
      <c r="D1654" t="s">
        <v>3219</v>
      </c>
      <c r="E1654">
        <v>23.48</v>
      </c>
      <c r="F1654">
        <v>49.56</v>
      </c>
    </row>
    <row r="1655" spans="1:6" x14ac:dyDescent="0.25">
      <c r="A1655" t="s">
        <v>906</v>
      </c>
      <c r="B1655" t="s">
        <v>26</v>
      </c>
      <c r="C1655" t="s">
        <v>144</v>
      </c>
      <c r="D1655" t="s">
        <v>3217</v>
      </c>
      <c r="E1655">
        <v>0</v>
      </c>
      <c r="F1655">
        <v>48.35</v>
      </c>
    </row>
    <row r="1656" spans="1:6" x14ac:dyDescent="0.25">
      <c r="A1656" t="s">
        <v>906</v>
      </c>
      <c r="B1656" t="s">
        <v>26</v>
      </c>
      <c r="C1656" t="s">
        <v>144</v>
      </c>
      <c r="D1656" t="s">
        <v>3218</v>
      </c>
      <c r="E1656">
        <v>11.82</v>
      </c>
      <c r="F1656">
        <v>49.03</v>
      </c>
    </row>
    <row r="1657" spans="1:6" x14ac:dyDescent="0.25">
      <c r="A1657" t="s">
        <v>906</v>
      </c>
      <c r="B1657" t="s">
        <v>26</v>
      </c>
      <c r="C1657" t="s">
        <v>144</v>
      </c>
      <c r="D1657" t="s">
        <v>3219</v>
      </c>
      <c r="E1657">
        <v>23.2</v>
      </c>
      <c r="F1657">
        <v>49.13</v>
      </c>
    </row>
    <row r="1658" spans="1:6" x14ac:dyDescent="0.25">
      <c r="A1658" t="s">
        <v>907</v>
      </c>
      <c r="B1658" t="s">
        <v>26</v>
      </c>
      <c r="C1658" t="s">
        <v>145</v>
      </c>
      <c r="D1658" t="s">
        <v>3217</v>
      </c>
      <c r="E1658">
        <v>0</v>
      </c>
      <c r="F1658">
        <v>48.01</v>
      </c>
    </row>
    <row r="1659" spans="1:6" x14ac:dyDescent="0.25">
      <c r="A1659" t="s">
        <v>907</v>
      </c>
      <c r="B1659" t="s">
        <v>26</v>
      </c>
      <c r="C1659" t="s">
        <v>145</v>
      </c>
      <c r="D1659" t="s">
        <v>3218</v>
      </c>
      <c r="E1659">
        <v>12.25</v>
      </c>
      <c r="F1659">
        <v>48.59</v>
      </c>
    </row>
    <row r="1660" spans="1:6" x14ac:dyDescent="0.25">
      <c r="A1660" t="s">
        <v>907</v>
      </c>
      <c r="B1660" t="s">
        <v>26</v>
      </c>
      <c r="C1660" t="s">
        <v>145</v>
      </c>
      <c r="D1660" t="s">
        <v>3219</v>
      </c>
      <c r="E1660">
        <v>23.43</v>
      </c>
      <c r="F1660">
        <v>48.69</v>
      </c>
    </row>
    <row r="1661" spans="1:6" x14ac:dyDescent="0.25">
      <c r="A1661" t="s">
        <v>908</v>
      </c>
      <c r="B1661" t="s">
        <v>26</v>
      </c>
      <c r="C1661" t="s">
        <v>146</v>
      </c>
      <c r="D1661" t="s">
        <v>3217</v>
      </c>
      <c r="E1661">
        <v>0</v>
      </c>
      <c r="F1661">
        <v>47.36</v>
      </c>
    </row>
    <row r="1662" spans="1:6" x14ac:dyDescent="0.25">
      <c r="A1662" t="s">
        <v>908</v>
      </c>
      <c r="B1662" t="s">
        <v>26</v>
      </c>
      <c r="C1662" t="s">
        <v>146</v>
      </c>
      <c r="D1662" t="s">
        <v>3218</v>
      </c>
      <c r="E1662">
        <v>13.7</v>
      </c>
      <c r="F1662">
        <v>47.72</v>
      </c>
    </row>
    <row r="1663" spans="1:6" x14ac:dyDescent="0.25">
      <c r="A1663" t="s">
        <v>908</v>
      </c>
      <c r="B1663" t="s">
        <v>26</v>
      </c>
      <c r="C1663" t="s">
        <v>146</v>
      </c>
      <c r="D1663" t="s">
        <v>3219</v>
      </c>
      <c r="E1663">
        <v>25.29</v>
      </c>
      <c r="F1663">
        <v>48.26</v>
      </c>
    </row>
    <row r="1664" spans="1:6" x14ac:dyDescent="0.25">
      <c r="A1664" t="s">
        <v>909</v>
      </c>
      <c r="B1664" t="s">
        <v>26</v>
      </c>
      <c r="C1664" t="s">
        <v>147</v>
      </c>
      <c r="D1664" t="s">
        <v>3217</v>
      </c>
      <c r="E1664">
        <v>0</v>
      </c>
      <c r="F1664">
        <v>46.81</v>
      </c>
    </row>
    <row r="1665" spans="1:6" x14ac:dyDescent="0.25">
      <c r="A1665" t="s">
        <v>909</v>
      </c>
      <c r="B1665" t="s">
        <v>26</v>
      </c>
      <c r="C1665" t="s">
        <v>147</v>
      </c>
      <c r="D1665" t="s">
        <v>3218</v>
      </c>
      <c r="E1665">
        <v>13.98</v>
      </c>
      <c r="F1665">
        <v>47.41</v>
      </c>
    </row>
    <row r="1666" spans="1:6" x14ac:dyDescent="0.25">
      <c r="A1666" t="s">
        <v>909</v>
      </c>
      <c r="B1666" t="s">
        <v>26</v>
      </c>
      <c r="C1666" t="s">
        <v>147</v>
      </c>
      <c r="D1666" t="s">
        <v>3219</v>
      </c>
      <c r="E1666">
        <v>26.7</v>
      </c>
      <c r="F1666">
        <v>47.72</v>
      </c>
    </row>
    <row r="1667" spans="1:6" x14ac:dyDescent="0.25">
      <c r="A1667" t="s">
        <v>910</v>
      </c>
      <c r="B1667" t="s">
        <v>26</v>
      </c>
      <c r="C1667" t="s">
        <v>148</v>
      </c>
      <c r="D1667" t="s">
        <v>3217</v>
      </c>
      <c r="E1667">
        <v>0</v>
      </c>
      <c r="F1667">
        <v>46.35</v>
      </c>
    </row>
    <row r="1668" spans="1:6" x14ac:dyDescent="0.25">
      <c r="A1668" t="s">
        <v>910</v>
      </c>
      <c r="B1668" t="s">
        <v>26</v>
      </c>
      <c r="C1668" t="s">
        <v>148</v>
      </c>
      <c r="D1668" t="s">
        <v>3218</v>
      </c>
      <c r="E1668">
        <v>13.98</v>
      </c>
      <c r="F1668">
        <v>46.98</v>
      </c>
    </row>
    <row r="1669" spans="1:6" x14ac:dyDescent="0.25">
      <c r="A1669" t="s">
        <v>910</v>
      </c>
      <c r="B1669" t="s">
        <v>26</v>
      </c>
      <c r="C1669" t="s">
        <v>148</v>
      </c>
      <c r="D1669" t="s">
        <v>3219</v>
      </c>
      <c r="E1669">
        <v>26.45</v>
      </c>
      <c r="F1669">
        <v>47.01</v>
      </c>
    </row>
    <row r="1670" spans="1:6" x14ac:dyDescent="0.25">
      <c r="A1670" t="s">
        <v>911</v>
      </c>
      <c r="B1670" t="s">
        <v>26</v>
      </c>
      <c r="C1670" t="s">
        <v>149</v>
      </c>
      <c r="D1670" t="s">
        <v>3217</v>
      </c>
      <c r="E1670">
        <v>0</v>
      </c>
      <c r="F1670">
        <v>45.81</v>
      </c>
    </row>
    <row r="1671" spans="1:6" x14ac:dyDescent="0.25">
      <c r="A1671" t="s">
        <v>911</v>
      </c>
      <c r="B1671" t="s">
        <v>26</v>
      </c>
      <c r="C1671" t="s">
        <v>149</v>
      </c>
      <c r="D1671" t="s">
        <v>3218</v>
      </c>
      <c r="E1671">
        <v>13.98</v>
      </c>
      <c r="F1671">
        <v>46.38</v>
      </c>
    </row>
    <row r="1672" spans="1:6" x14ac:dyDescent="0.25">
      <c r="A1672" t="s">
        <v>911</v>
      </c>
      <c r="B1672" t="s">
        <v>26</v>
      </c>
      <c r="C1672" t="s">
        <v>149</v>
      </c>
      <c r="D1672" t="s">
        <v>3219</v>
      </c>
      <c r="E1672">
        <v>29.23</v>
      </c>
      <c r="F1672">
        <v>46.42</v>
      </c>
    </row>
    <row r="1673" spans="1:6" x14ac:dyDescent="0.25">
      <c r="A1673" t="s">
        <v>912</v>
      </c>
      <c r="B1673" t="s">
        <v>26</v>
      </c>
      <c r="C1673" t="s">
        <v>150</v>
      </c>
      <c r="D1673" t="s">
        <v>3217</v>
      </c>
      <c r="E1673">
        <v>0</v>
      </c>
      <c r="F1673">
        <v>45.07</v>
      </c>
    </row>
    <row r="1674" spans="1:6" x14ac:dyDescent="0.25">
      <c r="A1674" t="s">
        <v>912</v>
      </c>
      <c r="B1674" t="s">
        <v>26</v>
      </c>
      <c r="C1674" t="s">
        <v>150</v>
      </c>
      <c r="D1674" t="s">
        <v>3218</v>
      </c>
      <c r="E1674">
        <v>12.86</v>
      </c>
      <c r="F1674">
        <v>45.61</v>
      </c>
    </row>
    <row r="1675" spans="1:6" x14ac:dyDescent="0.25">
      <c r="A1675" t="s">
        <v>912</v>
      </c>
      <c r="B1675" t="s">
        <v>26</v>
      </c>
      <c r="C1675" t="s">
        <v>150</v>
      </c>
      <c r="D1675" t="s">
        <v>3219</v>
      </c>
      <c r="E1675">
        <v>29.03</v>
      </c>
      <c r="F1675">
        <v>45.82</v>
      </c>
    </row>
    <row r="1676" spans="1:6" x14ac:dyDescent="0.25">
      <c r="A1676" t="s">
        <v>913</v>
      </c>
      <c r="B1676" t="s">
        <v>26</v>
      </c>
      <c r="C1676" t="s">
        <v>151</v>
      </c>
      <c r="D1676" t="s">
        <v>3217</v>
      </c>
      <c r="E1676">
        <v>0</v>
      </c>
      <c r="F1676">
        <v>44.59</v>
      </c>
    </row>
    <row r="1677" spans="1:6" x14ac:dyDescent="0.25">
      <c r="A1677" t="s">
        <v>913</v>
      </c>
      <c r="B1677" t="s">
        <v>26</v>
      </c>
      <c r="C1677" t="s">
        <v>151</v>
      </c>
      <c r="D1677" t="s">
        <v>3218</v>
      </c>
      <c r="E1677">
        <v>13</v>
      </c>
      <c r="F1677">
        <v>45.02</v>
      </c>
    </row>
    <row r="1678" spans="1:6" x14ac:dyDescent="0.25">
      <c r="A1678" t="s">
        <v>913</v>
      </c>
      <c r="B1678" t="s">
        <v>26</v>
      </c>
      <c r="C1678" t="s">
        <v>151</v>
      </c>
      <c r="D1678" t="s">
        <v>3219</v>
      </c>
      <c r="E1678">
        <v>28.92</v>
      </c>
      <c r="F1678">
        <v>45.1</v>
      </c>
    </row>
    <row r="1679" spans="1:6" x14ac:dyDescent="0.25">
      <c r="A1679" t="s">
        <v>914</v>
      </c>
      <c r="B1679" t="s">
        <v>26</v>
      </c>
      <c r="C1679" t="s">
        <v>152</v>
      </c>
      <c r="D1679" t="s">
        <v>3217</v>
      </c>
      <c r="E1679">
        <v>0</v>
      </c>
      <c r="F1679">
        <v>44.01</v>
      </c>
    </row>
    <row r="1680" spans="1:6" x14ac:dyDescent="0.25">
      <c r="A1680" t="s">
        <v>914</v>
      </c>
      <c r="B1680" t="s">
        <v>26</v>
      </c>
      <c r="C1680" t="s">
        <v>152</v>
      </c>
      <c r="D1680" t="s">
        <v>3218</v>
      </c>
      <c r="E1680">
        <v>12.5</v>
      </c>
      <c r="F1680">
        <v>44.54</v>
      </c>
    </row>
    <row r="1681" spans="1:6" x14ac:dyDescent="0.25">
      <c r="A1681" t="s">
        <v>914</v>
      </c>
      <c r="B1681" t="s">
        <v>26</v>
      </c>
      <c r="C1681" t="s">
        <v>152</v>
      </c>
      <c r="D1681" t="s">
        <v>3219</v>
      </c>
      <c r="E1681">
        <v>28.43</v>
      </c>
      <c r="F1681">
        <v>44.72</v>
      </c>
    </row>
    <row r="1682" spans="1:6" x14ac:dyDescent="0.25">
      <c r="A1682" t="s">
        <v>915</v>
      </c>
      <c r="B1682" t="s">
        <v>26</v>
      </c>
      <c r="C1682" t="s">
        <v>153</v>
      </c>
      <c r="D1682" t="s">
        <v>3217</v>
      </c>
      <c r="E1682">
        <v>0</v>
      </c>
      <c r="F1682">
        <v>43.41</v>
      </c>
    </row>
    <row r="1683" spans="1:6" x14ac:dyDescent="0.25">
      <c r="A1683" t="s">
        <v>915</v>
      </c>
      <c r="B1683" t="s">
        <v>26</v>
      </c>
      <c r="C1683" t="s">
        <v>153</v>
      </c>
      <c r="D1683" t="s">
        <v>3218</v>
      </c>
      <c r="E1683">
        <v>13.38</v>
      </c>
      <c r="F1683">
        <v>44.06</v>
      </c>
    </row>
    <row r="1684" spans="1:6" x14ac:dyDescent="0.25">
      <c r="A1684" t="s">
        <v>915</v>
      </c>
      <c r="B1684" t="s">
        <v>26</v>
      </c>
      <c r="C1684" t="s">
        <v>153</v>
      </c>
      <c r="D1684" t="s">
        <v>3219</v>
      </c>
      <c r="E1684">
        <v>28.04</v>
      </c>
      <c r="F1684">
        <v>44.31</v>
      </c>
    </row>
    <row r="1685" spans="1:6" x14ac:dyDescent="0.25">
      <c r="A1685" t="s">
        <v>916</v>
      </c>
      <c r="B1685" t="s">
        <v>26</v>
      </c>
      <c r="C1685" t="s">
        <v>154</v>
      </c>
      <c r="D1685" t="s">
        <v>3217</v>
      </c>
      <c r="E1685">
        <v>0</v>
      </c>
      <c r="F1685">
        <v>42.86</v>
      </c>
    </row>
    <row r="1686" spans="1:6" x14ac:dyDescent="0.25">
      <c r="A1686" t="s">
        <v>916</v>
      </c>
      <c r="B1686" t="s">
        <v>26</v>
      </c>
      <c r="C1686" t="s">
        <v>154</v>
      </c>
      <c r="D1686" t="s">
        <v>3218</v>
      </c>
      <c r="E1686">
        <v>14.28</v>
      </c>
      <c r="F1686">
        <v>43.45</v>
      </c>
    </row>
    <row r="1687" spans="1:6" x14ac:dyDescent="0.25">
      <c r="A1687" t="s">
        <v>916</v>
      </c>
      <c r="B1687" t="s">
        <v>26</v>
      </c>
      <c r="C1687" t="s">
        <v>154</v>
      </c>
      <c r="D1687" t="s">
        <v>3219</v>
      </c>
      <c r="E1687">
        <v>28.81</v>
      </c>
      <c r="F1687">
        <v>43.71</v>
      </c>
    </row>
    <row r="1688" spans="1:6" x14ac:dyDescent="0.25">
      <c r="A1688" t="s">
        <v>917</v>
      </c>
      <c r="B1688" t="s">
        <v>26</v>
      </c>
      <c r="C1688" t="s">
        <v>155</v>
      </c>
      <c r="D1688" t="s">
        <v>3217</v>
      </c>
      <c r="E1688">
        <v>0</v>
      </c>
      <c r="F1688">
        <v>42.2</v>
      </c>
    </row>
    <row r="1689" spans="1:6" x14ac:dyDescent="0.25">
      <c r="A1689" t="s">
        <v>917</v>
      </c>
      <c r="B1689" t="s">
        <v>26</v>
      </c>
      <c r="C1689" t="s">
        <v>155</v>
      </c>
      <c r="D1689" t="s">
        <v>3218</v>
      </c>
      <c r="E1689">
        <v>15.51</v>
      </c>
      <c r="F1689">
        <v>42.86</v>
      </c>
    </row>
    <row r="1690" spans="1:6" x14ac:dyDescent="0.25">
      <c r="A1690" t="s">
        <v>917</v>
      </c>
      <c r="B1690" t="s">
        <v>26</v>
      </c>
      <c r="C1690" t="s">
        <v>155</v>
      </c>
      <c r="D1690" t="s">
        <v>3219</v>
      </c>
      <c r="E1690">
        <v>30.51</v>
      </c>
      <c r="F1690">
        <v>43.15</v>
      </c>
    </row>
    <row r="1691" spans="1:6" x14ac:dyDescent="0.25">
      <c r="A1691" t="s">
        <v>918</v>
      </c>
      <c r="B1691" t="s">
        <v>26</v>
      </c>
      <c r="C1691" t="s">
        <v>156</v>
      </c>
      <c r="D1691" t="s">
        <v>3217</v>
      </c>
      <c r="E1691">
        <v>0</v>
      </c>
      <c r="F1691">
        <v>41.5</v>
      </c>
    </row>
    <row r="1692" spans="1:6" x14ac:dyDescent="0.25">
      <c r="A1692" t="s">
        <v>918</v>
      </c>
      <c r="B1692" t="s">
        <v>26</v>
      </c>
      <c r="C1692" t="s">
        <v>156</v>
      </c>
      <c r="D1692" t="s">
        <v>3218</v>
      </c>
      <c r="E1692">
        <v>15.68</v>
      </c>
      <c r="F1692">
        <v>42.15</v>
      </c>
    </row>
    <row r="1693" spans="1:6" x14ac:dyDescent="0.25">
      <c r="A1693" t="s">
        <v>918</v>
      </c>
      <c r="B1693" t="s">
        <v>26</v>
      </c>
      <c r="C1693" t="s">
        <v>156</v>
      </c>
      <c r="D1693" t="s">
        <v>3219</v>
      </c>
      <c r="E1693">
        <v>31.16</v>
      </c>
      <c r="F1693">
        <v>42.47</v>
      </c>
    </row>
    <row r="1694" spans="1:6" x14ac:dyDescent="0.25">
      <c r="A1694" t="s">
        <v>919</v>
      </c>
      <c r="B1694" t="s">
        <v>26</v>
      </c>
      <c r="C1694" t="s">
        <v>157</v>
      </c>
      <c r="D1694" t="s">
        <v>3217</v>
      </c>
      <c r="E1694">
        <v>0</v>
      </c>
      <c r="F1694">
        <v>40.94</v>
      </c>
    </row>
    <row r="1695" spans="1:6" x14ac:dyDescent="0.25">
      <c r="A1695" t="s">
        <v>919</v>
      </c>
      <c r="B1695" t="s">
        <v>26</v>
      </c>
      <c r="C1695" t="s">
        <v>157</v>
      </c>
      <c r="D1695" t="s">
        <v>3218</v>
      </c>
      <c r="E1695">
        <v>14.86</v>
      </c>
      <c r="F1695">
        <v>41.41</v>
      </c>
    </row>
    <row r="1696" spans="1:6" x14ac:dyDescent="0.25">
      <c r="A1696" t="s">
        <v>919</v>
      </c>
      <c r="B1696" t="s">
        <v>26</v>
      </c>
      <c r="C1696" t="s">
        <v>157</v>
      </c>
      <c r="D1696" t="s">
        <v>3219</v>
      </c>
      <c r="E1696">
        <v>29.86</v>
      </c>
      <c r="F1696">
        <v>41.83</v>
      </c>
    </row>
    <row r="1697" spans="1:6" x14ac:dyDescent="0.25">
      <c r="A1697" t="s">
        <v>920</v>
      </c>
      <c r="B1697" t="s">
        <v>26</v>
      </c>
      <c r="C1697" t="s">
        <v>158</v>
      </c>
      <c r="D1697" t="s">
        <v>3217</v>
      </c>
      <c r="E1697">
        <v>0</v>
      </c>
      <c r="F1697">
        <v>40.369999999999997</v>
      </c>
    </row>
    <row r="1698" spans="1:6" x14ac:dyDescent="0.25">
      <c r="A1698" t="s">
        <v>920</v>
      </c>
      <c r="B1698" t="s">
        <v>26</v>
      </c>
      <c r="C1698" t="s">
        <v>158</v>
      </c>
      <c r="D1698" t="s">
        <v>3218</v>
      </c>
      <c r="E1698">
        <v>15.29</v>
      </c>
      <c r="F1698">
        <v>40.98</v>
      </c>
    </row>
    <row r="1699" spans="1:6" x14ac:dyDescent="0.25">
      <c r="A1699" t="s">
        <v>920</v>
      </c>
      <c r="B1699" t="s">
        <v>26</v>
      </c>
      <c r="C1699" t="s">
        <v>158</v>
      </c>
      <c r="D1699" t="s">
        <v>3219</v>
      </c>
      <c r="E1699">
        <v>27.97</v>
      </c>
      <c r="F1699">
        <v>41.29</v>
      </c>
    </row>
    <row r="1700" spans="1:6" x14ac:dyDescent="0.25">
      <c r="A1700" t="s">
        <v>921</v>
      </c>
      <c r="B1700" t="s">
        <v>26</v>
      </c>
      <c r="C1700" t="s">
        <v>159</v>
      </c>
      <c r="D1700" t="s">
        <v>3217</v>
      </c>
      <c r="E1700">
        <v>0</v>
      </c>
      <c r="F1700">
        <v>39.85</v>
      </c>
    </row>
    <row r="1701" spans="1:6" x14ac:dyDescent="0.25">
      <c r="A1701" t="s">
        <v>921</v>
      </c>
      <c r="B1701" t="s">
        <v>26</v>
      </c>
      <c r="C1701" t="s">
        <v>159</v>
      </c>
      <c r="D1701" t="s">
        <v>3218</v>
      </c>
      <c r="E1701">
        <v>14.84</v>
      </c>
      <c r="F1701">
        <v>40.46</v>
      </c>
    </row>
    <row r="1702" spans="1:6" x14ac:dyDescent="0.25">
      <c r="A1702" t="s">
        <v>921</v>
      </c>
      <c r="B1702" t="s">
        <v>26</v>
      </c>
      <c r="C1702" t="s">
        <v>159</v>
      </c>
      <c r="D1702" t="s">
        <v>3219</v>
      </c>
      <c r="E1702">
        <v>28.55</v>
      </c>
      <c r="F1702">
        <v>40.92</v>
      </c>
    </row>
    <row r="1703" spans="1:6" x14ac:dyDescent="0.25">
      <c r="A1703" t="s">
        <v>922</v>
      </c>
      <c r="B1703" t="s">
        <v>26</v>
      </c>
      <c r="C1703" t="s">
        <v>160</v>
      </c>
      <c r="D1703" t="s">
        <v>3217</v>
      </c>
      <c r="E1703">
        <v>0</v>
      </c>
      <c r="F1703">
        <v>39.520000000000003</v>
      </c>
    </row>
    <row r="1704" spans="1:6" x14ac:dyDescent="0.25">
      <c r="A1704" t="s">
        <v>922</v>
      </c>
      <c r="B1704" t="s">
        <v>26</v>
      </c>
      <c r="C1704" t="s">
        <v>160</v>
      </c>
      <c r="D1704" t="s">
        <v>3218</v>
      </c>
      <c r="E1704">
        <v>16.03</v>
      </c>
      <c r="F1704">
        <v>39.950000000000003</v>
      </c>
    </row>
    <row r="1705" spans="1:6" x14ac:dyDescent="0.25">
      <c r="A1705" t="s">
        <v>922</v>
      </c>
      <c r="B1705" t="s">
        <v>26</v>
      </c>
      <c r="C1705" t="s">
        <v>160</v>
      </c>
      <c r="D1705" t="s">
        <v>3219</v>
      </c>
      <c r="E1705">
        <v>29.74</v>
      </c>
      <c r="F1705">
        <v>40.79</v>
      </c>
    </row>
    <row r="1706" spans="1:6" x14ac:dyDescent="0.25">
      <c r="A1706" t="s">
        <v>923</v>
      </c>
      <c r="B1706" t="s">
        <v>26</v>
      </c>
      <c r="C1706" t="s">
        <v>161</v>
      </c>
      <c r="D1706" t="s">
        <v>3217</v>
      </c>
      <c r="E1706">
        <v>0</v>
      </c>
      <c r="F1706">
        <v>38.72</v>
      </c>
    </row>
    <row r="1707" spans="1:6" x14ac:dyDescent="0.25">
      <c r="A1707" t="s">
        <v>923</v>
      </c>
      <c r="B1707" t="s">
        <v>26</v>
      </c>
      <c r="C1707" t="s">
        <v>161</v>
      </c>
      <c r="D1707" t="s">
        <v>3218</v>
      </c>
      <c r="E1707">
        <v>14.95</v>
      </c>
      <c r="F1707">
        <v>39.229999999999997</v>
      </c>
    </row>
    <row r="1708" spans="1:6" x14ac:dyDescent="0.25">
      <c r="A1708" t="s">
        <v>923</v>
      </c>
      <c r="B1708" t="s">
        <v>26</v>
      </c>
      <c r="C1708" t="s">
        <v>161</v>
      </c>
      <c r="D1708" t="s">
        <v>3219</v>
      </c>
      <c r="E1708">
        <v>29.42</v>
      </c>
      <c r="F1708">
        <v>39.21</v>
      </c>
    </row>
    <row r="1709" spans="1:6" x14ac:dyDescent="0.25">
      <c r="A1709" t="s">
        <v>924</v>
      </c>
      <c r="B1709" t="s">
        <v>26</v>
      </c>
      <c r="C1709" t="s">
        <v>162</v>
      </c>
      <c r="D1709" t="s">
        <v>3217</v>
      </c>
      <c r="E1709">
        <v>0</v>
      </c>
      <c r="F1709">
        <v>37.9</v>
      </c>
    </row>
    <row r="1710" spans="1:6" x14ac:dyDescent="0.25">
      <c r="A1710" t="s">
        <v>924</v>
      </c>
      <c r="B1710" t="s">
        <v>26</v>
      </c>
      <c r="C1710" t="s">
        <v>162</v>
      </c>
      <c r="D1710" t="s">
        <v>3218</v>
      </c>
      <c r="E1710">
        <v>14.95</v>
      </c>
      <c r="F1710">
        <v>38.36</v>
      </c>
    </row>
    <row r="1711" spans="1:6" x14ac:dyDescent="0.25">
      <c r="A1711" t="s">
        <v>924</v>
      </c>
      <c r="B1711" t="s">
        <v>26</v>
      </c>
      <c r="C1711" t="s">
        <v>162</v>
      </c>
      <c r="D1711" t="s">
        <v>3219</v>
      </c>
      <c r="E1711">
        <v>30.07</v>
      </c>
      <c r="F1711">
        <v>38.409999999999997</v>
      </c>
    </row>
    <row r="1712" spans="1:6" x14ac:dyDescent="0.25">
      <c r="A1712" t="s">
        <v>925</v>
      </c>
      <c r="B1712" t="s">
        <v>26</v>
      </c>
      <c r="C1712" t="s">
        <v>163</v>
      </c>
      <c r="D1712" t="s">
        <v>3217</v>
      </c>
      <c r="E1712">
        <v>0</v>
      </c>
      <c r="F1712">
        <v>37.159999999999997</v>
      </c>
    </row>
    <row r="1713" spans="1:6" x14ac:dyDescent="0.25">
      <c r="A1713" t="s">
        <v>925</v>
      </c>
      <c r="B1713" t="s">
        <v>26</v>
      </c>
      <c r="C1713" t="s">
        <v>163</v>
      </c>
      <c r="D1713" t="s">
        <v>3218</v>
      </c>
      <c r="E1713">
        <v>14.95</v>
      </c>
      <c r="F1713">
        <v>37.53</v>
      </c>
    </row>
    <row r="1714" spans="1:6" x14ac:dyDescent="0.25">
      <c r="A1714" t="s">
        <v>925</v>
      </c>
      <c r="B1714" t="s">
        <v>26</v>
      </c>
      <c r="C1714" t="s">
        <v>163</v>
      </c>
      <c r="D1714" t="s">
        <v>3219</v>
      </c>
      <c r="E1714">
        <v>30.07</v>
      </c>
      <c r="F1714">
        <v>37.61</v>
      </c>
    </row>
    <row r="1715" spans="1:6" x14ac:dyDescent="0.25">
      <c r="A1715" t="s">
        <v>926</v>
      </c>
      <c r="B1715" t="s">
        <v>26</v>
      </c>
      <c r="C1715" t="s">
        <v>164</v>
      </c>
      <c r="D1715" t="s">
        <v>3217</v>
      </c>
      <c r="E1715">
        <v>0</v>
      </c>
      <c r="F1715">
        <v>36.090000000000003</v>
      </c>
    </row>
    <row r="1716" spans="1:6" x14ac:dyDescent="0.25">
      <c r="A1716" t="s">
        <v>926</v>
      </c>
      <c r="B1716" t="s">
        <v>26</v>
      </c>
      <c r="C1716" t="s">
        <v>164</v>
      </c>
      <c r="D1716" t="s">
        <v>3218</v>
      </c>
      <c r="E1716">
        <v>14.25</v>
      </c>
      <c r="F1716">
        <v>36.549999999999997</v>
      </c>
    </row>
    <row r="1717" spans="1:6" x14ac:dyDescent="0.25">
      <c r="A1717" t="s">
        <v>926</v>
      </c>
      <c r="B1717" t="s">
        <v>26</v>
      </c>
      <c r="C1717" t="s">
        <v>164</v>
      </c>
      <c r="D1717" t="s">
        <v>3219</v>
      </c>
      <c r="E1717">
        <v>29.38</v>
      </c>
      <c r="F1717">
        <v>36.74</v>
      </c>
    </row>
    <row r="1718" spans="1:6" x14ac:dyDescent="0.25">
      <c r="A1718" t="s">
        <v>927</v>
      </c>
      <c r="B1718" t="s">
        <v>26</v>
      </c>
      <c r="C1718" t="s">
        <v>170</v>
      </c>
      <c r="D1718" t="s">
        <v>3217</v>
      </c>
      <c r="E1718">
        <v>0</v>
      </c>
      <c r="F1718">
        <v>35.26</v>
      </c>
    </row>
    <row r="1719" spans="1:6" x14ac:dyDescent="0.25">
      <c r="A1719" t="s">
        <v>927</v>
      </c>
      <c r="B1719" t="s">
        <v>26</v>
      </c>
      <c r="C1719" t="s">
        <v>170</v>
      </c>
      <c r="D1719" t="s">
        <v>3218</v>
      </c>
      <c r="E1719">
        <v>13.17</v>
      </c>
      <c r="F1719">
        <v>35.6</v>
      </c>
    </row>
    <row r="1720" spans="1:6" x14ac:dyDescent="0.25">
      <c r="A1720" t="s">
        <v>927</v>
      </c>
      <c r="B1720" t="s">
        <v>26</v>
      </c>
      <c r="C1720" t="s">
        <v>170</v>
      </c>
      <c r="D1720" t="s">
        <v>3219</v>
      </c>
      <c r="E1720">
        <v>25.63</v>
      </c>
      <c r="F1720">
        <v>35.68</v>
      </c>
    </row>
    <row r="1721" spans="1:6" x14ac:dyDescent="0.25">
      <c r="A1721" t="s">
        <v>928</v>
      </c>
      <c r="B1721" t="s">
        <v>26</v>
      </c>
      <c r="C1721" t="s">
        <v>171</v>
      </c>
      <c r="D1721" t="s">
        <v>3217</v>
      </c>
      <c r="E1721">
        <v>0</v>
      </c>
      <c r="F1721">
        <v>33.799999999999997</v>
      </c>
    </row>
    <row r="1722" spans="1:6" x14ac:dyDescent="0.25">
      <c r="A1722" t="s">
        <v>928</v>
      </c>
      <c r="B1722" t="s">
        <v>26</v>
      </c>
      <c r="C1722" t="s">
        <v>171</v>
      </c>
      <c r="D1722" t="s">
        <v>3218</v>
      </c>
      <c r="E1722">
        <v>12.41</v>
      </c>
      <c r="F1722">
        <v>34.39</v>
      </c>
    </row>
    <row r="1723" spans="1:6" x14ac:dyDescent="0.25">
      <c r="A1723" t="s">
        <v>928</v>
      </c>
      <c r="B1723" t="s">
        <v>26</v>
      </c>
      <c r="C1723" t="s">
        <v>171</v>
      </c>
      <c r="D1723" t="s">
        <v>3219</v>
      </c>
      <c r="E1723">
        <v>23.77</v>
      </c>
      <c r="F1723">
        <v>34.47</v>
      </c>
    </row>
    <row r="1724" spans="1:6" x14ac:dyDescent="0.25">
      <c r="A1724" t="s">
        <v>929</v>
      </c>
      <c r="B1724" t="s">
        <v>26</v>
      </c>
      <c r="C1724" t="s">
        <v>172</v>
      </c>
      <c r="D1724" t="s">
        <v>3217</v>
      </c>
      <c r="E1724">
        <v>0</v>
      </c>
      <c r="F1724">
        <v>32.72</v>
      </c>
    </row>
    <row r="1725" spans="1:6" x14ac:dyDescent="0.25">
      <c r="A1725" t="s">
        <v>929</v>
      </c>
      <c r="B1725" t="s">
        <v>26</v>
      </c>
      <c r="C1725" t="s">
        <v>172</v>
      </c>
      <c r="D1725" t="s">
        <v>3218</v>
      </c>
      <c r="E1725">
        <v>11.75</v>
      </c>
      <c r="F1725">
        <v>33</v>
      </c>
    </row>
    <row r="1726" spans="1:6" x14ac:dyDescent="0.25">
      <c r="A1726" t="s">
        <v>929</v>
      </c>
      <c r="B1726" t="s">
        <v>26</v>
      </c>
      <c r="C1726" t="s">
        <v>172</v>
      </c>
      <c r="D1726" t="s">
        <v>3219</v>
      </c>
      <c r="E1726">
        <v>24.21</v>
      </c>
      <c r="F1726">
        <v>33.31</v>
      </c>
    </row>
    <row r="1727" spans="1:6" x14ac:dyDescent="0.25">
      <c r="A1727" t="s">
        <v>930</v>
      </c>
      <c r="B1727" t="s">
        <v>26</v>
      </c>
      <c r="C1727" t="s">
        <v>173</v>
      </c>
      <c r="D1727" t="s">
        <v>3217</v>
      </c>
      <c r="E1727">
        <v>0</v>
      </c>
      <c r="F1727">
        <v>31.86</v>
      </c>
    </row>
    <row r="1728" spans="1:6" x14ac:dyDescent="0.25">
      <c r="A1728" t="s">
        <v>930</v>
      </c>
      <c r="B1728" t="s">
        <v>26</v>
      </c>
      <c r="C1728" t="s">
        <v>173</v>
      </c>
      <c r="D1728" t="s">
        <v>3218</v>
      </c>
      <c r="E1728">
        <v>10.66</v>
      </c>
      <c r="F1728">
        <v>32.369999999999997</v>
      </c>
    </row>
    <row r="1729" spans="1:6" x14ac:dyDescent="0.25">
      <c r="A1729" t="s">
        <v>930</v>
      </c>
      <c r="B1729" t="s">
        <v>26</v>
      </c>
      <c r="C1729" t="s">
        <v>173</v>
      </c>
      <c r="D1729" t="s">
        <v>3219</v>
      </c>
      <c r="E1729">
        <v>23.06</v>
      </c>
      <c r="F1729">
        <v>32.4</v>
      </c>
    </row>
    <row r="1730" spans="1:6" x14ac:dyDescent="0.25">
      <c r="A1730" t="s">
        <v>931</v>
      </c>
      <c r="B1730" t="s">
        <v>26</v>
      </c>
      <c r="C1730" t="s">
        <v>174</v>
      </c>
      <c r="D1730" t="s">
        <v>3217</v>
      </c>
      <c r="E1730">
        <v>0</v>
      </c>
      <c r="F1730">
        <v>31.22</v>
      </c>
    </row>
    <row r="1731" spans="1:6" x14ac:dyDescent="0.25">
      <c r="A1731" t="s">
        <v>931</v>
      </c>
      <c r="B1731" t="s">
        <v>26</v>
      </c>
      <c r="C1731" t="s">
        <v>174</v>
      </c>
      <c r="D1731" t="s">
        <v>3218</v>
      </c>
      <c r="E1731">
        <v>10.34</v>
      </c>
      <c r="F1731">
        <v>31.77</v>
      </c>
    </row>
    <row r="1732" spans="1:6" x14ac:dyDescent="0.25">
      <c r="A1732" t="s">
        <v>931</v>
      </c>
      <c r="B1732" t="s">
        <v>26</v>
      </c>
      <c r="C1732" t="s">
        <v>174</v>
      </c>
      <c r="D1732" t="s">
        <v>3219</v>
      </c>
      <c r="E1732">
        <v>22.81</v>
      </c>
      <c r="F1732">
        <v>31.74</v>
      </c>
    </row>
    <row r="1733" spans="1:6" x14ac:dyDescent="0.25">
      <c r="A1733" t="s">
        <v>932</v>
      </c>
      <c r="B1733" t="s">
        <v>26</v>
      </c>
      <c r="C1733" t="s">
        <v>175</v>
      </c>
      <c r="D1733" t="s">
        <v>3217</v>
      </c>
      <c r="E1733">
        <v>0</v>
      </c>
      <c r="F1733">
        <v>30.87</v>
      </c>
    </row>
    <row r="1734" spans="1:6" x14ac:dyDescent="0.25">
      <c r="A1734" t="s">
        <v>932</v>
      </c>
      <c r="B1734" t="s">
        <v>26</v>
      </c>
      <c r="C1734" t="s">
        <v>175</v>
      </c>
      <c r="D1734" t="s">
        <v>3218</v>
      </c>
      <c r="E1734">
        <v>10.220000000000001</v>
      </c>
      <c r="F1734">
        <v>31.32</v>
      </c>
    </row>
    <row r="1735" spans="1:6" x14ac:dyDescent="0.25">
      <c r="A1735" t="s">
        <v>932</v>
      </c>
      <c r="B1735" t="s">
        <v>26</v>
      </c>
      <c r="C1735" t="s">
        <v>175</v>
      </c>
      <c r="D1735" t="s">
        <v>3219</v>
      </c>
      <c r="E1735">
        <v>21.64</v>
      </c>
      <c r="F1735">
        <v>31.36</v>
      </c>
    </row>
    <row r="1736" spans="1:6" x14ac:dyDescent="0.25">
      <c r="A1736" t="s">
        <v>933</v>
      </c>
      <c r="B1736" t="s">
        <v>26</v>
      </c>
      <c r="C1736" t="s">
        <v>176</v>
      </c>
      <c r="D1736" t="s">
        <v>3217</v>
      </c>
      <c r="E1736">
        <v>0</v>
      </c>
      <c r="F1736">
        <v>30.45</v>
      </c>
    </row>
    <row r="1737" spans="1:6" x14ac:dyDescent="0.25">
      <c r="A1737" t="s">
        <v>933</v>
      </c>
      <c r="B1737" t="s">
        <v>26</v>
      </c>
      <c r="C1737" t="s">
        <v>176</v>
      </c>
      <c r="D1737" t="s">
        <v>3218</v>
      </c>
      <c r="E1737">
        <v>10.96</v>
      </c>
      <c r="F1737">
        <v>30.9</v>
      </c>
    </row>
    <row r="1738" spans="1:6" x14ac:dyDescent="0.25">
      <c r="A1738" t="s">
        <v>933</v>
      </c>
      <c r="B1738" t="s">
        <v>26</v>
      </c>
      <c r="C1738" t="s">
        <v>176</v>
      </c>
      <c r="D1738" t="s">
        <v>3219</v>
      </c>
      <c r="E1738">
        <v>21.52</v>
      </c>
      <c r="F1738">
        <v>30.88</v>
      </c>
    </row>
    <row r="1739" spans="1:6" x14ac:dyDescent="0.25">
      <c r="A1739" t="s">
        <v>934</v>
      </c>
      <c r="B1739" t="s">
        <v>26</v>
      </c>
      <c r="C1739" t="s">
        <v>177</v>
      </c>
      <c r="D1739" t="s">
        <v>3217</v>
      </c>
      <c r="E1739">
        <v>0</v>
      </c>
      <c r="F1739">
        <v>30.04</v>
      </c>
    </row>
    <row r="1740" spans="1:6" x14ac:dyDescent="0.25">
      <c r="A1740" t="s">
        <v>934</v>
      </c>
      <c r="B1740" t="s">
        <v>26</v>
      </c>
      <c r="C1740" t="s">
        <v>177</v>
      </c>
      <c r="D1740" t="s">
        <v>3218</v>
      </c>
      <c r="E1740">
        <v>10.92</v>
      </c>
      <c r="F1740">
        <v>30.62</v>
      </c>
    </row>
    <row r="1741" spans="1:6" x14ac:dyDescent="0.25">
      <c r="A1741" t="s">
        <v>934</v>
      </c>
      <c r="B1741" t="s">
        <v>26</v>
      </c>
      <c r="C1741" t="s">
        <v>177</v>
      </c>
      <c r="D1741" t="s">
        <v>3219</v>
      </c>
      <c r="E1741">
        <v>22.37</v>
      </c>
      <c r="F1741">
        <v>30.71</v>
      </c>
    </row>
    <row r="1742" spans="1:6" x14ac:dyDescent="0.25">
      <c r="A1742" t="s">
        <v>935</v>
      </c>
      <c r="B1742" t="s">
        <v>26</v>
      </c>
      <c r="C1742" t="s">
        <v>178</v>
      </c>
      <c r="D1742" t="s">
        <v>3217</v>
      </c>
      <c r="E1742">
        <v>0</v>
      </c>
      <c r="F1742">
        <v>29.68</v>
      </c>
    </row>
    <row r="1743" spans="1:6" x14ac:dyDescent="0.25">
      <c r="A1743" t="s">
        <v>935</v>
      </c>
      <c r="B1743" t="s">
        <v>26</v>
      </c>
      <c r="C1743" t="s">
        <v>178</v>
      </c>
      <c r="D1743" t="s">
        <v>3218</v>
      </c>
      <c r="E1743">
        <v>11.43</v>
      </c>
      <c r="F1743">
        <v>30.19</v>
      </c>
    </row>
    <row r="1744" spans="1:6" x14ac:dyDescent="0.25">
      <c r="A1744" t="s">
        <v>935</v>
      </c>
      <c r="B1744" t="s">
        <v>26</v>
      </c>
      <c r="C1744" t="s">
        <v>178</v>
      </c>
      <c r="D1744" t="s">
        <v>3219</v>
      </c>
      <c r="E1744">
        <v>23.51</v>
      </c>
      <c r="F1744">
        <v>30.35</v>
      </c>
    </row>
    <row r="1745" spans="1:6" x14ac:dyDescent="0.25">
      <c r="A1745" t="s">
        <v>936</v>
      </c>
      <c r="B1745" t="s">
        <v>26</v>
      </c>
      <c r="C1745" t="s">
        <v>179</v>
      </c>
      <c r="D1745" t="s">
        <v>3217</v>
      </c>
      <c r="E1745">
        <v>0</v>
      </c>
      <c r="F1745">
        <v>29.36</v>
      </c>
    </row>
    <row r="1746" spans="1:6" x14ac:dyDescent="0.25">
      <c r="A1746" t="s">
        <v>936</v>
      </c>
      <c r="B1746" t="s">
        <v>26</v>
      </c>
      <c r="C1746" t="s">
        <v>179</v>
      </c>
      <c r="D1746" t="s">
        <v>3218</v>
      </c>
      <c r="E1746">
        <v>11.07</v>
      </c>
      <c r="F1746">
        <v>29.77</v>
      </c>
    </row>
    <row r="1747" spans="1:6" x14ac:dyDescent="0.25">
      <c r="A1747" t="s">
        <v>936</v>
      </c>
      <c r="B1747" t="s">
        <v>26</v>
      </c>
      <c r="C1747" t="s">
        <v>179</v>
      </c>
      <c r="D1747" t="s">
        <v>3219</v>
      </c>
      <c r="E1747">
        <v>22.15</v>
      </c>
      <c r="F1747">
        <v>29.74</v>
      </c>
    </row>
    <row r="1748" spans="1:6" x14ac:dyDescent="0.25">
      <c r="A1748" t="s">
        <v>937</v>
      </c>
      <c r="B1748" t="s">
        <v>26</v>
      </c>
      <c r="C1748" t="s">
        <v>180</v>
      </c>
      <c r="D1748" t="s">
        <v>3217</v>
      </c>
      <c r="E1748">
        <v>0</v>
      </c>
      <c r="F1748">
        <v>28.91</v>
      </c>
    </row>
    <row r="1749" spans="1:6" x14ac:dyDescent="0.25">
      <c r="A1749" t="s">
        <v>937</v>
      </c>
      <c r="B1749" t="s">
        <v>26</v>
      </c>
      <c r="C1749" t="s">
        <v>180</v>
      </c>
      <c r="D1749" t="s">
        <v>3218</v>
      </c>
      <c r="E1749">
        <v>11.53</v>
      </c>
      <c r="F1749">
        <v>29.29</v>
      </c>
    </row>
    <row r="1750" spans="1:6" x14ac:dyDescent="0.25">
      <c r="A1750" t="s">
        <v>937</v>
      </c>
      <c r="B1750" t="s">
        <v>26</v>
      </c>
      <c r="C1750" t="s">
        <v>180</v>
      </c>
      <c r="D1750" t="s">
        <v>3219</v>
      </c>
      <c r="E1750">
        <v>24.05</v>
      </c>
      <c r="F1750">
        <v>29.09</v>
      </c>
    </row>
    <row r="1751" spans="1:6" x14ac:dyDescent="0.25">
      <c r="A1751" t="s">
        <v>938</v>
      </c>
      <c r="B1751" t="s">
        <v>26</v>
      </c>
      <c r="C1751" t="s">
        <v>181</v>
      </c>
      <c r="D1751" t="s">
        <v>3217</v>
      </c>
      <c r="E1751">
        <v>0</v>
      </c>
      <c r="F1751">
        <v>28.24</v>
      </c>
    </row>
    <row r="1752" spans="1:6" x14ac:dyDescent="0.25">
      <c r="A1752" t="s">
        <v>938</v>
      </c>
      <c r="B1752" t="s">
        <v>26</v>
      </c>
      <c r="C1752" t="s">
        <v>181</v>
      </c>
      <c r="D1752" t="s">
        <v>3218</v>
      </c>
      <c r="E1752">
        <v>11.62</v>
      </c>
      <c r="F1752">
        <v>28.58</v>
      </c>
    </row>
    <row r="1753" spans="1:6" x14ac:dyDescent="0.25">
      <c r="A1753" t="s">
        <v>938</v>
      </c>
      <c r="B1753" t="s">
        <v>26</v>
      </c>
      <c r="C1753" t="s">
        <v>181</v>
      </c>
      <c r="D1753" t="s">
        <v>3219</v>
      </c>
      <c r="E1753">
        <v>22.7</v>
      </c>
      <c r="F1753">
        <v>28.82</v>
      </c>
    </row>
    <row r="1754" spans="1:6" x14ac:dyDescent="0.25">
      <c r="A1754" t="s">
        <v>939</v>
      </c>
      <c r="B1754" t="s">
        <v>26</v>
      </c>
      <c r="C1754" t="s">
        <v>182</v>
      </c>
      <c r="D1754" t="s">
        <v>3217</v>
      </c>
      <c r="E1754">
        <v>0</v>
      </c>
      <c r="F1754">
        <v>27.49</v>
      </c>
    </row>
    <row r="1755" spans="1:6" x14ac:dyDescent="0.25">
      <c r="A1755" t="s">
        <v>939</v>
      </c>
      <c r="B1755" t="s">
        <v>26</v>
      </c>
      <c r="C1755" t="s">
        <v>182</v>
      </c>
      <c r="D1755" t="s">
        <v>3218</v>
      </c>
      <c r="E1755">
        <v>12.29</v>
      </c>
      <c r="F1755">
        <v>28.1</v>
      </c>
    </row>
    <row r="1756" spans="1:6" x14ac:dyDescent="0.25">
      <c r="A1756" t="s">
        <v>939</v>
      </c>
      <c r="B1756" t="s">
        <v>26</v>
      </c>
      <c r="C1756" t="s">
        <v>182</v>
      </c>
      <c r="D1756" t="s">
        <v>3219</v>
      </c>
      <c r="E1756">
        <v>22.95</v>
      </c>
      <c r="F1756">
        <v>28.18</v>
      </c>
    </row>
    <row r="1757" spans="1:6" x14ac:dyDescent="0.25">
      <c r="A1757" t="s">
        <v>940</v>
      </c>
      <c r="B1757" t="s">
        <v>26</v>
      </c>
      <c r="C1757" t="s">
        <v>183</v>
      </c>
      <c r="D1757" t="s">
        <v>3217</v>
      </c>
      <c r="E1757">
        <v>0</v>
      </c>
      <c r="F1757">
        <v>26.5</v>
      </c>
    </row>
    <row r="1758" spans="1:6" x14ac:dyDescent="0.25">
      <c r="A1758" t="s">
        <v>940</v>
      </c>
      <c r="B1758" t="s">
        <v>26</v>
      </c>
      <c r="C1758" t="s">
        <v>183</v>
      </c>
      <c r="D1758" t="s">
        <v>3218</v>
      </c>
      <c r="E1758">
        <v>12.42</v>
      </c>
      <c r="F1758">
        <v>26.9</v>
      </c>
    </row>
    <row r="1759" spans="1:6" x14ac:dyDescent="0.25">
      <c r="A1759" t="s">
        <v>940</v>
      </c>
      <c r="B1759" t="s">
        <v>26</v>
      </c>
      <c r="C1759" t="s">
        <v>183</v>
      </c>
      <c r="D1759" t="s">
        <v>3219</v>
      </c>
      <c r="E1759">
        <v>21.6</v>
      </c>
      <c r="F1759">
        <v>26.89</v>
      </c>
    </row>
    <row r="1760" spans="1:6" x14ac:dyDescent="0.25">
      <c r="A1760" t="s">
        <v>941</v>
      </c>
      <c r="B1760" t="s">
        <v>26</v>
      </c>
      <c r="C1760" t="s">
        <v>184</v>
      </c>
      <c r="D1760" t="s">
        <v>3217</v>
      </c>
      <c r="E1760">
        <v>0</v>
      </c>
      <c r="F1760">
        <v>25.51</v>
      </c>
    </row>
    <row r="1761" spans="1:6" x14ac:dyDescent="0.25">
      <c r="A1761" t="s">
        <v>941</v>
      </c>
      <c r="B1761" t="s">
        <v>26</v>
      </c>
      <c r="C1761" t="s">
        <v>184</v>
      </c>
      <c r="D1761" t="s">
        <v>3218</v>
      </c>
      <c r="E1761">
        <v>12.3</v>
      </c>
      <c r="F1761">
        <v>25.67</v>
      </c>
    </row>
    <row r="1762" spans="1:6" x14ac:dyDescent="0.25">
      <c r="A1762" t="s">
        <v>941</v>
      </c>
      <c r="B1762" t="s">
        <v>26</v>
      </c>
      <c r="C1762" t="s">
        <v>184</v>
      </c>
      <c r="D1762" t="s">
        <v>3219</v>
      </c>
      <c r="E1762">
        <v>21.8</v>
      </c>
      <c r="F1762">
        <v>25.48</v>
      </c>
    </row>
    <row r="1763" spans="1:6" x14ac:dyDescent="0.25">
      <c r="A1763" t="s">
        <v>942</v>
      </c>
      <c r="B1763" t="s">
        <v>26</v>
      </c>
      <c r="C1763" t="s">
        <v>185</v>
      </c>
      <c r="D1763" t="s">
        <v>3217</v>
      </c>
      <c r="E1763">
        <v>0</v>
      </c>
      <c r="F1763">
        <v>24.02</v>
      </c>
    </row>
    <row r="1764" spans="1:6" x14ac:dyDescent="0.25">
      <c r="A1764" t="s">
        <v>942</v>
      </c>
      <c r="B1764" t="s">
        <v>26</v>
      </c>
      <c r="C1764" t="s">
        <v>185</v>
      </c>
      <c r="D1764" t="s">
        <v>3218</v>
      </c>
      <c r="E1764">
        <v>14.27</v>
      </c>
      <c r="F1764">
        <v>24.23</v>
      </c>
    </row>
    <row r="1765" spans="1:6" x14ac:dyDescent="0.25">
      <c r="A1765" t="s">
        <v>942</v>
      </c>
      <c r="B1765" t="s">
        <v>26</v>
      </c>
      <c r="C1765" t="s">
        <v>185</v>
      </c>
      <c r="D1765" t="s">
        <v>3219</v>
      </c>
      <c r="E1765">
        <v>23.77</v>
      </c>
      <c r="F1765">
        <v>23.97</v>
      </c>
    </row>
    <row r="1766" spans="1:6" x14ac:dyDescent="0.25">
      <c r="A1766" t="s">
        <v>943</v>
      </c>
      <c r="B1766" t="s">
        <v>26</v>
      </c>
      <c r="C1766" t="s">
        <v>186</v>
      </c>
      <c r="D1766" t="s">
        <v>3217</v>
      </c>
      <c r="E1766">
        <v>0</v>
      </c>
      <c r="F1766">
        <v>22.34</v>
      </c>
    </row>
    <row r="1767" spans="1:6" x14ac:dyDescent="0.25">
      <c r="A1767" t="s">
        <v>943</v>
      </c>
      <c r="B1767" t="s">
        <v>26</v>
      </c>
      <c r="C1767" t="s">
        <v>186</v>
      </c>
      <c r="D1767" t="s">
        <v>3218</v>
      </c>
      <c r="E1767">
        <v>14.27</v>
      </c>
      <c r="F1767">
        <v>22.63</v>
      </c>
    </row>
    <row r="1768" spans="1:6" x14ac:dyDescent="0.25">
      <c r="A1768" t="s">
        <v>943</v>
      </c>
      <c r="B1768" t="s">
        <v>26</v>
      </c>
      <c r="C1768" t="s">
        <v>186</v>
      </c>
      <c r="D1768" t="s">
        <v>3219</v>
      </c>
      <c r="E1768">
        <v>25.77</v>
      </c>
      <c r="F1768">
        <v>22.7</v>
      </c>
    </row>
    <row r="1769" spans="1:6" x14ac:dyDescent="0.25">
      <c r="A1769" t="s">
        <v>944</v>
      </c>
      <c r="B1769" t="s">
        <v>26</v>
      </c>
      <c r="C1769" t="s">
        <v>187</v>
      </c>
      <c r="D1769" t="s">
        <v>3217</v>
      </c>
      <c r="E1769">
        <v>0</v>
      </c>
      <c r="F1769">
        <v>20.89</v>
      </c>
    </row>
    <row r="1770" spans="1:6" x14ac:dyDescent="0.25">
      <c r="A1770" t="s">
        <v>944</v>
      </c>
      <c r="B1770" t="s">
        <v>26</v>
      </c>
      <c r="C1770" t="s">
        <v>187</v>
      </c>
      <c r="D1770" t="s">
        <v>3218</v>
      </c>
      <c r="E1770">
        <v>14.27</v>
      </c>
      <c r="F1770">
        <v>20.75</v>
      </c>
    </row>
    <row r="1771" spans="1:6" x14ac:dyDescent="0.25">
      <c r="A1771" t="s">
        <v>944</v>
      </c>
      <c r="B1771" t="s">
        <v>26</v>
      </c>
      <c r="C1771" t="s">
        <v>187</v>
      </c>
      <c r="D1771" t="s">
        <v>3219</v>
      </c>
      <c r="E1771">
        <v>25.65</v>
      </c>
      <c r="F1771">
        <v>21.21</v>
      </c>
    </row>
    <row r="1772" spans="1:6" x14ac:dyDescent="0.25">
      <c r="A1772" t="s">
        <v>945</v>
      </c>
      <c r="B1772" t="s">
        <v>26</v>
      </c>
      <c r="C1772" t="s">
        <v>188</v>
      </c>
      <c r="D1772" t="s">
        <v>3217</v>
      </c>
      <c r="E1772">
        <v>0</v>
      </c>
      <c r="F1772">
        <v>19.54</v>
      </c>
    </row>
    <row r="1773" spans="1:6" x14ac:dyDescent="0.25">
      <c r="A1773" t="s">
        <v>945</v>
      </c>
      <c r="B1773" t="s">
        <v>26</v>
      </c>
      <c r="C1773" t="s">
        <v>188</v>
      </c>
      <c r="D1773" t="s">
        <v>3218</v>
      </c>
      <c r="E1773">
        <v>14.19</v>
      </c>
      <c r="F1773">
        <v>19.27</v>
      </c>
    </row>
    <row r="1774" spans="1:6" x14ac:dyDescent="0.25">
      <c r="A1774" t="s">
        <v>945</v>
      </c>
      <c r="B1774" t="s">
        <v>26</v>
      </c>
      <c r="C1774" t="s">
        <v>188</v>
      </c>
      <c r="D1774" t="s">
        <v>3219</v>
      </c>
      <c r="E1774">
        <v>25.49</v>
      </c>
      <c r="F1774">
        <v>19.59</v>
      </c>
    </row>
    <row r="1775" spans="1:6" x14ac:dyDescent="0.25">
      <c r="A1775" t="s">
        <v>946</v>
      </c>
      <c r="B1775" t="s">
        <v>26</v>
      </c>
      <c r="C1775" t="s">
        <v>189</v>
      </c>
      <c r="D1775" t="s">
        <v>3217</v>
      </c>
      <c r="E1775">
        <v>0</v>
      </c>
      <c r="F1775">
        <v>18.68</v>
      </c>
    </row>
    <row r="1776" spans="1:6" x14ac:dyDescent="0.25">
      <c r="A1776" t="s">
        <v>946</v>
      </c>
      <c r="B1776" t="s">
        <v>26</v>
      </c>
      <c r="C1776" t="s">
        <v>189</v>
      </c>
      <c r="D1776" t="s">
        <v>3218</v>
      </c>
      <c r="E1776">
        <v>14.19</v>
      </c>
      <c r="F1776">
        <v>18.57</v>
      </c>
    </row>
    <row r="1777" spans="1:6" x14ac:dyDescent="0.25">
      <c r="A1777" t="s">
        <v>946</v>
      </c>
      <c r="B1777" t="s">
        <v>26</v>
      </c>
      <c r="C1777" t="s">
        <v>189</v>
      </c>
      <c r="D1777" t="s">
        <v>3219</v>
      </c>
      <c r="E1777">
        <v>25.52</v>
      </c>
      <c r="F1777">
        <v>18.22</v>
      </c>
    </row>
    <row r="1778" spans="1:6" x14ac:dyDescent="0.25">
      <c r="A1778" t="s">
        <v>947</v>
      </c>
      <c r="B1778" t="s">
        <v>26</v>
      </c>
      <c r="C1778" t="s">
        <v>190</v>
      </c>
      <c r="D1778" t="s">
        <v>3217</v>
      </c>
      <c r="E1778">
        <v>0</v>
      </c>
      <c r="F1778">
        <v>17.84</v>
      </c>
    </row>
    <row r="1779" spans="1:6" x14ac:dyDescent="0.25">
      <c r="A1779" t="s">
        <v>947</v>
      </c>
      <c r="B1779" t="s">
        <v>26</v>
      </c>
      <c r="C1779" t="s">
        <v>190</v>
      </c>
      <c r="D1779" t="s">
        <v>3218</v>
      </c>
      <c r="E1779">
        <v>14.19</v>
      </c>
      <c r="F1779">
        <v>17.649999999999999</v>
      </c>
    </row>
    <row r="1780" spans="1:6" x14ac:dyDescent="0.25">
      <c r="A1780" t="s">
        <v>947</v>
      </c>
      <c r="B1780" t="s">
        <v>26</v>
      </c>
      <c r="C1780" t="s">
        <v>190</v>
      </c>
      <c r="D1780" t="s">
        <v>3219</v>
      </c>
      <c r="E1780">
        <v>26.34</v>
      </c>
      <c r="F1780">
        <v>17.420000000000002</v>
      </c>
    </row>
    <row r="1781" spans="1:6" x14ac:dyDescent="0.25">
      <c r="A1781" t="s">
        <v>948</v>
      </c>
      <c r="B1781" t="s">
        <v>26</v>
      </c>
      <c r="C1781" t="s">
        <v>191</v>
      </c>
      <c r="D1781" t="s">
        <v>3217</v>
      </c>
      <c r="E1781">
        <v>0</v>
      </c>
      <c r="F1781">
        <v>16.989999999999998</v>
      </c>
    </row>
    <row r="1782" spans="1:6" x14ac:dyDescent="0.25">
      <c r="A1782" t="s">
        <v>948</v>
      </c>
      <c r="B1782" t="s">
        <v>26</v>
      </c>
      <c r="C1782" t="s">
        <v>191</v>
      </c>
      <c r="D1782" t="s">
        <v>3218</v>
      </c>
      <c r="E1782">
        <v>15.12</v>
      </c>
      <c r="F1782">
        <v>16.850000000000001</v>
      </c>
    </row>
    <row r="1783" spans="1:6" x14ac:dyDescent="0.25">
      <c r="A1783" t="s">
        <v>948</v>
      </c>
      <c r="B1783" t="s">
        <v>26</v>
      </c>
      <c r="C1783" t="s">
        <v>191</v>
      </c>
      <c r="D1783" t="s">
        <v>3219</v>
      </c>
      <c r="E1783">
        <v>27.84</v>
      </c>
      <c r="F1783">
        <v>16.78</v>
      </c>
    </row>
    <row r="1784" spans="1:6" x14ac:dyDescent="0.25">
      <c r="A1784" t="s">
        <v>949</v>
      </c>
      <c r="B1784" t="s">
        <v>26</v>
      </c>
      <c r="C1784" t="s">
        <v>192</v>
      </c>
      <c r="D1784" t="s">
        <v>3217</v>
      </c>
      <c r="E1784">
        <v>0</v>
      </c>
      <c r="F1784">
        <v>16.23</v>
      </c>
    </row>
    <row r="1785" spans="1:6" x14ac:dyDescent="0.25">
      <c r="A1785" t="s">
        <v>949</v>
      </c>
      <c r="B1785" t="s">
        <v>26</v>
      </c>
      <c r="C1785" t="s">
        <v>192</v>
      </c>
      <c r="D1785" t="s">
        <v>3218</v>
      </c>
      <c r="E1785">
        <v>14.19</v>
      </c>
      <c r="F1785">
        <v>16.399999999999999</v>
      </c>
    </row>
    <row r="1786" spans="1:6" x14ac:dyDescent="0.25">
      <c r="A1786" t="s">
        <v>949</v>
      </c>
      <c r="B1786" t="s">
        <v>26</v>
      </c>
      <c r="C1786" t="s">
        <v>192</v>
      </c>
      <c r="D1786" t="s">
        <v>3219</v>
      </c>
      <c r="E1786">
        <v>26.9</v>
      </c>
      <c r="F1786">
        <v>16.510000000000002</v>
      </c>
    </row>
    <row r="1787" spans="1:6" x14ac:dyDescent="0.25">
      <c r="A1787" t="s">
        <v>950</v>
      </c>
      <c r="B1787" t="s">
        <v>26</v>
      </c>
      <c r="C1787" t="s">
        <v>193</v>
      </c>
      <c r="D1787" t="s">
        <v>3217</v>
      </c>
      <c r="E1787">
        <v>0</v>
      </c>
      <c r="F1787">
        <v>15.25</v>
      </c>
    </row>
    <row r="1788" spans="1:6" x14ac:dyDescent="0.25">
      <c r="A1788" t="s">
        <v>950</v>
      </c>
      <c r="B1788" t="s">
        <v>26</v>
      </c>
      <c r="C1788" t="s">
        <v>193</v>
      </c>
      <c r="D1788" t="s">
        <v>3218</v>
      </c>
      <c r="E1788">
        <v>12.81</v>
      </c>
      <c r="F1788">
        <v>15.58</v>
      </c>
    </row>
    <row r="1789" spans="1:6" x14ac:dyDescent="0.25">
      <c r="A1789" t="s">
        <v>950</v>
      </c>
      <c r="B1789" t="s">
        <v>26</v>
      </c>
      <c r="C1789" t="s">
        <v>193</v>
      </c>
      <c r="D1789" t="s">
        <v>3219</v>
      </c>
      <c r="E1789">
        <v>25.52</v>
      </c>
      <c r="F1789">
        <v>15.5</v>
      </c>
    </row>
    <row r="1790" spans="1:6" x14ac:dyDescent="0.25">
      <c r="A1790" t="s">
        <v>951</v>
      </c>
      <c r="B1790" t="s">
        <v>26</v>
      </c>
      <c r="C1790" t="s">
        <v>194</v>
      </c>
      <c r="D1790" t="s">
        <v>3217</v>
      </c>
      <c r="E1790">
        <v>0</v>
      </c>
      <c r="F1790">
        <v>14.51</v>
      </c>
    </row>
    <row r="1791" spans="1:6" x14ac:dyDescent="0.25">
      <c r="A1791" t="s">
        <v>951</v>
      </c>
      <c r="B1791" t="s">
        <v>26</v>
      </c>
      <c r="C1791" t="s">
        <v>194</v>
      </c>
      <c r="D1791" t="s">
        <v>3218</v>
      </c>
      <c r="E1791">
        <v>10.82</v>
      </c>
      <c r="F1791">
        <v>14.65</v>
      </c>
    </row>
    <row r="1792" spans="1:6" x14ac:dyDescent="0.25">
      <c r="A1792" t="s">
        <v>951</v>
      </c>
      <c r="B1792" t="s">
        <v>26</v>
      </c>
      <c r="C1792" t="s">
        <v>194</v>
      </c>
      <c r="D1792" t="s">
        <v>3219</v>
      </c>
      <c r="E1792">
        <v>22</v>
      </c>
      <c r="F1792">
        <v>14.34</v>
      </c>
    </row>
    <row r="1793" spans="1:6" x14ac:dyDescent="0.25">
      <c r="A1793" t="s">
        <v>952</v>
      </c>
      <c r="B1793" t="s">
        <v>26</v>
      </c>
      <c r="C1793" t="s">
        <v>195</v>
      </c>
      <c r="D1793" t="s">
        <v>3217</v>
      </c>
      <c r="E1793">
        <v>0</v>
      </c>
      <c r="F1793">
        <v>13.69</v>
      </c>
    </row>
    <row r="1794" spans="1:6" x14ac:dyDescent="0.25">
      <c r="A1794" t="s">
        <v>952</v>
      </c>
      <c r="B1794" t="s">
        <v>26</v>
      </c>
      <c r="C1794" t="s">
        <v>195</v>
      </c>
      <c r="D1794" t="s">
        <v>3218</v>
      </c>
      <c r="E1794">
        <v>9.8800000000000008</v>
      </c>
      <c r="F1794">
        <v>13.7</v>
      </c>
    </row>
    <row r="1795" spans="1:6" x14ac:dyDescent="0.25">
      <c r="A1795" t="s">
        <v>952</v>
      </c>
      <c r="B1795" t="s">
        <v>26</v>
      </c>
      <c r="C1795" t="s">
        <v>195</v>
      </c>
      <c r="D1795" t="s">
        <v>3219</v>
      </c>
      <c r="E1795">
        <v>21.46</v>
      </c>
      <c r="F1795">
        <v>13.43</v>
      </c>
    </row>
    <row r="1796" spans="1:6" x14ac:dyDescent="0.25">
      <c r="A1796" t="s">
        <v>953</v>
      </c>
      <c r="B1796" t="s">
        <v>26</v>
      </c>
      <c r="C1796" t="s">
        <v>196</v>
      </c>
      <c r="D1796" t="s">
        <v>3217</v>
      </c>
      <c r="E1796">
        <v>0</v>
      </c>
      <c r="F1796">
        <v>12.47</v>
      </c>
    </row>
    <row r="1797" spans="1:6" x14ac:dyDescent="0.25">
      <c r="A1797" t="s">
        <v>953</v>
      </c>
      <c r="B1797" t="s">
        <v>26</v>
      </c>
      <c r="C1797" t="s">
        <v>196</v>
      </c>
      <c r="D1797" t="s">
        <v>3218</v>
      </c>
      <c r="E1797">
        <v>8.74</v>
      </c>
      <c r="F1797">
        <v>12.57</v>
      </c>
    </row>
    <row r="1798" spans="1:6" x14ac:dyDescent="0.25">
      <c r="A1798" t="s">
        <v>953</v>
      </c>
      <c r="B1798" t="s">
        <v>26</v>
      </c>
      <c r="C1798" t="s">
        <v>196</v>
      </c>
      <c r="D1798" t="s">
        <v>3219</v>
      </c>
      <c r="E1798">
        <v>19.39</v>
      </c>
      <c r="F1798">
        <v>12.13</v>
      </c>
    </row>
    <row r="1799" spans="1:6" x14ac:dyDescent="0.25">
      <c r="A1799" t="s">
        <v>954</v>
      </c>
      <c r="B1799" t="s">
        <v>26</v>
      </c>
      <c r="C1799" t="s">
        <v>197</v>
      </c>
      <c r="D1799" t="s">
        <v>3217</v>
      </c>
      <c r="E1799">
        <v>0</v>
      </c>
      <c r="F1799">
        <v>11.19</v>
      </c>
    </row>
    <row r="1800" spans="1:6" x14ac:dyDescent="0.25">
      <c r="A1800" t="s">
        <v>954</v>
      </c>
      <c r="B1800" t="s">
        <v>26</v>
      </c>
      <c r="C1800" t="s">
        <v>197</v>
      </c>
      <c r="D1800" t="s">
        <v>3218</v>
      </c>
      <c r="E1800">
        <v>8.64</v>
      </c>
      <c r="F1800">
        <v>11.16</v>
      </c>
    </row>
    <row r="1801" spans="1:6" x14ac:dyDescent="0.25">
      <c r="A1801" t="s">
        <v>954</v>
      </c>
      <c r="B1801" t="s">
        <v>26</v>
      </c>
      <c r="C1801" t="s">
        <v>197</v>
      </c>
      <c r="D1801" t="s">
        <v>3219</v>
      </c>
      <c r="E1801">
        <v>19.57</v>
      </c>
      <c r="F1801">
        <v>10.78</v>
      </c>
    </row>
    <row r="1802" spans="1:6" x14ac:dyDescent="0.25">
      <c r="A1802" t="s">
        <v>955</v>
      </c>
      <c r="B1802" t="s">
        <v>26</v>
      </c>
      <c r="C1802" t="s">
        <v>198</v>
      </c>
      <c r="D1802" t="s">
        <v>3217</v>
      </c>
      <c r="E1802">
        <v>0</v>
      </c>
      <c r="F1802">
        <v>9.35</v>
      </c>
    </row>
    <row r="1803" spans="1:6" x14ac:dyDescent="0.25">
      <c r="A1803" t="s">
        <v>955</v>
      </c>
      <c r="B1803" t="s">
        <v>26</v>
      </c>
      <c r="C1803" t="s">
        <v>198</v>
      </c>
      <c r="D1803" t="s">
        <v>3218</v>
      </c>
      <c r="E1803">
        <v>9.35</v>
      </c>
      <c r="F1803">
        <v>9.58</v>
      </c>
    </row>
    <row r="1804" spans="1:6" x14ac:dyDescent="0.25">
      <c r="A1804" t="s">
        <v>955</v>
      </c>
      <c r="B1804" t="s">
        <v>26</v>
      </c>
      <c r="C1804" t="s">
        <v>198</v>
      </c>
      <c r="D1804" t="s">
        <v>3219</v>
      </c>
      <c r="E1804">
        <v>20.65</v>
      </c>
      <c r="F1804">
        <v>9.5399999999999991</v>
      </c>
    </row>
    <row r="1805" spans="1:6" x14ac:dyDescent="0.25">
      <c r="A1805" t="s">
        <v>956</v>
      </c>
      <c r="B1805" t="s">
        <v>26</v>
      </c>
      <c r="C1805" t="s">
        <v>199</v>
      </c>
      <c r="D1805" t="s">
        <v>3217</v>
      </c>
      <c r="E1805">
        <v>0</v>
      </c>
      <c r="F1805">
        <v>7.66</v>
      </c>
    </row>
    <row r="1806" spans="1:6" x14ac:dyDescent="0.25">
      <c r="A1806" t="s">
        <v>956</v>
      </c>
      <c r="B1806" t="s">
        <v>26</v>
      </c>
      <c r="C1806" t="s">
        <v>199</v>
      </c>
      <c r="D1806" t="s">
        <v>3218</v>
      </c>
      <c r="E1806">
        <v>11.55</v>
      </c>
      <c r="F1806">
        <v>8.17</v>
      </c>
    </row>
    <row r="1807" spans="1:6" x14ac:dyDescent="0.25">
      <c r="A1807" t="s">
        <v>956</v>
      </c>
      <c r="B1807" t="s">
        <v>26</v>
      </c>
      <c r="C1807" t="s">
        <v>199</v>
      </c>
      <c r="D1807" t="s">
        <v>3219</v>
      </c>
      <c r="E1807">
        <v>22.56</v>
      </c>
      <c r="F1807">
        <v>8.31</v>
      </c>
    </row>
    <row r="1808" spans="1:6" x14ac:dyDescent="0.25">
      <c r="A1808" t="s">
        <v>957</v>
      </c>
      <c r="B1808" t="s">
        <v>26</v>
      </c>
      <c r="C1808" t="s">
        <v>200</v>
      </c>
      <c r="D1808" t="s">
        <v>3217</v>
      </c>
      <c r="E1808">
        <v>0</v>
      </c>
      <c r="F1808">
        <v>6.25</v>
      </c>
    </row>
    <row r="1809" spans="1:6" x14ac:dyDescent="0.25">
      <c r="A1809" t="s">
        <v>957</v>
      </c>
      <c r="B1809" t="s">
        <v>26</v>
      </c>
      <c r="C1809" t="s">
        <v>200</v>
      </c>
      <c r="D1809" t="s">
        <v>3218</v>
      </c>
      <c r="E1809">
        <v>11.55</v>
      </c>
      <c r="F1809">
        <v>6.91</v>
      </c>
    </row>
    <row r="1810" spans="1:6" x14ac:dyDescent="0.25">
      <c r="A1810" t="s">
        <v>957</v>
      </c>
      <c r="B1810" t="s">
        <v>26</v>
      </c>
      <c r="C1810" t="s">
        <v>200</v>
      </c>
      <c r="D1810" t="s">
        <v>3219</v>
      </c>
      <c r="E1810">
        <v>22.85</v>
      </c>
      <c r="F1810">
        <v>7.37</v>
      </c>
    </row>
    <row r="1811" spans="1:6" x14ac:dyDescent="0.25">
      <c r="A1811" t="s">
        <v>958</v>
      </c>
      <c r="B1811" t="s">
        <v>26</v>
      </c>
      <c r="C1811" t="s">
        <v>201</v>
      </c>
      <c r="D1811" t="s">
        <v>3217</v>
      </c>
      <c r="E1811">
        <v>0</v>
      </c>
      <c r="F1811">
        <v>5.31</v>
      </c>
    </row>
    <row r="1812" spans="1:6" x14ac:dyDescent="0.25">
      <c r="A1812" t="s">
        <v>958</v>
      </c>
      <c r="B1812" t="s">
        <v>26</v>
      </c>
      <c r="C1812" t="s">
        <v>201</v>
      </c>
      <c r="D1812" t="s">
        <v>3218</v>
      </c>
      <c r="E1812">
        <v>11.55</v>
      </c>
      <c r="F1812">
        <v>5.72</v>
      </c>
    </row>
    <row r="1813" spans="1:6" x14ac:dyDescent="0.25">
      <c r="A1813" t="s">
        <v>958</v>
      </c>
      <c r="B1813" t="s">
        <v>26</v>
      </c>
      <c r="C1813" t="s">
        <v>201</v>
      </c>
      <c r="D1813" t="s">
        <v>3219</v>
      </c>
      <c r="E1813">
        <v>27.15</v>
      </c>
      <c r="F1813">
        <v>5.94</v>
      </c>
    </row>
    <row r="1814" spans="1:6" x14ac:dyDescent="0.25">
      <c r="A1814" t="s">
        <v>959</v>
      </c>
      <c r="B1814" t="s">
        <v>26</v>
      </c>
      <c r="C1814" t="s">
        <v>202</v>
      </c>
      <c r="D1814" t="s">
        <v>3217</v>
      </c>
      <c r="E1814">
        <v>0</v>
      </c>
      <c r="F1814">
        <v>4.3600000000000003</v>
      </c>
    </row>
    <row r="1815" spans="1:6" x14ac:dyDescent="0.25">
      <c r="A1815" t="s">
        <v>959</v>
      </c>
      <c r="B1815" t="s">
        <v>26</v>
      </c>
      <c r="C1815" t="s">
        <v>202</v>
      </c>
      <c r="D1815" t="s">
        <v>3218</v>
      </c>
      <c r="E1815">
        <v>10.91</v>
      </c>
      <c r="F1815">
        <v>4.8499999999999996</v>
      </c>
    </row>
    <row r="1816" spans="1:6" x14ac:dyDescent="0.25">
      <c r="A1816" t="s">
        <v>959</v>
      </c>
      <c r="B1816" t="s">
        <v>26</v>
      </c>
      <c r="C1816" t="s">
        <v>202</v>
      </c>
      <c r="D1816" t="s">
        <v>3219</v>
      </c>
      <c r="E1816">
        <v>27.28</v>
      </c>
      <c r="F1816">
        <v>5.12</v>
      </c>
    </row>
    <row r="1817" spans="1:6" x14ac:dyDescent="0.25">
      <c r="A1817" t="s">
        <v>960</v>
      </c>
      <c r="B1817" t="s">
        <v>26</v>
      </c>
      <c r="C1817" t="s">
        <v>203</v>
      </c>
      <c r="D1817" t="s">
        <v>3217</v>
      </c>
      <c r="E1817">
        <v>0</v>
      </c>
      <c r="F1817">
        <v>3.7</v>
      </c>
    </row>
    <row r="1818" spans="1:6" x14ac:dyDescent="0.25">
      <c r="A1818" t="s">
        <v>960</v>
      </c>
      <c r="B1818" t="s">
        <v>26</v>
      </c>
      <c r="C1818" t="s">
        <v>203</v>
      </c>
      <c r="D1818" t="s">
        <v>3218</v>
      </c>
      <c r="E1818">
        <v>10.9</v>
      </c>
      <c r="F1818">
        <v>4.12</v>
      </c>
    </row>
    <row r="1819" spans="1:6" x14ac:dyDescent="0.25">
      <c r="A1819" t="s">
        <v>960</v>
      </c>
      <c r="B1819" t="s">
        <v>26</v>
      </c>
      <c r="C1819" t="s">
        <v>203</v>
      </c>
      <c r="D1819" t="s">
        <v>3219</v>
      </c>
      <c r="E1819">
        <v>26.83</v>
      </c>
      <c r="F1819">
        <v>4.2699999999999996</v>
      </c>
    </row>
    <row r="1820" spans="1:6" x14ac:dyDescent="0.25">
      <c r="A1820" t="s">
        <v>961</v>
      </c>
      <c r="B1820" t="s">
        <v>26</v>
      </c>
      <c r="C1820" t="s">
        <v>204</v>
      </c>
      <c r="D1820" t="s">
        <v>3217</v>
      </c>
      <c r="E1820">
        <v>0</v>
      </c>
      <c r="F1820">
        <v>2.58</v>
      </c>
    </row>
    <row r="1821" spans="1:6" x14ac:dyDescent="0.25">
      <c r="A1821" t="s">
        <v>961</v>
      </c>
      <c r="B1821" t="s">
        <v>26</v>
      </c>
      <c r="C1821" t="s">
        <v>204</v>
      </c>
      <c r="D1821" t="s">
        <v>3218</v>
      </c>
      <c r="E1821">
        <v>11.9</v>
      </c>
      <c r="F1821">
        <v>3.2</v>
      </c>
    </row>
    <row r="1822" spans="1:6" x14ac:dyDescent="0.25">
      <c r="A1822" t="s">
        <v>961</v>
      </c>
      <c r="B1822" t="s">
        <v>26</v>
      </c>
      <c r="C1822" t="s">
        <v>204</v>
      </c>
      <c r="D1822" t="s">
        <v>3219</v>
      </c>
      <c r="E1822">
        <v>27.83</v>
      </c>
      <c r="F1822">
        <v>3.52</v>
      </c>
    </row>
    <row r="1823" spans="1:6" x14ac:dyDescent="0.25">
      <c r="A1823" t="s">
        <v>962</v>
      </c>
      <c r="B1823" t="s">
        <v>26</v>
      </c>
      <c r="C1823" t="s">
        <v>205</v>
      </c>
      <c r="D1823" t="s">
        <v>3217</v>
      </c>
      <c r="E1823">
        <v>0</v>
      </c>
      <c r="F1823">
        <v>1.68</v>
      </c>
    </row>
    <row r="1824" spans="1:6" x14ac:dyDescent="0.25">
      <c r="A1824" t="s">
        <v>962</v>
      </c>
      <c r="B1824" t="s">
        <v>26</v>
      </c>
      <c r="C1824" t="s">
        <v>205</v>
      </c>
      <c r="D1824" t="s">
        <v>3218</v>
      </c>
      <c r="E1824">
        <v>13.02</v>
      </c>
      <c r="F1824">
        <v>2.38</v>
      </c>
    </row>
    <row r="1825" spans="1:6" x14ac:dyDescent="0.25">
      <c r="A1825" t="s">
        <v>962</v>
      </c>
      <c r="B1825" t="s">
        <v>26</v>
      </c>
      <c r="C1825" t="s">
        <v>205</v>
      </c>
      <c r="D1825" t="s">
        <v>3219</v>
      </c>
      <c r="E1825">
        <v>27.78</v>
      </c>
      <c r="F1825">
        <v>2.72</v>
      </c>
    </row>
    <row r="1826" spans="1:6" x14ac:dyDescent="0.25">
      <c r="A1826" t="s">
        <v>963</v>
      </c>
      <c r="B1826" t="s">
        <v>26</v>
      </c>
      <c r="C1826" t="s">
        <v>206</v>
      </c>
      <c r="D1826" t="s">
        <v>3217</v>
      </c>
      <c r="E1826">
        <v>0</v>
      </c>
      <c r="F1826">
        <v>0.88</v>
      </c>
    </row>
    <row r="1827" spans="1:6" x14ac:dyDescent="0.25">
      <c r="A1827" t="s">
        <v>963</v>
      </c>
      <c r="B1827" t="s">
        <v>26</v>
      </c>
      <c r="C1827" t="s">
        <v>206</v>
      </c>
      <c r="D1827" t="s">
        <v>3218</v>
      </c>
      <c r="E1827">
        <v>13.1</v>
      </c>
      <c r="F1827">
        <v>1.54</v>
      </c>
    </row>
    <row r="1828" spans="1:6" x14ac:dyDescent="0.25">
      <c r="A1828" t="s">
        <v>963</v>
      </c>
      <c r="B1828" t="s">
        <v>26</v>
      </c>
      <c r="C1828" t="s">
        <v>206</v>
      </c>
      <c r="D1828" t="s">
        <v>3219</v>
      </c>
      <c r="E1828">
        <v>26.87</v>
      </c>
      <c r="F1828">
        <v>1.77</v>
      </c>
    </row>
    <row r="1829" spans="1:6" x14ac:dyDescent="0.25">
      <c r="A1829" t="s">
        <v>964</v>
      </c>
      <c r="B1829" t="s">
        <v>26</v>
      </c>
      <c r="C1829" t="s">
        <v>207</v>
      </c>
      <c r="D1829" t="s">
        <v>3217</v>
      </c>
      <c r="E1829">
        <v>0</v>
      </c>
      <c r="F1829">
        <v>-0.44</v>
      </c>
    </row>
    <row r="1830" spans="1:6" x14ac:dyDescent="0.25">
      <c r="A1830" t="s">
        <v>964</v>
      </c>
      <c r="B1830" t="s">
        <v>26</v>
      </c>
      <c r="C1830" t="s">
        <v>207</v>
      </c>
      <c r="D1830" t="s">
        <v>3218</v>
      </c>
      <c r="E1830">
        <v>14.31</v>
      </c>
      <c r="F1830">
        <v>0.22</v>
      </c>
    </row>
    <row r="1831" spans="1:6" x14ac:dyDescent="0.25">
      <c r="A1831" t="s">
        <v>964</v>
      </c>
      <c r="B1831" t="s">
        <v>26</v>
      </c>
      <c r="C1831" t="s">
        <v>207</v>
      </c>
      <c r="D1831" t="s">
        <v>3219</v>
      </c>
      <c r="E1831">
        <v>27.42</v>
      </c>
      <c r="F1831">
        <v>0.36</v>
      </c>
    </row>
    <row r="1832" spans="1:6" x14ac:dyDescent="0.25">
      <c r="A1832" t="s">
        <v>965</v>
      </c>
      <c r="B1832" t="s">
        <v>26</v>
      </c>
      <c r="C1832" t="s">
        <v>208</v>
      </c>
      <c r="D1832" t="s">
        <v>3217</v>
      </c>
      <c r="E1832">
        <v>0</v>
      </c>
      <c r="F1832">
        <v>-1.95</v>
      </c>
    </row>
    <row r="1833" spans="1:6" x14ac:dyDescent="0.25">
      <c r="A1833" t="s">
        <v>965</v>
      </c>
      <c r="B1833" t="s">
        <v>26</v>
      </c>
      <c r="C1833" t="s">
        <v>208</v>
      </c>
      <c r="D1833" t="s">
        <v>3218</v>
      </c>
      <c r="E1833">
        <v>15.57</v>
      </c>
      <c r="F1833">
        <v>-1.45</v>
      </c>
    </row>
    <row r="1834" spans="1:6" x14ac:dyDescent="0.25">
      <c r="A1834" t="s">
        <v>965</v>
      </c>
      <c r="B1834" t="s">
        <v>26</v>
      </c>
      <c r="C1834" t="s">
        <v>208</v>
      </c>
      <c r="D1834" t="s">
        <v>3219</v>
      </c>
      <c r="E1834">
        <v>28.36</v>
      </c>
      <c r="F1834">
        <v>-1.24</v>
      </c>
    </row>
    <row r="1835" spans="1:6" x14ac:dyDescent="0.25">
      <c r="A1835" t="s">
        <v>966</v>
      </c>
      <c r="B1835" t="s">
        <v>26</v>
      </c>
      <c r="C1835" t="s">
        <v>209</v>
      </c>
      <c r="D1835" t="s">
        <v>3217</v>
      </c>
      <c r="E1835">
        <v>0</v>
      </c>
      <c r="F1835">
        <v>-3.44</v>
      </c>
    </row>
    <row r="1836" spans="1:6" x14ac:dyDescent="0.25">
      <c r="A1836" t="s">
        <v>966</v>
      </c>
      <c r="B1836" t="s">
        <v>26</v>
      </c>
      <c r="C1836" t="s">
        <v>209</v>
      </c>
      <c r="D1836" t="s">
        <v>3218</v>
      </c>
      <c r="E1836">
        <v>14.75</v>
      </c>
      <c r="F1836">
        <v>-2.89</v>
      </c>
    </row>
    <row r="1837" spans="1:6" x14ac:dyDescent="0.25">
      <c r="A1837" t="s">
        <v>966</v>
      </c>
      <c r="B1837" t="s">
        <v>26</v>
      </c>
      <c r="C1837" t="s">
        <v>209</v>
      </c>
      <c r="D1837" t="s">
        <v>3219</v>
      </c>
      <c r="E1837">
        <v>26.76</v>
      </c>
      <c r="F1837">
        <v>-2.89</v>
      </c>
    </row>
    <row r="1838" spans="1:6" x14ac:dyDescent="0.25">
      <c r="A1838" t="s">
        <v>967</v>
      </c>
      <c r="B1838" t="s">
        <v>26</v>
      </c>
      <c r="C1838" t="s">
        <v>210</v>
      </c>
      <c r="D1838" t="s">
        <v>3217</v>
      </c>
      <c r="E1838">
        <v>0</v>
      </c>
      <c r="F1838">
        <v>-4.7699999999999996</v>
      </c>
    </row>
    <row r="1839" spans="1:6" x14ac:dyDescent="0.25">
      <c r="A1839" t="s">
        <v>967</v>
      </c>
      <c r="B1839" t="s">
        <v>26</v>
      </c>
      <c r="C1839" t="s">
        <v>210</v>
      </c>
      <c r="D1839" t="s">
        <v>3218</v>
      </c>
      <c r="E1839">
        <v>16.53</v>
      </c>
      <c r="F1839">
        <v>-4.29</v>
      </c>
    </row>
    <row r="1840" spans="1:6" x14ac:dyDescent="0.25">
      <c r="A1840" t="s">
        <v>967</v>
      </c>
      <c r="B1840" t="s">
        <v>26</v>
      </c>
      <c r="C1840" t="s">
        <v>210</v>
      </c>
      <c r="D1840" t="s">
        <v>3219</v>
      </c>
      <c r="E1840">
        <v>30.07</v>
      </c>
      <c r="F1840">
        <v>-4.21</v>
      </c>
    </row>
    <row r="1841" spans="1:6" x14ac:dyDescent="0.25">
      <c r="A1841" t="s">
        <v>968</v>
      </c>
      <c r="B1841" t="s">
        <v>26</v>
      </c>
      <c r="C1841" t="s">
        <v>211</v>
      </c>
      <c r="D1841" t="s">
        <v>3217</v>
      </c>
      <c r="E1841">
        <v>0</v>
      </c>
      <c r="F1841">
        <v>-6.12</v>
      </c>
    </row>
    <row r="1842" spans="1:6" x14ac:dyDescent="0.25">
      <c r="A1842" t="s">
        <v>968</v>
      </c>
      <c r="B1842" t="s">
        <v>26</v>
      </c>
      <c r="C1842" t="s">
        <v>211</v>
      </c>
      <c r="D1842" t="s">
        <v>3218</v>
      </c>
      <c r="E1842">
        <v>20</v>
      </c>
      <c r="F1842">
        <v>-5.6</v>
      </c>
    </row>
    <row r="1843" spans="1:6" x14ac:dyDescent="0.25">
      <c r="A1843" t="s">
        <v>968</v>
      </c>
      <c r="B1843" t="s">
        <v>26</v>
      </c>
      <c r="C1843" t="s">
        <v>211</v>
      </c>
      <c r="D1843" t="s">
        <v>3219</v>
      </c>
      <c r="E1843">
        <v>33.869999999999997</v>
      </c>
      <c r="F1843">
        <v>-5.43</v>
      </c>
    </row>
    <row r="1844" spans="1:6" x14ac:dyDescent="0.25">
      <c r="A1844" t="s">
        <v>969</v>
      </c>
      <c r="B1844" t="s">
        <v>26</v>
      </c>
      <c r="C1844" t="s">
        <v>212</v>
      </c>
      <c r="D1844" t="s">
        <v>3217</v>
      </c>
      <c r="E1844">
        <v>0</v>
      </c>
      <c r="F1844">
        <v>-7.05</v>
      </c>
    </row>
    <row r="1845" spans="1:6" x14ac:dyDescent="0.25">
      <c r="A1845" t="s">
        <v>969</v>
      </c>
      <c r="B1845" t="s">
        <v>26</v>
      </c>
      <c r="C1845" t="s">
        <v>212</v>
      </c>
      <c r="D1845" t="s">
        <v>3218</v>
      </c>
      <c r="E1845">
        <v>20</v>
      </c>
      <c r="F1845">
        <v>-6.57</v>
      </c>
    </row>
    <row r="1846" spans="1:6" x14ac:dyDescent="0.25">
      <c r="A1846" t="s">
        <v>969</v>
      </c>
      <c r="B1846" t="s">
        <v>26</v>
      </c>
      <c r="C1846" t="s">
        <v>212</v>
      </c>
      <c r="D1846" t="s">
        <v>3219</v>
      </c>
      <c r="E1846">
        <v>40</v>
      </c>
      <c r="F1846">
        <v>-6.73</v>
      </c>
    </row>
    <row r="1847" spans="1:6" x14ac:dyDescent="0.25">
      <c r="A1847" t="s">
        <v>970</v>
      </c>
      <c r="B1847" t="s">
        <v>26</v>
      </c>
      <c r="C1847" t="s">
        <v>213</v>
      </c>
      <c r="D1847" t="s">
        <v>3217</v>
      </c>
      <c r="E1847">
        <v>0</v>
      </c>
      <c r="F1847">
        <v>-8.27</v>
      </c>
    </row>
    <row r="1848" spans="1:6" x14ac:dyDescent="0.25">
      <c r="A1848" t="s">
        <v>970</v>
      </c>
      <c r="B1848" t="s">
        <v>26</v>
      </c>
      <c r="C1848" t="s">
        <v>213</v>
      </c>
      <c r="D1848" t="s">
        <v>3218</v>
      </c>
      <c r="E1848">
        <v>20</v>
      </c>
      <c r="F1848">
        <v>-7.3</v>
      </c>
    </row>
    <row r="1849" spans="1:6" x14ac:dyDescent="0.25">
      <c r="A1849" t="s">
        <v>970</v>
      </c>
      <c r="B1849" t="s">
        <v>26</v>
      </c>
      <c r="C1849" t="s">
        <v>213</v>
      </c>
      <c r="D1849" t="s">
        <v>3219</v>
      </c>
      <c r="E1849">
        <v>40</v>
      </c>
      <c r="F1849">
        <v>-7.37</v>
      </c>
    </row>
    <row r="1850" spans="1:6" x14ac:dyDescent="0.25">
      <c r="A1850" t="s">
        <v>971</v>
      </c>
      <c r="B1850" t="s">
        <v>26</v>
      </c>
      <c r="C1850" t="s">
        <v>214</v>
      </c>
      <c r="D1850" t="s">
        <v>3217</v>
      </c>
      <c r="E1850">
        <v>0</v>
      </c>
      <c r="F1850">
        <v>-9.1999999999999993</v>
      </c>
    </row>
    <row r="1851" spans="1:6" x14ac:dyDescent="0.25">
      <c r="A1851" t="s">
        <v>971</v>
      </c>
      <c r="B1851" t="s">
        <v>26</v>
      </c>
      <c r="C1851" t="s">
        <v>214</v>
      </c>
      <c r="D1851" t="s">
        <v>3218</v>
      </c>
      <c r="E1851">
        <v>20</v>
      </c>
      <c r="F1851">
        <v>-8.58</v>
      </c>
    </row>
    <row r="1852" spans="1:6" x14ac:dyDescent="0.25">
      <c r="A1852" t="s">
        <v>971</v>
      </c>
      <c r="B1852" t="s">
        <v>26</v>
      </c>
      <c r="C1852" t="s">
        <v>214</v>
      </c>
      <c r="D1852" t="s">
        <v>3219</v>
      </c>
      <c r="E1852">
        <v>40</v>
      </c>
      <c r="F1852">
        <v>-7.83</v>
      </c>
    </row>
    <row r="1853" spans="1:6" x14ac:dyDescent="0.25">
      <c r="A1853" t="s">
        <v>972</v>
      </c>
      <c r="B1853" t="s">
        <v>26</v>
      </c>
      <c r="C1853" t="s">
        <v>215</v>
      </c>
      <c r="D1853" t="s">
        <v>3217</v>
      </c>
      <c r="E1853">
        <v>0</v>
      </c>
      <c r="F1853">
        <v>-9.6999999999999993</v>
      </c>
    </row>
    <row r="1854" spans="1:6" x14ac:dyDescent="0.25">
      <c r="A1854" t="s">
        <v>972</v>
      </c>
      <c r="B1854" t="s">
        <v>26</v>
      </c>
      <c r="C1854" t="s">
        <v>215</v>
      </c>
      <c r="D1854" t="s">
        <v>3218</v>
      </c>
      <c r="E1854">
        <v>20</v>
      </c>
      <c r="F1854">
        <v>-9.33</v>
      </c>
    </row>
    <row r="1855" spans="1:6" x14ac:dyDescent="0.25">
      <c r="A1855" t="s">
        <v>972</v>
      </c>
      <c r="B1855" t="s">
        <v>26</v>
      </c>
      <c r="C1855" t="s">
        <v>215</v>
      </c>
      <c r="D1855" t="s">
        <v>3219</v>
      </c>
      <c r="E1855">
        <v>40</v>
      </c>
      <c r="F1855">
        <v>-8.5399999999999991</v>
      </c>
    </row>
    <row r="1856" spans="1:6" x14ac:dyDescent="0.25">
      <c r="A1856" t="s">
        <v>973</v>
      </c>
      <c r="B1856" t="s">
        <v>26</v>
      </c>
      <c r="C1856" t="s">
        <v>216</v>
      </c>
      <c r="D1856" t="s">
        <v>3217</v>
      </c>
      <c r="E1856">
        <v>0</v>
      </c>
      <c r="F1856">
        <v>-9.51</v>
      </c>
    </row>
    <row r="1857" spans="1:6" x14ac:dyDescent="0.25">
      <c r="A1857" t="s">
        <v>973</v>
      </c>
      <c r="B1857" t="s">
        <v>26</v>
      </c>
      <c r="C1857" t="s">
        <v>216</v>
      </c>
      <c r="D1857" t="s">
        <v>3218</v>
      </c>
      <c r="E1857">
        <v>20</v>
      </c>
      <c r="F1857">
        <v>-10.029999999999999</v>
      </c>
    </row>
    <row r="1858" spans="1:6" x14ac:dyDescent="0.25">
      <c r="A1858" t="s">
        <v>973</v>
      </c>
      <c r="B1858" t="s">
        <v>26</v>
      </c>
      <c r="C1858" t="s">
        <v>216</v>
      </c>
      <c r="D1858" t="s">
        <v>3219</v>
      </c>
      <c r="E1858">
        <v>35.74</v>
      </c>
      <c r="F1858">
        <v>-10.75</v>
      </c>
    </row>
    <row r="1859" spans="1:6" x14ac:dyDescent="0.25">
      <c r="A1859" t="s">
        <v>974</v>
      </c>
      <c r="B1859" t="s">
        <v>26</v>
      </c>
      <c r="C1859" t="s">
        <v>217</v>
      </c>
      <c r="D1859" t="s">
        <v>3217</v>
      </c>
      <c r="E1859">
        <v>0</v>
      </c>
      <c r="F1859">
        <v>-9.64</v>
      </c>
    </row>
    <row r="1860" spans="1:6" x14ac:dyDescent="0.25">
      <c r="A1860" t="s">
        <v>974</v>
      </c>
      <c r="B1860" t="s">
        <v>26</v>
      </c>
      <c r="C1860" t="s">
        <v>217</v>
      </c>
      <c r="D1860" t="s">
        <v>3218</v>
      </c>
      <c r="E1860">
        <v>20</v>
      </c>
      <c r="F1860">
        <v>-10.79</v>
      </c>
    </row>
    <row r="1861" spans="1:6" x14ac:dyDescent="0.25">
      <c r="A1861" t="s">
        <v>974</v>
      </c>
      <c r="B1861" t="s">
        <v>26</v>
      </c>
      <c r="C1861" t="s">
        <v>217</v>
      </c>
      <c r="D1861" t="s">
        <v>3219</v>
      </c>
      <c r="E1861">
        <v>33.409999999999997</v>
      </c>
      <c r="F1861">
        <v>-12.06</v>
      </c>
    </row>
    <row r="1862" spans="1:6" x14ac:dyDescent="0.25">
      <c r="A1862" t="s">
        <v>975</v>
      </c>
      <c r="B1862" t="s">
        <v>26</v>
      </c>
      <c r="C1862" t="s">
        <v>218</v>
      </c>
      <c r="D1862" t="s">
        <v>3217</v>
      </c>
      <c r="E1862">
        <v>0</v>
      </c>
      <c r="F1862">
        <v>-13.01</v>
      </c>
    </row>
    <row r="1863" spans="1:6" x14ac:dyDescent="0.25">
      <c r="A1863" t="s">
        <v>975</v>
      </c>
      <c r="B1863" t="s">
        <v>26</v>
      </c>
      <c r="C1863" t="s">
        <v>218</v>
      </c>
      <c r="D1863" t="s">
        <v>3218</v>
      </c>
      <c r="E1863">
        <v>17.190000000000001</v>
      </c>
      <c r="F1863">
        <v>-12.95</v>
      </c>
    </row>
    <row r="1864" spans="1:6" x14ac:dyDescent="0.25">
      <c r="A1864" t="s">
        <v>975</v>
      </c>
      <c r="B1864" t="s">
        <v>26</v>
      </c>
      <c r="C1864" t="s">
        <v>218</v>
      </c>
      <c r="D1864" t="s">
        <v>3219</v>
      </c>
      <c r="E1864">
        <v>31.05</v>
      </c>
      <c r="F1864">
        <v>-13.69</v>
      </c>
    </row>
    <row r="1865" spans="1:6" x14ac:dyDescent="0.25">
      <c r="A1865" t="s">
        <v>976</v>
      </c>
      <c r="B1865" t="s">
        <v>26</v>
      </c>
      <c r="C1865" t="s">
        <v>219</v>
      </c>
      <c r="D1865" t="s">
        <v>3217</v>
      </c>
      <c r="E1865">
        <v>0</v>
      </c>
      <c r="F1865">
        <v>-14.11</v>
      </c>
    </row>
    <row r="1866" spans="1:6" x14ac:dyDescent="0.25">
      <c r="A1866" t="s">
        <v>976</v>
      </c>
      <c r="B1866" t="s">
        <v>26</v>
      </c>
      <c r="C1866" t="s">
        <v>219</v>
      </c>
      <c r="D1866" t="s">
        <v>3218</v>
      </c>
      <c r="E1866">
        <v>17.190000000000001</v>
      </c>
      <c r="F1866">
        <v>-14.89</v>
      </c>
    </row>
    <row r="1867" spans="1:6" x14ac:dyDescent="0.25">
      <c r="A1867" t="s">
        <v>976</v>
      </c>
      <c r="B1867" t="s">
        <v>26</v>
      </c>
      <c r="C1867" t="s">
        <v>219</v>
      </c>
      <c r="D1867" t="s">
        <v>3219</v>
      </c>
      <c r="E1867">
        <v>30.69</v>
      </c>
      <c r="F1867">
        <v>-15.19</v>
      </c>
    </row>
    <row r="1868" spans="1:6" x14ac:dyDescent="0.25">
      <c r="A1868" t="s">
        <v>977</v>
      </c>
      <c r="B1868" t="s">
        <v>26</v>
      </c>
      <c r="C1868" t="s">
        <v>220</v>
      </c>
      <c r="D1868" t="s">
        <v>3217</v>
      </c>
      <c r="E1868">
        <v>0</v>
      </c>
      <c r="F1868">
        <v>-15.88</v>
      </c>
    </row>
    <row r="1869" spans="1:6" x14ac:dyDescent="0.25">
      <c r="A1869" t="s">
        <v>977</v>
      </c>
      <c r="B1869" t="s">
        <v>26</v>
      </c>
      <c r="C1869" t="s">
        <v>220</v>
      </c>
      <c r="D1869" t="s">
        <v>3218</v>
      </c>
      <c r="E1869">
        <v>16.190000000000001</v>
      </c>
      <c r="F1869">
        <v>-16.350000000000001</v>
      </c>
    </row>
    <row r="1870" spans="1:6" x14ac:dyDescent="0.25">
      <c r="A1870" t="s">
        <v>977</v>
      </c>
      <c r="B1870" t="s">
        <v>26</v>
      </c>
      <c r="C1870" t="s">
        <v>220</v>
      </c>
      <c r="D1870" t="s">
        <v>3219</v>
      </c>
      <c r="E1870">
        <v>30.28</v>
      </c>
      <c r="F1870">
        <v>-17</v>
      </c>
    </row>
    <row r="1871" spans="1:6" x14ac:dyDescent="0.25">
      <c r="A1871" t="s">
        <v>978</v>
      </c>
      <c r="B1871" t="s">
        <v>26</v>
      </c>
      <c r="C1871" t="s">
        <v>221</v>
      </c>
      <c r="D1871" t="s">
        <v>3217</v>
      </c>
      <c r="E1871">
        <v>0</v>
      </c>
      <c r="F1871">
        <v>-17.690000000000001</v>
      </c>
    </row>
    <row r="1872" spans="1:6" x14ac:dyDescent="0.25">
      <c r="A1872" t="s">
        <v>978</v>
      </c>
      <c r="B1872" t="s">
        <v>26</v>
      </c>
      <c r="C1872" t="s">
        <v>221</v>
      </c>
      <c r="D1872" t="s">
        <v>3218</v>
      </c>
      <c r="E1872">
        <v>13.63</v>
      </c>
      <c r="F1872">
        <v>-18.010000000000002</v>
      </c>
    </row>
    <row r="1873" spans="1:6" x14ac:dyDescent="0.25">
      <c r="A1873" t="s">
        <v>978</v>
      </c>
      <c r="B1873" t="s">
        <v>26</v>
      </c>
      <c r="C1873" t="s">
        <v>221</v>
      </c>
      <c r="D1873" t="s">
        <v>3219</v>
      </c>
      <c r="E1873">
        <v>28.88</v>
      </c>
      <c r="F1873">
        <v>-18.66</v>
      </c>
    </row>
    <row r="1874" spans="1:6" x14ac:dyDescent="0.25">
      <c r="A1874" t="s">
        <v>979</v>
      </c>
      <c r="B1874" t="s">
        <v>26</v>
      </c>
      <c r="C1874" t="s">
        <v>222</v>
      </c>
      <c r="D1874" t="s">
        <v>3217</v>
      </c>
      <c r="E1874">
        <v>0</v>
      </c>
      <c r="F1874">
        <v>-19.04</v>
      </c>
    </row>
    <row r="1875" spans="1:6" x14ac:dyDescent="0.25">
      <c r="A1875" t="s">
        <v>979</v>
      </c>
      <c r="B1875" t="s">
        <v>26</v>
      </c>
      <c r="C1875" t="s">
        <v>222</v>
      </c>
      <c r="D1875" t="s">
        <v>3218</v>
      </c>
      <c r="E1875">
        <v>13.65</v>
      </c>
      <c r="F1875">
        <v>-19.489999999999998</v>
      </c>
    </row>
    <row r="1876" spans="1:6" x14ac:dyDescent="0.25">
      <c r="A1876" t="s">
        <v>979</v>
      </c>
      <c r="B1876" t="s">
        <v>26</v>
      </c>
      <c r="C1876" t="s">
        <v>222</v>
      </c>
      <c r="D1876" t="s">
        <v>3219</v>
      </c>
      <c r="E1876">
        <v>28.6</v>
      </c>
      <c r="F1876">
        <v>-20.04</v>
      </c>
    </row>
    <row r="1877" spans="1:6" x14ac:dyDescent="0.25">
      <c r="A1877" t="s">
        <v>980</v>
      </c>
      <c r="B1877" t="s">
        <v>26</v>
      </c>
      <c r="C1877" t="s">
        <v>223</v>
      </c>
      <c r="D1877" t="s">
        <v>3217</v>
      </c>
      <c r="E1877">
        <v>0</v>
      </c>
      <c r="F1877">
        <v>-19.89</v>
      </c>
    </row>
    <row r="1878" spans="1:6" x14ac:dyDescent="0.25">
      <c r="A1878" t="s">
        <v>980</v>
      </c>
      <c r="B1878" t="s">
        <v>26</v>
      </c>
      <c r="C1878" t="s">
        <v>223</v>
      </c>
      <c r="D1878" t="s">
        <v>3218</v>
      </c>
      <c r="E1878">
        <v>13.2</v>
      </c>
      <c r="F1878">
        <v>-20.39</v>
      </c>
    </row>
    <row r="1879" spans="1:6" x14ac:dyDescent="0.25">
      <c r="A1879" t="s">
        <v>980</v>
      </c>
      <c r="B1879" t="s">
        <v>26</v>
      </c>
      <c r="C1879" t="s">
        <v>223</v>
      </c>
      <c r="D1879" t="s">
        <v>3219</v>
      </c>
      <c r="E1879">
        <v>29.01</v>
      </c>
      <c r="F1879">
        <v>-20.86</v>
      </c>
    </row>
    <row r="1880" spans="1:6" x14ac:dyDescent="0.25">
      <c r="A1880" t="s">
        <v>981</v>
      </c>
      <c r="B1880" t="s">
        <v>26</v>
      </c>
      <c r="C1880" t="s">
        <v>224</v>
      </c>
      <c r="D1880" t="s">
        <v>3217</v>
      </c>
      <c r="E1880">
        <v>0</v>
      </c>
      <c r="F1880">
        <v>-20.79</v>
      </c>
    </row>
    <row r="1881" spans="1:6" x14ac:dyDescent="0.25">
      <c r="A1881" t="s">
        <v>981</v>
      </c>
      <c r="B1881" t="s">
        <v>26</v>
      </c>
      <c r="C1881" t="s">
        <v>224</v>
      </c>
      <c r="D1881" t="s">
        <v>3218</v>
      </c>
      <c r="E1881">
        <v>13.72</v>
      </c>
      <c r="F1881">
        <v>-21.26</v>
      </c>
    </row>
    <row r="1882" spans="1:6" x14ac:dyDescent="0.25">
      <c r="A1882" t="s">
        <v>981</v>
      </c>
      <c r="B1882" t="s">
        <v>26</v>
      </c>
      <c r="C1882" t="s">
        <v>224</v>
      </c>
      <c r="D1882" t="s">
        <v>3219</v>
      </c>
      <c r="E1882">
        <v>30.57</v>
      </c>
      <c r="F1882">
        <v>-21.66</v>
      </c>
    </row>
    <row r="1883" spans="1:6" x14ac:dyDescent="0.25">
      <c r="A1883" t="s">
        <v>982</v>
      </c>
      <c r="B1883" t="s">
        <v>26</v>
      </c>
      <c r="C1883" t="s">
        <v>225</v>
      </c>
      <c r="D1883" t="s">
        <v>3217</v>
      </c>
      <c r="E1883">
        <v>0</v>
      </c>
      <c r="F1883">
        <v>-21.28</v>
      </c>
    </row>
    <row r="1884" spans="1:6" x14ac:dyDescent="0.25">
      <c r="A1884" t="s">
        <v>982</v>
      </c>
      <c r="B1884" t="s">
        <v>26</v>
      </c>
      <c r="C1884" t="s">
        <v>225</v>
      </c>
      <c r="D1884" t="s">
        <v>3218</v>
      </c>
      <c r="E1884">
        <v>13.75</v>
      </c>
      <c r="F1884">
        <v>-22</v>
      </c>
    </row>
    <row r="1885" spans="1:6" x14ac:dyDescent="0.25">
      <c r="A1885" t="s">
        <v>982</v>
      </c>
      <c r="B1885" t="s">
        <v>26</v>
      </c>
      <c r="C1885" t="s">
        <v>225</v>
      </c>
      <c r="D1885" t="s">
        <v>3219</v>
      </c>
      <c r="E1885">
        <v>31.54</v>
      </c>
      <c r="F1885">
        <v>-22.49</v>
      </c>
    </row>
    <row r="1886" spans="1:6" x14ac:dyDescent="0.25">
      <c r="A1886" t="s">
        <v>983</v>
      </c>
      <c r="B1886" t="s">
        <v>26</v>
      </c>
      <c r="C1886" t="s">
        <v>226</v>
      </c>
      <c r="D1886" t="s">
        <v>3217</v>
      </c>
      <c r="E1886">
        <v>0</v>
      </c>
      <c r="F1886">
        <v>-21.66</v>
      </c>
    </row>
    <row r="1887" spans="1:6" x14ac:dyDescent="0.25">
      <c r="A1887" t="s">
        <v>983</v>
      </c>
      <c r="B1887" t="s">
        <v>26</v>
      </c>
      <c r="C1887" t="s">
        <v>226</v>
      </c>
      <c r="D1887" t="s">
        <v>3218</v>
      </c>
      <c r="E1887">
        <v>13.75</v>
      </c>
      <c r="F1887">
        <v>-22.37</v>
      </c>
    </row>
    <row r="1888" spans="1:6" x14ac:dyDescent="0.25">
      <c r="A1888" t="s">
        <v>983</v>
      </c>
      <c r="B1888" t="s">
        <v>26</v>
      </c>
      <c r="C1888" t="s">
        <v>226</v>
      </c>
      <c r="D1888" t="s">
        <v>3219</v>
      </c>
      <c r="E1888">
        <v>30.6</v>
      </c>
      <c r="F1888">
        <v>-22.88</v>
      </c>
    </row>
    <row r="1889" spans="1:6" x14ac:dyDescent="0.25">
      <c r="A1889" t="s">
        <v>984</v>
      </c>
      <c r="B1889" t="s">
        <v>27</v>
      </c>
      <c r="C1889" t="s">
        <v>56</v>
      </c>
      <c r="D1889" t="s">
        <v>3217</v>
      </c>
      <c r="E1889">
        <v>0</v>
      </c>
      <c r="F1889">
        <v>-30.04</v>
      </c>
    </row>
    <row r="1890" spans="1:6" x14ac:dyDescent="0.25">
      <c r="A1890" t="s">
        <v>984</v>
      </c>
      <c r="B1890" t="s">
        <v>27</v>
      </c>
      <c r="C1890" t="s">
        <v>56</v>
      </c>
      <c r="D1890" t="s">
        <v>3218</v>
      </c>
      <c r="E1890">
        <v>13.86</v>
      </c>
      <c r="F1890">
        <v>-30.06</v>
      </c>
    </row>
    <row r="1891" spans="1:6" x14ac:dyDescent="0.25">
      <c r="A1891" t="s">
        <v>984</v>
      </c>
      <c r="B1891" t="s">
        <v>27</v>
      </c>
      <c r="C1891" t="s">
        <v>56</v>
      </c>
      <c r="D1891" t="s">
        <v>3219</v>
      </c>
      <c r="E1891">
        <v>24.82</v>
      </c>
      <c r="F1891">
        <v>-30.49</v>
      </c>
    </row>
    <row r="1892" spans="1:6" x14ac:dyDescent="0.25">
      <c r="A1892" t="s">
        <v>985</v>
      </c>
      <c r="B1892" t="s">
        <v>27</v>
      </c>
      <c r="C1892" t="s">
        <v>57</v>
      </c>
      <c r="D1892" t="s">
        <v>3217</v>
      </c>
      <c r="E1892">
        <v>0</v>
      </c>
      <c r="F1892">
        <v>-29.5</v>
      </c>
    </row>
    <row r="1893" spans="1:6" x14ac:dyDescent="0.25">
      <c r="A1893" t="s">
        <v>985</v>
      </c>
      <c r="B1893" t="s">
        <v>27</v>
      </c>
      <c r="C1893" t="s">
        <v>57</v>
      </c>
      <c r="D1893" t="s">
        <v>3218</v>
      </c>
      <c r="E1893">
        <v>15.2</v>
      </c>
      <c r="F1893">
        <v>-29.52</v>
      </c>
    </row>
    <row r="1894" spans="1:6" x14ac:dyDescent="0.25">
      <c r="A1894" t="s">
        <v>985</v>
      </c>
      <c r="B1894" t="s">
        <v>27</v>
      </c>
      <c r="C1894" t="s">
        <v>57</v>
      </c>
      <c r="D1894" t="s">
        <v>3219</v>
      </c>
      <c r="E1894">
        <v>27.41</v>
      </c>
      <c r="F1894">
        <v>-30.16</v>
      </c>
    </row>
    <row r="1895" spans="1:6" x14ac:dyDescent="0.25">
      <c r="A1895" t="s">
        <v>986</v>
      </c>
      <c r="B1895" t="s">
        <v>27</v>
      </c>
      <c r="C1895" t="s">
        <v>58</v>
      </c>
      <c r="D1895" t="s">
        <v>3217</v>
      </c>
      <c r="E1895">
        <v>0</v>
      </c>
      <c r="F1895">
        <v>-29.57</v>
      </c>
    </row>
    <row r="1896" spans="1:6" x14ac:dyDescent="0.25">
      <c r="A1896" t="s">
        <v>986</v>
      </c>
      <c r="B1896" t="s">
        <v>27</v>
      </c>
      <c r="C1896" t="s">
        <v>58</v>
      </c>
      <c r="D1896" t="s">
        <v>3218</v>
      </c>
      <c r="E1896">
        <v>13.86</v>
      </c>
      <c r="F1896">
        <v>-29.44</v>
      </c>
    </row>
    <row r="1897" spans="1:6" x14ac:dyDescent="0.25">
      <c r="A1897" t="s">
        <v>986</v>
      </c>
      <c r="B1897" t="s">
        <v>27</v>
      </c>
      <c r="C1897" t="s">
        <v>58</v>
      </c>
      <c r="D1897" t="s">
        <v>3219</v>
      </c>
      <c r="E1897">
        <v>25.41</v>
      </c>
      <c r="F1897">
        <v>-29.86</v>
      </c>
    </row>
    <row r="1898" spans="1:6" x14ac:dyDescent="0.25">
      <c r="A1898" t="s">
        <v>987</v>
      </c>
      <c r="B1898" t="s">
        <v>27</v>
      </c>
      <c r="C1898" t="s">
        <v>59</v>
      </c>
      <c r="D1898" t="s">
        <v>3217</v>
      </c>
      <c r="E1898">
        <v>0</v>
      </c>
      <c r="F1898">
        <v>-29.28</v>
      </c>
    </row>
    <row r="1899" spans="1:6" x14ac:dyDescent="0.25">
      <c r="A1899" t="s">
        <v>987</v>
      </c>
      <c r="B1899" t="s">
        <v>27</v>
      </c>
      <c r="C1899" t="s">
        <v>59</v>
      </c>
      <c r="D1899" t="s">
        <v>3218</v>
      </c>
      <c r="E1899">
        <v>15.2</v>
      </c>
      <c r="F1899">
        <v>-29.25</v>
      </c>
    </row>
    <row r="1900" spans="1:6" x14ac:dyDescent="0.25">
      <c r="A1900" t="s">
        <v>987</v>
      </c>
      <c r="B1900" t="s">
        <v>27</v>
      </c>
      <c r="C1900" t="s">
        <v>59</v>
      </c>
      <c r="D1900" t="s">
        <v>3219</v>
      </c>
      <c r="E1900">
        <v>25.18</v>
      </c>
      <c r="F1900">
        <v>-29.8</v>
      </c>
    </row>
    <row r="1901" spans="1:6" x14ac:dyDescent="0.25">
      <c r="A1901" t="s">
        <v>988</v>
      </c>
      <c r="B1901" t="s">
        <v>27</v>
      </c>
      <c r="C1901" t="s">
        <v>60</v>
      </c>
      <c r="D1901" t="s">
        <v>3217</v>
      </c>
      <c r="E1901">
        <v>0</v>
      </c>
      <c r="F1901">
        <v>-29.32</v>
      </c>
    </row>
    <row r="1902" spans="1:6" x14ac:dyDescent="0.25">
      <c r="A1902" t="s">
        <v>988</v>
      </c>
      <c r="B1902" t="s">
        <v>27</v>
      </c>
      <c r="C1902" t="s">
        <v>60</v>
      </c>
      <c r="D1902" t="s">
        <v>3218</v>
      </c>
      <c r="E1902">
        <v>14.9</v>
      </c>
      <c r="F1902">
        <v>-29.36</v>
      </c>
    </row>
    <row r="1903" spans="1:6" x14ac:dyDescent="0.25">
      <c r="A1903" t="s">
        <v>988</v>
      </c>
      <c r="B1903" t="s">
        <v>27</v>
      </c>
      <c r="C1903" t="s">
        <v>60</v>
      </c>
      <c r="D1903" t="s">
        <v>3219</v>
      </c>
      <c r="E1903">
        <v>25.78</v>
      </c>
      <c r="F1903">
        <v>-29.62</v>
      </c>
    </row>
    <row r="1904" spans="1:6" x14ac:dyDescent="0.25">
      <c r="A1904" t="s">
        <v>989</v>
      </c>
      <c r="B1904" t="s">
        <v>27</v>
      </c>
      <c r="C1904" t="s">
        <v>61</v>
      </c>
      <c r="D1904" t="s">
        <v>3217</v>
      </c>
      <c r="E1904">
        <v>0</v>
      </c>
      <c r="F1904">
        <v>-29.09</v>
      </c>
    </row>
    <row r="1905" spans="1:6" x14ac:dyDescent="0.25">
      <c r="A1905" t="s">
        <v>989</v>
      </c>
      <c r="B1905" t="s">
        <v>27</v>
      </c>
      <c r="C1905" t="s">
        <v>61</v>
      </c>
      <c r="D1905" t="s">
        <v>3218</v>
      </c>
      <c r="E1905">
        <v>14.71</v>
      </c>
      <c r="F1905">
        <v>-29.26</v>
      </c>
    </row>
    <row r="1906" spans="1:6" x14ac:dyDescent="0.25">
      <c r="A1906" t="s">
        <v>989</v>
      </c>
      <c r="B1906" t="s">
        <v>27</v>
      </c>
      <c r="C1906" t="s">
        <v>61</v>
      </c>
      <c r="D1906" t="s">
        <v>3219</v>
      </c>
      <c r="E1906">
        <v>26.08</v>
      </c>
      <c r="F1906">
        <v>-29.83</v>
      </c>
    </row>
    <row r="1907" spans="1:6" x14ac:dyDescent="0.25">
      <c r="A1907" t="s">
        <v>990</v>
      </c>
      <c r="B1907" t="s">
        <v>27</v>
      </c>
      <c r="C1907" t="s">
        <v>62</v>
      </c>
      <c r="D1907" t="s">
        <v>3217</v>
      </c>
      <c r="E1907">
        <v>0</v>
      </c>
      <c r="F1907">
        <v>-29.37</v>
      </c>
    </row>
    <row r="1908" spans="1:6" x14ac:dyDescent="0.25">
      <c r="A1908" t="s">
        <v>990</v>
      </c>
      <c r="B1908" t="s">
        <v>27</v>
      </c>
      <c r="C1908" t="s">
        <v>62</v>
      </c>
      <c r="D1908" t="s">
        <v>3218</v>
      </c>
      <c r="E1908">
        <v>13.03</v>
      </c>
      <c r="F1908">
        <v>-29.23</v>
      </c>
    </row>
    <row r="1909" spans="1:6" x14ac:dyDescent="0.25">
      <c r="A1909" t="s">
        <v>990</v>
      </c>
      <c r="B1909" t="s">
        <v>27</v>
      </c>
      <c r="C1909" t="s">
        <v>62</v>
      </c>
      <c r="D1909" t="s">
        <v>3219</v>
      </c>
      <c r="E1909">
        <v>24.98</v>
      </c>
      <c r="F1909">
        <v>-29.88</v>
      </c>
    </row>
    <row r="1910" spans="1:6" x14ac:dyDescent="0.25">
      <c r="A1910" t="s">
        <v>991</v>
      </c>
      <c r="B1910" t="s">
        <v>27</v>
      </c>
      <c r="C1910" t="s">
        <v>63</v>
      </c>
      <c r="D1910" t="s">
        <v>3217</v>
      </c>
      <c r="E1910">
        <v>0</v>
      </c>
      <c r="F1910">
        <v>-29.42</v>
      </c>
    </row>
    <row r="1911" spans="1:6" x14ac:dyDescent="0.25">
      <c r="A1911" t="s">
        <v>991</v>
      </c>
      <c r="B1911" t="s">
        <v>27</v>
      </c>
      <c r="C1911" t="s">
        <v>63</v>
      </c>
      <c r="D1911" t="s">
        <v>3218</v>
      </c>
      <c r="E1911">
        <v>13.03</v>
      </c>
      <c r="F1911">
        <v>-29.43</v>
      </c>
    </row>
    <row r="1912" spans="1:6" x14ac:dyDescent="0.25">
      <c r="A1912" t="s">
        <v>991</v>
      </c>
      <c r="B1912" t="s">
        <v>27</v>
      </c>
      <c r="C1912" t="s">
        <v>63</v>
      </c>
      <c r="D1912" t="s">
        <v>3219</v>
      </c>
      <c r="E1912">
        <v>27.72</v>
      </c>
      <c r="F1912">
        <v>-29.88</v>
      </c>
    </row>
    <row r="1913" spans="1:6" x14ac:dyDescent="0.25">
      <c r="A1913" t="s">
        <v>992</v>
      </c>
      <c r="B1913" t="s">
        <v>27</v>
      </c>
      <c r="C1913" t="s">
        <v>64</v>
      </c>
      <c r="D1913" t="s">
        <v>3217</v>
      </c>
      <c r="E1913">
        <v>0</v>
      </c>
      <c r="F1913">
        <v>-29.48</v>
      </c>
    </row>
    <row r="1914" spans="1:6" x14ac:dyDescent="0.25">
      <c r="A1914" t="s">
        <v>992</v>
      </c>
      <c r="B1914" t="s">
        <v>27</v>
      </c>
      <c r="C1914" t="s">
        <v>64</v>
      </c>
      <c r="D1914" t="s">
        <v>3218</v>
      </c>
      <c r="E1914">
        <v>14.19</v>
      </c>
      <c r="F1914">
        <v>-29.58</v>
      </c>
    </row>
    <row r="1915" spans="1:6" x14ac:dyDescent="0.25">
      <c r="A1915" t="s">
        <v>992</v>
      </c>
      <c r="B1915" t="s">
        <v>27</v>
      </c>
      <c r="C1915" t="s">
        <v>64</v>
      </c>
      <c r="D1915" t="s">
        <v>3219</v>
      </c>
      <c r="E1915">
        <v>29.58</v>
      </c>
      <c r="F1915">
        <v>-30.23</v>
      </c>
    </row>
    <row r="1916" spans="1:6" x14ac:dyDescent="0.25">
      <c r="A1916" t="s">
        <v>993</v>
      </c>
      <c r="B1916" t="s">
        <v>27</v>
      </c>
      <c r="C1916" t="s">
        <v>65</v>
      </c>
      <c r="D1916" t="s">
        <v>3217</v>
      </c>
      <c r="E1916">
        <v>0</v>
      </c>
      <c r="F1916">
        <v>-29.55</v>
      </c>
    </row>
    <row r="1917" spans="1:6" x14ac:dyDescent="0.25">
      <c r="A1917" t="s">
        <v>993</v>
      </c>
      <c r="B1917" t="s">
        <v>27</v>
      </c>
      <c r="C1917" t="s">
        <v>65</v>
      </c>
      <c r="D1917" t="s">
        <v>3218</v>
      </c>
      <c r="E1917">
        <v>15.07</v>
      </c>
      <c r="F1917">
        <v>-29.8</v>
      </c>
    </row>
    <row r="1918" spans="1:6" x14ac:dyDescent="0.25">
      <c r="A1918" t="s">
        <v>993</v>
      </c>
      <c r="B1918" t="s">
        <v>27</v>
      </c>
      <c r="C1918" t="s">
        <v>65</v>
      </c>
      <c r="D1918" t="s">
        <v>3219</v>
      </c>
      <c r="E1918">
        <v>30.69</v>
      </c>
      <c r="F1918">
        <v>-30.42</v>
      </c>
    </row>
    <row r="1919" spans="1:6" x14ac:dyDescent="0.25">
      <c r="A1919" t="s">
        <v>994</v>
      </c>
      <c r="B1919" t="s">
        <v>27</v>
      </c>
      <c r="C1919" t="s">
        <v>66</v>
      </c>
      <c r="D1919" t="s">
        <v>3217</v>
      </c>
      <c r="E1919">
        <v>0</v>
      </c>
      <c r="F1919">
        <v>-29.83</v>
      </c>
    </row>
    <row r="1920" spans="1:6" x14ac:dyDescent="0.25">
      <c r="A1920" t="s">
        <v>994</v>
      </c>
      <c r="B1920" t="s">
        <v>27</v>
      </c>
      <c r="C1920" t="s">
        <v>66</v>
      </c>
      <c r="D1920" t="s">
        <v>3218</v>
      </c>
      <c r="E1920">
        <v>14.55</v>
      </c>
      <c r="F1920">
        <v>-30.01</v>
      </c>
    </row>
    <row r="1921" spans="1:6" x14ac:dyDescent="0.25">
      <c r="A1921" t="s">
        <v>994</v>
      </c>
      <c r="B1921" t="s">
        <v>27</v>
      </c>
      <c r="C1921" t="s">
        <v>66</v>
      </c>
      <c r="D1921" t="s">
        <v>3219</v>
      </c>
      <c r="E1921">
        <v>30</v>
      </c>
      <c r="F1921">
        <v>-30.58</v>
      </c>
    </row>
    <row r="1922" spans="1:6" x14ac:dyDescent="0.25">
      <c r="A1922" t="s">
        <v>995</v>
      </c>
      <c r="B1922" t="s">
        <v>27</v>
      </c>
      <c r="C1922" t="s">
        <v>67</v>
      </c>
      <c r="D1922" t="s">
        <v>3217</v>
      </c>
      <c r="E1922">
        <v>0</v>
      </c>
      <c r="F1922">
        <v>-30.02</v>
      </c>
    </row>
    <row r="1923" spans="1:6" x14ac:dyDescent="0.25">
      <c r="A1923" t="s">
        <v>995</v>
      </c>
      <c r="B1923" t="s">
        <v>27</v>
      </c>
      <c r="C1923" t="s">
        <v>67</v>
      </c>
      <c r="D1923" t="s">
        <v>3218</v>
      </c>
      <c r="E1923">
        <v>14.01</v>
      </c>
      <c r="F1923">
        <v>-30.13</v>
      </c>
    </row>
    <row r="1924" spans="1:6" x14ac:dyDescent="0.25">
      <c r="A1924" t="s">
        <v>995</v>
      </c>
      <c r="B1924" t="s">
        <v>27</v>
      </c>
      <c r="C1924" t="s">
        <v>67</v>
      </c>
      <c r="D1924" t="s">
        <v>3219</v>
      </c>
      <c r="E1924">
        <v>29.8</v>
      </c>
      <c r="F1924">
        <v>-30.7</v>
      </c>
    </row>
    <row r="1925" spans="1:6" x14ac:dyDescent="0.25">
      <c r="A1925" t="s">
        <v>996</v>
      </c>
      <c r="B1925" t="s">
        <v>27</v>
      </c>
      <c r="C1925" t="s">
        <v>68</v>
      </c>
      <c r="D1925" t="s">
        <v>3217</v>
      </c>
      <c r="E1925">
        <v>0</v>
      </c>
      <c r="F1925">
        <v>-30.04</v>
      </c>
    </row>
    <row r="1926" spans="1:6" x14ac:dyDescent="0.25">
      <c r="A1926" t="s">
        <v>996</v>
      </c>
      <c r="B1926" t="s">
        <v>27</v>
      </c>
      <c r="C1926" t="s">
        <v>68</v>
      </c>
      <c r="D1926" t="s">
        <v>3218</v>
      </c>
      <c r="E1926">
        <v>14.47</v>
      </c>
      <c r="F1926">
        <v>-30.18</v>
      </c>
    </row>
    <row r="1927" spans="1:6" x14ac:dyDescent="0.25">
      <c r="A1927" t="s">
        <v>996</v>
      </c>
      <c r="B1927" t="s">
        <v>27</v>
      </c>
      <c r="C1927" t="s">
        <v>68</v>
      </c>
      <c r="D1927" t="s">
        <v>3219</v>
      </c>
      <c r="E1927">
        <v>30.23</v>
      </c>
      <c r="F1927">
        <v>-30.77</v>
      </c>
    </row>
    <row r="1928" spans="1:6" x14ac:dyDescent="0.25">
      <c r="A1928" t="s">
        <v>997</v>
      </c>
      <c r="B1928" t="s">
        <v>27</v>
      </c>
      <c r="C1928" t="s">
        <v>69</v>
      </c>
      <c r="D1928" t="s">
        <v>3217</v>
      </c>
      <c r="E1928">
        <v>0</v>
      </c>
      <c r="F1928">
        <v>-29.99</v>
      </c>
    </row>
    <row r="1929" spans="1:6" x14ac:dyDescent="0.25">
      <c r="A1929" t="s">
        <v>997</v>
      </c>
      <c r="B1929" t="s">
        <v>27</v>
      </c>
      <c r="C1929" t="s">
        <v>69</v>
      </c>
      <c r="D1929" t="s">
        <v>3218</v>
      </c>
      <c r="E1929">
        <v>14.66</v>
      </c>
      <c r="F1929">
        <v>-30.21</v>
      </c>
    </row>
    <row r="1930" spans="1:6" x14ac:dyDescent="0.25">
      <c r="A1930" t="s">
        <v>997</v>
      </c>
      <c r="B1930" t="s">
        <v>27</v>
      </c>
      <c r="C1930" t="s">
        <v>69</v>
      </c>
      <c r="D1930" t="s">
        <v>3219</v>
      </c>
      <c r="E1930">
        <v>30.92</v>
      </c>
      <c r="F1930">
        <v>-30.84</v>
      </c>
    </row>
    <row r="1931" spans="1:6" x14ac:dyDescent="0.25">
      <c r="A1931" t="s">
        <v>998</v>
      </c>
      <c r="B1931" t="s">
        <v>27</v>
      </c>
      <c r="C1931" t="s">
        <v>70</v>
      </c>
      <c r="D1931" t="s">
        <v>3217</v>
      </c>
      <c r="E1931">
        <v>0</v>
      </c>
      <c r="F1931">
        <v>-29.92</v>
      </c>
    </row>
    <row r="1932" spans="1:6" x14ac:dyDescent="0.25">
      <c r="A1932" t="s">
        <v>998</v>
      </c>
      <c r="B1932" t="s">
        <v>27</v>
      </c>
      <c r="C1932" t="s">
        <v>70</v>
      </c>
      <c r="D1932" t="s">
        <v>3218</v>
      </c>
      <c r="E1932">
        <v>15.34</v>
      </c>
      <c r="F1932">
        <v>-30.16</v>
      </c>
    </row>
    <row r="1933" spans="1:6" x14ac:dyDescent="0.25">
      <c r="A1933" t="s">
        <v>998</v>
      </c>
      <c r="B1933" t="s">
        <v>27</v>
      </c>
      <c r="C1933" t="s">
        <v>70</v>
      </c>
      <c r="D1933" t="s">
        <v>3219</v>
      </c>
      <c r="E1933">
        <v>31.57</v>
      </c>
      <c r="F1933">
        <v>-30.92</v>
      </c>
    </row>
    <row r="1934" spans="1:6" x14ac:dyDescent="0.25">
      <c r="A1934" t="s">
        <v>999</v>
      </c>
      <c r="B1934" t="s">
        <v>27</v>
      </c>
      <c r="C1934" t="s">
        <v>71</v>
      </c>
      <c r="D1934" t="s">
        <v>3217</v>
      </c>
      <c r="E1934">
        <v>0</v>
      </c>
      <c r="F1934">
        <v>-29.86</v>
      </c>
    </row>
    <row r="1935" spans="1:6" x14ac:dyDescent="0.25">
      <c r="A1935" t="s">
        <v>999</v>
      </c>
      <c r="B1935" t="s">
        <v>27</v>
      </c>
      <c r="C1935" t="s">
        <v>71</v>
      </c>
      <c r="D1935" t="s">
        <v>3218</v>
      </c>
      <c r="E1935">
        <v>14.85</v>
      </c>
      <c r="F1935">
        <v>-30.11</v>
      </c>
    </row>
    <row r="1936" spans="1:6" x14ac:dyDescent="0.25">
      <c r="A1936" t="s">
        <v>999</v>
      </c>
      <c r="B1936" t="s">
        <v>27</v>
      </c>
      <c r="C1936" t="s">
        <v>71</v>
      </c>
      <c r="D1936" t="s">
        <v>3219</v>
      </c>
      <c r="E1936">
        <v>30.02</v>
      </c>
      <c r="F1936">
        <v>-30.85</v>
      </c>
    </row>
    <row r="1937" spans="1:6" x14ac:dyDescent="0.25">
      <c r="A1937" t="s">
        <v>1000</v>
      </c>
      <c r="B1937" t="s">
        <v>27</v>
      </c>
      <c r="C1937" t="s">
        <v>72</v>
      </c>
      <c r="D1937" t="s">
        <v>3217</v>
      </c>
      <c r="E1937">
        <v>0</v>
      </c>
      <c r="F1937">
        <v>-29.76</v>
      </c>
    </row>
    <row r="1938" spans="1:6" x14ac:dyDescent="0.25">
      <c r="A1938" t="s">
        <v>1000</v>
      </c>
      <c r="B1938" t="s">
        <v>27</v>
      </c>
      <c r="C1938" t="s">
        <v>72</v>
      </c>
      <c r="D1938" t="s">
        <v>3218</v>
      </c>
      <c r="E1938">
        <v>14.07</v>
      </c>
      <c r="F1938">
        <v>-29.95</v>
      </c>
    </row>
    <row r="1939" spans="1:6" x14ac:dyDescent="0.25">
      <c r="A1939" t="s">
        <v>1000</v>
      </c>
      <c r="B1939" t="s">
        <v>27</v>
      </c>
      <c r="C1939" t="s">
        <v>72</v>
      </c>
      <c r="D1939" t="s">
        <v>3219</v>
      </c>
      <c r="E1939">
        <v>29.49</v>
      </c>
      <c r="F1939">
        <v>-30.64</v>
      </c>
    </row>
    <row r="1940" spans="1:6" x14ac:dyDescent="0.25">
      <c r="A1940" t="s">
        <v>1001</v>
      </c>
      <c r="B1940" t="s">
        <v>27</v>
      </c>
      <c r="C1940" t="s">
        <v>73</v>
      </c>
      <c r="D1940" t="s">
        <v>3217</v>
      </c>
      <c r="E1940">
        <v>0</v>
      </c>
      <c r="F1940">
        <v>-29.72</v>
      </c>
    </row>
    <row r="1941" spans="1:6" x14ac:dyDescent="0.25">
      <c r="A1941" t="s">
        <v>1001</v>
      </c>
      <c r="B1941" t="s">
        <v>27</v>
      </c>
      <c r="C1941" t="s">
        <v>73</v>
      </c>
      <c r="D1941" t="s">
        <v>3218</v>
      </c>
      <c r="E1941">
        <v>15.04</v>
      </c>
      <c r="F1941">
        <v>-30</v>
      </c>
    </row>
    <row r="1942" spans="1:6" x14ac:dyDescent="0.25">
      <c r="A1942" t="s">
        <v>1001</v>
      </c>
      <c r="B1942" t="s">
        <v>27</v>
      </c>
      <c r="C1942" t="s">
        <v>73</v>
      </c>
      <c r="D1942" t="s">
        <v>3219</v>
      </c>
      <c r="E1942">
        <v>29.61</v>
      </c>
      <c r="F1942">
        <v>-30.6</v>
      </c>
    </row>
    <row r="1943" spans="1:6" x14ac:dyDescent="0.25">
      <c r="A1943" t="s">
        <v>1002</v>
      </c>
      <c r="B1943" t="s">
        <v>27</v>
      </c>
      <c r="C1943" t="s">
        <v>74</v>
      </c>
      <c r="D1943" t="s">
        <v>3217</v>
      </c>
      <c r="E1943">
        <v>0</v>
      </c>
      <c r="F1943">
        <v>-29.74</v>
      </c>
    </row>
    <row r="1944" spans="1:6" x14ac:dyDescent="0.25">
      <c r="A1944" t="s">
        <v>1002</v>
      </c>
      <c r="B1944" t="s">
        <v>27</v>
      </c>
      <c r="C1944" t="s">
        <v>74</v>
      </c>
      <c r="D1944" t="s">
        <v>3218</v>
      </c>
      <c r="E1944">
        <v>17.690000000000001</v>
      </c>
      <c r="F1944">
        <v>-30.14</v>
      </c>
    </row>
    <row r="1945" spans="1:6" x14ac:dyDescent="0.25">
      <c r="A1945" t="s">
        <v>1002</v>
      </c>
      <c r="B1945" t="s">
        <v>27</v>
      </c>
      <c r="C1945" t="s">
        <v>74</v>
      </c>
      <c r="D1945" t="s">
        <v>3219</v>
      </c>
      <c r="E1945">
        <v>33.11</v>
      </c>
      <c r="F1945">
        <v>-30.5</v>
      </c>
    </row>
    <row r="1946" spans="1:6" x14ac:dyDescent="0.25">
      <c r="A1946" t="s">
        <v>1003</v>
      </c>
      <c r="B1946" t="s">
        <v>27</v>
      </c>
      <c r="C1946" t="s">
        <v>75</v>
      </c>
      <c r="D1946" t="s">
        <v>3217</v>
      </c>
      <c r="E1946">
        <v>0</v>
      </c>
      <c r="F1946">
        <v>-29.92</v>
      </c>
    </row>
    <row r="1947" spans="1:6" x14ac:dyDescent="0.25">
      <c r="A1947" t="s">
        <v>1003</v>
      </c>
      <c r="B1947" t="s">
        <v>27</v>
      </c>
      <c r="C1947" t="s">
        <v>75</v>
      </c>
      <c r="D1947" t="s">
        <v>3218</v>
      </c>
      <c r="E1947">
        <v>20</v>
      </c>
      <c r="F1947">
        <v>-30.45</v>
      </c>
    </row>
    <row r="1948" spans="1:6" x14ac:dyDescent="0.25">
      <c r="A1948" t="s">
        <v>1003</v>
      </c>
      <c r="B1948" t="s">
        <v>27</v>
      </c>
      <c r="C1948" t="s">
        <v>75</v>
      </c>
      <c r="D1948" t="s">
        <v>3219</v>
      </c>
      <c r="E1948">
        <v>35.24</v>
      </c>
      <c r="F1948">
        <v>-30.77</v>
      </c>
    </row>
    <row r="1949" spans="1:6" x14ac:dyDescent="0.25">
      <c r="A1949" t="s">
        <v>1004</v>
      </c>
      <c r="B1949" t="s">
        <v>27</v>
      </c>
      <c r="C1949" t="s">
        <v>76</v>
      </c>
      <c r="D1949" t="s">
        <v>3217</v>
      </c>
      <c r="E1949">
        <v>0</v>
      </c>
      <c r="F1949">
        <v>-30.08</v>
      </c>
    </row>
    <row r="1950" spans="1:6" x14ac:dyDescent="0.25">
      <c r="A1950" t="s">
        <v>1004</v>
      </c>
      <c r="B1950" t="s">
        <v>27</v>
      </c>
      <c r="C1950" t="s">
        <v>76</v>
      </c>
      <c r="D1950" t="s">
        <v>3218</v>
      </c>
      <c r="E1950">
        <v>20</v>
      </c>
      <c r="F1950">
        <v>-30.86</v>
      </c>
    </row>
    <row r="1951" spans="1:6" x14ac:dyDescent="0.25">
      <c r="A1951" t="s">
        <v>1004</v>
      </c>
      <c r="B1951" t="s">
        <v>27</v>
      </c>
      <c r="C1951" t="s">
        <v>76</v>
      </c>
      <c r="D1951" t="s">
        <v>3219</v>
      </c>
      <c r="E1951">
        <v>34.76</v>
      </c>
      <c r="F1951">
        <v>-31.23</v>
      </c>
    </row>
    <row r="1952" spans="1:6" x14ac:dyDescent="0.25">
      <c r="A1952" t="s">
        <v>1005</v>
      </c>
      <c r="B1952" t="s">
        <v>27</v>
      </c>
      <c r="C1952" t="s">
        <v>77</v>
      </c>
      <c r="D1952" t="s">
        <v>3217</v>
      </c>
      <c r="E1952">
        <v>0</v>
      </c>
      <c r="F1952">
        <v>-30.12</v>
      </c>
    </row>
    <row r="1953" spans="1:6" x14ac:dyDescent="0.25">
      <c r="A1953" t="s">
        <v>1005</v>
      </c>
      <c r="B1953" t="s">
        <v>27</v>
      </c>
      <c r="C1953" t="s">
        <v>77</v>
      </c>
      <c r="D1953" t="s">
        <v>3218</v>
      </c>
      <c r="E1953">
        <v>20</v>
      </c>
      <c r="F1953">
        <v>-31.11</v>
      </c>
    </row>
    <row r="1954" spans="1:6" x14ac:dyDescent="0.25">
      <c r="A1954" t="s">
        <v>1005</v>
      </c>
      <c r="B1954" t="s">
        <v>27</v>
      </c>
      <c r="C1954" t="s">
        <v>77</v>
      </c>
      <c r="D1954" t="s">
        <v>3219</v>
      </c>
      <c r="E1954">
        <v>34.450000000000003</v>
      </c>
      <c r="F1954">
        <v>-31.59</v>
      </c>
    </row>
    <row r="1955" spans="1:6" x14ac:dyDescent="0.25">
      <c r="A1955" t="s">
        <v>1006</v>
      </c>
      <c r="B1955" t="s">
        <v>27</v>
      </c>
      <c r="C1955" t="s">
        <v>78</v>
      </c>
      <c r="D1955" t="s">
        <v>3217</v>
      </c>
      <c r="E1955">
        <v>0</v>
      </c>
      <c r="F1955">
        <v>-30.33</v>
      </c>
    </row>
    <row r="1956" spans="1:6" x14ac:dyDescent="0.25">
      <c r="A1956" t="s">
        <v>1006</v>
      </c>
      <c r="B1956" t="s">
        <v>27</v>
      </c>
      <c r="C1956" t="s">
        <v>78</v>
      </c>
      <c r="D1956" t="s">
        <v>3218</v>
      </c>
      <c r="E1956">
        <v>20</v>
      </c>
      <c r="F1956">
        <v>-30.91</v>
      </c>
    </row>
    <row r="1957" spans="1:6" x14ac:dyDescent="0.25">
      <c r="A1957" t="s">
        <v>1006</v>
      </c>
      <c r="B1957" t="s">
        <v>27</v>
      </c>
      <c r="C1957" t="s">
        <v>78</v>
      </c>
      <c r="D1957" t="s">
        <v>3219</v>
      </c>
      <c r="E1957">
        <v>35.11</v>
      </c>
      <c r="F1957">
        <v>-31.4</v>
      </c>
    </row>
    <row r="1958" spans="1:6" x14ac:dyDescent="0.25">
      <c r="A1958" t="s">
        <v>1007</v>
      </c>
      <c r="B1958" t="s">
        <v>27</v>
      </c>
      <c r="C1958" t="s">
        <v>79</v>
      </c>
      <c r="D1958" t="s">
        <v>3217</v>
      </c>
      <c r="E1958">
        <v>0</v>
      </c>
      <c r="F1958">
        <v>-29.75</v>
      </c>
    </row>
    <row r="1959" spans="1:6" x14ac:dyDescent="0.25">
      <c r="A1959" t="s">
        <v>1007</v>
      </c>
      <c r="B1959" t="s">
        <v>27</v>
      </c>
      <c r="C1959" t="s">
        <v>79</v>
      </c>
      <c r="D1959" t="s">
        <v>3218</v>
      </c>
      <c r="E1959">
        <v>20</v>
      </c>
      <c r="F1959">
        <v>-30.57</v>
      </c>
    </row>
    <row r="1960" spans="1:6" x14ac:dyDescent="0.25">
      <c r="A1960" t="s">
        <v>1007</v>
      </c>
      <c r="B1960" t="s">
        <v>27</v>
      </c>
      <c r="C1960" t="s">
        <v>79</v>
      </c>
      <c r="D1960" t="s">
        <v>3219</v>
      </c>
      <c r="E1960">
        <v>34.450000000000003</v>
      </c>
      <c r="F1960">
        <v>-31.25</v>
      </c>
    </row>
    <row r="1961" spans="1:6" x14ac:dyDescent="0.25">
      <c r="A1961" t="s">
        <v>1008</v>
      </c>
      <c r="B1961" t="s">
        <v>27</v>
      </c>
      <c r="C1961" t="s">
        <v>80</v>
      </c>
      <c r="D1961" t="s">
        <v>3217</v>
      </c>
      <c r="E1961">
        <v>0</v>
      </c>
      <c r="F1961">
        <v>-29.4</v>
      </c>
    </row>
    <row r="1962" spans="1:6" x14ac:dyDescent="0.25">
      <c r="A1962" t="s">
        <v>1008</v>
      </c>
      <c r="B1962" t="s">
        <v>27</v>
      </c>
      <c r="C1962" t="s">
        <v>80</v>
      </c>
      <c r="D1962" t="s">
        <v>3218</v>
      </c>
      <c r="E1962">
        <v>20</v>
      </c>
      <c r="F1962">
        <v>-30.36</v>
      </c>
    </row>
    <row r="1963" spans="1:6" x14ac:dyDescent="0.25">
      <c r="A1963" t="s">
        <v>1008</v>
      </c>
      <c r="B1963" t="s">
        <v>27</v>
      </c>
      <c r="C1963" t="s">
        <v>80</v>
      </c>
      <c r="D1963" t="s">
        <v>3219</v>
      </c>
      <c r="E1963">
        <v>34.799999999999997</v>
      </c>
      <c r="F1963">
        <v>-30.68</v>
      </c>
    </row>
    <row r="1964" spans="1:6" x14ac:dyDescent="0.25">
      <c r="A1964" t="s">
        <v>1009</v>
      </c>
      <c r="B1964" t="s">
        <v>27</v>
      </c>
      <c r="C1964" t="s">
        <v>81</v>
      </c>
      <c r="D1964" t="s">
        <v>3217</v>
      </c>
      <c r="E1964">
        <v>0</v>
      </c>
      <c r="F1964">
        <v>-29.06</v>
      </c>
    </row>
    <row r="1965" spans="1:6" x14ac:dyDescent="0.25">
      <c r="A1965" t="s">
        <v>1009</v>
      </c>
      <c r="B1965" t="s">
        <v>27</v>
      </c>
      <c r="C1965" t="s">
        <v>81</v>
      </c>
      <c r="D1965" t="s">
        <v>3218</v>
      </c>
      <c r="E1965">
        <v>20</v>
      </c>
      <c r="F1965">
        <v>-30.24</v>
      </c>
    </row>
    <row r="1966" spans="1:6" x14ac:dyDescent="0.25">
      <c r="A1966" t="s">
        <v>1009</v>
      </c>
      <c r="B1966" t="s">
        <v>27</v>
      </c>
      <c r="C1966" t="s">
        <v>81</v>
      </c>
      <c r="D1966" t="s">
        <v>3219</v>
      </c>
      <c r="E1966">
        <v>34.14</v>
      </c>
      <c r="F1966">
        <v>-30.98</v>
      </c>
    </row>
    <row r="1967" spans="1:6" x14ac:dyDescent="0.25">
      <c r="A1967" t="s">
        <v>1010</v>
      </c>
      <c r="B1967" t="s">
        <v>27</v>
      </c>
      <c r="C1967" t="s">
        <v>82</v>
      </c>
      <c r="D1967" t="s">
        <v>3217</v>
      </c>
      <c r="E1967">
        <v>0</v>
      </c>
      <c r="F1967">
        <v>-29.12</v>
      </c>
    </row>
    <row r="1968" spans="1:6" x14ac:dyDescent="0.25">
      <c r="A1968" t="s">
        <v>1010</v>
      </c>
      <c r="B1968" t="s">
        <v>27</v>
      </c>
      <c r="C1968" t="s">
        <v>82</v>
      </c>
      <c r="D1968" t="s">
        <v>3218</v>
      </c>
      <c r="E1968">
        <v>17.43</v>
      </c>
      <c r="F1968">
        <v>-29.8</v>
      </c>
    </row>
    <row r="1969" spans="1:6" x14ac:dyDescent="0.25">
      <c r="A1969" t="s">
        <v>1010</v>
      </c>
      <c r="B1969" t="s">
        <v>27</v>
      </c>
      <c r="C1969" t="s">
        <v>82</v>
      </c>
      <c r="D1969" t="s">
        <v>3219</v>
      </c>
      <c r="E1969">
        <v>32.229999999999997</v>
      </c>
      <c r="F1969">
        <v>-30.56</v>
      </c>
    </row>
    <row r="1970" spans="1:6" x14ac:dyDescent="0.25">
      <c r="A1970" t="s">
        <v>1011</v>
      </c>
      <c r="B1970" t="s">
        <v>27</v>
      </c>
      <c r="C1970" t="s">
        <v>83</v>
      </c>
      <c r="D1970" t="s">
        <v>3217</v>
      </c>
      <c r="E1970">
        <v>0</v>
      </c>
      <c r="F1970">
        <v>-29.49</v>
      </c>
    </row>
    <row r="1971" spans="1:6" x14ac:dyDescent="0.25">
      <c r="A1971" t="s">
        <v>1011</v>
      </c>
      <c r="B1971" t="s">
        <v>27</v>
      </c>
      <c r="C1971" t="s">
        <v>83</v>
      </c>
      <c r="D1971" t="s">
        <v>3218</v>
      </c>
      <c r="E1971">
        <v>15.46</v>
      </c>
      <c r="F1971">
        <v>-29.63</v>
      </c>
    </row>
    <row r="1972" spans="1:6" x14ac:dyDescent="0.25">
      <c r="A1972" t="s">
        <v>1011</v>
      </c>
      <c r="B1972" t="s">
        <v>27</v>
      </c>
      <c r="C1972" t="s">
        <v>83</v>
      </c>
      <c r="D1972" t="s">
        <v>3219</v>
      </c>
      <c r="E1972">
        <v>32.71</v>
      </c>
      <c r="F1972">
        <v>-30.21</v>
      </c>
    </row>
    <row r="1973" spans="1:6" x14ac:dyDescent="0.25">
      <c r="A1973" t="s">
        <v>1012</v>
      </c>
      <c r="B1973" t="s">
        <v>27</v>
      </c>
      <c r="C1973" t="s">
        <v>84</v>
      </c>
      <c r="D1973" t="s">
        <v>3217</v>
      </c>
      <c r="E1973">
        <v>0</v>
      </c>
      <c r="F1973">
        <v>-29.51</v>
      </c>
    </row>
    <row r="1974" spans="1:6" x14ac:dyDescent="0.25">
      <c r="A1974" t="s">
        <v>1012</v>
      </c>
      <c r="B1974" t="s">
        <v>27</v>
      </c>
      <c r="C1974" t="s">
        <v>84</v>
      </c>
      <c r="D1974" t="s">
        <v>3218</v>
      </c>
      <c r="E1974">
        <v>13.98</v>
      </c>
      <c r="F1974">
        <v>-29.54</v>
      </c>
    </row>
    <row r="1975" spans="1:6" x14ac:dyDescent="0.25">
      <c r="A1975" t="s">
        <v>1012</v>
      </c>
      <c r="B1975" t="s">
        <v>27</v>
      </c>
      <c r="C1975" t="s">
        <v>84</v>
      </c>
      <c r="D1975" t="s">
        <v>3219</v>
      </c>
      <c r="E1975">
        <v>33.979999999999997</v>
      </c>
      <c r="F1975">
        <v>-29.8</v>
      </c>
    </row>
    <row r="1976" spans="1:6" x14ac:dyDescent="0.25">
      <c r="A1976" t="s">
        <v>1013</v>
      </c>
      <c r="B1976" t="s">
        <v>27</v>
      </c>
      <c r="C1976" t="s">
        <v>85</v>
      </c>
      <c r="D1976" t="s">
        <v>3217</v>
      </c>
      <c r="E1976">
        <v>0</v>
      </c>
      <c r="F1976">
        <v>-29.32</v>
      </c>
    </row>
    <row r="1977" spans="1:6" x14ac:dyDescent="0.25">
      <c r="A1977" t="s">
        <v>1013</v>
      </c>
      <c r="B1977" t="s">
        <v>27</v>
      </c>
      <c r="C1977" t="s">
        <v>85</v>
      </c>
      <c r="D1977" t="s">
        <v>3218</v>
      </c>
      <c r="E1977">
        <v>13.74</v>
      </c>
      <c r="F1977">
        <v>-29.27</v>
      </c>
    </row>
    <row r="1978" spans="1:6" x14ac:dyDescent="0.25">
      <c r="A1978" t="s">
        <v>1013</v>
      </c>
      <c r="B1978" t="s">
        <v>27</v>
      </c>
      <c r="C1978" t="s">
        <v>85</v>
      </c>
      <c r="D1978" t="s">
        <v>3219</v>
      </c>
      <c r="E1978">
        <v>33.74</v>
      </c>
      <c r="F1978">
        <v>-29.97</v>
      </c>
    </row>
    <row r="1979" spans="1:6" x14ac:dyDescent="0.25">
      <c r="A1979" t="s">
        <v>1014</v>
      </c>
      <c r="B1979" t="s">
        <v>27</v>
      </c>
      <c r="C1979" t="s">
        <v>86</v>
      </c>
      <c r="D1979" t="s">
        <v>3217</v>
      </c>
      <c r="E1979">
        <v>0</v>
      </c>
      <c r="F1979">
        <v>-29.09</v>
      </c>
    </row>
    <row r="1980" spans="1:6" x14ac:dyDescent="0.25">
      <c r="A1980" t="s">
        <v>1014</v>
      </c>
      <c r="B1980" t="s">
        <v>27</v>
      </c>
      <c r="C1980" t="s">
        <v>86</v>
      </c>
      <c r="D1980" t="s">
        <v>3218</v>
      </c>
      <c r="E1980">
        <v>15.14</v>
      </c>
      <c r="F1980">
        <v>-29.16</v>
      </c>
    </row>
    <row r="1981" spans="1:6" x14ac:dyDescent="0.25">
      <c r="A1981" t="s">
        <v>1014</v>
      </c>
      <c r="B1981" t="s">
        <v>27</v>
      </c>
      <c r="C1981" t="s">
        <v>86</v>
      </c>
      <c r="D1981" t="s">
        <v>3219</v>
      </c>
      <c r="E1981">
        <v>35.14</v>
      </c>
      <c r="F1981">
        <v>-30.04</v>
      </c>
    </row>
    <row r="1982" spans="1:6" x14ac:dyDescent="0.25">
      <c r="A1982" t="s">
        <v>1015</v>
      </c>
      <c r="B1982" t="s">
        <v>27</v>
      </c>
      <c r="C1982" t="s">
        <v>87</v>
      </c>
      <c r="D1982" t="s">
        <v>3217</v>
      </c>
      <c r="E1982">
        <v>0</v>
      </c>
      <c r="F1982">
        <v>-29.3</v>
      </c>
    </row>
    <row r="1983" spans="1:6" x14ac:dyDescent="0.25">
      <c r="A1983" t="s">
        <v>1015</v>
      </c>
      <c r="B1983" t="s">
        <v>27</v>
      </c>
      <c r="C1983" t="s">
        <v>87</v>
      </c>
      <c r="D1983" t="s">
        <v>3218</v>
      </c>
      <c r="E1983">
        <v>13.91</v>
      </c>
      <c r="F1983">
        <v>-29.1</v>
      </c>
    </row>
    <row r="1984" spans="1:6" x14ac:dyDescent="0.25">
      <c r="A1984" t="s">
        <v>1015</v>
      </c>
      <c r="B1984" t="s">
        <v>27</v>
      </c>
      <c r="C1984" t="s">
        <v>87</v>
      </c>
      <c r="D1984" t="s">
        <v>3219</v>
      </c>
      <c r="E1984">
        <v>33.909999999999997</v>
      </c>
      <c r="F1984">
        <v>-30.77</v>
      </c>
    </row>
    <row r="1985" spans="1:6" x14ac:dyDescent="0.25">
      <c r="A1985" t="s">
        <v>1016</v>
      </c>
      <c r="B1985" t="s">
        <v>27</v>
      </c>
      <c r="C1985" t="s">
        <v>88</v>
      </c>
      <c r="D1985" t="s">
        <v>3217</v>
      </c>
      <c r="E1985">
        <v>0</v>
      </c>
      <c r="F1985">
        <v>-29.49</v>
      </c>
    </row>
    <row r="1986" spans="1:6" x14ac:dyDescent="0.25">
      <c r="A1986" t="s">
        <v>1016</v>
      </c>
      <c r="B1986" t="s">
        <v>27</v>
      </c>
      <c r="C1986" t="s">
        <v>88</v>
      </c>
      <c r="D1986" t="s">
        <v>3218</v>
      </c>
      <c r="E1986">
        <v>13.5</v>
      </c>
      <c r="F1986">
        <v>-28.08</v>
      </c>
    </row>
    <row r="1987" spans="1:6" x14ac:dyDescent="0.25">
      <c r="A1987" t="s">
        <v>1016</v>
      </c>
      <c r="B1987" t="s">
        <v>27</v>
      </c>
      <c r="C1987" t="s">
        <v>88</v>
      </c>
      <c r="D1987" t="s">
        <v>3219</v>
      </c>
      <c r="E1987">
        <v>33.5</v>
      </c>
      <c r="F1987">
        <v>-31.39</v>
      </c>
    </row>
    <row r="1988" spans="1:6" x14ac:dyDescent="0.25">
      <c r="A1988" t="s">
        <v>1017</v>
      </c>
      <c r="B1988" t="s">
        <v>27</v>
      </c>
      <c r="C1988" t="s">
        <v>89</v>
      </c>
      <c r="D1988" t="s">
        <v>3217</v>
      </c>
      <c r="E1988">
        <v>0</v>
      </c>
      <c r="F1988">
        <v>-29.62</v>
      </c>
    </row>
    <row r="1989" spans="1:6" x14ac:dyDescent="0.25">
      <c r="A1989" t="s">
        <v>1017</v>
      </c>
      <c r="B1989" t="s">
        <v>27</v>
      </c>
      <c r="C1989" t="s">
        <v>89</v>
      </c>
      <c r="D1989" t="s">
        <v>3218</v>
      </c>
      <c r="E1989">
        <v>13.72</v>
      </c>
      <c r="F1989">
        <v>-29.28</v>
      </c>
    </row>
    <row r="1990" spans="1:6" x14ac:dyDescent="0.25">
      <c r="A1990" t="s">
        <v>1017</v>
      </c>
      <c r="B1990" t="s">
        <v>27</v>
      </c>
      <c r="C1990" t="s">
        <v>89</v>
      </c>
      <c r="D1990" t="s">
        <v>3219</v>
      </c>
      <c r="E1990">
        <v>33.72</v>
      </c>
      <c r="F1990">
        <v>-31.54</v>
      </c>
    </row>
    <row r="1991" spans="1:6" x14ac:dyDescent="0.25">
      <c r="A1991" t="s">
        <v>1018</v>
      </c>
      <c r="B1991" t="s">
        <v>27</v>
      </c>
      <c r="C1991" t="s">
        <v>90</v>
      </c>
      <c r="D1991" t="s">
        <v>3217</v>
      </c>
      <c r="E1991">
        <v>0</v>
      </c>
      <c r="F1991">
        <v>-29.63</v>
      </c>
    </row>
    <row r="1992" spans="1:6" x14ac:dyDescent="0.25">
      <c r="A1992" t="s">
        <v>1018</v>
      </c>
      <c r="B1992" t="s">
        <v>27</v>
      </c>
      <c r="C1992" t="s">
        <v>90</v>
      </c>
      <c r="D1992" t="s">
        <v>3218</v>
      </c>
      <c r="E1992">
        <v>12.32</v>
      </c>
      <c r="F1992">
        <v>-29.59</v>
      </c>
    </row>
    <row r="1993" spans="1:6" x14ac:dyDescent="0.25">
      <c r="A1993" t="s">
        <v>1018</v>
      </c>
      <c r="B1993" t="s">
        <v>27</v>
      </c>
      <c r="C1993" t="s">
        <v>90</v>
      </c>
      <c r="D1993" t="s">
        <v>3219</v>
      </c>
      <c r="E1993">
        <v>32.32</v>
      </c>
      <c r="F1993">
        <v>-31.54</v>
      </c>
    </row>
    <row r="1994" spans="1:6" x14ac:dyDescent="0.25">
      <c r="A1994" t="s">
        <v>1019</v>
      </c>
      <c r="B1994" t="s">
        <v>27</v>
      </c>
      <c r="C1994" t="s">
        <v>91</v>
      </c>
      <c r="D1994" t="s">
        <v>3217</v>
      </c>
      <c r="E1994">
        <v>0</v>
      </c>
      <c r="F1994">
        <v>-30.06</v>
      </c>
    </row>
    <row r="1995" spans="1:6" x14ac:dyDescent="0.25">
      <c r="A1995" t="s">
        <v>1019</v>
      </c>
      <c r="B1995" t="s">
        <v>27</v>
      </c>
      <c r="C1995" t="s">
        <v>91</v>
      </c>
      <c r="D1995" t="s">
        <v>3218</v>
      </c>
      <c r="E1995">
        <v>12.38</v>
      </c>
      <c r="F1995">
        <v>-30</v>
      </c>
    </row>
    <row r="1996" spans="1:6" x14ac:dyDescent="0.25">
      <c r="A1996" t="s">
        <v>1019</v>
      </c>
      <c r="B1996" t="s">
        <v>27</v>
      </c>
      <c r="C1996" t="s">
        <v>91</v>
      </c>
      <c r="D1996" t="s">
        <v>3219</v>
      </c>
      <c r="E1996">
        <v>32.380000000000003</v>
      </c>
      <c r="F1996">
        <v>-31.52</v>
      </c>
    </row>
    <row r="1997" spans="1:6" x14ac:dyDescent="0.25">
      <c r="A1997" t="s">
        <v>1020</v>
      </c>
      <c r="B1997" t="s">
        <v>27</v>
      </c>
      <c r="C1997" t="s">
        <v>92</v>
      </c>
      <c r="D1997" t="s">
        <v>3217</v>
      </c>
      <c r="E1997">
        <v>0</v>
      </c>
      <c r="F1997">
        <v>-30.17</v>
      </c>
    </row>
    <row r="1998" spans="1:6" x14ac:dyDescent="0.25">
      <c r="A1998" t="s">
        <v>1020</v>
      </c>
      <c r="B1998" t="s">
        <v>27</v>
      </c>
      <c r="C1998" t="s">
        <v>92</v>
      </c>
      <c r="D1998" t="s">
        <v>3218</v>
      </c>
      <c r="E1998">
        <v>13.39</v>
      </c>
      <c r="F1998">
        <v>-30.33</v>
      </c>
    </row>
    <row r="1999" spans="1:6" x14ac:dyDescent="0.25">
      <c r="A1999" t="s">
        <v>1020</v>
      </c>
      <c r="B1999" t="s">
        <v>27</v>
      </c>
      <c r="C1999" t="s">
        <v>92</v>
      </c>
      <c r="D1999" t="s">
        <v>3219</v>
      </c>
      <c r="E1999">
        <v>33.39</v>
      </c>
      <c r="F1999">
        <v>-31.27</v>
      </c>
    </row>
    <row r="2000" spans="1:6" x14ac:dyDescent="0.25">
      <c r="A2000" t="s">
        <v>1021</v>
      </c>
      <c r="B2000" t="s">
        <v>27</v>
      </c>
      <c r="C2000" t="s">
        <v>93</v>
      </c>
      <c r="D2000" t="s">
        <v>3217</v>
      </c>
      <c r="E2000">
        <v>0</v>
      </c>
      <c r="F2000">
        <v>-30.31</v>
      </c>
    </row>
    <row r="2001" spans="1:6" x14ac:dyDescent="0.25">
      <c r="A2001" t="s">
        <v>1021</v>
      </c>
      <c r="B2001" t="s">
        <v>27</v>
      </c>
      <c r="C2001" t="s">
        <v>93</v>
      </c>
      <c r="D2001" t="s">
        <v>3218</v>
      </c>
      <c r="E2001">
        <v>13.93</v>
      </c>
      <c r="F2001">
        <v>-30.27</v>
      </c>
    </row>
    <row r="2002" spans="1:6" x14ac:dyDescent="0.25">
      <c r="A2002" t="s">
        <v>1021</v>
      </c>
      <c r="B2002" t="s">
        <v>27</v>
      </c>
      <c r="C2002" t="s">
        <v>93</v>
      </c>
      <c r="D2002" t="s">
        <v>3219</v>
      </c>
      <c r="E2002">
        <v>33.93</v>
      </c>
      <c r="F2002">
        <v>-30.89</v>
      </c>
    </row>
    <row r="2003" spans="1:6" x14ac:dyDescent="0.25">
      <c r="A2003" t="s">
        <v>1022</v>
      </c>
      <c r="B2003" t="s">
        <v>27</v>
      </c>
      <c r="C2003" t="s">
        <v>94</v>
      </c>
      <c r="D2003" t="s">
        <v>3217</v>
      </c>
      <c r="E2003">
        <v>0</v>
      </c>
      <c r="F2003">
        <v>-29.86</v>
      </c>
    </row>
    <row r="2004" spans="1:6" x14ac:dyDescent="0.25">
      <c r="A2004" t="s">
        <v>1022</v>
      </c>
      <c r="B2004" t="s">
        <v>27</v>
      </c>
      <c r="C2004" t="s">
        <v>94</v>
      </c>
      <c r="D2004" t="s">
        <v>3218</v>
      </c>
      <c r="E2004">
        <v>15.05</v>
      </c>
      <c r="F2004">
        <v>-29.92</v>
      </c>
    </row>
    <row r="2005" spans="1:6" x14ac:dyDescent="0.25">
      <c r="A2005" t="s">
        <v>1022</v>
      </c>
      <c r="B2005" t="s">
        <v>27</v>
      </c>
      <c r="C2005" t="s">
        <v>94</v>
      </c>
      <c r="D2005" t="s">
        <v>3219</v>
      </c>
      <c r="E2005">
        <v>35.049999999999997</v>
      </c>
      <c r="F2005">
        <v>-30.33</v>
      </c>
    </row>
    <row r="2006" spans="1:6" x14ac:dyDescent="0.25">
      <c r="A2006" t="s">
        <v>1023</v>
      </c>
      <c r="B2006" t="s">
        <v>27</v>
      </c>
      <c r="C2006" t="s">
        <v>95</v>
      </c>
      <c r="D2006" t="s">
        <v>3217</v>
      </c>
      <c r="E2006">
        <v>0</v>
      </c>
      <c r="F2006">
        <v>-29.38</v>
      </c>
    </row>
    <row r="2007" spans="1:6" x14ac:dyDescent="0.25">
      <c r="A2007" t="s">
        <v>1023</v>
      </c>
      <c r="B2007" t="s">
        <v>27</v>
      </c>
      <c r="C2007" t="s">
        <v>95</v>
      </c>
      <c r="D2007" t="s">
        <v>3218</v>
      </c>
      <c r="E2007">
        <v>16.21</v>
      </c>
      <c r="F2007">
        <v>-29.77</v>
      </c>
    </row>
    <row r="2008" spans="1:6" x14ac:dyDescent="0.25">
      <c r="A2008" t="s">
        <v>1023</v>
      </c>
      <c r="B2008" t="s">
        <v>27</v>
      </c>
      <c r="C2008" t="s">
        <v>95</v>
      </c>
      <c r="D2008" t="s">
        <v>3219</v>
      </c>
      <c r="E2008">
        <v>36.21</v>
      </c>
      <c r="F2008">
        <v>-29.86</v>
      </c>
    </row>
    <row r="2009" spans="1:6" x14ac:dyDescent="0.25">
      <c r="A2009" t="s">
        <v>1024</v>
      </c>
      <c r="B2009" t="s">
        <v>27</v>
      </c>
      <c r="C2009" t="s">
        <v>96</v>
      </c>
      <c r="D2009" t="s">
        <v>3217</v>
      </c>
      <c r="E2009">
        <v>0</v>
      </c>
      <c r="F2009">
        <v>-29.28</v>
      </c>
    </row>
    <row r="2010" spans="1:6" x14ac:dyDescent="0.25">
      <c r="A2010" t="s">
        <v>1024</v>
      </c>
      <c r="B2010" t="s">
        <v>27</v>
      </c>
      <c r="C2010" t="s">
        <v>96</v>
      </c>
      <c r="D2010" t="s">
        <v>3218</v>
      </c>
      <c r="E2010">
        <v>17.68</v>
      </c>
      <c r="F2010">
        <v>-29.64</v>
      </c>
    </row>
    <row r="2011" spans="1:6" x14ac:dyDescent="0.25">
      <c r="A2011" t="s">
        <v>1024</v>
      </c>
      <c r="B2011" t="s">
        <v>27</v>
      </c>
      <c r="C2011" t="s">
        <v>96</v>
      </c>
      <c r="D2011" t="s">
        <v>3219</v>
      </c>
      <c r="E2011">
        <v>34.39</v>
      </c>
      <c r="F2011">
        <v>-29.67</v>
      </c>
    </row>
    <row r="2012" spans="1:6" x14ac:dyDescent="0.25">
      <c r="A2012" t="s">
        <v>1025</v>
      </c>
      <c r="B2012" t="s">
        <v>27</v>
      </c>
      <c r="C2012" t="s">
        <v>97</v>
      </c>
      <c r="D2012" t="s">
        <v>3217</v>
      </c>
      <c r="E2012">
        <v>0</v>
      </c>
      <c r="F2012">
        <v>-29.24</v>
      </c>
    </row>
    <row r="2013" spans="1:6" x14ac:dyDescent="0.25">
      <c r="A2013" t="s">
        <v>1025</v>
      </c>
      <c r="B2013" t="s">
        <v>27</v>
      </c>
      <c r="C2013" t="s">
        <v>97</v>
      </c>
      <c r="D2013" t="s">
        <v>3218</v>
      </c>
      <c r="E2013">
        <v>17.29</v>
      </c>
      <c r="F2013">
        <v>-29.4</v>
      </c>
    </row>
    <row r="2014" spans="1:6" x14ac:dyDescent="0.25">
      <c r="A2014" t="s">
        <v>1025</v>
      </c>
      <c r="B2014" t="s">
        <v>27</v>
      </c>
      <c r="C2014" t="s">
        <v>97</v>
      </c>
      <c r="D2014" t="s">
        <v>3219</v>
      </c>
      <c r="E2014">
        <v>33.32</v>
      </c>
      <c r="F2014">
        <v>-29.58</v>
      </c>
    </row>
    <row r="2015" spans="1:6" x14ac:dyDescent="0.25">
      <c r="A2015" t="s">
        <v>1026</v>
      </c>
      <c r="B2015" t="s">
        <v>27</v>
      </c>
      <c r="C2015" t="s">
        <v>98</v>
      </c>
      <c r="D2015" t="s">
        <v>3217</v>
      </c>
      <c r="E2015">
        <v>0</v>
      </c>
      <c r="F2015">
        <v>-29.08</v>
      </c>
    </row>
    <row r="2016" spans="1:6" x14ac:dyDescent="0.25">
      <c r="A2016" t="s">
        <v>1026</v>
      </c>
      <c r="B2016" t="s">
        <v>27</v>
      </c>
      <c r="C2016" t="s">
        <v>98</v>
      </c>
      <c r="D2016" t="s">
        <v>3218</v>
      </c>
      <c r="E2016">
        <v>16.350000000000001</v>
      </c>
      <c r="F2016">
        <v>-29.27</v>
      </c>
    </row>
    <row r="2017" spans="1:6" x14ac:dyDescent="0.25">
      <c r="A2017" t="s">
        <v>1026</v>
      </c>
      <c r="B2017" t="s">
        <v>27</v>
      </c>
      <c r="C2017" t="s">
        <v>98</v>
      </c>
      <c r="D2017" t="s">
        <v>3219</v>
      </c>
      <c r="E2017">
        <v>31.55</v>
      </c>
      <c r="F2017">
        <v>-29.43</v>
      </c>
    </row>
    <row r="2018" spans="1:6" x14ac:dyDescent="0.25">
      <c r="A2018" t="s">
        <v>1027</v>
      </c>
      <c r="B2018" t="s">
        <v>27</v>
      </c>
      <c r="C2018" t="s">
        <v>99</v>
      </c>
      <c r="D2018" t="s">
        <v>3217</v>
      </c>
      <c r="E2018">
        <v>0</v>
      </c>
      <c r="F2018">
        <v>-28.98</v>
      </c>
    </row>
    <row r="2019" spans="1:6" x14ac:dyDescent="0.25">
      <c r="A2019" t="s">
        <v>1027</v>
      </c>
      <c r="B2019" t="s">
        <v>27</v>
      </c>
      <c r="C2019" t="s">
        <v>99</v>
      </c>
      <c r="D2019" t="s">
        <v>3218</v>
      </c>
      <c r="E2019">
        <v>15.62</v>
      </c>
      <c r="F2019">
        <v>-29.06</v>
      </c>
    </row>
    <row r="2020" spans="1:6" x14ac:dyDescent="0.25">
      <c r="A2020" t="s">
        <v>1027</v>
      </c>
      <c r="B2020" t="s">
        <v>27</v>
      </c>
      <c r="C2020" t="s">
        <v>99</v>
      </c>
      <c r="D2020" t="s">
        <v>3219</v>
      </c>
      <c r="E2020">
        <v>30.35</v>
      </c>
      <c r="F2020">
        <v>-29.24</v>
      </c>
    </row>
    <row r="2021" spans="1:6" x14ac:dyDescent="0.25">
      <c r="A2021" t="s">
        <v>1028</v>
      </c>
      <c r="B2021" t="s">
        <v>27</v>
      </c>
      <c r="C2021" t="s">
        <v>100</v>
      </c>
      <c r="D2021" t="s">
        <v>3217</v>
      </c>
      <c r="E2021">
        <v>0</v>
      </c>
      <c r="F2021">
        <v>-28.86</v>
      </c>
    </row>
    <row r="2022" spans="1:6" x14ac:dyDescent="0.25">
      <c r="A2022" t="s">
        <v>1028</v>
      </c>
      <c r="B2022" t="s">
        <v>27</v>
      </c>
      <c r="C2022" t="s">
        <v>100</v>
      </c>
      <c r="D2022" t="s">
        <v>3218</v>
      </c>
      <c r="E2022">
        <v>16.04</v>
      </c>
      <c r="F2022">
        <v>-28.93</v>
      </c>
    </row>
    <row r="2023" spans="1:6" x14ac:dyDescent="0.25">
      <c r="A2023" t="s">
        <v>1028</v>
      </c>
      <c r="B2023" t="s">
        <v>27</v>
      </c>
      <c r="C2023" t="s">
        <v>100</v>
      </c>
      <c r="D2023" t="s">
        <v>3219</v>
      </c>
      <c r="E2023">
        <v>30.92</v>
      </c>
      <c r="F2023">
        <v>-28.98</v>
      </c>
    </row>
    <row r="2024" spans="1:6" x14ac:dyDescent="0.25">
      <c r="A2024" t="s">
        <v>1029</v>
      </c>
      <c r="B2024" t="s">
        <v>27</v>
      </c>
      <c r="C2024" t="s">
        <v>101</v>
      </c>
      <c r="D2024" t="s">
        <v>3217</v>
      </c>
      <c r="E2024">
        <v>0</v>
      </c>
      <c r="F2024">
        <v>-28.73</v>
      </c>
    </row>
    <row r="2025" spans="1:6" x14ac:dyDescent="0.25">
      <c r="A2025" t="s">
        <v>1029</v>
      </c>
      <c r="B2025" t="s">
        <v>27</v>
      </c>
      <c r="C2025" t="s">
        <v>101</v>
      </c>
      <c r="D2025" t="s">
        <v>3218</v>
      </c>
      <c r="E2025">
        <v>15.6</v>
      </c>
      <c r="F2025">
        <v>-28.65</v>
      </c>
    </row>
    <row r="2026" spans="1:6" x14ac:dyDescent="0.25">
      <c r="A2026" t="s">
        <v>1029</v>
      </c>
      <c r="B2026" t="s">
        <v>27</v>
      </c>
      <c r="C2026" t="s">
        <v>101</v>
      </c>
      <c r="D2026" t="s">
        <v>3219</v>
      </c>
      <c r="E2026">
        <v>29.79</v>
      </c>
      <c r="F2026">
        <v>-28.77</v>
      </c>
    </row>
    <row r="2027" spans="1:6" x14ac:dyDescent="0.25">
      <c r="A2027" t="s">
        <v>1030</v>
      </c>
      <c r="B2027" t="s">
        <v>27</v>
      </c>
      <c r="C2027" t="s">
        <v>102</v>
      </c>
      <c r="D2027" t="s">
        <v>3217</v>
      </c>
      <c r="E2027">
        <v>0</v>
      </c>
      <c r="F2027">
        <v>-28.47</v>
      </c>
    </row>
    <row r="2028" spans="1:6" x14ac:dyDescent="0.25">
      <c r="A2028" t="s">
        <v>1030</v>
      </c>
      <c r="B2028" t="s">
        <v>27</v>
      </c>
      <c r="C2028" t="s">
        <v>102</v>
      </c>
      <c r="D2028" t="s">
        <v>3218</v>
      </c>
      <c r="E2028">
        <v>15.21</v>
      </c>
      <c r="F2028">
        <v>-28.42</v>
      </c>
    </row>
    <row r="2029" spans="1:6" x14ac:dyDescent="0.25">
      <c r="A2029" t="s">
        <v>1030</v>
      </c>
      <c r="B2029" t="s">
        <v>27</v>
      </c>
      <c r="C2029" t="s">
        <v>102</v>
      </c>
      <c r="D2029" t="s">
        <v>3219</v>
      </c>
      <c r="E2029">
        <v>30.35</v>
      </c>
      <c r="F2029">
        <v>-28.52</v>
      </c>
    </row>
    <row r="2030" spans="1:6" x14ac:dyDescent="0.25">
      <c r="A2030" t="s">
        <v>1031</v>
      </c>
      <c r="B2030" t="s">
        <v>27</v>
      </c>
      <c r="C2030" t="s">
        <v>103</v>
      </c>
      <c r="D2030" t="s">
        <v>3217</v>
      </c>
      <c r="E2030">
        <v>0</v>
      </c>
      <c r="F2030">
        <v>-28.18</v>
      </c>
    </row>
    <row r="2031" spans="1:6" x14ac:dyDescent="0.25">
      <c r="A2031" t="s">
        <v>1031</v>
      </c>
      <c r="B2031" t="s">
        <v>27</v>
      </c>
      <c r="C2031" t="s">
        <v>103</v>
      </c>
      <c r="D2031" t="s">
        <v>3218</v>
      </c>
      <c r="E2031">
        <v>14.89</v>
      </c>
      <c r="F2031">
        <v>-28.12</v>
      </c>
    </row>
    <row r="2032" spans="1:6" x14ac:dyDescent="0.25">
      <c r="A2032" t="s">
        <v>1031</v>
      </c>
      <c r="B2032" t="s">
        <v>27</v>
      </c>
      <c r="C2032" t="s">
        <v>103</v>
      </c>
      <c r="D2032" t="s">
        <v>3219</v>
      </c>
      <c r="E2032">
        <v>29.36</v>
      </c>
      <c r="F2032">
        <v>-28.25</v>
      </c>
    </row>
    <row r="2033" spans="1:6" x14ac:dyDescent="0.25">
      <c r="A2033" t="s">
        <v>1032</v>
      </c>
      <c r="B2033" t="s">
        <v>27</v>
      </c>
      <c r="C2033" t="s">
        <v>104</v>
      </c>
      <c r="D2033" t="s">
        <v>3217</v>
      </c>
      <c r="E2033">
        <v>0</v>
      </c>
      <c r="F2033">
        <v>-27.98</v>
      </c>
    </row>
    <row r="2034" spans="1:6" x14ac:dyDescent="0.25">
      <c r="A2034" t="s">
        <v>1032</v>
      </c>
      <c r="B2034" t="s">
        <v>27</v>
      </c>
      <c r="C2034" t="s">
        <v>104</v>
      </c>
      <c r="D2034" t="s">
        <v>3218</v>
      </c>
      <c r="E2034">
        <v>13.8</v>
      </c>
      <c r="F2034">
        <v>-27.69</v>
      </c>
    </row>
    <row r="2035" spans="1:6" x14ac:dyDescent="0.25">
      <c r="A2035" t="s">
        <v>1032</v>
      </c>
      <c r="B2035" t="s">
        <v>27</v>
      </c>
      <c r="C2035" t="s">
        <v>104</v>
      </c>
      <c r="D2035" t="s">
        <v>3219</v>
      </c>
      <c r="E2035">
        <v>28.44</v>
      </c>
      <c r="F2035">
        <v>-27.66</v>
      </c>
    </row>
    <row r="2036" spans="1:6" x14ac:dyDescent="0.25">
      <c r="A2036" t="s">
        <v>1033</v>
      </c>
      <c r="B2036" t="s">
        <v>27</v>
      </c>
      <c r="C2036" t="s">
        <v>105</v>
      </c>
      <c r="D2036" t="s">
        <v>3217</v>
      </c>
      <c r="E2036">
        <v>0</v>
      </c>
      <c r="F2036">
        <v>-27.44</v>
      </c>
    </row>
    <row r="2037" spans="1:6" x14ac:dyDescent="0.25">
      <c r="A2037" t="s">
        <v>1033</v>
      </c>
      <c r="B2037" t="s">
        <v>27</v>
      </c>
      <c r="C2037" t="s">
        <v>105</v>
      </c>
      <c r="D2037" t="s">
        <v>3218</v>
      </c>
      <c r="E2037">
        <v>14.62</v>
      </c>
      <c r="F2037">
        <v>-27.3</v>
      </c>
    </row>
    <row r="2038" spans="1:6" x14ac:dyDescent="0.25">
      <c r="A2038" t="s">
        <v>1033</v>
      </c>
      <c r="B2038" t="s">
        <v>27</v>
      </c>
      <c r="C2038" t="s">
        <v>105</v>
      </c>
      <c r="D2038" t="s">
        <v>3219</v>
      </c>
      <c r="E2038">
        <v>29.01</v>
      </c>
      <c r="F2038">
        <v>-27.39</v>
      </c>
    </row>
    <row r="2039" spans="1:6" x14ac:dyDescent="0.25">
      <c r="A2039" t="s">
        <v>1034</v>
      </c>
      <c r="B2039" t="s">
        <v>27</v>
      </c>
      <c r="C2039" t="s">
        <v>106</v>
      </c>
      <c r="D2039" t="s">
        <v>3217</v>
      </c>
      <c r="E2039">
        <v>0</v>
      </c>
      <c r="F2039">
        <v>-26.59</v>
      </c>
    </row>
    <row r="2040" spans="1:6" x14ac:dyDescent="0.25">
      <c r="A2040" t="s">
        <v>1034</v>
      </c>
      <c r="B2040" t="s">
        <v>27</v>
      </c>
      <c r="C2040" t="s">
        <v>106</v>
      </c>
      <c r="D2040" t="s">
        <v>3218</v>
      </c>
      <c r="E2040">
        <v>20</v>
      </c>
      <c r="F2040">
        <v>-26.75</v>
      </c>
    </row>
    <row r="2041" spans="1:6" x14ac:dyDescent="0.25">
      <c r="A2041" t="s">
        <v>1034</v>
      </c>
      <c r="B2041" t="s">
        <v>27</v>
      </c>
      <c r="C2041" t="s">
        <v>106</v>
      </c>
      <c r="D2041" t="s">
        <v>3219</v>
      </c>
      <c r="E2041">
        <v>34.630000000000003</v>
      </c>
      <c r="F2041">
        <v>-26.8</v>
      </c>
    </row>
    <row r="2042" spans="1:6" x14ac:dyDescent="0.25">
      <c r="A2042" t="s">
        <v>1035</v>
      </c>
      <c r="B2042" t="s">
        <v>27</v>
      </c>
      <c r="C2042" t="s">
        <v>108</v>
      </c>
      <c r="D2042" t="s">
        <v>3217</v>
      </c>
      <c r="E2042">
        <v>0</v>
      </c>
      <c r="F2042">
        <v>-26.44</v>
      </c>
    </row>
    <row r="2043" spans="1:6" x14ac:dyDescent="0.25">
      <c r="A2043" t="s">
        <v>1035</v>
      </c>
      <c r="B2043" t="s">
        <v>27</v>
      </c>
      <c r="C2043" t="s">
        <v>108</v>
      </c>
      <c r="D2043" t="s">
        <v>3218</v>
      </c>
      <c r="E2043">
        <v>20</v>
      </c>
      <c r="F2043">
        <v>-26.28</v>
      </c>
    </row>
    <row r="2044" spans="1:6" x14ac:dyDescent="0.25">
      <c r="A2044" t="s">
        <v>1035</v>
      </c>
      <c r="B2044" t="s">
        <v>27</v>
      </c>
      <c r="C2044" t="s">
        <v>108</v>
      </c>
      <c r="D2044" t="s">
        <v>3219</v>
      </c>
      <c r="E2044">
        <v>36.200000000000003</v>
      </c>
      <c r="F2044">
        <v>-26.01</v>
      </c>
    </row>
    <row r="2045" spans="1:6" x14ac:dyDescent="0.25">
      <c r="A2045" t="s">
        <v>1036</v>
      </c>
      <c r="B2045" t="s">
        <v>27</v>
      </c>
      <c r="C2045" t="s">
        <v>109</v>
      </c>
      <c r="D2045" t="s">
        <v>3217</v>
      </c>
      <c r="E2045">
        <v>0</v>
      </c>
      <c r="F2045">
        <v>-26.1</v>
      </c>
    </row>
    <row r="2046" spans="1:6" x14ac:dyDescent="0.25">
      <c r="A2046" t="s">
        <v>1036</v>
      </c>
      <c r="B2046" t="s">
        <v>27</v>
      </c>
      <c r="C2046" t="s">
        <v>109</v>
      </c>
      <c r="D2046" t="s">
        <v>3218</v>
      </c>
      <c r="E2046">
        <v>20</v>
      </c>
      <c r="F2046">
        <v>-25.74</v>
      </c>
    </row>
    <row r="2047" spans="1:6" x14ac:dyDescent="0.25">
      <c r="A2047" t="s">
        <v>1036</v>
      </c>
      <c r="B2047" t="s">
        <v>27</v>
      </c>
      <c r="C2047" t="s">
        <v>109</v>
      </c>
      <c r="D2047" t="s">
        <v>3219</v>
      </c>
      <c r="E2047">
        <v>36.200000000000003</v>
      </c>
      <c r="F2047">
        <v>-25.55</v>
      </c>
    </row>
    <row r="2048" spans="1:6" x14ac:dyDescent="0.25">
      <c r="A2048" t="s">
        <v>1037</v>
      </c>
      <c r="B2048" t="s">
        <v>27</v>
      </c>
      <c r="C2048" t="s">
        <v>227</v>
      </c>
      <c r="D2048" t="s">
        <v>3217</v>
      </c>
      <c r="E2048">
        <v>0</v>
      </c>
      <c r="F2048">
        <v>-25.93</v>
      </c>
    </row>
    <row r="2049" spans="1:6" x14ac:dyDescent="0.25">
      <c r="A2049" t="s">
        <v>1037</v>
      </c>
      <c r="B2049" t="s">
        <v>27</v>
      </c>
      <c r="C2049" t="s">
        <v>227</v>
      </c>
      <c r="D2049" t="s">
        <v>3218</v>
      </c>
      <c r="E2049">
        <v>20</v>
      </c>
      <c r="F2049">
        <v>-25.72</v>
      </c>
    </row>
    <row r="2050" spans="1:6" x14ac:dyDescent="0.25">
      <c r="A2050" t="s">
        <v>1037</v>
      </c>
      <c r="B2050" t="s">
        <v>27</v>
      </c>
      <c r="C2050" t="s">
        <v>227</v>
      </c>
      <c r="D2050" t="s">
        <v>3219</v>
      </c>
      <c r="E2050">
        <v>36.659999999999997</v>
      </c>
      <c r="F2050">
        <v>-25.43</v>
      </c>
    </row>
    <row r="2051" spans="1:6" x14ac:dyDescent="0.25">
      <c r="A2051" t="s">
        <v>1038</v>
      </c>
      <c r="B2051" t="s">
        <v>28</v>
      </c>
      <c r="C2051" t="s">
        <v>56</v>
      </c>
      <c r="D2051" t="s">
        <v>3217</v>
      </c>
      <c r="E2051">
        <v>0</v>
      </c>
      <c r="F2051">
        <v>-61.9</v>
      </c>
    </row>
    <row r="2052" spans="1:6" x14ac:dyDescent="0.25">
      <c r="A2052" t="s">
        <v>1038</v>
      </c>
      <c r="B2052" t="s">
        <v>28</v>
      </c>
      <c r="C2052" t="s">
        <v>56</v>
      </c>
      <c r="D2052" t="s">
        <v>3218</v>
      </c>
      <c r="E2052">
        <v>14.59</v>
      </c>
      <c r="F2052">
        <v>-61.4</v>
      </c>
    </row>
    <row r="2053" spans="1:6" x14ac:dyDescent="0.25">
      <c r="A2053" t="s">
        <v>1038</v>
      </c>
      <c r="B2053" t="s">
        <v>28</v>
      </c>
      <c r="C2053" t="s">
        <v>56</v>
      </c>
      <c r="D2053" t="s">
        <v>3219</v>
      </c>
      <c r="E2053">
        <v>30</v>
      </c>
      <c r="F2053">
        <v>-61.07</v>
      </c>
    </row>
    <row r="2054" spans="1:6" x14ac:dyDescent="0.25">
      <c r="A2054" t="s">
        <v>1039</v>
      </c>
      <c r="B2054" t="s">
        <v>28</v>
      </c>
      <c r="C2054" t="s">
        <v>57</v>
      </c>
      <c r="D2054" t="s">
        <v>3217</v>
      </c>
      <c r="E2054">
        <v>0</v>
      </c>
      <c r="F2054">
        <v>-61.51</v>
      </c>
    </row>
    <row r="2055" spans="1:6" x14ac:dyDescent="0.25">
      <c r="A2055" t="s">
        <v>1039</v>
      </c>
      <c r="B2055" t="s">
        <v>28</v>
      </c>
      <c r="C2055" t="s">
        <v>57</v>
      </c>
      <c r="D2055" t="s">
        <v>3218</v>
      </c>
      <c r="E2055">
        <v>12.66</v>
      </c>
      <c r="F2055">
        <v>-61.17</v>
      </c>
    </row>
    <row r="2056" spans="1:6" x14ac:dyDescent="0.25">
      <c r="A2056" t="s">
        <v>1039</v>
      </c>
      <c r="B2056" t="s">
        <v>28</v>
      </c>
      <c r="C2056" t="s">
        <v>57</v>
      </c>
      <c r="D2056" t="s">
        <v>3219</v>
      </c>
      <c r="E2056">
        <v>28.46</v>
      </c>
      <c r="F2056">
        <v>-61.03</v>
      </c>
    </row>
    <row r="2057" spans="1:6" x14ac:dyDescent="0.25">
      <c r="A2057" t="s">
        <v>1040</v>
      </c>
      <c r="B2057" t="s">
        <v>28</v>
      </c>
      <c r="C2057" t="s">
        <v>58</v>
      </c>
      <c r="D2057" t="s">
        <v>3217</v>
      </c>
      <c r="E2057">
        <v>0</v>
      </c>
      <c r="F2057">
        <v>-61.21</v>
      </c>
    </row>
    <row r="2058" spans="1:6" x14ac:dyDescent="0.25">
      <c r="A2058" t="s">
        <v>1040</v>
      </c>
      <c r="B2058" t="s">
        <v>28</v>
      </c>
      <c r="C2058" t="s">
        <v>58</v>
      </c>
      <c r="D2058" t="s">
        <v>3218</v>
      </c>
      <c r="E2058">
        <v>12.61</v>
      </c>
      <c r="F2058">
        <v>-60.98</v>
      </c>
    </row>
    <row r="2059" spans="1:6" x14ac:dyDescent="0.25">
      <c r="A2059" t="s">
        <v>1040</v>
      </c>
      <c r="B2059" t="s">
        <v>28</v>
      </c>
      <c r="C2059" t="s">
        <v>58</v>
      </c>
      <c r="D2059" t="s">
        <v>3219</v>
      </c>
      <c r="E2059">
        <v>29.85</v>
      </c>
      <c r="F2059">
        <v>-61.23</v>
      </c>
    </row>
    <row r="2060" spans="1:6" x14ac:dyDescent="0.25">
      <c r="A2060" t="s">
        <v>1041</v>
      </c>
      <c r="B2060" t="s">
        <v>28</v>
      </c>
      <c r="C2060" t="s">
        <v>59</v>
      </c>
      <c r="D2060" t="s">
        <v>3217</v>
      </c>
      <c r="E2060">
        <v>0</v>
      </c>
      <c r="F2060">
        <v>-60.74</v>
      </c>
    </row>
    <row r="2061" spans="1:6" x14ac:dyDescent="0.25">
      <c r="A2061" t="s">
        <v>1041</v>
      </c>
      <c r="B2061" t="s">
        <v>28</v>
      </c>
      <c r="C2061" t="s">
        <v>59</v>
      </c>
      <c r="D2061" t="s">
        <v>3218</v>
      </c>
      <c r="E2061">
        <v>13.75</v>
      </c>
      <c r="F2061">
        <v>-60.51</v>
      </c>
    </row>
    <row r="2062" spans="1:6" x14ac:dyDescent="0.25">
      <c r="A2062" t="s">
        <v>1041</v>
      </c>
      <c r="B2062" t="s">
        <v>28</v>
      </c>
      <c r="C2062" t="s">
        <v>59</v>
      </c>
      <c r="D2062" t="s">
        <v>3219</v>
      </c>
      <c r="E2062">
        <v>30.99</v>
      </c>
      <c r="F2062">
        <v>-60.64</v>
      </c>
    </row>
    <row r="2063" spans="1:6" x14ac:dyDescent="0.25">
      <c r="A2063" t="s">
        <v>1042</v>
      </c>
      <c r="B2063" t="s">
        <v>28</v>
      </c>
      <c r="C2063" t="s">
        <v>60</v>
      </c>
      <c r="D2063" t="s">
        <v>3217</v>
      </c>
      <c r="E2063">
        <v>0</v>
      </c>
      <c r="F2063">
        <v>-60.11</v>
      </c>
    </row>
    <row r="2064" spans="1:6" x14ac:dyDescent="0.25">
      <c r="A2064" t="s">
        <v>1042</v>
      </c>
      <c r="B2064" t="s">
        <v>28</v>
      </c>
      <c r="C2064" t="s">
        <v>60</v>
      </c>
      <c r="D2064" t="s">
        <v>3218</v>
      </c>
      <c r="E2064">
        <v>13.69</v>
      </c>
      <c r="F2064">
        <v>-59.95</v>
      </c>
    </row>
    <row r="2065" spans="1:6" x14ac:dyDescent="0.25">
      <c r="A2065" t="s">
        <v>1042</v>
      </c>
      <c r="B2065" t="s">
        <v>28</v>
      </c>
      <c r="C2065" t="s">
        <v>60</v>
      </c>
      <c r="D2065" t="s">
        <v>3219</v>
      </c>
      <c r="E2065">
        <v>30.94</v>
      </c>
      <c r="F2065">
        <v>-60.5</v>
      </c>
    </row>
    <row r="2066" spans="1:6" x14ac:dyDescent="0.25">
      <c r="A2066" t="s">
        <v>1043</v>
      </c>
      <c r="B2066" t="s">
        <v>28</v>
      </c>
      <c r="C2066" t="s">
        <v>61</v>
      </c>
      <c r="D2066" t="s">
        <v>3217</v>
      </c>
      <c r="E2066">
        <v>0</v>
      </c>
      <c r="F2066">
        <v>-60</v>
      </c>
    </row>
    <row r="2067" spans="1:6" x14ac:dyDescent="0.25">
      <c r="A2067" t="s">
        <v>1043</v>
      </c>
      <c r="B2067" t="s">
        <v>28</v>
      </c>
      <c r="C2067" t="s">
        <v>61</v>
      </c>
      <c r="D2067" t="s">
        <v>3218</v>
      </c>
      <c r="E2067">
        <v>13.5</v>
      </c>
      <c r="F2067">
        <v>-59.66</v>
      </c>
    </row>
    <row r="2068" spans="1:6" x14ac:dyDescent="0.25">
      <c r="A2068" t="s">
        <v>1043</v>
      </c>
      <c r="B2068" t="s">
        <v>28</v>
      </c>
      <c r="C2068" t="s">
        <v>61</v>
      </c>
      <c r="D2068" t="s">
        <v>3219</v>
      </c>
      <c r="E2068">
        <v>29.34</v>
      </c>
      <c r="F2068">
        <v>-59.99</v>
      </c>
    </row>
    <row r="2069" spans="1:6" x14ac:dyDescent="0.25">
      <c r="A2069" t="s">
        <v>1044</v>
      </c>
      <c r="B2069" t="s">
        <v>28</v>
      </c>
      <c r="C2069" t="s">
        <v>62</v>
      </c>
      <c r="D2069" t="s">
        <v>3217</v>
      </c>
      <c r="E2069">
        <v>0</v>
      </c>
      <c r="F2069">
        <v>-59.75</v>
      </c>
    </row>
    <row r="2070" spans="1:6" x14ac:dyDescent="0.25">
      <c r="A2070" t="s">
        <v>1044</v>
      </c>
      <c r="B2070" t="s">
        <v>28</v>
      </c>
      <c r="C2070" t="s">
        <v>62</v>
      </c>
      <c r="D2070" t="s">
        <v>3218</v>
      </c>
      <c r="E2070">
        <v>12.57</v>
      </c>
      <c r="F2070">
        <v>-59.36</v>
      </c>
    </row>
    <row r="2071" spans="1:6" x14ac:dyDescent="0.25">
      <c r="A2071" t="s">
        <v>1044</v>
      </c>
      <c r="B2071" t="s">
        <v>28</v>
      </c>
      <c r="C2071" t="s">
        <v>62</v>
      </c>
      <c r="D2071" t="s">
        <v>3219</v>
      </c>
      <c r="E2071">
        <v>28.31</v>
      </c>
      <c r="F2071">
        <v>-59.53</v>
      </c>
    </row>
    <row r="2072" spans="1:6" x14ac:dyDescent="0.25">
      <c r="A2072" t="s">
        <v>1045</v>
      </c>
      <c r="B2072" t="s">
        <v>28</v>
      </c>
      <c r="C2072" t="s">
        <v>63</v>
      </c>
      <c r="D2072" t="s">
        <v>3217</v>
      </c>
      <c r="E2072">
        <v>0</v>
      </c>
      <c r="F2072">
        <v>-59.33</v>
      </c>
    </row>
    <row r="2073" spans="1:6" x14ac:dyDescent="0.25">
      <c r="A2073" t="s">
        <v>1045</v>
      </c>
      <c r="B2073" t="s">
        <v>28</v>
      </c>
      <c r="C2073" t="s">
        <v>63</v>
      </c>
      <c r="D2073" t="s">
        <v>3218</v>
      </c>
      <c r="E2073">
        <v>12.13</v>
      </c>
      <c r="F2073">
        <v>-59.24</v>
      </c>
    </row>
    <row r="2074" spans="1:6" x14ac:dyDescent="0.25">
      <c r="A2074" t="s">
        <v>1045</v>
      </c>
      <c r="B2074" t="s">
        <v>28</v>
      </c>
      <c r="C2074" t="s">
        <v>63</v>
      </c>
      <c r="D2074" t="s">
        <v>3219</v>
      </c>
      <c r="E2074">
        <v>27.8</v>
      </c>
      <c r="F2074">
        <v>-59.29</v>
      </c>
    </row>
    <row r="2075" spans="1:6" x14ac:dyDescent="0.25">
      <c r="A2075" t="s">
        <v>1046</v>
      </c>
      <c r="B2075" t="s">
        <v>28</v>
      </c>
      <c r="C2075" t="s">
        <v>64</v>
      </c>
      <c r="D2075" t="s">
        <v>3217</v>
      </c>
      <c r="E2075">
        <v>0</v>
      </c>
      <c r="F2075">
        <v>-59.16</v>
      </c>
    </row>
    <row r="2076" spans="1:6" x14ac:dyDescent="0.25">
      <c r="A2076" t="s">
        <v>1046</v>
      </c>
      <c r="B2076" t="s">
        <v>28</v>
      </c>
      <c r="C2076" t="s">
        <v>64</v>
      </c>
      <c r="D2076" t="s">
        <v>3218</v>
      </c>
      <c r="E2076">
        <v>12.98</v>
      </c>
      <c r="F2076">
        <v>-59.11</v>
      </c>
    </row>
    <row r="2077" spans="1:6" x14ac:dyDescent="0.25">
      <c r="A2077" t="s">
        <v>1046</v>
      </c>
      <c r="B2077" t="s">
        <v>28</v>
      </c>
      <c r="C2077" t="s">
        <v>64</v>
      </c>
      <c r="D2077" t="s">
        <v>3219</v>
      </c>
      <c r="E2077">
        <v>28</v>
      </c>
      <c r="F2077">
        <v>-59.17</v>
      </c>
    </row>
    <row r="2078" spans="1:6" x14ac:dyDescent="0.25">
      <c r="A2078" t="s">
        <v>1047</v>
      </c>
      <c r="B2078" t="s">
        <v>28</v>
      </c>
      <c r="C2078" t="s">
        <v>65</v>
      </c>
      <c r="D2078" t="s">
        <v>3217</v>
      </c>
      <c r="E2078">
        <v>0</v>
      </c>
      <c r="F2078">
        <v>-59.09</v>
      </c>
    </row>
    <row r="2079" spans="1:6" x14ac:dyDescent="0.25">
      <c r="A2079" t="s">
        <v>1047</v>
      </c>
      <c r="B2079" t="s">
        <v>28</v>
      </c>
      <c r="C2079" t="s">
        <v>65</v>
      </c>
      <c r="D2079" t="s">
        <v>3218</v>
      </c>
      <c r="E2079">
        <v>13.87</v>
      </c>
      <c r="F2079">
        <v>-59.1</v>
      </c>
    </row>
    <row r="2080" spans="1:6" x14ac:dyDescent="0.25">
      <c r="A2080" t="s">
        <v>1047</v>
      </c>
      <c r="B2080" t="s">
        <v>28</v>
      </c>
      <c r="C2080" t="s">
        <v>65</v>
      </c>
      <c r="D2080" t="s">
        <v>3219</v>
      </c>
      <c r="E2080">
        <v>29.63</v>
      </c>
      <c r="F2080">
        <v>-59.06</v>
      </c>
    </row>
    <row r="2081" spans="1:6" x14ac:dyDescent="0.25">
      <c r="A2081" t="s">
        <v>1048</v>
      </c>
      <c r="B2081" t="s">
        <v>28</v>
      </c>
      <c r="C2081" t="s">
        <v>66</v>
      </c>
      <c r="D2081" t="s">
        <v>3217</v>
      </c>
      <c r="E2081">
        <v>0</v>
      </c>
      <c r="F2081">
        <v>-58.79</v>
      </c>
    </row>
    <row r="2082" spans="1:6" x14ac:dyDescent="0.25">
      <c r="A2082" t="s">
        <v>1048</v>
      </c>
      <c r="B2082" t="s">
        <v>28</v>
      </c>
      <c r="C2082" t="s">
        <v>66</v>
      </c>
      <c r="D2082" t="s">
        <v>3218</v>
      </c>
      <c r="E2082">
        <v>13.87</v>
      </c>
      <c r="F2082">
        <v>-58.87</v>
      </c>
    </row>
    <row r="2083" spans="1:6" x14ac:dyDescent="0.25">
      <c r="A2083" t="s">
        <v>1048</v>
      </c>
      <c r="B2083" t="s">
        <v>28</v>
      </c>
      <c r="C2083" t="s">
        <v>66</v>
      </c>
      <c r="D2083" t="s">
        <v>3219</v>
      </c>
      <c r="E2083">
        <v>29.38</v>
      </c>
      <c r="F2083">
        <v>-58.85</v>
      </c>
    </row>
    <row r="2084" spans="1:6" x14ac:dyDescent="0.25">
      <c r="A2084" t="s">
        <v>1049</v>
      </c>
      <c r="B2084" t="s">
        <v>28</v>
      </c>
      <c r="C2084" t="s">
        <v>67</v>
      </c>
      <c r="D2084" t="s">
        <v>3217</v>
      </c>
      <c r="E2084">
        <v>0</v>
      </c>
      <c r="F2084">
        <v>-58.52</v>
      </c>
    </row>
    <row r="2085" spans="1:6" x14ac:dyDescent="0.25">
      <c r="A2085" t="s">
        <v>1049</v>
      </c>
      <c r="B2085" t="s">
        <v>28</v>
      </c>
      <c r="C2085" t="s">
        <v>67</v>
      </c>
      <c r="D2085" t="s">
        <v>3218</v>
      </c>
      <c r="E2085">
        <v>15.22</v>
      </c>
      <c r="F2085">
        <v>-58.69</v>
      </c>
    </row>
    <row r="2086" spans="1:6" x14ac:dyDescent="0.25">
      <c r="A2086" t="s">
        <v>1049</v>
      </c>
      <c r="B2086" t="s">
        <v>28</v>
      </c>
      <c r="C2086" t="s">
        <v>67</v>
      </c>
      <c r="D2086" t="s">
        <v>3219</v>
      </c>
      <c r="E2086">
        <v>31.41</v>
      </c>
      <c r="F2086">
        <v>-58.81</v>
      </c>
    </row>
    <row r="2087" spans="1:6" x14ac:dyDescent="0.25">
      <c r="A2087" t="s">
        <v>1050</v>
      </c>
      <c r="B2087" t="s">
        <v>28</v>
      </c>
      <c r="C2087" t="s">
        <v>68</v>
      </c>
      <c r="D2087" t="s">
        <v>3217</v>
      </c>
      <c r="E2087">
        <v>0</v>
      </c>
      <c r="F2087">
        <v>-58.32</v>
      </c>
    </row>
    <row r="2088" spans="1:6" x14ac:dyDescent="0.25">
      <c r="A2088" t="s">
        <v>1050</v>
      </c>
      <c r="B2088" t="s">
        <v>28</v>
      </c>
      <c r="C2088" t="s">
        <v>68</v>
      </c>
      <c r="D2088" t="s">
        <v>3218</v>
      </c>
      <c r="E2088">
        <v>15.94</v>
      </c>
      <c r="F2088">
        <v>-58.48</v>
      </c>
    </row>
    <row r="2089" spans="1:6" x14ac:dyDescent="0.25">
      <c r="A2089" t="s">
        <v>1050</v>
      </c>
      <c r="B2089" t="s">
        <v>28</v>
      </c>
      <c r="C2089" t="s">
        <v>68</v>
      </c>
      <c r="D2089" t="s">
        <v>3219</v>
      </c>
      <c r="E2089">
        <v>32.369999999999997</v>
      </c>
      <c r="F2089">
        <v>-58.73</v>
      </c>
    </row>
    <row r="2090" spans="1:6" x14ac:dyDescent="0.25">
      <c r="A2090" t="s">
        <v>1051</v>
      </c>
      <c r="B2090" t="s">
        <v>28</v>
      </c>
      <c r="C2090" t="s">
        <v>69</v>
      </c>
      <c r="D2090" t="s">
        <v>3217</v>
      </c>
      <c r="E2090">
        <v>0</v>
      </c>
      <c r="F2090">
        <v>-58.04</v>
      </c>
    </row>
    <row r="2091" spans="1:6" x14ac:dyDescent="0.25">
      <c r="A2091" t="s">
        <v>1051</v>
      </c>
      <c r="B2091" t="s">
        <v>28</v>
      </c>
      <c r="C2091" t="s">
        <v>69</v>
      </c>
      <c r="D2091" t="s">
        <v>3218</v>
      </c>
      <c r="E2091">
        <v>16.88</v>
      </c>
      <c r="F2091">
        <v>-58.32</v>
      </c>
    </row>
    <row r="2092" spans="1:6" x14ac:dyDescent="0.25">
      <c r="A2092" t="s">
        <v>1051</v>
      </c>
      <c r="B2092" t="s">
        <v>28</v>
      </c>
      <c r="C2092" t="s">
        <v>69</v>
      </c>
      <c r="D2092" t="s">
        <v>3219</v>
      </c>
      <c r="E2092">
        <v>33.07</v>
      </c>
      <c r="F2092">
        <v>-58.55</v>
      </c>
    </row>
    <row r="2093" spans="1:6" x14ac:dyDescent="0.25">
      <c r="A2093" t="s">
        <v>1052</v>
      </c>
      <c r="B2093" t="s">
        <v>28</v>
      </c>
      <c r="C2093" t="s">
        <v>70</v>
      </c>
      <c r="D2093" t="s">
        <v>3217</v>
      </c>
      <c r="E2093">
        <v>0</v>
      </c>
      <c r="F2093">
        <v>-57.85</v>
      </c>
    </row>
    <row r="2094" spans="1:6" x14ac:dyDescent="0.25">
      <c r="A2094" t="s">
        <v>1052</v>
      </c>
      <c r="B2094" t="s">
        <v>28</v>
      </c>
      <c r="C2094" t="s">
        <v>70</v>
      </c>
      <c r="D2094" t="s">
        <v>3218</v>
      </c>
      <c r="E2094">
        <v>16.88</v>
      </c>
      <c r="F2094">
        <v>-58.01</v>
      </c>
    </row>
    <row r="2095" spans="1:6" x14ac:dyDescent="0.25">
      <c r="A2095" t="s">
        <v>1052</v>
      </c>
      <c r="B2095" t="s">
        <v>28</v>
      </c>
      <c r="C2095" t="s">
        <v>70</v>
      </c>
      <c r="D2095" t="s">
        <v>3219</v>
      </c>
      <c r="E2095">
        <v>32.630000000000003</v>
      </c>
      <c r="F2095">
        <v>-58.37</v>
      </c>
    </row>
    <row r="2096" spans="1:6" x14ac:dyDescent="0.25">
      <c r="A2096" t="s">
        <v>1053</v>
      </c>
      <c r="B2096" t="s">
        <v>28</v>
      </c>
      <c r="C2096" t="s">
        <v>71</v>
      </c>
      <c r="D2096" t="s">
        <v>3217</v>
      </c>
      <c r="E2096">
        <v>0</v>
      </c>
      <c r="F2096">
        <v>-57.54</v>
      </c>
    </row>
    <row r="2097" spans="1:6" x14ac:dyDescent="0.25">
      <c r="A2097" t="s">
        <v>1053</v>
      </c>
      <c r="B2097" t="s">
        <v>28</v>
      </c>
      <c r="C2097" t="s">
        <v>71</v>
      </c>
      <c r="D2097" t="s">
        <v>3218</v>
      </c>
      <c r="E2097">
        <v>17.440000000000001</v>
      </c>
      <c r="F2097">
        <v>-57.47</v>
      </c>
    </row>
    <row r="2098" spans="1:6" x14ac:dyDescent="0.25">
      <c r="A2098" t="s">
        <v>1053</v>
      </c>
      <c r="B2098" t="s">
        <v>28</v>
      </c>
      <c r="C2098" t="s">
        <v>71</v>
      </c>
      <c r="D2098" t="s">
        <v>3219</v>
      </c>
      <c r="E2098">
        <v>32.94</v>
      </c>
      <c r="F2098">
        <v>-57.95</v>
      </c>
    </row>
    <row r="2099" spans="1:6" x14ac:dyDescent="0.25">
      <c r="A2099" t="s">
        <v>1054</v>
      </c>
      <c r="B2099" t="s">
        <v>28</v>
      </c>
      <c r="C2099" t="s">
        <v>72</v>
      </c>
      <c r="D2099" t="s">
        <v>3217</v>
      </c>
      <c r="E2099">
        <v>0</v>
      </c>
      <c r="F2099">
        <v>-57.13</v>
      </c>
    </row>
    <row r="2100" spans="1:6" x14ac:dyDescent="0.25">
      <c r="A2100" t="s">
        <v>1054</v>
      </c>
      <c r="B2100" t="s">
        <v>28</v>
      </c>
      <c r="C2100" t="s">
        <v>72</v>
      </c>
      <c r="D2100" t="s">
        <v>3218</v>
      </c>
      <c r="E2100">
        <v>16.07</v>
      </c>
      <c r="F2100">
        <v>-57.03</v>
      </c>
    </row>
    <row r="2101" spans="1:6" x14ac:dyDescent="0.25">
      <c r="A2101" t="s">
        <v>1054</v>
      </c>
      <c r="B2101" t="s">
        <v>28</v>
      </c>
      <c r="C2101" t="s">
        <v>72</v>
      </c>
      <c r="D2101" t="s">
        <v>3219</v>
      </c>
      <c r="E2101">
        <v>33.700000000000003</v>
      </c>
      <c r="F2101">
        <v>-57.72</v>
      </c>
    </row>
    <row r="2102" spans="1:6" x14ac:dyDescent="0.25">
      <c r="A2102" t="s">
        <v>1055</v>
      </c>
      <c r="B2102" t="s">
        <v>28</v>
      </c>
      <c r="C2102" t="s">
        <v>73</v>
      </c>
      <c r="D2102" t="s">
        <v>3217</v>
      </c>
      <c r="E2102">
        <v>0</v>
      </c>
      <c r="F2102">
        <v>-56.75</v>
      </c>
    </row>
    <row r="2103" spans="1:6" x14ac:dyDescent="0.25">
      <c r="A2103" t="s">
        <v>1055</v>
      </c>
      <c r="B2103" t="s">
        <v>28</v>
      </c>
      <c r="C2103" t="s">
        <v>73</v>
      </c>
      <c r="D2103" t="s">
        <v>3218</v>
      </c>
      <c r="E2103">
        <v>16.63</v>
      </c>
      <c r="F2103">
        <v>-56.88</v>
      </c>
    </row>
    <row r="2104" spans="1:6" x14ac:dyDescent="0.25">
      <c r="A2104" t="s">
        <v>1055</v>
      </c>
      <c r="B2104" t="s">
        <v>28</v>
      </c>
      <c r="C2104" t="s">
        <v>73</v>
      </c>
      <c r="D2104" t="s">
        <v>3219</v>
      </c>
      <c r="E2104">
        <v>36.630000000000003</v>
      </c>
      <c r="F2104">
        <v>-57.57</v>
      </c>
    </row>
    <row r="2105" spans="1:6" x14ac:dyDescent="0.25">
      <c r="A2105" t="s">
        <v>1056</v>
      </c>
      <c r="B2105" t="s">
        <v>28</v>
      </c>
      <c r="C2105" t="s">
        <v>74</v>
      </c>
      <c r="D2105" t="s">
        <v>3217</v>
      </c>
      <c r="E2105">
        <v>0</v>
      </c>
      <c r="F2105">
        <v>-56.66</v>
      </c>
    </row>
    <row r="2106" spans="1:6" x14ac:dyDescent="0.25">
      <c r="A2106" t="s">
        <v>1056</v>
      </c>
      <c r="B2106" t="s">
        <v>28</v>
      </c>
      <c r="C2106" t="s">
        <v>74</v>
      </c>
      <c r="D2106" t="s">
        <v>3218</v>
      </c>
      <c r="E2106">
        <v>16.63</v>
      </c>
      <c r="F2106">
        <v>-57.02</v>
      </c>
    </row>
    <row r="2107" spans="1:6" x14ac:dyDescent="0.25">
      <c r="A2107" t="s">
        <v>1056</v>
      </c>
      <c r="B2107" t="s">
        <v>28</v>
      </c>
      <c r="C2107" t="s">
        <v>74</v>
      </c>
      <c r="D2107" t="s">
        <v>3219</v>
      </c>
      <c r="E2107">
        <v>36.630000000000003</v>
      </c>
      <c r="F2107">
        <v>-57.31</v>
      </c>
    </row>
    <row r="2108" spans="1:6" x14ac:dyDescent="0.25">
      <c r="A2108" t="s">
        <v>1057</v>
      </c>
      <c r="B2108" t="s">
        <v>28</v>
      </c>
      <c r="C2108" t="s">
        <v>75</v>
      </c>
      <c r="D2108" t="s">
        <v>3217</v>
      </c>
      <c r="E2108">
        <v>0</v>
      </c>
      <c r="F2108">
        <v>-56.83</v>
      </c>
    </row>
    <row r="2109" spans="1:6" x14ac:dyDescent="0.25">
      <c r="A2109" t="s">
        <v>1057</v>
      </c>
      <c r="B2109" t="s">
        <v>28</v>
      </c>
      <c r="C2109" t="s">
        <v>75</v>
      </c>
      <c r="D2109" t="s">
        <v>3218</v>
      </c>
      <c r="E2109">
        <v>16.63</v>
      </c>
      <c r="F2109">
        <v>-57.28</v>
      </c>
    </row>
    <row r="2110" spans="1:6" x14ac:dyDescent="0.25">
      <c r="A2110" t="s">
        <v>1057</v>
      </c>
      <c r="B2110" t="s">
        <v>28</v>
      </c>
      <c r="C2110" t="s">
        <v>75</v>
      </c>
      <c r="D2110" t="s">
        <v>3219</v>
      </c>
      <c r="E2110">
        <v>36.630000000000003</v>
      </c>
      <c r="F2110">
        <v>-57.63</v>
      </c>
    </row>
    <row r="2111" spans="1:6" x14ac:dyDescent="0.25">
      <c r="A2111" t="s">
        <v>1058</v>
      </c>
      <c r="B2111" t="s">
        <v>28</v>
      </c>
      <c r="C2111" t="s">
        <v>76</v>
      </c>
      <c r="D2111" t="s">
        <v>3217</v>
      </c>
      <c r="E2111">
        <v>0</v>
      </c>
      <c r="F2111">
        <v>-56.83</v>
      </c>
    </row>
    <row r="2112" spans="1:6" x14ac:dyDescent="0.25">
      <c r="A2112" t="s">
        <v>1058</v>
      </c>
      <c r="B2112" t="s">
        <v>28</v>
      </c>
      <c r="C2112" t="s">
        <v>76</v>
      </c>
      <c r="D2112" t="s">
        <v>3218</v>
      </c>
      <c r="E2112">
        <v>14.29</v>
      </c>
      <c r="F2112">
        <v>-57.18</v>
      </c>
    </row>
    <row r="2113" spans="1:6" x14ac:dyDescent="0.25">
      <c r="A2113" t="s">
        <v>1058</v>
      </c>
      <c r="B2113" t="s">
        <v>28</v>
      </c>
      <c r="C2113" t="s">
        <v>76</v>
      </c>
      <c r="D2113" t="s">
        <v>3219</v>
      </c>
      <c r="E2113">
        <v>34.29</v>
      </c>
      <c r="F2113">
        <v>-57.7</v>
      </c>
    </row>
    <row r="2114" spans="1:6" x14ac:dyDescent="0.25">
      <c r="A2114" t="s">
        <v>1059</v>
      </c>
      <c r="B2114" t="s">
        <v>28</v>
      </c>
      <c r="C2114" t="s">
        <v>77</v>
      </c>
      <c r="D2114" t="s">
        <v>3217</v>
      </c>
      <c r="E2114">
        <v>0</v>
      </c>
      <c r="F2114">
        <v>-57.6</v>
      </c>
    </row>
    <row r="2115" spans="1:6" x14ac:dyDescent="0.25">
      <c r="A2115" t="s">
        <v>1059</v>
      </c>
      <c r="B2115" t="s">
        <v>28</v>
      </c>
      <c r="C2115" t="s">
        <v>77</v>
      </c>
      <c r="D2115" t="s">
        <v>3218</v>
      </c>
      <c r="E2115">
        <v>14.5</v>
      </c>
      <c r="F2115">
        <v>-57.42</v>
      </c>
    </row>
    <row r="2116" spans="1:6" x14ac:dyDescent="0.25">
      <c r="A2116" t="s">
        <v>1059</v>
      </c>
      <c r="B2116" t="s">
        <v>28</v>
      </c>
      <c r="C2116" t="s">
        <v>77</v>
      </c>
      <c r="D2116" t="s">
        <v>3219</v>
      </c>
      <c r="E2116">
        <v>34.5</v>
      </c>
      <c r="F2116">
        <v>-57.69</v>
      </c>
    </row>
    <row r="2117" spans="1:6" x14ac:dyDescent="0.25">
      <c r="A2117" t="s">
        <v>1060</v>
      </c>
      <c r="B2117" t="s">
        <v>28</v>
      </c>
      <c r="C2117" t="s">
        <v>78</v>
      </c>
      <c r="D2117" t="s">
        <v>3217</v>
      </c>
      <c r="E2117">
        <v>0</v>
      </c>
      <c r="F2117">
        <v>-58</v>
      </c>
    </row>
    <row r="2118" spans="1:6" x14ac:dyDescent="0.25">
      <c r="A2118" t="s">
        <v>1060</v>
      </c>
      <c r="B2118" t="s">
        <v>28</v>
      </c>
      <c r="C2118" t="s">
        <v>78</v>
      </c>
      <c r="D2118" t="s">
        <v>3218</v>
      </c>
      <c r="E2118">
        <v>14.59</v>
      </c>
      <c r="F2118">
        <v>-57.75</v>
      </c>
    </row>
    <row r="2119" spans="1:6" x14ac:dyDescent="0.25">
      <c r="A2119" t="s">
        <v>1060</v>
      </c>
      <c r="B2119" t="s">
        <v>28</v>
      </c>
      <c r="C2119" t="s">
        <v>78</v>
      </c>
      <c r="D2119" t="s">
        <v>3219</v>
      </c>
      <c r="E2119">
        <v>34.590000000000003</v>
      </c>
      <c r="F2119">
        <v>-57.83</v>
      </c>
    </row>
    <row r="2120" spans="1:6" x14ac:dyDescent="0.25">
      <c r="A2120" t="s">
        <v>1061</v>
      </c>
      <c r="B2120" t="s">
        <v>28</v>
      </c>
      <c r="C2120" t="s">
        <v>79</v>
      </c>
      <c r="D2120" t="s">
        <v>3217</v>
      </c>
      <c r="E2120">
        <v>0</v>
      </c>
      <c r="F2120">
        <v>-58.15</v>
      </c>
    </row>
    <row r="2121" spans="1:6" x14ac:dyDescent="0.25">
      <c r="A2121" t="s">
        <v>1061</v>
      </c>
      <c r="B2121" t="s">
        <v>28</v>
      </c>
      <c r="C2121" t="s">
        <v>79</v>
      </c>
      <c r="D2121" t="s">
        <v>3218</v>
      </c>
      <c r="E2121">
        <v>15.24</v>
      </c>
      <c r="F2121">
        <v>-57.91</v>
      </c>
    </row>
    <row r="2122" spans="1:6" x14ac:dyDescent="0.25">
      <c r="A2122" t="s">
        <v>1061</v>
      </c>
      <c r="B2122" t="s">
        <v>28</v>
      </c>
      <c r="C2122" t="s">
        <v>79</v>
      </c>
      <c r="D2122" t="s">
        <v>3219</v>
      </c>
      <c r="E2122">
        <v>33.119999999999997</v>
      </c>
      <c r="F2122">
        <v>-57.95</v>
      </c>
    </row>
    <row r="2123" spans="1:6" x14ac:dyDescent="0.25">
      <c r="A2123" t="s">
        <v>1062</v>
      </c>
      <c r="B2123" t="s">
        <v>28</v>
      </c>
      <c r="C2123" t="s">
        <v>80</v>
      </c>
      <c r="D2123" t="s">
        <v>3217</v>
      </c>
      <c r="E2123">
        <v>0</v>
      </c>
      <c r="F2123">
        <v>-58.5</v>
      </c>
    </row>
    <row r="2124" spans="1:6" x14ac:dyDescent="0.25">
      <c r="A2124" t="s">
        <v>1062</v>
      </c>
      <c r="B2124" t="s">
        <v>28</v>
      </c>
      <c r="C2124" t="s">
        <v>80</v>
      </c>
      <c r="D2124" t="s">
        <v>3218</v>
      </c>
      <c r="E2124">
        <v>15.36</v>
      </c>
      <c r="F2124">
        <v>-58.31</v>
      </c>
    </row>
    <row r="2125" spans="1:6" x14ac:dyDescent="0.25">
      <c r="A2125" t="s">
        <v>1062</v>
      </c>
      <c r="B2125" t="s">
        <v>28</v>
      </c>
      <c r="C2125" t="s">
        <v>80</v>
      </c>
      <c r="D2125" t="s">
        <v>3219</v>
      </c>
      <c r="E2125">
        <v>32.479999999999997</v>
      </c>
      <c r="F2125">
        <v>-58.17</v>
      </c>
    </row>
    <row r="2126" spans="1:6" x14ac:dyDescent="0.25">
      <c r="A2126" t="s">
        <v>1063</v>
      </c>
      <c r="B2126" t="s">
        <v>28</v>
      </c>
      <c r="C2126" t="s">
        <v>81</v>
      </c>
      <c r="D2126" t="s">
        <v>3217</v>
      </c>
      <c r="E2126">
        <v>0</v>
      </c>
      <c r="F2126">
        <v>-59.17</v>
      </c>
    </row>
    <row r="2127" spans="1:6" x14ac:dyDescent="0.25">
      <c r="A2127" t="s">
        <v>1063</v>
      </c>
      <c r="B2127" t="s">
        <v>28</v>
      </c>
      <c r="C2127" t="s">
        <v>81</v>
      </c>
      <c r="D2127" t="s">
        <v>3218</v>
      </c>
      <c r="E2127">
        <v>15.77</v>
      </c>
      <c r="F2127">
        <v>-58.87</v>
      </c>
    </row>
    <row r="2128" spans="1:6" x14ac:dyDescent="0.25">
      <c r="A2128" t="s">
        <v>1063</v>
      </c>
      <c r="B2128" t="s">
        <v>28</v>
      </c>
      <c r="C2128" t="s">
        <v>81</v>
      </c>
      <c r="D2128" t="s">
        <v>3219</v>
      </c>
      <c r="E2128">
        <v>31.76</v>
      </c>
      <c r="F2128">
        <v>-58.65</v>
      </c>
    </row>
    <row r="2129" spans="1:6" x14ac:dyDescent="0.25">
      <c r="A2129" t="s">
        <v>1064</v>
      </c>
      <c r="B2129" t="s">
        <v>28</v>
      </c>
      <c r="C2129" t="s">
        <v>82</v>
      </c>
      <c r="D2129" t="s">
        <v>3217</v>
      </c>
      <c r="E2129">
        <v>0</v>
      </c>
      <c r="F2129">
        <v>-59.66</v>
      </c>
    </row>
    <row r="2130" spans="1:6" x14ac:dyDescent="0.25">
      <c r="A2130" t="s">
        <v>1064</v>
      </c>
      <c r="B2130" t="s">
        <v>28</v>
      </c>
      <c r="C2130" t="s">
        <v>82</v>
      </c>
      <c r="D2130" t="s">
        <v>3218</v>
      </c>
      <c r="E2130">
        <v>17.059999999999999</v>
      </c>
      <c r="F2130">
        <v>-59.43</v>
      </c>
    </row>
    <row r="2131" spans="1:6" x14ac:dyDescent="0.25">
      <c r="A2131" t="s">
        <v>1064</v>
      </c>
      <c r="B2131" t="s">
        <v>28</v>
      </c>
      <c r="C2131" t="s">
        <v>82</v>
      </c>
      <c r="D2131" t="s">
        <v>3219</v>
      </c>
      <c r="E2131">
        <v>32.03</v>
      </c>
      <c r="F2131">
        <v>-59.25</v>
      </c>
    </row>
    <row r="2132" spans="1:6" x14ac:dyDescent="0.25">
      <c r="A2132" t="s">
        <v>1065</v>
      </c>
      <c r="B2132" t="s">
        <v>28</v>
      </c>
      <c r="C2132" t="s">
        <v>83</v>
      </c>
      <c r="D2132" t="s">
        <v>3217</v>
      </c>
      <c r="E2132">
        <v>0</v>
      </c>
      <c r="F2132">
        <v>-59.86</v>
      </c>
    </row>
    <row r="2133" spans="1:6" x14ac:dyDescent="0.25">
      <c r="A2133" t="s">
        <v>1065</v>
      </c>
      <c r="B2133" t="s">
        <v>28</v>
      </c>
      <c r="C2133" t="s">
        <v>83</v>
      </c>
      <c r="D2133" t="s">
        <v>3218</v>
      </c>
      <c r="E2133">
        <v>17.82</v>
      </c>
      <c r="F2133">
        <v>-59.59</v>
      </c>
    </row>
    <row r="2134" spans="1:6" x14ac:dyDescent="0.25">
      <c r="A2134" t="s">
        <v>1065</v>
      </c>
      <c r="B2134" t="s">
        <v>28</v>
      </c>
      <c r="C2134" t="s">
        <v>83</v>
      </c>
      <c r="D2134" t="s">
        <v>3219</v>
      </c>
      <c r="E2134">
        <v>30.95</v>
      </c>
      <c r="F2134">
        <v>-59.65</v>
      </c>
    </row>
    <row r="2135" spans="1:6" x14ac:dyDescent="0.25">
      <c r="A2135" t="s">
        <v>1066</v>
      </c>
      <c r="B2135" t="s">
        <v>28</v>
      </c>
      <c r="C2135" t="s">
        <v>84</v>
      </c>
      <c r="D2135" t="s">
        <v>3217</v>
      </c>
      <c r="E2135">
        <v>0</v>
      </c>
      <c r="F2135">
        <v>-60.13</v>
      </c>
    </row>
    <row r="2136" spans="1:6" x14ac:dyDescent="0.25">
      <c r="A2136" t="s">
        <v>1066</v>
      </c>
      <c r="B2136" t="s">
        <v>28</v>
      </c>
      <c r="C2136" t="s">
        <v>84</v>
      </c>
      <c r="D2136" t="s">
        <v>3218</v>
      </c>
      <c r="E2136">
        <v>17.059999999999999</v>
      </c>
      <c r="F2136">
        <v>-60.01</v>
      </c>
    </row>
    <row r="2137" spans="1:6" x14ac:dyDescent="0.25">
      <c r="A2137" t="s">
        <v>1066</v>
      </c>
      <c r="B2137" t="s">
        <v>28</v>
      </c>
      <c r="C2137" t="s">
        <v>84</v>
      </c>
      <c r="D2137" t="s">
        <v>3219</v>
      </c>
      <c r="E2137">
        <v>29.06</v>
      </c>
      <c r="F2137">
        <v>-60.05</v>
      </c>
    </row>
    <row r="2138" spans="1:6" x14ac:dyDescent="0.25">
      <c r="A2138" t="s">
        <v>1067</v>
      </c>
      <c r="B2138" t="s">
        <v>28</v>
      </c>
      <c r="C2138" t="s">
        <v>228</v>
      </c>
      <c r="D2138" t="s">
        <v>3217</v>
      </c>
      <c r="E2138">
        <v>0</v>
      </c>
      <c r="F2138">
        <v>-60.13</v>
      </c>
    </row>
    <row r="2139" spans="1:6" x14ac:dyDescent="0.25">
      <c r="A2139" t="s">
        <v>1067</v>
      </c>
      <c r="B2139" t="s">
        <v>28</v>
      </c>
      <c r="C2139" t="s">
        <v>228</v>
      </c>
      <c r="D2139" t="s">
        <v>3218</v>
      </c>
      <c r="E2139">
        <v>17.82</v>
      </c>
      <c r="F2139">
        <v>-60.01</v>
      </c>
    </row>
    <row r="2140" spans="1:6" x14ac:dyDescent="0.25">
      <c r="A2140" t="s">
        <v>1067</v>
      </c>
      <c r="B2140" t="s">
        <v>28</v>
      </c>
      <c r="C2140" t="s">
        <v>228</v>
      </c>
      <c r="D2140" t="s">
        <v>3219</v>
      </c>
      <c r="E2140">
        <v>29.53</v>
      </c>
      <c r="F2140">
        <v>-60.05</v>
      </c>
    </row>
    <row r="2141" spans="1:6" x14ac:dyDescent="0.25">
      <c r="A2141" t="s">
        <v>1068</v>
      </c>
      <c r="B2141" t="s">
        <v>29</v>
      </c>
      <c r="C2141" t="s">
        <v>56</v>
      </c>
      <c r="D2141" t="s">
        <v>3217</v>
      </c>
      <c r="E2141">
        <v>0</v>
      </c>
      <c r="F2141">
        <v>-61.03</v>
      </c>
    </row>
    <row r="2142" spans="1:6" x14ac:dyDescent="0.25">
      <c r="A2142" t="s">
        <v>1068</v>
      </c>
      <c r="B2142" t="s">
        <v>29</v>
      </c>
      <c r="C2142" t="s">
        <v>56</v>
      </c>
      <c r="D2142" t="s">
        <v>3218</v>
      </c>
      <c r="E2142">
        <v>16.559999999999999</v>
      </c>
      <c r="F2142">
        <v>-61.23</v>
      </c>
    </row>
    <row r="2143" spans="1:6" x14ac:dyDescent="0.25">
      <c r="A2143" t="s">
        <v>1068</v>
      </c>
      <c r="B2143" t="s">
        <v>29</v>
      </c>
      <c r="C2143" t="s">
        <v>56</v>
      </c>
      <c r="D2143" t="s">
        <v>3219</v>
      </c>
      <c r="E2143">
        <v>29.1</v>
      </c>
      <c r="F2143">
        <v>-61.6</v>
      </c>
    </row>
    <row r="2144" spans="1:6" x14ac:dyDescent="0.25">
      <c r="A2144" t="s">
        <v>1069</v>
      </c>
      <c r="B2144" t="s">
        <v>29</v>
      </c>
      <c r="C2144" t="s">
        <v>57</v>
      </c>
      <c r="D2144" t="s">
        <v>3217</v>
      </c>
      <c r="E2144">
        <v>0</v>
      </c>
      <c r="F2144">
        <v>-61.31</v>
      </c>
    </row>
    <row r="2145" spans="1:6" x14ac:dyDescent="0.25">
      <c r="A2145" t="s">
        <v>1069</v>
      </c>
      <c r="B2145" t="s">
        <v>29</v>
      </c>
      <c r="C2145" t="s">
        <v>57</v>
      </c>
      <c r="D2145" t="s">
        <v>3218</v>
      </c>
      <c r="E2145">
        <v>15.87</v>
      </c>
      <c r="F2145">
        <v>-61.22</v>
      </c>
    </row>
    <row r="2146" spans="1:6" x14ac:dyDescent="0.25">
      <c r="A2146" t="s">
        <v>1069</v>
      </c>
      <c r="B2146" t="s">
        <v>29</v>
      </c>
      <c r="C2146" t="s">
        <v>57</v>
      </c>
      <c r="D2146" t="s">
        <v>3219</v>
      </c>
      <c r="E2146">
        <v>28.88</v>
      </c>
      <c r="F2146">
        <v>-61.75</v>
      </c>
    </row>
    <row r="2147" spans="1:6" x14ac:dyDescent="0.25">
      <c r="A2147" t="s">
        <v>1070</v>
      </c>
      <c r="B2147" t="s">
        <v>29</v>
      </c>
      <c r="C2147" t="s">
        <v>58</v>
      </c>
      <c r="D2147" t="s">
        <v>3217</v>
      </c>
      <c r="E2147">
        <v>0</v>
      </c>
      <c r="F2147">
        <v>-61.51</v>
      </c>
    </row>
    <row r="2148" spans="1:6" x14ac:dyDescent="0.25">
      <c r="A2148" t="s">
        <v>1070</v>
      </c>
      <c r="B2148" t="s">
        <v>29</v>
      </c>
      <c r="C2148" t="s">
        <v>58</v>
      </c>
      <c r="D2148" t="s">
        <v>3218</v>
      </c>
      <c r="E2148">
        <v>13.59</v>
      </c>
      <c r="F2148">
        <v>-61.05</v>
      </c>
    </row>
    <row r="2149" spans="1:6" x14ac:dyDescent="0.25">
      <c r="A2149" t="s">
        <v>1070</v>
      </c>
      <c r="B2149" t="s">
        <v>29</v>
      </c>
      <c r="C2149" t="s">
        <v>58</v>
      </c>
      <c r="D2149" t="s">
        <v>3219</v>
      </c>
      <c r="E2149">
        <v>26.12</v>
      </c>
      <c r="F2149">
        <v>-61.64</v>
      </c>
    </row>
    <row r="2150" spans="1:6" x14ac:dyDescent="0.25">
      <c r="A2150" t="s">
        <v>1071</v>
      </c>
      <c r="B2150" t="s">
        <v>29</v>
      </c>
      <c r="C2150" t="s">
        <v>59</v>
      </c>
      <c r="D2150" t="s">
        <v>3217</v>
      </c>
      <c r="E2150">
        <v>0</v>
      </c>
      <c r="F2150">
        <v>-61.39</v>
      </c>
    </row>
    <row r="2151" spans="1:6" x14ac:dyDescent="0.25">
      <c r="A2151" t="s">
        <v>1071</v>
      </c>
      <c r="B2151" t="s">
        <v>29</v>
      </c>
      <c r="C2151" t="s">
        <v>59</v>
      </c>
      <c r="D2151" t="s">
        <v>3218</v>
      </c>
      <c r="E2151">
        <v>13.03</v>
      </c>
      <c r="F2151">
        <v>-61.11</v>
      </c>
    </row>
    <row r="2152" spans="1:6" x14ac:dyDescent="0.25">
      <c r="A2152" t="s">
        <v>1071</v>
      </c>
      <c r="B2152" t="s">
        <v>29</v>
      </c>
      <c r="C2152" t="s">
        <v>59</v>
      </c>
      <c r="D2152" t="s">
        <v>3219</v>
      </c>
      <c r="E2152">
        <v>24.7</v>
      </c>
      <c r="F2152">
        <v>-61.59</v>
      </c>
    </row>
    <row r="2153" spans="1:6" x14ac:dyDescent="0.25">
      <c r="A2153" t="s">
        <v>1072</v>
      </c>
      <c r="B2153" t="s">
        <v>29</v>
      </c>
      <c r="C2153" t="s">
        <v>60</v>
      </c>
      <c r="D2153" t="s">
        <v>3217</v>
      </c>
      <c r="E2153">
        <v>0</v>
      </c>
      <c r="F2153">
        <v>-61.46</v>
      </c>
    </row>
    <row r="2154" spans="1:6" x14ac:dyDescent="0.25">
      <c r="A2154" t="s">
        <v>1072</v>
      </c>
      <c r="B2154" t="s">
        <v>29</v>
      </c>
      <c r="C2154" t="s">
        <v>60</v>
      </c>
      <c r="D2154" t="s">
        <v>3218</v>
      </c>
      <c r="E2154">
        <v>13.31</v>
      </c>
      <c r="F2154">
        <v>-61.32</v>
      </c>
    </row>
    <row r="2155" spans="1:6" x14ac:dyDescent="0.25">
      <c r="A2155" t="s">
        <v>1072</v>
      </c>
      <c r="B2155" t="s">
        <v>29</v>
      </c>
      <c r="C2155" t="s">
        <v>60</v>
      </c>
      <c r="D2155" t="s">
        <v>3219</v>
      </c>
      <c r="E2155">
        <v>24.98</v>
      </c>
      <c r="F2155">
        <v>-61.81</v>
      </c>
    </row>
    <row r="2156" spans="1:6" x14ac:dyDescent="0.25">
      <c r="A2156" t="s">
        <v>1073</v>
      </c>
      <c r="B2156" t="s">
        <v>29</v>
      </c>
      <c r="C2156" t="s">
        <v>61</v>
      </c>
      <c r="D2156" t="s">
        <v>3217</v>
      </c>
      <c r="E2156">
        <v>0</v>
      </c>
      <c r="F2156">
        <v>-61.57</v>
      </c>
    </row>
    <row r="2157" spans="1:6" x14ac:dyDescent="0.25">
      <c r="A2157" t="s">
        <v>1073</v>
      </c>
      <c r="B2157" t="s">
        <v>29</v>
      </c>
      <c r="C2157" t="s">
        <v>61</v>
      </c>
      <c r="D2157" t="s">
        <v>3218</v>
      </c>
      <c r="E2157">
        <v>13.38</v>
      </c>
      <c r="F2157">
        <v>-61.52</v>
      </c>
    </row>
    <row r="2158" spans="1:6" x14ac:dyDescent="0.25">
      <c r="A2158" t="s">
        <v>1073</v>
      </c>
      <c r="B2158" t="s">
        <v>29</v>
      </c>
      <c r="C2158" t="s">
        <v>61</v>
      </c>
      <c r="D2158" t="s">
        <v>3219</v>
      </c>
      <c r="E2158">
        <v>25.92</v>
      </c>
      <c r="F2158">
        <v>-62.03</v>
      </c>
    </row>
    <row r="2159" spans="1:6" x14ac:dyDescent="0.25">
      <c r="A2159" t="s">
        <v>1074</v>
      </c>
      <c r="B2159" t="s">
        <v>29</v>
      </c>
      <c r="C2159" t="s">
        <v>62</v>
      </c>
      <c r="D2159" t="s">
        <v>3217</v>
      </c>
      <c r="E2159">
        <v>0</v>
      </c>
      <c r="F2159">
        <v>-61.43</v>
      </c>
    </row>
    <row r="2160" spans="1:6" x14ac:dyDescent="0.25">
      <c r="A2160" t="s">
        <v>1074</v>
      </c>
      <c r="B2160" t="s">
        <v>29</v>
      </c>
      <c r="C2160" t="s">
        <v>62</v>
      </c>
      <c r="D2160" t="s">
        <v>3218</v>
      </c>
      <c r="E2160">
        <v>14.21</v>
      </c>
      <c r="F2160">
        <v>-61.64</v>
      </c>
    </row>
    <row r="2161" spans="1:6" x14ac:dyDescent="0.25">
      <c r="A2161" t="s">
        <v>1074</v>
      </c>
      <c r="B2161" t="s">
        <v>29</v>
      </c>
      <c r="C2161" t="s">
        <v>62</v>
      </c>
      <c r="D2161" t="s">
        <v>3219</v>
      </c>
      <c r="E2161">
        <v>27.93</v>
      </c>
      <c r="F2161">
        <v>-62.06</v>
      </c>
    </row>
    <row r="2162" spans="1:6" x14ac:dyDescent="0.25">
      <c r="A2162" t="s">
        <v>1075</v>
      </c>
      <c r="B2162" t="s">
        <v>29</v>
      </c>
      <c r="C2162" t="s">
        <v>63</v>
      </c>
      <c r="D2162" t="s">
        <v>3217</v>
      </c>
      <c r="E2162">
        <v>0</v>
      </c>
      <c r="F2162">
        <v>-61.62</v>
      </c>
    </row>
    <row r="2163" spans="1:6" x14ac:dyDescent="0.25">
      <c r="A2163" t="s">
        <v>1075</v>
      </c>
      <c r="B2163" t="s">
        <v>29</v>
      </c>
      <c r="C2163" t="s">
        <v>63</v>
      </c>
      <c r="D2163" t="s">
        <v>3218</v>
      </c>
      <c r="E2163">
        <v>13.38</v>
      </c>
      <c r="F2163">
        <v>-61.61</v>
      </c>
    </row>
    <row r="2164" spans="1:6" x14ac:dyDescent="0.25">
      <c r="A2164" t="s">
        <v>1075</v>
      </c>
      <c r="B2164" t="s">
        <v>29</v>
      </c>
      <c r="C2164" t="s">
        <v>63</v>
      </c>
      <c r="D2164" t="s">
        <v>3219</v>
      </c>
      <c r="E2164">
        <v>27.7</v>
      </c>
      <c r="F2164">
        <v>-62</v>
      </c>
    </row>
    <row r="2165" spans="1:6" x14ac:dyDescent="0.25">
      <c r="A2165" t="s">
        <v>1076</v>
      </c>
      <c r="B2165" t="s">
        <v>29</v>
      </c>
      <c r="C2165" t="s">
        <v>64</v>
      </c>
      <c r="D2165" t="s">
        <v>3217</v>
      </c>
      <c r="E2165">
        <v>0</v>
      </c>
      <c r="F2165">
        <v>-61.69</v>
      </c>
    </row>
    <row r="2166" spans="1:6" x14ac:dyDescent="0.25">
      <c r="A2166" t="s">
        <v>1076</v>
      </c>
      <c r="B2166" t="s">
        <v>29</v>
      </c>
      <c r="C2166" t="s">
        <v>64</v>
      </c>
      <c r="D2166" t="s">
        <v>3218</v>
      </c>
      <c r="E2166">
        <v>13.03</v>
      </c>
      <c r="F2166">
        <v>-61.66</v>
      </c>
    </row>
    <row r="2167" spans="1:6" x14ac:dyDescent="0.25">
      <c r="A2167" t="s">
        <v>1076</v>
      </c>
      <c r="B2167" t="s">
        <v>29</v>
      </c>
      <c r="C2167" t="s">
        <v>64</v>
      </c>
      <c r="D2167" t="s">
        <v>3219</v>
      </c>
      <c r="E2167">
        <v>26.38</v>
      </c>
      <c r="F2167">
        <v>-62.03</v>
      </c>
    </row>
    <row r="2168" spans="1:6" x14ac:dyDescent="0.25">
      <c r="A2168" t="s">
        <v>1077</v>
      </c>
      <c r="B2168" t="s">
        <v>29</v>
      </c>
      <c r="C2168" t="s">
        <v>65</v>
      </c>
      <c r="D2168" t="s">
        <v>3217</v>
      </c>
      <c r="E2168">
        <v>0</v>
      </c>
      <c r="F2168">
        <v>-61.82</v>
      </c>
    </row>
    <row r="2169" spans="1:6" x14ac:dyDescent="0.25">
      <c r="A2169" t="s">
        <v>1077</v>
      </c>
      <c r="B2169" t="s">
        <v>29</v>
      </c>
      <c r="C2169" t="s">
        <v>65</v>
      </c>
      <c r="D2169" t="s">
        <v>3218</v>
      </c>
      <c r="E2169">
        <v>12.71</v>
      </c>
      <c r="F2169">
        <v>-61.75</v>
      </c>
    </row>
    <row r="2170" spans="1:6" x14ac:dyDescent="0.25">
      <c r="A2170" t="s">
        <v>1077</v>
      </c>
      <c r="B2170" t="s">
        <v>29</v>
      </c>
      <c r="C2170" t="s">
        <v>65</v>
      </c>
      <c r="D2170" t="s">
        <v>3219</v>
      </c>
      <c r="E2170">
        <v>24.81</v>
      </c>
      <c r="F2170">
        <v>-61.91</v>
      </c>
    </row>
    <row r="2171" spans="1:6" x14ac:dyDescent="0.25">
      <c r="A2171" t="s">
        <v>1078</v>
      </c>
      <c r="B2171" t="s">
        <v>29</v>
      </c>
      <c r="C2171" t="s">
        <v>66</v>
      </c>
      <c r="D2171" t="s">
        <v>3217</v>
      </c>
      <c r="E2171">
        <v>0</v>
      </c>
      <c r="F2171">
        <v>-61.73</v>
      </c>
    </row>
    <row r="2172" spans="1:6" x14ac:dyDescent="0.25">
      <c r="A2172" t="s">
        <v>1078</v>
      </c>
      <c r="B2172" t="s">
        <v>29</v>
      </c>
      <c r="C2172" t="s">
        <v>66</v>
      </c>
      <c r="D2172" t="s">
        <v>3218</v>
      </c>
      <c r="E2172">
        <v>12.53</v>
      </c>
      <c r="F2172">
        <v>-61.71</v>
      </c>
    </row>
    <row r="2173" spans="1:6" x14ac:dyDescent="0.25">
      <c r="A2173" t="s">
        <v>1078</v>
      </c>
      <c r="B2173" t="s">
        <v>29</v>
      </c>
      <c r="C2173" t="s">
        <v>66</v>
      </c>
      <c r="D2173" t="s">
        <v>3219</v>
      </c>
      <c r="E2173">
        <v>25.32</v>
      </c>
      <c r="F2173">
        <v>-61.95</v>
      </c>
    </row>
    <row r="2174" spans="1:6" x14ac:dyDescent="0.25">
      <c r="A2174" t="s">
        <v>1079</v>
      </c>
      <c r="B2174" t="s">
        <v>29</v>
      </c>
      <c r="C2174" t="s">
        <v>67</v>
      </c>
      <c r="D2174" t="s">
        <v>3217</v>
      </c>
      <c r="E2174">
        <v>0</v>
      </c>
      <c r="F2174">
        <v>-61.64</v>
      </c>
    </row>
    <row r="2175" spans="1:6" x14ac:dyDescent="0.25">
      <c r="A2175" t="s">
        <v>1079</v>
      </c>
      <c r="B2175" t="s">
        <v>29</v>
      </c>
      <c r="C2175" t="s">
        <v>67</v>
      </c>
      <c r="D2175" t="s">
        <v>3218</v>
      </c>
      <c r="E2175">
        <v>14.34</v>
      </c>
      <c r="F2175">
        <v>-61.53</v>
      </c>
    </row>
    <row r="2176" spans="1:6" x14ac:dyDescent="0.25">
      <c r="A2176" t="s">
        <v>1079</v>
      </c>
      <c r="B2176" t="s">
        <v>29</v>
      </c>
      <c r="C2176" t="s">
        <v>67</v>
      </c>
      <c r="D2176" t="s">
        <v>3219</v>
      </c>
      <c r="E2176">
        <v>28.87</v>
      </c>
      <c r="F2176">
        <v>-61.86</v>
      </c>
    </row>
    <row r="2177" spans="1:6" x14ac:dyDescent="0.25">
      <c r="A2177" t="s">
        <v>1080</v>
      </c>
      <c r="B2177" t="s">
        <v>29</v>
      </c>
      <c r="C2177" t="s">
        <v>68</v>
      </c>
      <c r="D2177" t="s">
        <v>3217</v>
      </c>
      <c r="E2177">
        <v>0</v>
      </c>
      <c r="F2177">
        <v>-61.64</v>
      </c>
    </row>
    <row r="2178" spans="1:6" x14ac:dyDescent="0.25">
      <c r="A2178" t="s">
        <v>1080</v>
      </c>
      <c r="B2178" t="s">
        <v>29</v>
      </c>
      <c r="C2178" t="s">
        <v>68</v>
      </c>
      <c r="D2178" t="s">
        <v>3218</v>
      </c>
      <c r="E2178">
        <v>15.44</v>
      </c>
      <c r="F2178">
        <v>-61.59</v>
      </c>
    </row>
    <row r="2179" spans="1:6" x14ac:dyDescent="0.25">
      <c r="A2179" t="s">
        <v>1080</v>
      </c>
      <c r="B2179" t="s">
        <v>29</v>
      </c>
      <c r="C2179" t="s">
        <v>68</v>
      </c>
      <c r="D2179" t="s">
        <v>3219</v>
      </c>
      <c r="E2179">
        <v>31.28</v>
      </c>
      <c r="F2179">
        <v>-61.45</v>
      </c>
    </row>
    <row r="2180" spans="1:6" x14ac:dyDescent="0.25">
      <c r="A2180" t="s">
        <v>1081</v>
      </c>
      <c r="B2180" t="s">
        <v>29</v>
      </c>
      <c r="C2180" t="s">
        <v>69</v>
      </c>
      <c r="D2180" t="s">
        <v>3217</v>
      </c>
      <c r="E2180">
        <v>0</v>
      </c>
      <c r="F2180">
        <v>-61.67</v>
      </c>
    </row>
    <row r="2181" spans="1:6" x14ac:dyDescent="0.25">
      <c r="A2181" t="s">
        <v>1081</v>
      </c>
      <c r="B2181" t="s">
        <v>29</v>
      </c>
      <c r="C2181" t="s">
        <v>69</v>
      </c>
      <c r="D2181" t="s">
        <v>3218</v>
      </c>
      <c r="E2181">
        <v>16.03</v>
      </c>
      <c r="F2181">
        <v>-61.31</v>
      </c>
    </row>
    <row r="2182" spans="1:6" x14ac:dyDescent="0.25">
      <c r="A2182" t="s">
        <v>1081</v>
      </c>
      <c r="B2182" t="s">
        <v>29</v>
      </c>
      <c r="C2182" t="s">
        <v>69</v>
      </c>
      <c r="D2182" t="s">
        <v>3219</v>
      </c>
      <c r="E2182">
        <v>31.02</v>
      </c>
      <c r="F2182">
        <v>-61.23</v>
      </c>
    </row>
    <row r="2183" spans="1:6" x14ac:dyDescent="0.25">
      <c r="A2183" t="s">
        <v>1082</v>
      </c>
      <c r="B2183" t="s">
        <v>29</v>
      </c>
      <c r="C2183" t="s">
        <v>70</v>
      </c>
      <c r="D2183" t="s">
        <v>3217</v>
      </c>
      <c r="E2183">
        <v>0</v>
      </c>
      <c r="F2183">
        <v>-61.27</v>
      </c>
    </row>
    <row r="2184" spans="1:6" x14ac:dyDescent="0.25">
      <c r="A2184" t="s">
        <v>1082</v>
      </c>
      <c r="B2184" t="s">
        <v>29</v>
      </c>
      <c r="C2184" t="s">
        <v>70</v>
      </c>
      <c r="D2184" t="s">
        <v>3218</v>
      </c>
      <c r="E2184">
        <v>20</v>
      </c>
      <c r="F2184">
        <v>-61.2</v>
      </c>
    </row>
    <row r="2185" spans="1:6" x14ac:dyDescent="0.25">
      <c r="A2185" t="s">
        <v>1082</v>
      </c>
      <c r="B2185" t="s">
        <v>29</v>
      </c>
      <c r="C2185" t="s">
        <v>70</v>
      </c>
      <c r="D2185" t="s">
        <v>3219</v>
      </c>
      <c r="E2185">
        <v>34.65</v>
      </c>
      <c r="F2185">
        <v>-61.01</v>
      </c>
    </row>
    <row r="2186" spans="1:6" x14ac:dyDescent="0.25">
      <c r="A2186" t="s">
        <v>1083</v>
      </c>
      <c r="B2186" t="s">
        <v>29</v>
      </c>
      <c r="C2186" t="s">
        <v>71</v>
      </c>
      <c r="D2186" t="s">
        <v>3217</v>
      </c>
      <c r="E2186">
        <v>0</v>
      </c>
      <c r="F2186">
        <v>-61.13</v>
      </c>
    </row>
    <row r="2187" spans="1:6" x14ac:dyDescent="0.25">
      <c r="A2187" t="s">
        <v>1083</v>
      </c>
      <c r="B2187" t="s">
        <v>29</v>
      </c>
      <c r="C2187" t="s">
        <v>71</v>
      </c>
      <c r="D2187" t="s">
        <v>3218</v>
      </c>
      <c r="E2187">
        <v>20</v>
      </c>
      <c r="F2187">
        <v>-61.13</v>
      </c>
    </row>
    <row r="2188" spans="1:6" x14ac:dyDescent="0.25">
      <c r="A2188" t="s">
        <v>1083</v>
      </c>
      <c r="B2188" t="s">
        <v>29</v>
      </c>
      <c r="C2188" t="s">
        <v>71</v>
      </c>
      <c r="D2188" t="s">
        <v>3219</v>
      </c>
      <c r="E2188">
        <v>35.979999999999997</v>
      </c>
      <c r="F2188">
        <v>-60.79</v>
      </c>
    </row>
    <row r="2189" spans="1:6" x14ac:dyDescent="0.25">
      <c r="A2189" t="s">
        <v>1084</v>
      </c>
      <c r="B2189" t="s">
        <v>29</v>
      </c>
      <c r="C2189" t="s">
        <v>72</v>
      </c>
      <c r="D2189" t="s">
        <v>3217</v>
      </c>
      <c r="E2189">
        <v>0</v>
      </c>
      <c r="F2189">
        <v>-60.9</v>
      </c>
    </row>
    <row r="2190" spans="1:6" x14ac:dyDescent="0.25">
      <c r="A2190" t="s">
        <v>1084</v>
      </c>
      <c r="B2190" t="s">
        <v>29</v>
      </c>
      <c r="C2190" t="s">
        <v>72</v>
      </c>
      <c r="D2190" t="s">
        <v>3218</v>
      </c>
      <c r="E2190">
        <v>20</v>
      </c>
      <c r="F2190">
        <v>-60.81</v>
      </c>
    </row>
    <row r="2191" spans="1:6" x14ac:dyDescent="0.25">
      <c r="A2191" t="s">
        <v>1084</v>
      </c>
      <c r="B2191" t="s">
        <v>29</v>
      </c>
      <c r="C2191" t="s">
        <v>72</v>
      </c>
      <c r="D2191" t="s">
        <v>3219</v>
      </c>
      <c r="E2191">
        <v>36.64</v>
      </c>
      <c r="F2191">
        <v>-60.72</v>
      </c>
    </row>
    <row r="2192" spans="1:6" x14ac:dyDescent="0.25">
      <c r="A2192" t="s">
        <v>1085</v>
      </c>
      <c r="B2192" t="s">
        <v>29</v>
      </c>
      <c r="C2192" t="s">
        <v>73</v>
      </c>
      <c r="D2192" t="s">
        <v>3217</v>
      </c>
      <c r="E2192">
        <v>0</v>
      </c>
      <c r="F2192">
        <v>-60.33</v>
      </c>
    </row>
    <row r="2193" spans="1:6" x14ac:dyDescent="0.25">
      <c r="A2193" t="s">
        <v>1085</v>
      </c>
      <c r="B2193" t="s">
        <v>29</v>
      </c>
      <c r="C2193" t="s">
        <v>73</v>
      </c>
      <c r="D2193" t="s">
        <v>3218</v>
      </c>
      <c r="E2193">
        <v>20</v>
      </c>
      <c r="F2193">
        <v>-60.14</v>
      </c>
    </row>
    <row r="2194" spans="1:6" x14ac:dyDescent="0.25">
      <c r="A2194" t="s">
        <v>1085</v>
      </c>
      <c r="B2194" t="s">
        <v>29</v>
      </c>
      <c r="C2194" t="s">
        <v>73</v>
      </c>
      <c r="D2194" t="s">
        <v>3219</v>
      </c>
      <c r="E2194">
        <v>36.64</v>
      </c>
      <c r="F2194">
        <v>-60.29</v>
      </c>
    </row>
    <row r="2195" spans="1:6" x14ac:dyDescent="0.25">
      <c r="A2195" t="s">
        <v>1086</v>
      </c>
      <c r="B2195" t="s">
        <v>29</v>
      </c>
      <c r="C2195" t="s">
        <v>74</v>
      </c>
      <c r="D2195" t="s">
        <v>3217</v>
      </c>
      <c r="E2195">
        <v>0</v>
      </c>
      <c r="F2195">
        <v>-59.67</v>
      </c>
    </row>
    <row r="2196" spans="1:6" x14ac:dyDescent="0.25">
      <c r="A2196" t="s">
        <v>1086</v>
      </c>
      <c r="B2196" t="s">
        <v>29</v>
      </c>
      <c r="C2196" t="s">
        <v>74</v>
      </c>
      <c r="D2196" t="s">
        <v>3218</v>
      </c>
      <c r="E2196">
        <v>20</v>
      </c>
      <c r="F2196">
        <v>-59.48</v>
      </c>
    </row>
    <row r="2197" spans="1:6" x14ac:dyDescent="0.25">
      <c r="A2197" t="s">
        <v>1086</v>
      </c>
      <c r="B2197" t="s">
        <v>29</v>
      </c>
      <c r="C2197" t="s">
        <v>74</v>
      </c>
      <c r="D2197" t="s">
        <v>3219</v>
      </c>
      <c r="E2197">
        <v>36.64</v>
      </c>
      <c r="F2197">
        <v>-59.56</v>
      </c>
    </row>
    <row r="2198" spans="1:6" x14ac:dyDescent="0.25">
      <c r="A2198" t="s">
        <v>1087</v>
      </c>
      <c r="B2198" t="s">
        <v>29</v>
      </c>
      <c r="C2198" t="s">
        <v>75</v>
      </c>
      <c r="D2198" t="s">
        <v>3217</v>
      </c>
      <c r="E2198">
        <v>0</v>
      </c>
      <c r="F2198">
        <v>-59</v>
      </c>
    </row>
    <row r="2199" spans="1:6" x14ac:dyDescent="0.25">
      <c r="A2199" t="s">
        <v>1087</v>
      </c>
      <c r="B2199" t="s">
        <v>29</v>
      </c>
      <c r="C2199" t="s">
        <v>75</v>
      </c>
      <c r="D2199" t="s">
        <v>3218</v>
      </c>
      <c r="E2199">
        <v>20</v>
      </c>
      <c r="F2199">
        <v>-58.81</v>
      </c>
    </row>
    <row r="2200" spans="1:6" x14ac:dyDescent="0.25">
      <c r="A2200" t="s">
        <v>1087</v>
      </c>
      <c r="B2200" t="s">
        <v>29</v>
      </c>
      <c r="C2200" t="s">
        <v>75</v>
      </c>
      <c r="D2200" t="s">
        <v>3219</v>
      </c>
      <c r="E2200">
        <v>35.44</v>
      </c>
      <c r="F2200">
        <v>-58.09</v>
      </c>
    </row>
    <row r="2201" spans="1:6" x14ac:dyDescent="0.25">
      <c r="A2201" t="s">
        <v>1088</v>
      </c>
      <c r="B2201" t="s">
        <v>29</v>
      </c>
      <c r="C2201" t="s">
        <v>76</v>
      </c>
      <c r="D2201" t="s">
        <v>3217</v>
      </c>
      <c r="E2201">
        <v>0</v>
      </c>
      <c r="F2201">
        <v>-58.1</v>
      </c>
    </row>
    <row r="2202" spans="1:6" x14ac:dyDescent="0.25">
      <c r="A2202" t="s">
        <v>1088</v>
      </c>
      <c r="B2202" t="s">
        <v>29</v>
      </c>
      <c r="C2202" t="s">
        <v>76</v>
      </c>
      <c r="D2202" t="s">
        <v>3218</v>
      </c>
      <c r="E2202">
        <v>17.87</v>
      </c>
      <c r="F2202">
        <v>-57.83</v>
      </c>
    </row>
    <row r="2203" spans="1:6" x14ac:dyDescent="0.25">
      <c r="A2203" t="s">
        <v>1088</v>
      </c>
      <c r="B2203" t="s">
        <v>29</v>
      </c>
      <c r="C2203" t="s">
        <v>76</v>
      </c>
      <c r="D2203" t="s">
        <v>3219</v>
      </c>
      <c r="E2203">
        <v>32.54</v>
      </c>
      <c r="F2203">
        <v>-57.58</v>
      </c>
    </row>
    <row r="2204" spans="1:6" x14ac:dyDescent="0.25">
      <c r="A2204" t="s">
        <v>1089</v>
      </c>
      <c r="B2204" t="s">
        <v>29</v>
      </c>
      <c r="C2204" t="s">
        <v>77</v>
      </c>
      <c r="D2204" t="s">
        <v>3217</v>
      </c>
      <c r="E2204">
        <v>0</v>
      </c>
      <c r="F2204">
        <v>-56.91</v>
      </c>
    </row>
    <row r="2205" spans="1:6" x14ac:dyDescent="0.25">
      <c r="A2205" t="s">
        <v>1089</v>
      </c>
      <c r="B2205" t="s">
        <v>29</v>
      </c>
      <c r="C2205" t="s">
        <v>77</v>
      </c>
      <c r="D2205" t="s">
        <v>3218</v>
      </c>
      <c r="E2205">
        <v>16.86</v>
      </c>
      <c r="F2205">
        <v>-56.48</v>
      </c>
    </row>
    <row r="2206" spans="1:6" x14ac:dyDescent="0.25">
      <c r="A2206" t="s">
        <v>1089</v>
      </c>
      <c r="B2206" t="s">
        <v>29</v>
      </c>
      <c r="C2206" t="s">
        <v>77</v>
      </c>
      <c r="D2206" t="s">
        <v>3219</v>
      </c>
      <c r="E2206">
        <v>32.299999999999997</v>
      </c>
      <c r="F2206">
        <v>-56.4</v>
      </c>
    </row>
    <row r="2207" spans="1:6" x14ac:dyDescent="0.25">
      <c r="A2207" t="s">
        <v>1090</v>
      </c>
      <c r="B2207" t="s">
        <v>29</v>
      </c>
      <c r="C2207" t="s">
        <v>78</v>
      </c>
      <c r="D2207" t="s">
        <v>3217</v>
      </c>
      <c r="E2207">
        <v>0</v>
      </c>
      <c r="F2207">
        <v>-55.44</v>
      </c>
    </row>
    <row r="2208" spans="1:6" x14ac:dyDescent="0.25">
      <c r="A2208" t="s">
        <v>1090</v>
      </c>
      <c r="B2208" t="s">
        <v>29</v>
      </c>
      <c r="C2208" t="s">
        <v>78</v>
      </c>
      <c r="D2208" t="s">
        <v>3218</v>
      </c>
      <c r="E2208">
        <v>16.86</v>
      </c>
      <c r="F2208">
        <v>-54.94</v>
      </c>
    </row>
    <row r="2209" spans="1:6" x14ac:dyDescent="0.25">
      <c r="A2209" t="s">
        <v>1090</v>
      </c>
      <c r="B2209" t="s">
        <v>29</v>
      </c>
      <c r="C2209" t="s">
        <v>78</v>
      </c>
      <c r="D2209" t="s">
        <v>3219</v>
      </c>
      <c r="E2209">
        <v>32.22</v>
      </c>
      <c r="F2209">
        <v>-54.78</v>
      </c>
    </row>
    <row r="2210" spans="1:6" x14ac:dyDescent="0.25">
      <c r="A2210" t="s">
        <v>1091</v>
      </c>
      <c r="B2210" t="s">
        <v>29</v>
      </c>
      <c r="C2210" t="s">
        <v>79</v>
      </c>
      <c r="D2210" t="s">
        <v>3217</v>
      </c>
      <c r="E2210">
        <v>0</v>
      </c>
      <c r="F2210">
        <v>-53.7</v>
      </c>
    </row>
    <row r="2211" spans="1:6" x14ac:dyDescent="0.25">
      <c r="A2211" t="s">
        <v>1091</v>
      </c>
      <c r="B2211" t="s">
        <v>29</v>
      </c>
      <c r="C2211" t="s">
        <v>79</v>
      </c>
      <c r="D2211" t="s">
        <v>3218</v>
      </c>
      <c r="E2211">
        <v>15.69</v>
      </c>
      <c r="F2211">
        <v>-53.25</v>
      </c>
    </row>
    <row r="2212" spans="1:6" x14ac:dyDescent="0.25">
      <c r="A2212" t="s">
        <v>1091</v>
      </c>
      <c r="B2212" t="s">
        <v>29</v>
      </c>
      <c r="C2212" t="s">
        <v>79</v>
      </c>
      <c r="D2212" t="s">
        <v>3219</v>
      </c>
      <c r="E2212">
        <v>31.02</v>
      </c>
      <c r="F2212">
        <v>-53.33</v>
      </c>
    </row>
    <row r="2213" spans="1:6" x14ac:dyDescent="0.25">
      <c r="A2213" t="s">
        <v>1092</v>
      </c>
      <c r="B2213" t="s">
        <v>29</v>
      </c>
      <c r="C2213" t="s">
        <v>80</v>
      </c>
      <c r="D2213" t="s">
        <v>3217</v>
      </c>
      <c r="E2213">
        <v>0</v>
      </c>
      <c r="F2213">
        <v>-52.04</v>
      </c>
    </row>
    <row r="2214" spans="1:6" x14ac:dyDescent="0.25">
      <c r="A2214" t="s">
        <v>1092</v>
      </c>
      <c r="B2214" t="s">
        <v>29</v>
      </c>
      <c r="C2214" t="s">
        <v>80</v>
      </c>
      <c r="D2214" t="s">
        <v>3218</v>
      </c>
      <c r="E2214">
        <v>17.39</v>
      </c>
      <c r="F2214">
        <v>-51.58</v>
      </c>
    </row>
    <row r="2215" spans="1:6" x14ac:dyDescent="0.25">
      <c r="A2215" t="s">
        <v>1092</v>
      </c>
      <c r="B2215" t="s">
        <v>29</v>
      </c>
      <c r="C2215" t="s">
        <v>80</v>
      </c>
      <c r="D2215" t="s">
        <v>3219</v>
      </c>
      <c r="E2215">
        <v>31.41</v>
      </c>
      <c r="F2215">
        <v>-51.82</v>
      </c>
    </row>
    <row r="2216" spans="1:6" x14ac:dyDescent="0.25">
      <c r="A2216" t="s">
        <v>1093</v>
      </c>
      <c r="B2216" t="s">
        <v>29</v>
      </c>
      <c r="C2216" t="s">
        <v>81</v>
      </c>
      <c r="D2216" t="s">
        <v>3217</v>
      </c>
      <c r="E2216">
        <v>0</v>
      </c>
      <c r="F2216">
        <v>-50.27</v>
      </c>
    </row>
    <row r="2217" spans="1:6" x14ac:dyDescent="0.25">
      <c r="A2217" t="s">
        <v>1093</v>
      </c>
      <c r="B2217" t="s">
        <v>29</v>
      </c>
      <c r="C2217" t="s">
        <v>81</v>
      </c>
      <c r="D2217" t="s">
        <v>3218</v>
      </c>
      <c r="E2217">
        <v>17.41</v>
      </c>
      <c r="F2217">
        <v>-49.84</v>
      </c>
    </row>
    <row r="2218" spans="1:6" x14ac:dyDescent="0.25">
      <c r="A2218" t="s">
        <v>1093</v>
      </c>
      <c r="B2218" t="s">
        <v>29</v>
      </c>
      <c r="C2218" t="s">
        <v>81</v>
      </c>
      <c r="D2218" t="s">
        <v>3219</v>
      </c>
      <c r="E2218">
        <v>30.12</v>
      </c>
      <c r="F2218">
        <v>-50.25</v>
      </c>
    </row>
    <row r="2219" spans="1:6" x14ac:dyDescent="0.25">
      <c r="A2219" t="s">
        <v>1094</v>
      </c>
      <c r="B2219" t="s">
        <v>29</v>
      </c>
      <c r="C2219" t="s">
        <v>82</v>
      </c>
      <c r="D2219" t="s">
        <v>3217</v>
      </c>
      <c r="E2219">
        <v>0</v>
      </c>
      <c r="F2219">
        <v>-48.53</v>
      </c>
    </row>
    <row r="2220" spans="1:6" x14ac:dyDescent="0.25">
      <c r="A2220" t="s">
        <v>1094</v>
      </c>
      <c r="B2220" t="s">
        <v>29</v>
      </c>
      <c r="C2220" t="s">
        <v>82</v>
      </c>
      <c r="D2220" t="s">
        <v>3218</v>
      </c>
      <c r="E2220">
        <v>16.82</v>
      </c>
      <c r="F2220">
        <v>-48.19</v>
      </c>
    </row>
    <row r="2221" spans="1:6" x14ac:dyDescent="0.25">
      <c r="A2221" t="s">
        <v>1094</v>
      </c>
      <c r="B2221" t="s">
        <v>29</v>
      </c>
      <c r="C2221" t="s">
        <v>82</v>
      </c>
      <c r="D2221" t="s">
        <v>3219</v>
      </c>
      <c r="E2221">
        <v>29.48</v>
      </c>
      <c r="F2221">
        <v>-48.44</v>
      </c>
    </row>
    <row r="2222" spans="1:6" x14ac:dyDescent="0.25">
      <c r="A2222" t="s">
        <v>1095</v>
      </c>
      <c r="B2222" t="s">
        <v>29</v>
      </c>
      <c r="C2222" t="s">
        <v>83</v>
      </c>
      <c r="D2222" t="s">
        <v>3217</v>
      </c>
      <c r="E2222">
        <v>0</v>
      </c>
      <c r="F2222">
        <v>-46.96</v>
      </c>
    </row>
    <row r="2223" spans="1:6" x14ac:dyDescent="0.25">
      <c r="A2223" t="s">
        <v>1095</v>
      </c>
      <c r="B2223" t="s">
        <v>29</v>
      </c>
      <c r="C2223" t="s">
        <v>83</v>
      </c>
      <c r="D2223" t="s">
        <v>3218</v>
      </c>
      <c r="E2223">
        <v>17.09</v>
      </c>
      <c r="F2223">
        <v>-46.62</v>
      </c>
    </row>
    <row r="2224" spans="1:6" x14ac:dyDescent="0.25">
      <c r="A2224" t="s">
        <v>1095</v>
      </c>
      <c r="B2224" t="s">
        <v>29</v>
      </c>
      <c r="C2224" t="s">
        <v>83</v>
      </c>
      <c r="D2224" t="s">
        <v>3219</v>
      </c>
      <c r="E2224">
        <v>31.98</v>
      </c>
      <c r="F2224">
        <v>-46.95</v>
      </c>
    </row>
    <row r="2225" spans="1:6" x14ac:dyDescent="0.25">
      <c r="A2225" t="s">
        <v>1096</v>
      </c>
      <c r="B2225" t="s">
        <v>29</v>
      </c>
      <c r="C2225" t="s">
        <v>84</v>
      </c>
      <c r="D2225" t="s">
        <v>3217</v>
      </c>
      <c r="E2225">
        <v>0</v>
      </c>
      <c r="F2225">
        <v>-45.37</v>
      </c>
    </row>
    <row r="2226" spans="1:6" x14ac:dyDescent="0.25">
      <c r="A2226" t="s">
        <v>1096</v>
      </c>
      <c r="B2226" t="s">
        <v>29</v>
      </c>
      <c r="C2226" t="s">
        <v>84</v>
      </c>
      <c r="D2226" t="s">
        <v>3218</v>
      </c>
      <c r="E2226">
        <v>16.22</v>
      </c>
      <c r="F2226">
        <v>-45.11</v>
      </c>
    </row>
    <row r="2227" spans="1:6" x14ac:dyDescent="0.25">
      <c r="A2227" t="s">
        <v>1096</v>
      </c>
      <c r="B2227" t="s">
        <v>29</v>
      </c>
      <c r="C2227" t="s">
        <v>84</v>
      </c>
      <c r="D2227" t="s">
        <v>3219</v>
      </c>
      <c r="E2227">
        <v>34.14</v>
      </c>
      <c r="F2227">
        <v>-45.71</v>
      </c>
    </row>
    <row r="2228" spans="1:6" x14ac:dyDescent="0.25">
      <c r="A2228" t="s">
        <v>1097</v>
      </c>
      <c r="B2228" t="s">
        <v>29</v>
      </c>
      <c r="C2228" t="s">
        <v>85</v>
      </c>
      <c r="D2228" t="s">
        <v>3217</v>
      </c>
      <c r="E2228">
        <v>0</v>
      </c>
      <c r="F2228">
        <v>-43.72</v>
      </c>
    </row>
    <row r="2229" spans="1:6" x14ac:dyDescent="0.25">
      <c r="A2229" t="s">
        <v>1097</v>
      </c>
      <c r="B2229" t="s">
        <v>29</v>
      </c>
      <c r="C2229" t="s">
        <v>85</v>
      </c>
      <c r="D2229" t="s">
        <v>3218</v>
      </c>
      <c r="E2229">
        <v>15.68</v>
      </c>
      <c r="F2229">
        <v>-43.69</v>
      </c>
    </row>
    <row r="2230" spans="1:6" x14ac:dyDescent="0.25">
      <c r="A2230" t="s">
        <v>1097</v>
      </c>
      <c r="B2230" t="s">
        <v>29</v>
      </c>
      <c r="C2230" t="s">
        <v>85</v>
      </c>
      <c r="D2230" t="s">
        <v>3219</v>
      </c>
      <c r="E2230">
        <v>33.89</v>
      </c>
      <c r="F2230">
        <v>-44.15</v>
      </c>
    </row>
    <row r="2231" spans="1:6" x14ac:dyDescent="0.25">
      <c r="A2231" t="s">
        <v>1098</v>
      </c>
      <c r="B2231" t="s">
        <v>29</v>
      </c>
      <c r="C2231" t="s">
        <v>86</v>
      </c>
      <c r="D2231" t="s">
        <v>3217</v>
      </c>
      <c r="E2231">
        <v>0</v>
      </c>
      <c r="F2231">
        <v>-42.49</v>
      </c>
    </row>
    <row r="2232" spans="1:6" x14ac:dyDescent="0.25">
      <c r="A2232" t="s">
        <v>1098</v>
      </c>
      <c r="B2232" t="s">
        <v>29</v>
      </c>
      <c r="C2232" t="s">
        <v>86</v>
      </c>
      <c r="D2232" t="s">
        <v>3218</v>
      </c>
      <c r="E2232">
        <v>14.92</v>
      </c>
      <c r="F2232">
        <v>-42.48</v>
      </c>
    </row>
    <row r="2233" spans="1:6" x14ac:dyDescent="0.25">
      <c r="A2233" t="s">
        <v>1098</v>
      </c>
      <c r="B2233" t="s">
        <v>29</v>
      </c>
      <c r="C2233" t="s">
        <v>86</v>
      </c>
      <c r="D2233" t="s">
        <v>3219</v>
      </c>
      <c r="E2233">
        <v>32.630000000000003</v>
      </c>
      <c r="F2233">
        <v>-42.84</v>
      </c>
    </row>
    <row r="2234" spans="1:6" x14ac:dyDescent="0.25">
      <c r="A2234" t="s">
        <v>1099</v>
      </c>
      <c r="B2234" t="s">
        <v>29</v>
      </c>
      <c r="C2234" t="s">
        <v>87</v>
      </c>
      <c r="D2234" t="s">
        <v>3217</v>
      </c>
      <c r="E2234">
        <v>0</v>
      </c>
      <c r="F2234">
        <v>-41.33</v>
      </c>
    </row>
    <row r="2235" spans="1:6" x14ac:dyDescent="0.25">
      <c r="A2235" t="s">
        <v>1099</v>
      </c>
      <c r="B2235" t="s">
        <v>29</v>
      </c>
      <c r="C2235" t="s">
        <v>87</v>
      </c>
      <c r="D2235" t="s">
        <v>3218</v>
      </c>
      <c r="E2235">
        <v>14.81</v>
      </c>
      <c r="F2235">
        <v>-41.15</v>
      </c>
    </row>
    <row r="2236" spans="1:6" x14ac:dyDescent="0.25">
      <c r="A2236" t="s">
        <v>1099</v>
      </c>
      <c r="B2236" t="s">
        <v>29</v>
      </c>
      <c r="C2236" t="s">
        <v>87</v>
      </c>
      <c r="D2236" t="s">
        <v>3219</v>
      </c>
      <c r="E2236">
        <v>31.97</v>
      </c>
      <c r="F2236">
        <v>-41.57</v>
      </c>
    </row>
    <row r="2237" spans="1:6" x14ac:dyDescent="0.25">
      <c r="A2237" t="s">
        <v>1100</v>
      </c>
      <c r="B2237" t="s">
        <v>29</v>
      </c>
      <c r="C2237" t="s">
        <v>88</v>
      </c>
      <c r="D2237" t="s">
        <v>3217</v>
      </c>
      <c r="E2237">
        <v>0</v>
      </c>
      <c r="F2237">
        <v>-40.36</v>
      </c>
    </row>
    <row r="2238" spans="1:6" x14ac:dyDescent="0.25">
      <c r="A2238" t="s">
        <v>1100</v>
      </c>
      <c r="B2238" t="s">
        <v>29</v>
      </c>
      <c r="C2238" t="s">
        <v>88</v>
      </c>
      <c r="D2238" t="s">
        <v>3218</v>
      </c>
      <c r="E2238">
        <v>13.94</v>
      </c>
      <c r="F2238">
        <v>-39.9</v>
      </c>
    </row>
    <row r="2239" spans="1:6" x14ac:dyDescent="0.25">
      <c r="A2239" t="s">
        <v>1100</v>
      </c>
      <c r="B2239" t="s">
        <v>29</v>
      </c>
      <c r="C2239" t="s">
        <v>88</v>
      </c>
      <c r="D2239" t="s">
        <v>3219</v>
      </c>
      <c r="E2239">
        <v>30.11</v>
      </c>
      <c r="F2239">
        <v>-40.159999999999997</v>
      </c>
    </row>
    <row r="2240" spans="1:6" x14ac:dyDescent="0.25">
      <c r="A2240" t="s">
        <v>1101</v>
      </c>
      <c r="B2240" t="s">
        <v>29</v>
      </c>
      <c r="C2240" t="s">
        <v>89</v>
      </c>
      <c r="D2240" t="s">
        <v>3217</v>
      </c>
      <c r="E2240">
        <v>0</v>
      </c>
      <c r="F2240">
        <v>-39.19</v>
      </c>
    </row>
    <row r="2241" spans="1:6" x14ac:dyDescent="0.25">
      <c r="A2241" t="s">
        <v>1101</v>
      </c>
      <c r="B2241" t="s">
        <v>29</v>
      </c>
      <c r="C2241" t="s">
        <v>89</v>
      </c>
      <c r="D2241" t="s">
        <v>3218</v>
      </c>
      <c r="E2241">
        <v>13.62</v>
      </c>
      <c r="F2241">
        <v>-38.67</v>
      </c>
    </row>
    <row r="2242" spans="1:6" x14ac:dyDescent="0.25">
      <c r="A2242" t="s">
        <v>1101</v>
      </c>
      <c r="B2242" t="s">
        <v>29</v>
      </c>
      <c r="C2242" t="s">
        <v>89</v>
      </c>
      <c r="D2242" t="s">
        <v>3219</v>
      </c>
      <c r="E2242">
        <v>28.53</v>
      </c>
      <c r="F2242">
        <v>-38.950000000000003</v>
      </c>
    </row>
    <row r="2243" spans="1:6" x14ac:dyDescent="0.25">
      <c r="A2243" t="s">
        <v>1102</v>
      </c>
      <c r="B2243" t="s">
        <v>29</v>
      </c>
      <c r="C2243" t="s">
        <v>90</v>
      </c>
      <c r="D2243" t="s">
        <v>3217</v>
      </c>
      <c r="E2243">
        <v>0</v>
      </c>
      <c r="F2243">
        <v>-37.92</v>
      </c>
    </row>
    <row r="2244" spans="1:6" x14ac:dyDescent="0.25">
      <c r="A2244" t="s">
        <v>1102</v>
      </c>
      <c r="B2244" t="s">
        <v>29</v>
      </c>
      <c r="C2244" t="s">
        <v>90</v>
      </c>
      <c r="D2244" t="s">
        <v>3218</v>
      </c>
      <c r="E2244">
        <v>12.95</v>
      </c>
      <c r="F2244">
        <v>-37.51</v>
      </c>
    </row>
    <row r="2245" spans="1:6" x14ac:dyDescent="0.25">
      <c r="A2245" t="s">
        <v>1102</v>
      </c>
      <c r="B2245" t="s">
        <v>29</v>
      </c>
      <c r="C2245" t="s">
        <v>90</v>
      </c>
      <c r="D2245" t="s">
        <v>3219</v>
      </c>
      <c r="E2245">
        <v>27.65</v>
      </c>
      <c r="F2245">
        <v>-37.79</v>
      </c>
    </row>
    <row r="2246" spans="1:6" x14ac:dyDescent="0.25">
      <c r="A2246" t="s">
        <v>1103</v>
      </c>
      <c r="B2246" t="s">
        <v>29</v>
      </c>
      <c r="C2246" t="s">
        <v>91</v>
      </c>
      <c r="D2246" t="s">
        <v>3217</v>
      </c>
      <c r="E2246">
        <v>0</v>
      </c>
      <c r="F2246">
        <v>-36.86</v>
      </c>
    </row>
    <row r="2247" spans="1:6" x14ac:dyDescent="0.25">
      <c r="A2247" t="s">
        <v>1103</v>
      </c>
      <c r="B2247" t="s">
        <v>29</v>
      </c>
      <c r="C2247" t="s">
        <v>91</v>
      </c>
      <c r="D2247" t="s">
        <v>3218</v>
      </c>
      <c r="E2247">
        <v>12.79</v>
      </c>
      <c r="F2247">
        <v>-36.33</v>
      </c>
    </row>
    <row r="2248" spans="1:6" x14ac:dyDescent="0.25">
      <c r="A2248" t="s">
        <v>1103</v>
      </c>
      <c r="B2248" t="s">
        <v>29</v>
      </c>
      <c r="C2248" t="s">
        <v>91</v>
      </c>
      <c r="D2248" t="s">
        <v>3219</v>
      </c>
      <c r="E2248">
        <v>27.45</v>
      </c>
      <c r="F2248">
        <v>-36.630000000000003</v>
      </c>
    </row>
    <row r="2249" spans="1:6" x14ac:dyDescent="0.25">
      <c r="A2249" t="s">
        <v>1104</v>
      </c>
      <c r="B2249" t="s">
        <v>29</v>
      </c>
      <c r="C2249" t="s">
        <v>92</v>
      </c>
      <c r="D2249" t="s">
        <v>3217</v>
      </c>
      <c r="E2249">
        <v>0</v>
      </c>
      <c r="F2249">
        <v>-35.67</v>
      </c>
    </row>
    <row r="2250" spans="1:6" x14ac:dyDescent="0.25">
      <c r="A2250" t="s">
        <v>1104</v>
      </c>
      <c r="B2250" t="s">
        <v>29</v>
      </c>
      <c r="C2250" t="s">
        <v>92</v>
      </c>
      <c r="D2250" t="s">
        <v>3218</v>
      </c>
      <c r="E2250">
        <v>13.29</v>
      </c>
      <c r="F2250">
        <v>-35.19</v>
      </c>
    </row>
    <row r="2251" spans="1:6" x14ac:dyDescent="0.25">
      <c r="A2251" t="s">
        <v>1104</v>
      </c>
      <c r="B2251" t="s">
        <v>29</v>
      </c>
      <c r="C2251" t="s">
        <v>92</v>
      </c>
      <c r="D2251" t="s">
        <v>3219</v>
      </c>
      <c r="E2251">
        <v>27.56</v>
      </c>
      <c r="F2251">
        <v>-35.450000000000003</v>
      </c>
    </row>
    <row r="2252" spans="1:6" x14ac:dyDescent="0.25">
      <c r="A2252" t="s">
        <v>1105</v>
      </c>
      <c r="B2252" t="s">
        <v>29</v>
      </c>
      <c r="C2252" t="s">
        <v>93</v>
      </c>
      <c r="D2252" t="s">
        <v>3217</v>
      </c>
      <c r="E2252">
        <v>0</v>
      </c>
      <c r="F2252">
        <v>-34.57</v>
      </c>
    </row>
    <row r="2253" spans="1:6" x14ac:dyDescent="0.25">
      <c r="A2253" t="s">
        <v>1105</v>
      </c>
      <c r="B2253" t="s">
        <v>29</v>
      </c>
      <c r="C2253" t="s">
        <v>93</v>
      </c>
      <c r="D2253" t="s">
        <v>3218</v>
      </c>
      <c r="E2253">
        <v>13.59</v>
      </c>
      <c r="F2253">
        <v>-33.97</v>
      </c>
    </row>
    <row r="2254" spans="1:6" x14ac:dyDescent="0.25">
      <c r="A2254" t="s">
        <v>1105</v>
      </c>
      <c r="B2254" t="s">
        <v>29</v>
      </c>
      <c r="C2254" t="s">
        <v>93</v>
      </c>
      <c r="D2254" t="s">
        <v>3219</v>
      </c>
      <c r="E2254">
        <v>26.84</v>
      </c>
      <c r="F2254">
        <v>-34.22</v>
      </c>
    </row>
    <row r="2255" spans="1:6" x14ac:dyDescent="0.25">
      <c r="A2255" t="s">
        <v>1106</v>
      </c>
      <c r="B2255" t="s">
        <v>29</v>
      </c>
      <c r="C2255" t="s">
        <v>94</v>
      </c>
      <c r="D2255" t="s">
        <v>3217</v>
      </c>
      <c r="E2255">
        <v>0</v>
      </c>
      <c r="F2255">
        <v>-33.15</v>
      </c>
    </row>
    <row r="2256" spans="1:6" x14ac:dyDescent="0.25">
      <c r="A2256" t="s">
        <v>1106</v>
      </c>
      <c r="B2256" t="s">
        <v>29</v>
      </c>
      <c r="C2256" t="s">
        <v>94</v>
      </c>
      <c r="D2256" t="s">
        <v>3218</v>
      </c>
      <c r="E2256">
        <v>14.04</v>
      </c>
      <c r="F2256">
        <v>-32.64</v>
      </c>
    </row>
    <row r="2257" spans="1:6" x14ac:dyDescent="0.25">
      <c r="A2257" t="s">
        <v>1106</v>
      </c>
      <c r="B2257" t="s">
        <v>29</v>
      </c>
      <c r="C2257" t="s">
        <v>94</v>
      </c>
      <c r="D2257" t="s">
        <v>3219</v>
      </c>
      <c r="E2257">
        <v>27.1</v>
      </c>
      <c r="F2257">
        <v>-32.909999999999997</v>
      </c>
    </row>
    <row r="2258" spans="1:6" x14ac:dyDescent="0.25">
      <c r="A2258" t="s">
        <v>1107</v>
      </c>
      <c r="B2258" t="s">
        <v>29</v>
      </c>
      <c r="C2258" t="s">
        <v>95</v>
      </c>
      <c r="D2258" t="s">
        <v>3217</v>
      </c>
      <c r="E2258">
        <v>0</v>
      </c>
      <c r="F2258">
        <v>-31.73</v>
      </c>
    </row>
    <row r="2259" spans="1:6" x14ac:dyDescent="0.25">
      <c r="A2259" t="s">
        <v>1107</v>
      </c>
      <c r="B2259" t="s">
        <v>29</v>
      </c>
      <c r="C2259" t="s">
        <v>95</v>
      </c>
      <c r="D2259" t="s">
        <v>3218</v>
      </c>
      <c r="E2259">
        <v>15.6</v>
      </c>
      <c r="F2259">
        <v>-31.24</v>
      </c>
    </row>
    <row r="2260" spans="1:6" x14ac:dyDescent="0.25">
      <c r="A2260" t="s">
        <v>1107</v>
      </c>
      <c r="B2260" t="s">
        <v>29</v>
      </c>
      <c r="C2260" t="s">
        <v>95</v>
      </c>
      <c r="D2260" t="s">
        <v>3219</v>
      </c>
      <c r="E2260">
        <v>28.33</v>
      </c>
      <c r="F2260">
        <v>-31.39</v>
      </c>
    </row>
    <row r="2261" spans="1:6" x14ac:dyDescent="0.25">
      <c r="A2261" t="s">
        <v>1108</v>
      </c>
      <c r="B2261" t="s">
        <v>29</v>
      </c>
      <c r="C2261" t="s">
        <v>96</v>
      </c>
      <c r="D2261" t="s">
        <v>3217</v>
      </c>
      <c r="E2261">
        <v>0</v>
      </c>
      <c r="F2261">
        <v>-30.49</v>
      </c>
    </row>
    <row r="2262" spans="1:6" x14ac:dyDescent="0.25">
      <c r="A2262" t="s">
        <v>1108</v>
      </c>
      <c r="B2262" t="s">
        <v>29</v>
      </c>
      <c r="C2262" t="s">
        <v>96</v>
      </c>
      <c r="D2262" t="s">
        <v>3218</v>
      </c>
      <c r="E2262">
        <v>16.89</v>
      </c>
      <c r="F2262">
        <v>-29.81</v>
      </c>
    </row>
    <row r="2263" spans="1:6" x14ac:dyDescent="0.25">
      <c r="A2263" t="s">
        <v>1108</v>
      </c>
      <c r="B2263" t="s">
        <v>29</v>
      </c>
      <c r="C2263" t="s">
        <v>96</v>
      </c>
      <c r="D2263" t="s">
        <v>3219</v>
      </c>
      <c r="E2263">
        <v>29.35</v>
      </c>
      <c r="F2263">
        <v>-29.94</v>
      </c>
    </row>
    <row r="2264" spans="1:6" x14ac:dyDescent="0.25">
      <c r="A2264" t="s">
        <v>1109</v>
      </c>
      <c r="B2264" t="s">
        <v>29</v>
      </c>
      <c r="C2264" t="s">
        <v>97</v>
      </c>
      <c r="D2264" t="s">
        <v>3217</v>
      </c>
      <c r="E2264">
        <v>0</v>
      </c>
      <c r="F2264">
        <v>-29.11</v>
      </c>
    </row>
    <row r="2265" spans="1:6" x14ac:dyDescent="0.25">
      <c r="A2265" t="s">
        <v>1109</v>
      </c>
      <c r="B2265" t="s">
        <v>29</v>
      </c>
      <c r="C2265" t="s">
        <v>97</v>
      </c>
      <c r="D2265" t="s">
        <v>3218</v>
      </c>
      <c r="E2265">
        <v>16.04</v>
      </c>
      <c r="F2265">
        <v>-28.56</v>
      </c>
    </row>
    <row r="2266" spans="1:6" x14ac:dyDescent="0.25">
      <c r="A2266" t="s">
        <v>1109</v>
      </c>
      <c r="B2266" t="s">
        <v>29</v>
      </c>
      <c r="C2266" t="s">
        <v>97</v>
      </c>
      <c r="D2266" t="s">
        <v>3219</v>
      </c>
      <c r="E2266">
        <v>28.07</v>
      </c>
      <c r="F2266">
        <v>-28.62</v>
      </c>
    </row>
    <row r="2267" spans="1:6" x14ac:dyDescent="0.25">
      <c r="A2267" t="s">
        <v>1110</v>
      </c>
      <c r="B2267" t="s">
        <v>29</v>
      </c>
      <c r="C2267" t="s">
        <v>98</v>
      </c>
      <c r="D2267" t="s">
        <v>3217</v>
      </c>
      <c r="E2267">
        <v>0</v>
      </c>
      <c r="F2267">
        <v>-27.69</v>
      </c>
    </row>
    <row r="2268" spans="1:6" x14ac:dyDescent="0.25">
      <c r="A2268" t="s">
        <v>1110</v>
      </c>
      <c r="B2268" t="s">
        <v>29</v>
      </c>
      <c r="C2268" t="s">
        <v>98</v>
      </c>
      <c r="D2268" t="s">
        <v>3218</v>
      </c>
      <c r="E2268">
        <v>14.85</v>
      </c>
      <c r="F2268">
        <v>-27.23</v>
      </c>
    </row>
    <row r="2269" spans="1:6" x14ac:dyDescent="0.25">
      <c r="A2269" t="s">
        <v>1110</v>
      </c>
      <c r="B2269" t="s">
        <v>29</v>
      </c>
      <c r="C2269" t="s">
        <v>98</v>
      </c>
      <c r="D2269" t="s">
        <v>3219</v>
      </c>
      <c r="E2269">
        <v>27.13</v>
      </c>
      <c r="F2269">
        <v>-27.3</v>
      </c>
    </row>
    <row r="2270" spans="1:6" x14ac:dyDescent="0.25">
      <c r="A2270" t="s">
        <v>1111</v>
      </c>
      <c r="B2270" t="s">
        <v>29</v>
      </c>
      <c r="C2270" t="s">
        <v>99</v>
      </c>
      <c r="D2270" t="s">
        <v>3217</v>
      </c>
      <c r="E2270">
        <v>0</v>
      </c>
      <c r="F2270">
        <v>-26.23</v>
      </c>
    </row>
    <row r="2271" spans="1:6" x14ac:dyDescent="0.25">
      <c r="A2271" t="s">
        <v>1111</v>
      </c>
      <c r="B2271" t="s">
        <v>29</v>
      </c>
      <c r="C2271" t="s">
        <v>99</v>
      </c>
      <c r="D2271" t="s">
        <v>3218</v>
      </c>
      <c r="E2271">
        <v>14.78</v>
      </c>
      <c r="F2271">
        <v>-25.64</v>
      </c>
    </row>
    <row r="2272" spans="1:6" x14ac:dyDescent="0.25">
      <c r="A2272" t="s">
        <v>1111</v>
      </c>
      <c r="B2272" t="s">
        <v>29</v>
      </c>
      <c r="C2272" t="s">
        <v>99</v>
      </c>
      <c r="D2272" t="s">
        <v>3219</v>
      </c>
      <c r="E2272">
        <v>28.22</v>
      </c>
      <c r="F2272">
        <v>-25.82</v>
      </c>
    </row>
    <row r="2273" spans="1:6" x14ac:dyDescent="0.25">
      <c r="A2273" t="s">
        <v>1112</v>
      </c>
      <c r="B2273" t="s">
        <v>29</v>
      </c>
      <c r="C2273" t="s">
        <v>100</v>
      </c>
      <c r="D2273" t="s">
        <v>3217</v>
      </c>
      <c r="E2273">
        <v>0</v>
      </c>
      <c r="F2273">
        <v>-24.84</v>
      </c>
    </row>
    <row r="2274" spans="1:6" x14ac:dyDescent="0.25">
      <c r="A2274" t="s">
        <v>1112</v>
      </c>
      <c r="B2274" t="s">
        <v>29</v>
      </c>
      <c r="C2274" t="s">
        <v>100</v>
      </c>
      <c r="D2274" t="s">
        <v>3218</v>
      </c>
      <c r="E2274">
        <v>13.76</v>
      </c>
      <c r="F2274">
        <v>-24.26</v>
      </c>
    </row>
    <row r="2275" spans="1:6" x14ac:dyDescent="0.25">
      <c r="A2275" t="s">
        <v>1112</v>
      </c>
      <c r="B2275" t="s">
        <v>29</v>
      </c>
      <c r="C2275" t="s">
        <v>100</v>
      </c>
      <c r="D2275" t="s">
        <v>3219</v>
      </c>
      <c r="E2275">
        <v>28</v>
      </c>
      <c r="F2275">
        <v>-24.41</v>
      </c>
    </row>
    <row r="2276" spans="1:6" x14ac:dyDescent="0.25">
      <c r="A2276" t="s">
        <v>1113</v>
      </c>
      <c r="B2276" t="s">
        <v>29</v>
      </c>
      <c r="C2276" t="s">
        <v>101</v>
      </c>
      <c r="D2276" t="s">
        <v>3217</v>
      </c>
      <c r="E2276">
        <v>0</v>
      </c>
      <c r="F2276">
        <v>-23.29</v>
      </c>
    </row>
    <row r="2277" spans="1:6" x14ac:dyDescent="0.25">
      <c r="A2277" t="s">
        <v>1113</v>
      </c>
      <c r="B2277" t="s">
        <v>29</v>
      </c>
      <c r="C2277" t="s">
        <v>101</v>
      </c>
      <c r="D2277" t="s">
        <v>3218</v>
      </c>
      <c r="E2277">
        <v>12.29</v>
      </c>
      <c r="F2277">
        <v>-22.94</v>
      </c>
    </row>
    <row r="2278" spans="1:6" x14ac:dyDescent="0.25">
      <c r="A2278" t="s">
        <v>1113</v>
      </c>
      <c r="B2278" t="s">
        <v>29</v>
      </c>
      <c r="C2278" t="s">
        <v>101</v>
      </c>
      <c r="D2278" t="s">
        <v>3219</v>
      </c>
      <c r="E2278">
        <v>27.23</v>
      </c>
      <c r="F2278">
        <v>-23.17</v>
      </c>
    </row>
    <row r="2279" spans="1:6" x14ac:dyDescent="0.25">
      <c r="A2279" t="s">
        <v>1114</v>
      </c>
      <c r="B2279" t="s">
        <v>29</v>
      </c>
      <c r="C2279" t="s">
        <v>102</v>
      </c>
      <c r="D2279" t="s">
        <v>3217</v>
      </c>
      <c r="E2279">
        <v>0</v>
      </c>
      <c r="F2279">
        <v>-21.77</v>
      </c>
    </row>
    <row r="2280" spans="1:6" x14ac:dyDescent="0.25">
      <c r="A2280" t="s">
        <v>1114</v>
      </c>
      <c r="B2280" t="s">
        <v>29</v>
      </c>
      <c r="C2280" t="s">
        <v>102</v>
      </c>
      <c r="D2280" t="s">
        <v>3218</v>
      </c>
      <c r="E2280">
        <v>10.54</v>
      </c>
      <c r="F2280">
        <v>-21.5</v>
      </c>
    </row>
    <row r="2281" spans="1:6" x14ac:dyDescent="0.25">
      <c r="A2281" t="s">
        <v>1114</v>
      </c>
      <c r="B2281" t="s">
        <v>29</v>
      </c>
      <c r="C2281" t="s">
        <v>102</v>
      </c>
      <c r="D2281" t="s">
        <v>3219</v>
      </c>
      <c r="E2281">
        <v>26.48</v>
      </c>
      <c r="F2281">
        <v>-21.74</v>
      </c>
    </row>
    <row r="2282" spans="1:6" x14ac:dyDescent="0.25">
      <c r="A2282" t="s">
        <v>1115</v>
      </c>
      <c r="B2282" t="s">
        <v>29</v>
      </c>
      <c r="C2282" t="s">
        <v>103</v>
      </c>
      <c r="D2282" t="s">
        <v>3217</v>
      </c>
      <c r="E2282">
        <v>0</v>
      </c>
      <c r="F2282">
        <v>-20.36</v>
      </c>
    </row>
    <row r="2283" spans="1:6" x14ac:dyDescent="0.25">
      <c r="A2283" t="s">
        <v>1115</v>
      </c>
      <c r="B2283" t="s">
        <v>29</v>
      </c>
      <c r="C2283" t="s">
        <v>103</v>
      </c>
      <c r="D2283" t="s">
        <v>3218</v>
      </c>
      <c r="E2283">
        <v>11.16</v>
      </c>
      <c r="F2283">
        <v>-20.13</v>
      </c>
    </row>
    <row r="2284" spans="1:6" x14ac:dyDescent="0.25">
      <c r="A2284" t="s">
        <v>1115</v>
      </c>
      <c r="B2284" t="s">
        <v>29</v>
      </c>
      <c r="C2284" t="s">
        <v>103</v>
      </c>
      <c r="D2284" t="s">
        <v>3219</v>
      </c>
      <c r="E2284">
        <v>28.12</v>
      </c>
      <c r="F2284">
        <v>-20.39</v>
      </c>
    </row>
    <row r="2285" spans="1:6" x14ac:dyDescent="0.25">
      <c r="A2285" t="s">
        <v>1116</v>
      </c>
      <c r="B2285" t="s">
        <v>29</v>
      </c>
      <c r="C2285" t="s">
        <v>104</v>
      </c>
      <c r="D2285" t="s">
        <v>3217</v>
      </c>
      <c r="E2285">
        <v>0</v>
      </c>
      <c r="F2285">
        <v>-19</v>
      </c>
    </row>
    <row r="2286" spans="1:6" x14ac:dyDescent="0.25">
      <c r="A2286" t="s">
        <v>1116</v>
      </c>
      <c r="B2286" t="s">
        <v>29</v>
      </c>
      <c r="C2286" t="s">
        <v>104</v>
      </c>
      <c r="D2286" t="s">
        <v>3218</v>
      </c>
      <c r="E2286">
        <v>11.66</v>
      </c>
      <c r="F2286">
        <v>-18.739999999999998</v>
      </c>
    </row>
    <row r="2287" spans="1:6" x14ac:dyDescent="0.25">
      <c r="A2287" t="s">
        <v>1116</v>
      </c>
      <c r="B2287" t="s">
        <v>29</v>
      </c>
      <c r="C2287" t="s">
        <v>104</v>
      </c>
      <c r="D2287" t="s">
        <v>3219</v>
      </c>
      <c r="E2287">
        <v>27.55</v>
      </c>
      <c r="F2287">
        <v>-19.23</v>
      </c>
    </row>
    <row r="2288" spans="1:6" x14ac:dyDescent="0.25">
      <c r="A2288" t="s">
        <v>1117</v>
      </c>
      <c r="B2288" t="s">
        <v>29</v>
      </c>
      <c r="C2288" t="s">
        <v>105</v>
      </c>
      <c r="D2288" t="s">
        <v>3217</v>
      </c>
      <c r="E2288">
        <v>0</v>
      </c>
      <c r="F2288">
        <v>-17.46</v>
      </c>
    </row>
    <row r="2289" spans="1:6" x14ac:dyDescent="0.25">
      <c r="A2289" t="s">
        <v>1117</v>
      </c>
      <c r="B2289" t="s">
        <v>29</v>
      </c>
      <c r="C2289" t="s">
        <v>105</v>
      </c>
      <c r="D2289" t="s">
        <v>3218</v>
      </c>
      <c r="E2289">
        <v>12.06</v>
      </c>
      <c r="F2289">
        <v>-17.350000000000001</v>
      </c>
    </row>
    <row r="2290" spans="1:6" x14ac:dyDescent="0.25">
      <c r="A2290" t="s">
        <v>1117</v>
      </c>
      <c r="B2290" t="s">
        <v>29</v>
      </c>
      <c r="C2290" t="s">
        <v>105</v>
      </c>
      <c r="D2290" t="s">
        <v>3219</v>
      </c>
      <c r="E2290">
        <v>28.71</v>
      </c>
      <c r="F2290">
        <v>-17.82</v>
      </c>
    </row>
    <row r="2291" spans="1:6" x14ac:dyDescent="0.25">
      <c r="A2291" t="s">
        <v>1118</v>
      </c>
      <c r="B2291" t="s">
        <v>29</v>
      </c>
      <c r="C2291" t="s">
        <v>106</v>
      </c>
      <c r="D2291" t="s">
        <v>3217</v>
      </c>
      <c r="E2291">
        <v>0</v>
      </c>
      <c r="F2291">
        <v>-16.010000000000002</v>
      </c>
    </row>
    <row r="2292" spans="1:6" x14ac:dyDescent="0.25">
      <c r="A2292" t="s">
        <v>1118</v>
      </c>
      <c r="B2292" t="s">
        <v>29</v>
      </c>
      <c r="C2292" t="s">
        <v>106</v>
      </c>
      <c r="D2292" t="s">
        <v>3218</v>
      </c>
      <c r="E2292">
        <v>12.1</v>
      </c>
      <c r="F2292">
        <v>-15.86</v>
      </c>
    </row>
    <row r="2293" spans="1:6" x14ac:dyDescent="0.25">
      <c r="A2293" t="s">
        <v>1118</v>
      </c>
      <c r="B2293" t="s">
        <v>29</v>
      </c>
      <c r="C2293" t="s">
        <v>106</v>
      </c>
      <c r="D2293" t="s">
        <v>3219</v>
      </c>
      <c r="E2293">
        <v>29.42</v>
      </c>
      <c r="F2293">
        <v>-16.53</v>
      </c>
    </row>
    <row r="2294" spans="1:6" x14ac:dyDescent="0.25">
      <c r="A2294" t="s">
        <v>1119</v>
      </c>
      <c r="B2294" t="s">
        <v>29</v>
      </c>
      <c r="C2294" t="s">
        <v>108</v>
      </c>
      <c r="D2294" t="s">
        <v>3217</v>
      </c>
      <c r="E2294">
        <v>0</v>
      </c>
      <c r="F2294">
        <v>-14.58</v>
      </c>
    </row>
    <row r="2295" spans="1:6" x14ac:dyDescent="0.25">
      <c r="A2295" t="s">
        <v>1119</v>
      </c>
      <c r="B2295" t="s">
        <v>29</v>
      </c>
      <c r="C2295" t="s">
        <v>108</v>
      </c>
      <c r="D2295" t="s">
        <v>3218</v>
      </c>
      <c r="E2295">
        <v>12.66</v>
      </c>
      <c r="F2295">
        <v>-14.47</v>
      </c>
    </row>
    <row r="2296" spans="1:6" x14ac:dyDescent="0.25">
      <c r="A2296" t="s">
        <v>1119</v>
      </c>
      <c r="B2296" t="s">
        <v>29</v>
      </c>
      <c r="C2296" t="s">
        <v>108</v>
      </c>
      <c r="D2296" t="s">
        <v>3219</v>
      </c>
      <c r="E2296">
        <v>30.59</v>
      </c>
      <c r="F2296">
        <v>-14.74</v>
      </c>
    </row>
    <row r="2297" spans="1:6" x14ac:dyDescent="0.25">
      <c r="A2297" t="s">
        <v>1120</v>
      </c>
      <c r="B2297" t="s">
        <v>29</v>
      </c>
      <c r="C2297" t="s">
        <v>109</v>
      </c>
      <c r="D2297" t="s">
        <v>3217</v>
      </c>
      <c r="E2297">
        <v>0</v>
      </c>
      <c r="F2297">
        <v>-13</v>
      </c>
    </row>
    <row r="2298" spans="1:6" x14ac:dyDescent="0.25">
      <c r="A2298" t="s">
        <v>1120</v>
      </c>
      <c r="B2298" t="s">
        <v>29</v>
      </c>
      <c r="C2298" t="s">
        <v>109</v>
      </c>
      <c r="D2298" t="s">
        <v>3218</v>
      </c>
      <c r="E2298">
        <v>13.27</v>
      </c>
      <c r="F2298">
        <v>-12.94</v>
      </c>
    </row>
    <row r="2299" spans="1:6" x14ac:dyDescent="0.25">
      <c r="A2299" t="s">
        <v>1120</v>
      </c>
      <c r="B2299" t="s">
        <v>29</v>
      </c>
      <c r="C2299" t="s">
        <v>109</v>
      </c>
      <c r="D2299" t="s">
        <v>3219</v>
      </c>
      <c r="E2299">
        <v>30.45</v>
      </c>
      <c r="F2299">
        <v>-13.17</v>
      </c>
    </row>
    <row r="2300" spans="1:6" x14ac:dyDescent="0.25">
      <c r="A2300" t="s">
        <v>1121</v>
      </c>
      <c r="B2300" t="s">
        <v>29</v>
      </c>
      <c r="C2300" t="s">
        <v>110</v>
      </c>
      <c r="D2300" t="s">
        <v>3217</v>
      </c>
      <c r="E2300">
        <v>0</v>
      </c>
      <c r="F2300">
        <v>-11.71</v>
      </c>
    </row>
    <row r="2301" spans="1:6" x14ac:dyDescent="0.25">
      <c r="A2301" t="s">
        <v>1121</v>
      </c>
      <c r="B2301" t="s">
        <v>29</v>
      </c>
      <c r="C2301" t="s">
        <v>110</v>
      </c>
      <c r="D2301" t="s">
        <v>3218</v>
      </c>
      <c r="E2301">
        <v>13.51</v>
      </c>
      <c r="F2301">
        <v>-11.53</v>
      </c>
    </row>
    <row r="2302" spans="1:6" x14ac:dyDescent="0.25">
      <c r="A2302" t="s">
        <v>1121</v>
      </c>
      <c r="B2302" t="s">
        <v>29</v>
      </c>
      <c r="C2302" t="s">
        <v>110</v>
      </c>
      <c r="D2302" t="s">
        <v>3219</v>
      </c>
      <c r="E2302">
        <v>30.29</v>
      </c>
      <c r="F2302">
        <v>-11.56</v>
      </c>
    </row>
    <row r="2303" spans="1:6" x14ac:dyDescent="0.25">
      <c r="A2303" t="s">
        <v>1122</v>
      </c>
      <c r="B2303" t="s">
        <v>29</v>
      </c>
      <c r="C2303" t="s">
        <v>111</v>
      </c>
      <c r="D2303" t="s">
        <v>3217</v>
      </c>
      <c r="E2303">
        <v>0</v>
      </c>
      <c r="F2303">
        <v>-10.48</v>
      </c>
    </row>
    <row r="2304" spans="1:6" x14ac:dyDescent="0.25">
      <c r="A2304" t="s">
        <v>1122</v>
      </c>
      <c r="B2304" t="s">
        <v>29</v>
      </c>
      <c r="C2304" t="s">
        <v>111</v>
      </c>
      <c r="D2304" t="s">
        <v>3218</v>
      </c>
      <c r="E2304">
        <v>13.45</v>
      </c>
      <c r="F2304">
        <v>-10.06</v>
      </c>
    </row>
    <row r="2305" spans="1:6" x14ac:dyDescent="0.25">
      <c r="A2305" t="s">
        <v>1122</v>
      </c>
      <c r="B2305" t="s">
        <v>29</v>
      </c>
      <c r="C2305" t="s">
        <v>111</v>
      </c>
      <c r="D2305" t="s">
        <v>3219</v>
      </c>
      <c r="E2305">
        <v>29.21</v>
      </c>
      <c r="F2305">
        <v>-10.11</v>
      </c>
    </row>
    <row r="2306" spans="1:6" x14ac:dyDescent="0.25">
      <c r="A2306" t="s">
        <v>1123</v>
      </c>
      <c r="B2306" t="s">
        <v>29</v>
      </c>
      <c r="C2306" t="s">
        <v>112</v>
      </c>
      <c r="D2306" t="s">
        <v>3217</v>
      </c>
      <c r="E2306">
        <v>0</v>
      </c>
      <c r="F2306">
        <v>-8.86</v>
      </c>
    </row>
    <row r="2307" spans="1:6" x14ac:dyDescent="0.25">
      <c r="A2307" t="s">
        <v>1123</v>
      </c>
      <c r="B2307" t="s">
        <v>29</v>
      </c>
      <c r="C2307" t="s">
        <v>112</v>
      </c>
      <c r="D2307" t="s">
        <v>3218</v>
      </c>
      <c r="E2307">
        <v>13.51</v>
      </c>
      <c r="F2307">
        <v>-8.61</v>
      </c>
    </row>
    <row r="2308" spans="1:6" x14ac:dyDescent="0.25">
      <c r="A2308" t="s">
        <v>1123</v>
      </c>
      <c r="B2308" t="s">
        <v>29</v>
      </c>
      <c r="C2308" t="s">
        <v>112</v>
      </c>
      <c r="D2308" t="s">
        <v>3219</v>
      </c>
      <c r="E2308">
        <v>27.72</v>
      </c>
      <c r="F2308">
        <v>-8.69</v>
      </c>
    </row>
    <row r="2309" spans="1:6" x14ac:dyDescent="0.25">
      <c r="A2309" t="s">
        <v>1124</v>
      </c>
      <c r="B2309" t="s">
        <v>29</v>
      </c>
      <c r="C2309" t="s">
        <v>113</v>
      </c>
      <c r="D2309" t="s">
        <v>3217</v>
      </c>
      <c r="E2309">
        <v>0</v>
      </c>
      <c r="F2309">
        <v>-7.36</v>
      </c>
    </row>
    <row r="2310" spans="1:6" x14ac:dyDescent="0.25">
      <c r="A2310" t="s">
        <v>1124</v>
      </c>
      <c r="B2310" t="s">
        <v>29</v>
      </c>
      <c r="C2310" t="s">
        <v>113</v>
      </c>
      <c r="D2310" t="s">
        <v>3218</v>
      </c>
      <c r="E2310">
        <v>13.84</v>
      </c>
      <c r="F2310">
        <v>-7.09</v>
      </c>
    </row>
    <row r="2311" spans="1:6" x14ac:dyDescent="0.25">
      <c r="A2311" t="s">
        <v>1124</v>
      </c>
      <c r="B2311" t="s">
        <v>29</v>
      </c>
      <c r="C2311" t="s">
        <v>113</v>
      </c>
      <c r="D2311" t="s">
        <v>3219</v>
      </c>
      <c r="E2311">
        <v>26.45</v>
      </c>
      <c r="F2311">
        <v>-7.3</v>
      </c>
    </row>
    <row r="2312" spans="1:6" x14ac:dyDescent="0.25">
      <c r="A2312" t="s">
        <v>1125</v>
      </c>
      <c r="B2312" t="s">
        <v>29</v>
      </c>
      <c r="C2312" t="s">
        <v>114</v>
      </c>
      <c r="D2312" t="s">
        <v>3217</v>
      </c>
      <c r="E2312">
        <v>0</v>
      </c>
      <c r="F2312">
        <v>-5.87</v>
      </c>
    </row>
    <row r="2313" spans="1:6" x14ac:dyDescent="0.25">
      <c r="A2313" t="s">
        <v>1125</v>
      </c>
      <c r="B2313" t="s">
        <v>29</v>
      </c>
      <c r="C2313" t="s">
        <v>114</v>
      </c>
      <c r="D2313" t="s">
        <v>3218</v>
      </c>
      <c r="E2313">
        <v>14.04</v>
      </c>
      <c r="F2313">
        <v>-5.71</v>
      </c>
    </row>
    <row r="2314" spans="1:6" x14ac:dyDescent="0.25">
      <c r="A2314" t="s">
        <v>1125</v>
      </c>
      <c r="B2314" t="s">
        <v>29</v>
      </c>
      <c r="C2314" t="s">
        <v>114</v>
      </c>
      <c r="D2314" t="s">
        <v>3219</v>
      </c>
      <c r="E2314">
        <v>25.15</v>
      </c>
      <c r="F2314">
        <v>-5.92</v>
      </c>
    </row>
    <row r="2315" spans="1:6" x14ac:dyDescent="0.25">
      <c r="A2315" t="s">
        <v>1126</v>
      </c>
      <c r="B2315" t="s">
        <v>29</v>
      </c>
      <c r="C2315" t="s">
        <v>115</v>
      </c>
      <c r="D2315" t="s">
        <v>3217</v>
      </c>
      <c r="E2315">
        <v>0</v>
      </c>
      <c r="F2315">
        <v>-4.68</v>
      </c>
    </row>
    <row r="2316" spans="1:6" x14ac:dyDescent="0.25">
      <c r="A2316" t="s">
        <v>1126</v>
      </c>
      <c r="B2316" t="s">
        <v>29</v>
      </c>
      <c r="C2316" t="s">
        <v>115</v>
      </c>
      <c r="D2316" t="s">
        <v>3218</v>
      </c>
      <c r="E2316">
        <v>13.73</v>
      </c>
      <c r="F2316">
        <v>-4.3499999999999996</v>
      </c>
    </row>
    <row r="2317" spans="1:6" x14ac:dyDescent="0.25">
      <c r="A2317" t="s">
        <v>1126</v>
      </c>
      <c r="B2317" t="s">
        <v>29</v>
      </c>
      <c r="C2317" t="s">
        <v>115</v>
      </c>
      <c r="D2317" t="s">
        <v>3219</v>
      </c>
      <c r="E2317">
        <v>24.89</v>
      </c>
      <c r="F2317">
        <v>-4.51</v>
      </c>
    </row>
    <row r="2318" spans="1:6" x14ac:dyDescent="0.25">
      <c r="A2318" t="s">
        <v>1127</v>
      </c>
      <c r="B2318" t="s">
        <v>29</v>
      </c>
      <c r="C2318" t="s">
        <v>116</v>
      </c>
      <c r="D2318" t="s">
        <v>3217</v>
      </c>
      <c r="E2318">
        <v>0</v>
      </c>
      <c r="F2318">
        <v>-3.27</v>
      </c>
    </row>
    <row r="2319" spans="1:6" x14ac:dyDescent="0.25">
      <c r="A2319" t="s">
        <v>1127</v>
      </c>
      <c r="B2319" t="s">
        <v>29</v>
      </c>
      <c r="C2319" t="s">
        <v>116</v>
      </c>
      <c r="D2319" t="s">
        <v>3218</v>
      </c>
      <c r="E2319">
        <v>13.25</v>
      </c>
      <c r="F2319">
        <v>-2.99</v>
      </c>
    </row>
    <row r="2320" spans="1:6" x14ac:dyDescent="0.25">
      <c r="A2320" t="s">
        <v>1127</v>
      </c>
      <c r="B2320" t="s">
        <v>29</v>
      </c>
      <c r="C2320" t="s">
        <v>116</v>
      </c>
      <c r="D2320" t="s">
        <v>3219</v>
      </c>
      <c r="E2320">
        <v>25.01</v>
      </c>
      <c r="F2320">
        <v>-3.12</v>
      </c>
    </row>
    <row r="2321" spans="1:6" x14ac:dyDescent="0.25">
      <c r="A2321" t="s">
        <v>1128</v>
      </c>
      <c r="B2321" t="s">
        <v>29</v>
      </c>
      <c r="C2321" t="s">
        <v>117</v>
      </c>
      <c r="D2321" t="s">
        <v>3217</v>
      </c>
      <c r="E2321">
        <v>0</v>
      </c>
      <c r="F2321">
        <v>-2.0499999999999998</v>
      </c>
    </row>
    <row r="2322" spans="1:6" x14ac:dyDescent="0.25">
      <c r="A2322" t="s">
        <v>1128</v>
      </c>
      <c r="B2322" t="s">
        <v>29</v>
      </c>
      <c r="C2322" t="s">
        <v>117</v>
      </c>
      <c r="D2322" t="s">
        <v>3218</v>
      </c>
      <c r="E2322">
        <v>12.91</v>
      </c>
      <c r="F2322">
        <v>-1.55</v>
      </c>
    </row>
    <row r="2323" spans="1:6" x14ac:dyDescent="0.25">
      <c r="A2323" t="s">
        <v>1128</v>
      </c>
      <c r="B2323" t="s">
        <v>29</v>
      </c>
      <c r="C2323" t="s">
        <v>117</v>
      </c>
      <c r="D2323" t="s">
        <v>3219</v>
      </c>
      <c r="E2323">
        <v>25.06</v>
      </c>
      <c r="F2323">
        <v>-1.64</v>
      </c>
    </row>
    <row r="2324" spans="1:6" x14ac:dyDescent="0.25">
      <c r="A2324" t="s">
        <v>1129</v>
      </c>
      <c r="B2324" t="s">
        <v>29</v>
      </c>
      <c r="C2324" t="s">
        <v>118</v>
      </c>
      <c r="D2324" t="s">
        <v>3217</v>
      </c>
      <c r="E2324">
        <v>0</v>
      </c>
      <c r="F2324">
        <v>-0.62</v>
      </c>
    </row>
    <row r="2325" spans="1:6" x14ac:dyDescent="0.25">
      <c r="A2325" t="s">
        <v>1129</v>
      </c>
      <c r="B2325" t="s">
        <v>29</v>
      </c>
      <c r="C2325" t="s">
        <v>118</v>
      </c>
      <c r="D2325" t="s">
        <v>3218</v>
      </c>
      <c r="E2325">
        <v>12.1</v>
      </c>
      <c r="F2325">
        <v>-0.2</v>
      </c>
    </row>
    <row r="2326" spans="1:6" x14ac:dyDescent="0.25">
      <c r="A2326" t="s">
        <v>1129</v>
      </c>
      <c r="B2326" t="s">
        <v>29</v>
      </c>
      <c r="C2326" t="s">
        <v>118</v>
      </c>
      <c r="D2326" t="s">
        <v>3219</v>
      </c>
      <c r="E2326">
        <v>25.29</v>
      </c>
      <c r="F2326">
        <v>-0.32</v>
      </c>
    </row>
    <row r="2327" spans="1:6" x14ac:dyDescent="0.25">
      <c r="A2327" t="s">
        <v>1130</v>
      </c>
      <c r="B2327" t="s">
        <v>29</v>
      </c>
      <c r="C2327" t="s">
        <v>119</v>
      </c>
      <c r="D2327" t="s">
        <v>3217</v>
      </c>
      <c r="E2327">
        <v>0</v>
      </c>
      <c r="F2327">
        <v>0.66</v>
      </c>
    </row>
    <row r="2328" spans="1:6" x14ac:dyDescent="0.25">
      <c r="A2328" t="s">
        <v>1130</v>
      </c>
      <c r="B2328" t="s">
        <v>29</v>
      </c>
      <c r="C2328" t="s">
        <v>119</v>
      </c>
      <c r="D2328" t="s">
        <v>3218</v>
      </c>
      <c r="E2328">
        <v>11.72</v>
      </c>
      <c r="F2328">
        <v>1.01</v>
      </c>
    </row>
    <row r="2329" spans="1:6" x14ac:dyDescent="0.25">
      <c r="A2329" t="s">
        <v>1130</v>
      </c>
      <c r="B2329" t="s">
        <v>29</v>
      </c>
      <c r="C2329" t="s">
        <v>119</v>
      </c>
      <c r="D2329" t="s">
        <v>3219</v>
      </c>
      <c r="E2329">
        <v>25.42</v>
      </c>
      <c r="F2329">
        <v>0.84</v>
      </c>
    </row>
    <row r="2330" spans="1:6" x14ac:dyDescent="0.25">
      <c r="A2330" t="s">
        <v>1131</v>
      </c>
      <c r="B2330" t="s">
        <v>29</v>
      </c>
      <c r="C2330" t="s">
        <v>120</v>
      </c>
      <c r="D2330" t="s">
        <v>3217</v>
      </c>
      <c r="E2330">
        <v>0</v>
      </c>
      <c r="F2330">
        <v>1.8</v>
      </c>
    </row>
    <row r="2331" spans="1:6" x14ac:dyDescent="0.25">
      <c r="A2331" t="s">
        <v>1131</v>
      </c>
      <c r="B2331" t="s">
        <v>29</v>
      </c>
      <c r="C2331" t="s">
        <v>120</v>
      </c>
      <c r="D2331" t="s">
        <v>3218</v>
      </c>
      <c r="E2331">
        <v>12.3</v>
      </c>
      <c r="F2331">
        <v>2.13</v>
      </c>
    </row>
    <row r="2332" spans="1:6" x14ac:dyDescent="0.25">
      <c r="A2332" t="s">
        <v>1131</v>
      </c>
      <c r="B2332" t="s">
        <v>29</v>
      </c>
      <c r="C2332" t="s">
        <v>120</v>
      </c>
      <c r="D2332" t="s">
        <v>3219</v>
      </c>
      <c r="E2332">
        <v>26.46</v>
      </c>
      <c r="F2332">
        <v>2.04</v>
      </c>
    </row>
    <row r="2333" spans="1:6" x14ac:dyDescent="0.25">
      <c r="A2333" t="s">
        <v>1132</v>
      </c>
      <c r="B2333" t="s">
        <v>29</v>
      </c>
      <c r="C2333" t="s">
        <v>121</v>
      </c>
      <c r="D2333" t="s">
        <v>3217</v>
      </c>
      <c r="E2333">
        <v>0</v>
      </c>
      <c r="F2333">
        <v>2.74</v>
      </c>
    </row>
    <row r="2334" spans="1:6" x14ac:dyDescent="0.25">
      <c r="A2334" t="s">
        <v>1132</v>
      </c>
      <c r="B2334" t="s">
        <v>29</v>
      </c>
      <c r="C2334" t="s">
        <v>121</v>
      </c>
      <c r="D2334" t="s">
        <v>3218</v>
      </c>
      <c r="E2334">
        <v>12.56</v>
      </c>
      <c r="F2334">
        <v>2.89</v>
      </c>
    </row>
    <row r="2335" spans="1:6" x14ac:dyDescent="0.25">
      <c r="A2335" t="s">
        <v>1132</v>
      </c>
      <c r="B2335" t="s">
        <v>29</v>
      </c>
      <c r="C2335" t="s">
        <v>121</v>
      </c>
      <c r="D2335" t="s">
        <v>3219</v>
      </c>
      <c r="E2335">
        <v>26.2</v>
      </c>
      <c r="F2335">
        <v>2.85</v>
      </c>
    </row>
    <row r="2336" spans="1:6" x14ac:dyDescent="0.25">
      <c r="A2336" t="s">
        <v>1133</v>
      </c>
      <c r="B2336" t="s">
        <v>29</v>
      </c>
      <c r="C2336" t="s">
        <v>123</v>
      </c>
      <c r="D2336" t="s">
        <v>3217</v>
      </c>
      <c r="E2336">
        <v>0</v>
      </c>
      <c r="F2336">
        <v>3.58</v>
      </c>
    </row>
    <row r="2337" spans="1:6" x14ac:dyDescent="0.25">
      <c r="A2337" t="s">
        <v>1133</v>
      </c>
      <c r="B2337" t="s">
        <v>29</v>
      </c>
      <c r="C2337" t="s">
        <v>123</v>
      </c>
      <c r="D2337" t="s">
        <v>3218</v>
      </c>
      <c r="E2337">
        <v>13.16</v>
      </c>
      <c r="F2337">
        <v>3.68</v>
      </c>
    </row>
    <row r="2338" spans="1:6" x14ac:dyDescent="0.25">
      <c r="A2338" t="s">
        <v>1133</v>
      </c>
      <c r="B2338" t="s">
        <v>29</v>
      </c>
      <c r="C2338" t="s">
        <v>123</v>
      </c>
      <c r="D2338" t="s">
        <v>3219</v>
      </c>
      <c r="E2338">
        <v>26.05</v>
      </c>
      <c r="F2338">
        <v>3.61</v>
      </c>
    </row>
    <row r="2339" spans="1:6" x14ac:dyDescent="0.25">
      <c r="A2339" t="s">
        <v>1134</v>
      </c>
      <c r="B2339" t="s">
        <v>29</v>
      </c>
      <c r="C2339" t="s">
        <v>124</v>
      </c>
      <c r="D2339" t="s">
        <v>3217</v>
      </c>
      <c r="E2339">
        <v>0</v>
      </c>
      <c r="F2339">
        <v>4.0999999999999996</v>
      </c>
    </row>
    <row r="2340" spans="1:6" x14ac:dyDescent="0.25">
      <c r="A2340" t="s">
        <v>1134</v>
      </c>
      <c r="B2340" t="s">
        <v>29</v>
      </c>
      <c r="C2340" t="s">
        <v>124</v>
      </c>
      <c r="D2340" t="s">
        <v>3218</v>
      </c>
      <c r="E2340">
        <v>13.45</v>
      </c>
      <c r="F2340">
        <v>4.5599999999999996</v>
      </c>
    </row>
    <row r="2341" spans="1:6" x14ac:dyDescent="0.25">
      <c r="A2341" t="s">
        <v>1134</v>
      </c>
      <c r="B2341" t="s">
        <v>29</v>
      </c>
      <c r="C2341" t="s">
        <v>124</v>
      </c>
      <c r="D2341" t="s">
        <v>3219</v>
      </c>
      <c r="E2341">
        <v>25.32</v>
      </c>
      <c r="F2341">
        <v>4.4800000000000004</v>
      </c>
    </row>
    <row r="2342" spans="1:6" x14ac:dyDescent="0.25">
      <c r="A2342" t="s">
        <v>1135</v>
      </c>
      <c r="B2342" t="s">
        <v>29</v>
      </c>
      <c r="C2342" t="s">
        <v>125</v>
      </c>
      <c r="D2342" t="s">
        <v>3217</v>
      </c>
      <c r="E2342">
        <v>0</v>
      </c>
      <c r="F2342">
        <v>4.7</v>
      </c>
    </row>
    <row r="2343" spans="1:6" x14ac:dyDescent="0.25">
      <c r="A2343" t="s">
        <v>1135</v>
      </c>
      <c r="B2343" t="s">
        <v>29</v>
      </c>
      <c r="C2343" t="s">
        <v>125</v>
      </c>
      <c r="D2343" t="s">
        <v>3218</v>
      </c>
      <c r="E2343">
        <v>14.45</v>
      </c>
      <c r="F2343">
        <v>5.27</v>
      </c>
    </row>
    <row r="2344" spans="1:6" x14ac:dyDescent="0.25">
      <c r="A2344" t="s">
        <v>1135</v>
      </c>
      <c r="B2344" t="s">
        <v>29</v>
      </c>
      <c r="C2344" t="s">
        <v>125</v>
      </c>
      <c r="D2344" t="s">
        <v>3219</v>
      </c>
      <c r="E2344">
        <v>27.34</v>
      </c>
      <c r="F2344">
        <v>5.3</v>
      </c>
    </row>
    <row r="2345" spans="1:6" x14ac:dyDescent="0.25">
      <c r="A2345" t="s">
        <v>1136</v>
      </c>
      <c r="B2345" t="s">
        <v>29</v>
      </c>
      <c r="C2345" t="s">
        <v>126</v>
      </c>
      <c r="D2345" t="s">
        <v>3217</v>
      </c>
      <c r="E2345">
        <v>0</v>
      </c>
      <c r="F2345">
        <v>5.66</v>
      </c>
    </row>
    <row r="2346" spans="1:6" x14ac:dyDescent="0.25">
      <c r="A2346" t="s">
        <v>1136</v>
      </c>
      <c r="B2346" t="s">
        <v>29</v>
      </c>
      <c r="C2346" t="s">
        <v>126</v>
      </c>
      <c r="D2346" t="s">
        <v>3218</v>
      </c>
      <c r="E2346">
        <v>14.45</v>
      </c>
      <c r="F2346">
        <v>5.49</v>
      </c>
    </row>
    <row r="2347" spans="1:6" x14ac:dyDescent="0.25">
      <c r="A2347" t="s">
        <v>1136</v>
      </c>
      <c r="B2347" t="s">
        <v>29</v>
      </c>
      <c r="C2347" t="s">
        <v>126</v>
      </c>
      <c r="D2347" t="s">
        <v>3219</v>
      </c>
      <c r="E2347">
        <v>30.02</v>
      </c>
      <c r="F2347">
        <v>5.98</v>
      </c>
    </row>
    <row r="2348" spans="1:6" x14ac:dyDescent="0.25">
      <c r="A2348" t="s">
        <v>1137</v>
      </c>
      <c r="B2348" t="s">
        <v>29</v>
      </c>
      <c r="C2348" t="s">
        <v>127</v>
      </c>
      <c r="D2348" t="s">
        <v>3217</v>
      </c>
      <c r="E2348">
        <v>0</v>
      </c>
      <c r="F2348">
        <v>6.44</v>
      </c>
    </row>
    <row r="2349" spans="1:6" x14ac:dyDescent="0.25">
      <c r="A2349" t="s">
        <v>1137</v>
      </c>
      <c r="B2349" t="s">
        <v>29</v>
      </c>
      <c r="C2349" t="s">
        <v>127</v>
      </c>
      <c r="D2349" t="s">
        <v>3218</v>
      </c>
      <c r="E2349">
        <v>14.45</v>
      </c>
      <c r="F2349">
        <v>6.14</v>
      </c>
    </row>
    <row r="2350" spans="1:6" x14ac:dyDescent="0.25">
      <c r="A2350" t="s">
        <v>1137</v>
      </c>
      <c r="B2350" t="s">
        <v>29</v>
      </c>
      <c r="C2350" t="s">
        <v>127</v>
      </c>
      <c r="D2350" t="s">
        <v>3219</v>
      </c>
      <c r="E2350">
        <v>30.02</v>
      </c>
      <c r="F2350">
        <v>6.2</v>
      </c>
    </row>
    <row r="2351" spans="1:6" x14ac:dyDescent="0.25">
      <c r="A2351" t="s">
        <v>1138</v>
      </c>
      <c r="B2351" t="s">
        <v>29</v>
      </c>
      <c r="C2351" t="s">
        <v>128</v>
      </c>
      <c r="D2351" t="s">
        <v>3217</v>
      </c>
      <c r="E2351">
        <v>0</v>
      </c>
      <c r="F2351">
        <v>7.34</v>
      </c>
    </row>
    <row r="2352" spans="1:6" x14ac:dyDescent="0.25">
      <c r="A2352" t="s">
        <v>1138</v>
      </c>
      <c r="B2352" t="s">
        <v>29</v>
      </c>
      <c r="C2352" t="s">
        <v>128</v>
      </c>
      <c r="D2352" t="s">
        <v>3218</v>
      </c>
      <c r="E2352">
        <v>13.48</v>
      </c>
      <c r="F2352">
        <v>7.4</v>
      </c>
    </row>
    <row r="2353" spans="1:6" x14ac:dyDescent="0.25">
      <c r="A2353" t="s">
        <v>1138</v>
      </c>
      <c r="B2353" t="s">
        <v>29</v>
      </c>
      <c r="C2353" t="s">
        <v>128</v>
      </c>
      <c r="D2353" t="s">
        <v>3219</v>
      </c>
      <c r="E2353">
        <v>29.05</v>
      </c>
      <c r="F2353">
        <v>6.51</v>
      </c>
    </row>
    <row r="2354" spans="1:6" x14ac:dyDescent="0.25">
      <c r="A2354" t="s">
        <v>1139</v>
      </c>
      <c r="B2354" t="s">
        <v>29</v>
      </c>
      <c r="C2354" t="s">
        <v>129</v>
      </c>
      <c r="D2354" t="s">
        <v>3217</v>
      </c>
      <c r="E2354">
        <v>0</v>
      </c>
      <c r="F2354">
        <v>8.2100000000000009</v>
      </c>
    </row>
    <row r="2355" spans="1:6" x14ac:dyDescent="0.25">
      <c r="A2355" t="s">
        <v>1139</v>
      </c>
      <c r="B2355" t="s">
        <v>29</v>
      </c>
      <c r="C2355" t="s">
        <v>129</v>
      </c>
      <c r="D2355" t="s">
        <v>3218</v>
      </c>
      <c r="E2355">
        <v>12.42</v>
      </c>
      <c r="F2355">
        <v>8.2799999999999994</v>
      </c>
    </row>
    <row r="2356" spans="1:6" x14ac:dyDescent="0.25">
      <c r="A2356" t="s">
        <v>1139</v>
      </c>
      <c r="B2356" t="s">
        <v>29</v>
      </c>
      <c r="C2356" t="s">
        <v>129</v>
      </c>
      <c r="D2356" t="s">
        <v>3219</v>
      </c>
      <c r="E2356">
        <v>26.11</v>
      </c>
      <c r="F2356">
        <v>7.5</v>
      </c>
    </row>
    <row r="2357" spans="1:6" x14ac:dyDescent="0.25">
      <c r="A2357" t="s">
        <v>1140</v>
      </c>
      <c r="B2357" t="s">
        <v>29</v>
      </c>
      <c r="C2357" t="s">
        <v>130</v>
      </c>
      <c r="D2357" t="s">
        <v>3217</v>
      </c>
      <c r="E2357">
        <v>0</v>
      </c>
      <c r="F2357">
        <v>9.4700000000000006</v>
      </c>
    </row>
    <row r="2358" spans="1:6" x14ac:dyDescent="0.25">
      <c r="A2358" t="s">
        <v>1140</v>
      </c>
      <c r="B2358" t="s">
        <v>29</v>
      </c>
      <c r="C2358" t="s">
        <v>130</v>
      </c>
      <c r="D2358" t="s">
        <v>3218</v>
      </c>
      <c r="E2358">
        <v>12.43</v>
      </c>
      <c r="F2358">
        <v>9.36</v>
      </c>
    </row>
    <row r="2359" spans="1:6" x14ac:dyDescent="0.25">
      <c r="A2359" t="s">
        <v>1140</v>
      </c>
      <c r="B2359" t="s">
        <v>29</v>
      </c>
      <c r="C2359" t="s">
        <v>130</v>
      </c>
      <c r="D2359" t="s">
        <v>3219</v>
      </c>
      <c r="E2359">
        <v>27.18</v>
      </c>
      <c r="F2359">
        <v>8.81</v>
      </c>
    </row>
    <row r="2360" spans="1:6" x14ac:dyDescent="0.25">
      <c r="A2360" t="s">
        <v>1141</v>
      </c>
      <c r="B2360" t="s">
        <v>29</v>
      </c>
      <c r="C2360" t="s">
        <v>131</v>
      </c>
      <c r="D2360" t="s">
        <v>3217</v>
      </c>
      <c r="E2360">
        <v>0</v>
      </c>
      <c r="F2360">
        <v>10.76</v>
      </c>
    </row>
    <row r="2361" spans="1:6" x14ac:dyDescent="0.25">
      <c r="A2361" t="s">
        <v>1141</v>
      </c>
      <c r="B2361" t="s">
        <v>29</v>
      </c>
      <c r="C2361" t="s">
        <v>131</v>
      </c>
      <c r="D2361" t="s">
        <v>3218</v>
      </c>
      <c r="E2361">
        <v>12.28</v>
      </c>
      <c r="F2361">
        <v>10.68</v>
      </c>
    </row>
    <row r="2362" spans="1:6" x14ac:dyDescent="0.25">
      <c r="A2362" t="s">
        <v>1141</v>
      </c>
      <c r="B2362" t="s">
        <v>29</v>
      </c>
      <c r="C2362" t="s">
        <v>131</v>
      </c>
      <c r="D2362" t="s">
        <v>3219</v>
      </c>
      <c r="E2362">
        <v>27.03</v>
      </c>
      <c r="F2362">
        <v>9.83</v>
      </c>
    </row>
    <row r="2363" spans="1:6" x14ac:dyDescent="0.25">
      <c r="A2363" t="s">
        <v>1142</v>
      </c>
      <c r="B2363" t="s">
        <v>29</v>
      </c>
      <c r="C2363" t="s">
        <v>132</v>
      </c>
      <c r="D2363" t="s">
        <v>3217</v>
      </c>
      <c r="E2363">
        <v>0</v>
      </c>
      <c r="F2363">
        <v>12.35</v>
      </c>
    </row>
    <row r="2364" spans="1:6" x14ac:dyDescent="0.25">
      <c r="A2364" t="s">
        <v>1142</v>
      </c>
      <c r="B2364" t="s">
        <v>29</v>
      </c>
      <c r="C2364" t="s">
        <v>132</v>
      </c>
      <c r="D2364" t="s">
        <v>3218</v>
      </c>
      <c r="E2364">
        <v>12.55</v>
      </c>
      <c r="F2364">
        <v>12.15</v>
      </c>
    </row>
    <row r="2365" spans="1:6" x14ac:dyDescent="0.25">
      <c r="A2365" t="s">
        <v>1142</v>
      </c>
      <c r="B2365" t="s">
        <v>29</v>
      </c>
      <c r="C2365" t="s">
        <v>132</v>
      </c>
      <c r="D2365" t="s">
        <v>3219</v>
      </c>
      <c r="E2365">
        <v>27.96</v>
      </c>
      <c r="F2365">
        <v>11.25</v>
      </c>
    </row>
    <row r="2366" spans="1:6" x14ac:dyDescent="0.25">
      <c r="A2366" t="s">
        <v>1143</v>
      </c>
      <c r="B2366" t="s">
        <v>29</v>
      </c>
      <c r="C2366" t="s">
        <v>133</v>
      </c>
      <c r="D2366" t="s">
        <v>3217</v>
      </c>
      <c r="E2366">
        <v>0</v>
      </c>
      <c r="F2366">
        <v>13.9</v>
      </c>
    </row>
    <row r="2367" spans="1:6" x14ac:dyDescent="0.25">
      <c r="A2367" t="s">
        <v>1143</v>
      </c>
      <c r="B2367" t="s">
        <v>29</v>
      </c>
      <c r="C2367" t="s">
        <v>133</v>
      </c>
      <c r="D2367" t="s">
        <v>3218</v>
      </c>
      <c r="E2367">
        <v>12.65</v>
      </c>
      <c r="F2367">
        <v>13.75</v>
      </c>
    </row>
    <row r="2368" spans="1:6" x14ac:dyDescent="0.25">
      <c r="A2368" t="s">
        <v>1143</v>
      </c>
      <c r="B2368" t="s">
        <v>29</v>
      </c>
      <c r="C2368" t="s">
        <v>133</v>
      </c>
      <c r="D2368" t="s">
        <v>3219</v>
      </c>
      <c r="E2368">
        <v>28.69</v>
      </c>
      <c r="F2368">
        <v>12.76</v>
      </c>
    </row>
    <row r="2369" spans="1:6" x14ac:dyDescent="0.25">
      <c r="A2369" t="s">
        <v>1144</v>
      </c>
      <c r="B2369" t="s">
        <v>29</v>
      </c>
      <c r="C2369" t="s">
        <v>134</v>
      </c>
      <c r="D2369" t="s">
        <v>3217</v>
      </c>
      <c r="E2369">
        <v>0</v>
      </c>
      <c r="F2369">
        <v>15.4</v>
      </c>
    </row>
    <row r="2370" spans="1:6" x14ac:dyDescent="0.25">
      <c r="A2370" t="s">
        <v>1144</v>
      </c>
      <c r="B2370" t="s">
        <v>29</v>
      </c>
      <c r="C2370" t="s">
        <v>134</v>
      </c>
      <c r="D2370" t="s">
        <v>3218</v>
      </c>
      <c r="E2370">
        <v>13.73</v>
      </c>
      <c r="F2370">
        <v>15.24</v>
      </c>
    </row>
    <row r="2371" spans="1:6" x14ac:dyDescent="0.25">
      <c r="A2371" t="s">
        <v>1144</v>
      </c>
      <c r="B2371" t="s">
        <v>29</v>
      </c>
      <c r="C2371" t="s">
        <v>134</v>
      </c>
      <c r="D2371" t="s">
        <v>3219</v>
      </c>
      <c r="E2371">
        <v>28.86</v>
      </c>
      <c r="F2371">
        <v>14.34</v>
      </c>
    </row>
    <row r="2372" spans="1:6" x14ac:dyDescent="0.25">
      <c r="A2372" t="s">
        <v>1145</v>
      </c>
      <c r="B2372" t="s">
        <v>29</v>
      </c>
      <c r="C2372" t="s">
        <v>135</v>
      </c>
      <c r="D2372" t="s">
        <v>3217</v>
      </c>
      <c r="E2372">
        <v>0</v>
      </c>
      <c r="F2372">
        <v>16.77</v>
      </c>
    </row>
    <row r="2373" spans="1:6" x14ac:dyDescent="0.25">
      <c r="A2373" t="s">
        <v>1145</v>
      </c>
      <c r="B2373" t="s">
        <v>29</v>
      </c>
      <c r="C2373" t="s">
        <v>135</v>
      </c>
      <c r="D2373" t="s">
        <v>3218</v>
      </c>
      <c r="E2373">
        <v>15.36</v>
      </c>
      <c r="F2373">
        <v>16.63</v>
      </c>
    </row>
    <row r="2374" spans="1:6" x14ac:dyDescent="0.25">
      <c r="A2374" t="s">
        <v>1145</v>
      </c>
      <c r="B2374" t="s">
        <v>29</v>
      </c>
      <c r="C2374" t="s">
        <v>135</v>
      </c>
      <c r="D2374" t="s">
        <v>3219</v>
      </c>
      <c r="E2374">
        <v>30.97</v>
      </c>
      <c r="F2374">
        <v>15.96</v>
      </c>
    </row>
    <row r="2375" spans="1:6" x14ac:dyDescent="0.25">
      <c r="A2375" t="s">
        <v>1146</v>
      </c>
      <c r="B2375" t="s">
        <v>29</v>
      </c>
      <c r="C2375" t="s">
        <v>136</v>
      </c>
      <c r="D2375" t="s">
        <v>3217</v>
      </c>
      <c r="E2375">
        <v>0</v>
      </c>
      <c r="F2375">
        <v>18.149999999999999</v>
      </c>
    </row>
    <row r="2376" spans="1:6" x14ac:dyDescent="0.25">
      <c r="A2376" t="s">
        <v>1146</v>
      </c>
      <c r="B2376" t="s">
        <v>29</v>
      </c>
      <c r="C2376" t="s">
        <v>136</v>
      </c>
      <c r="D2376" t="s">
        <v>3218</v>
      </c>
      <c r="E2376">
        <v>16.11</v>
      </c>
      <c r="F2376">
        <v>18.2</v>
      </c>
    </row>
    <row r="2377" spans="1:6" x14ac:dyDescent="0.25">
      <c r="A2377" t="s">
        <v>1146</v>
      </c>
      <c r="B2377" t="s">
        <v>29</v>
      </c>
      <c r="C2377" t="s">
        <v>136</v>
      </c>
      <c r="D2377" t="s">
        <v>3219</v>
      </c>
      <c r="E2377">
        <v>31.68</v>
      </c>
      <c r="F2377">
        <v>17.59</v>
      </c>
    </row>
    <row r="2378" spans="1:6" x14ac:dyDescent="0.25">
      <c r="A2378" t="s">
        <v>1147</v>
      </c>
      <c r="B2378" t="s">
        <v>29</v>
      </c>
      <c r="C2378" t="s">
        <v>137</v>
      </c>
      <c r="D2378" t="s">
        <v>3217</v>
      </c>
      <c r="E2378">
        <v>0</v>
      </c>
      <c r="F2378">
        <v>19.66</v>
      </c>
    </row>
    <row r="2379" spans="1:6" x14ac:dyDescent="0.25">
      <c r="A2379" t="s">
        <v>1147</v>
      </c>
      <c r="B2379" t="s">
        <v>29</v>
      </c>
      <c r="C2379" t="s">
        <v>137</v>
      </c>
      <c r="D2379" t="s">
        <v>3218</v>
      </c>
      <c r="E2379">
        <v>15.87</v>
      </c>
      <c r="F2379">
        <v>19.63</v>
      </c>
    </row>
    <row r="2380" spans="1:6" x14ac:dyDescent="0.25">
      <c r="A2380" t="s">
        <v>1147</v>
      </c>
      <c r="B2380" t="s">
        <v>29</v>
      </c>
      <c r="C2380" t="s">
        <v>137</v>
      </c>
      <c r="D2380" t="s">
        <v>3219</v>
      </c>
      <c r="E2380">
        <v>32.909999999999997</v>
      </c>
      <c r="F2380">
        <v>19.13</v>
      </c>
    </row>
    <row r="2381" spans="1:6" x14ac:dyDescent="0.25">
      <c r="A2381" t="s">
        <v>1148</v>
      </c>
      <c r="B2381" t="s">
        <v>29</v>
      </c>
      <c r="C2381" t="s">
        <v>138</v>
      </c>
      <c r="D2381" t="s">
        <v>3217</v>
      </c>
      <c r="E2381">
        <v>0</v>
      </c>
      <c r="F2381">
        <v>21.25</v>
      </c>
    </row>
    <row r="2382" spans="1:6" x14ac:dyDescent="0.25">
      <c r="A2382" t="s">
        <v>1148</v>
      </c>
      <c r="B2382" t="s">
        <v>29</v>
      </c>
      <c r="C2382" t="s">
        <v>138</v>
      </c>
      <c r="D2382" t="s">
        <v>3218</v>
      </c>
      <c r="E2382">
        <v>16.11</v>
      </c>
      <c r="F2382">
        <v>21.19</v>
      </c>
    </row>
    <row r="2383" spans="1:6" x14ac:dyDescent="0.25">
      <c r="A2383" t="s">
        <v>1148</v>
      </c>
      <c r="B2383" t="s">
        <v>29</v>
      </c>
      <c r="C2383" t="s">
        <v>138</v>
      </c>
      <c r="D2383" t="s">
        <v>3219</v>
      </c>
      <c r="E2383">
        <v>32.99</v>
      </c>
      <c r="F2383">
        <v>20.51</v>
      </c>
    </row>
    <row r="2384" spans="1:6" x14ac:dyDescent="0.25">
      <c r="A2384" t="s">
        <v>1149</v>
      </c>
      <c r="B2384" t="s">
        <v>29</v>
      </c>
      <c r="C2384" t="s">
        <v>139</v>
      </c>
      <c r="D2384" t="s">
        <v>3217</v>
      </c>
      <c r="E2384">
        <v>0</v>
      </c>
      <c r="F2384">
        <v>22.79</v>
      </c>
    </row>
    <row r="2385" spans="1:6" x14ac:dyDescent="0.25">
      <c r="A2385" t="s">
        <v>1149</v>
      </c>
      <c r="B2385" t="s">
        <v>29</v>
      </c>
      <c r="C2385" t="s">
        <v>139</v>
      </c>
      <c r="D2385" t="s">
        <v>3218</v>
      </c>
      <c r="E2385">
        <v>16.059999999999999</v>
      </c>
      <c r="F2385">
        <v>22.61</v>
      </c>
    </row>
    <row r="2386" spans="1:6" x14ac:dyDescent="0.25">
      <c r="A2386" t="s">
        <v>1149</v>
      </c>
      <c r="B2386" t="s">
        <v>29</v>
      </c>
      <c r="C2386" t="s">
        <v>139</v>
      </c>
      <c r="D2386" t="s">
        <v>3219</v>
      </c>
      <c r="E2386">
        <v>32.93</v>
      </c>
      <c r="F2386">
        <v>21.99</v>
      </c>
    </row>
    <row r="2387" spans="1:6" x14ac:dyDescent="0.25">
      <c r="A2387" t="s">
        <v>1150</v>
      </c>
      <c r="B2387" t="s">
        <v>29</v>
      </c>
      <c r="C2387" t="s">
        <v>140</v>
      </c>
      <c r="D2387" t="s">
        <v>3217</v>
      </c>
      <c r="E2387">
        <v>0</v>
      </c>
      <c r="F2387">
        <v>24.16</v>
      </c>
    </row>
    <row r="2388" spans="1:6" x14ac:dyDescent="0.25">
      <c r="A2388" t="s">
        <v>1150</v>
      </c>
      <c r="B2388" t="s">
        <v>29</v>
      </c>
      <c r="C2388" t="s">
        <v>140</v>
      </c>
      <c r="D2388" t="s">
        <v>3218</v>
      </c>
      <c r="E2388">
        <v>16.059999999999999</v>
      </c>
      <c r="F2388">
        <v>24.14</v>
      </c>
    </row>
    <row r="2389" spans="1:6" x14ac:dyDescent="0.25">
      <c r="A2389" t="s">
        <v>1150</v>
      </c>
      <c r="B2389" t="s">
        <v>29</v>
      </c>
      <c r="C2389" t="s">
        <v>140</v>
      </c>
      <c r="D2389" t="s">
        <v>3219</v>
      </c>
      <c r="E2389">
        <v>34</v>
      </c>
      <c r="F2389">
        <v>23.51</v>
      </c>
    </row>
    <row r="2390" spans="1:6" x14ac:dyDescent="0.25">
      <c r="A2390" t="s">
        <v>1151</v>
      </c>
      <c r="B2390" t="s">
        <v>29</v>
      </c>
      <c r="C2390" t="s">
        <v>141</v>
      </c>
      <c r="D2390" t="s">
        <v>3217</v>
      </c>
      <c r="E2390">
        <v>0</v>
      </c>
      <c r="F2390">
        <v>25.73</v>
      </c>
    </row>
    <row r="2391" spans="1:6" x14ac:dyDescent="0.25">
      <c r="A2391" t="s">
        <v>1151</v>
      </c>
      <c r="B2391" t="s">
        <v>29</v>
      </c>
      <c r="C2391" t="s">
        <v>141</v>
      </c>
      <c r="D2391" t="s">
        <v>3218</v>
      </c>
      <c r="E2391">
        <v>16.05</v>
      </c>
      <c r="F2391">
        <v>25.52</v>
      </c>
    </row>
    <row r="2392" spans="1:6" x14ac:dyDescent="0.25">
      <c r="A2392" t="s">
        <v>1151</v>
      </c>
      <c r="B2392" t="s">
        <v>29</v>
      </c>
      <c r="C2392" t="s">
        <v>141</v>
      </c>
      <c r="D2392" t="s">
        <v>3219</v>
      </c>
      <c r="E2392">
        <v>33.590000000000003</v>
      </c>
      <c r="F2392">
        <v>24.85</v>
      </c>
    </row>
    <row r="2393" spans="1:6" x14ac:dyDescent="0.25">
      <c r="A2393" t="s">
        <v>1152</v>
      </c>
      <c r="B2393" t="s">
        <v>29</v>
      </c>
      <c r="C2393" t="s">
        <v>142</v>
      </c>
      <c r="D2393" t="s">
        <v>3217</v>
      </c>
      <c r="E2393">
        <v>0</v>
      </c>
      <c r="F2393">
        <v>27.05</v>
      </c>
    </row>
    <row r="2394" spans="1:6" x14ac:dyDescent="0.25">
      <c r="A2394" t="s">
        <v>1152</v>
      </c>
      <c r="B2394" t="s">
        <v>29</v>
      </c>
      <c r="C2394" t="s">
        <v>142</v>
      </c>
      <c r="D2394" t="s">
        <v>3218</v>
      </c>
      <c r="E2394">
        <v>15.98</v>
      </c>
      <c r="F2394">
        <v>26.89</v>
      </c>
    </row>
    <row r="2395" spans="1:6" x14ac:dyDescent="0.25">
      <c r="A2395" t="s">
        <v>1152</v>
      </c>
      <c r="B2395" t="s">
        <v>29</v>
      </c>
      <c r="C2395" t="s">
        <v>142</v>
      </c>
      <c r="D2395" t="s">
        <v>3219</v>
      </c>
      <c r="E2395">
        <v>33.520000000000003</v>
      </c>
      <c r="F2395">
        <v>26.16</v>
      </c>
    </row>
    <row r="2396" spans="1:6" x14ac:dyDescent="0.25">
      <c r="A2396" t="s">
        <v>1153</v>
      </c>
      <c r="B2396" t="s">
        <v>29</v>
      </c>
      <c r="C2396" t="s">
        <v>143</v>
      </c>
      <c r="D2396" t="s">
        <v>3217</v>
      </c>
      <c r="E2396">
        <v>0</v>
      </c>
      <c r="F2396">
        <v>28.4</v>
      </c>
    </row>
    <row r="2397" spans="1:6" x14ac:dyDescent="0.25">
      <c r="A2397" t="s">
        <v>1153</v>
      </c>
      <c r="B2397" t="s">
        <v>29</v>
      </c>
      <c r="C2397" t="s">
        <v>143</v>
      </c>
      <c r="D2397" t="s">
        <v>3218</v>
      </c>
      <c r="E2397">
        <v>16.420000000000002</v>
      </c>
      <c r="F2397">
        <v>28.14</v>
      </c>
    </row>
    <row r="2398" spans="1:6" x14ac:dyDescent="0.25">
      <c r="A2398" t="s">
        <v>1153</v>
      </c>
      <c r="B2398" t="s">
        <v>29</v>
      </c>
      <c r="C2398" t="s">
        <v>143</v>
      </c>
      <c r="D2398" t="s">
        <v>3219</v>
      </c>
      <c r="E2398">
        <v>33.22</v>
      </c>
      <c r="F2398">
        <v>27.41</v>
      </c>
    </row>
    <row r="2399" spans="1:6" x14ac:dyDescent="0.25">
      <c r="A2399" t="s">
        <v>1154</v>
      </c>
      <c r="B2399" t="s">
        <v>29</v>
      </c>
      <c r="C2399" t="s">
        <v>144</v>
      </c>
      <c r="D2399" t="s">
        <v>3217</v>
      </c>
      <c r="E2399">
        <v>0</v>
      </c>
      <c r="F2399">
        <v>29.82</v>
      </c>
    </row>
    <row r="2400" spans="1:6" x14ac:dyDescent="0.25">
      <c r="A2400" t="s">
        <v>1154</v>
      </c>
      <c r="B2400" t="s">
        <v>29</v>
      </c>
      <c r="C2400" t="s">
        <v>144</v>
      </c>
      <c r="D2400" t="s">
        <v>3218</v>
      </c>
      <c r="E2400">
        <v>16.68</v>
      </c>
      <c r="F2400">
        <v>29.47</v>
      </c>
    </row>
    <row r="2401" spans="1:6" x14ac:dyDescent="0.25">
      <c r="A2401" t="s">
        <v>1154</v>
      </c>
      <c r="B2401" t="s">
        <v>29</v>
      </c>
      <c r="C2401" t="s">
        <v>144</v>
      </c>
      <c r="D2401" t="s">
        <v>3219</v>
      </c>
      <c r="E2401">
        <v>34.049999999999997</v>
      </c>
      <c r="F2401">
        <v>28.83</v>
      </c>
    </row>
    <row r="2402" spans="1:6" x14ac:dyDescent="0.25">
      <c r="A2402" t="s">
        <v>1155</v>
      </c>
      <c r="B2402" t="s">
        <v>29</v>
      </c>
      <c r="C2402" t="s">
        <v>145</v>
      </c>
      <c r="D2402" t="s">
        <v>3217</v>
      </c>
      <c r="E2402">
        <v>0</v>
      </c>
      <c r="F2402">
        <v>31.16</v>
      </c>
    </row>
    <row r="2403" spans="1:6" x14ac:dyDescent="0.25">
      <c r="A2403" t="s">
        <v>1155</v>
      </c>
      <c r="B2403" t="s">
        <v>29</v>
      </c>
      <c r="C2403" t="s">
        <v>145</v>
      </c>
      <c r="D2403" t="s">
        <v>3218</v>
      </c>
      <c r="E2403">
        <v>15.51</v>
      </c>
      <c r="F2403">
        <v>30.94</v>
      </c>
    </row>
    <row r="2404" spans="1:6" x14ac:dyDescent="0.25">
      <c r="A2404" t="s">
        <v>1155</v>
      </c>
      <c r="B2404" t="s">
        <v>29</v>
      </c>
      <c r="C2404" t="s">
        <v>145</v>
      </c>
      <c r="D2404" t="s">
        <v>3219</v>
      </c>
      <c r="E2404">
        <v>32.619999999999997</v>
      </c>
      <c r="F2404">
        <v>30.29</v>
      </c>
    </row>
    <row r="2405" spans="1:6" x14ac:dyDescent="0.25">
      <c r="A2405" t="s">
        <v>1156</v>
      </c>
      <c r="B2405" t="s">
        <v>29</v>
      </c>
      <c r="C2405" t="s">
        <v>146</v>
      </c>
      <c r="D2405" t="s">
        <v>3217</v>
      </c>
      <c r="E2405">
        <v>0</v>
      </c>
      <c r="F2405">
        <v>32.450000000000003</v>
      </c>
    </row>
    <row r="2406" spans="1:6" x14ac:dyDescent="0.25">
      <c r="A2406" t="s">
        <v>1156</v>
      </c>
      <c r="B2406" t="s">
        <v>29</v>
      </c>
      <c r="C2406" t="s">
        <v>146</v>
      </c>
      <c r="D2406" t="s">
        <v>3218</v>
      </c>
      <c r="E2406">
        <v>15.39</v>
      </c>
      <c r="F2406">
        <v>32.29</v>
      </c>
    </row>
    <row r="2407" spans="1:6" x14ac:dyDescent="0.25">
      <c r="A2407" t="s">
        <v>1156</v>
      </c>
      <c r="B2407" t="s">
        <v>29</v>
      </c>
      <c r="C2407" t="s">
        <v>146</v>
      </c>
      <c r="D2407" t="s">
        <v>3219</v>
      </c>
      <c r="E2407">
        <v>32.950000000000003</v>
      </c>
      <c r="F2407">
        <v>31.74</v>
      </c>
    </row>
    <row r="2408" spans="1:6" x14ac:dyDescent="0.25">
      <c r="A2408" t="s">
        <v>1157</v>
      </c>
      <c r="B2408" t="s">
        <v>29</v>
      </c>
      <c r="C2408" t="s">
        <v>147</v>
      </c>
      <c r="D2408" t="s">
        <v>3217</v>
      </c>
      <c r="E2408">
        <v>0</v>
      </c>
      <c r="F2408">
        <v>33.92</v>
      </c>
    </row>
    <row r="2409" spans="1:6" x14ac:dyDescent="0.25">
      <c r="A2409" t="s">
        <v>1157</v>
      </c>
      <c r="B2409" t="s">
        <v>29</v>
      </c>
      <c r="C2409" t="s">
        <v>147</v>
      </c>
      <c r="D2409" t="s">
        <v>3218</v>
      </c>
      <c r="E2409">
        <v>14.58</v>
      </c>
      <c r="F2409">
        <v>33.81</v>
      </c>
    </row>
    <row r="2410" spans="1:6" x14ac:dyDescent="0.25">
      <c r="A2410" t="s">
        <v>1157</v>
      </c>
      <c r="B2410" t="s">
        <v>29</v>
      </c>
      <c r="C2410" t="s">
        <v>147</v>
      </c>
      <c r="D2410" t="s">
        <v>3219</v>
      </c>
      <c r="E2410">
        <v>32.799999999999997</v>
      </c>
      <c r="F2410">
        <v>33.19</v>
      </c>
    </row>
    <row r="2411" spans="1:6" x14ac:dyDescent="0.25">
      <c r="A2411" t="s">
        <v>1158</v>
      </c>
      <c r="B2411" t="s">
        <v>29</v>
      </c>
      <c r="C2411" t="s">
        <v>148</v>
      </c>
      <c r="D2411" t="s">
        <v>3217</v>
      </c>
      <c r="E2411">
        <v>0</v>
      </c>
      <c r="F2411">
        <v>35.47</v>
      </c>
    </row>
    <row r="2412" spans="1:6" x14ac:dyDescent="0.25">
      <c r="A2412" t="s">
        <v>1158</v>
      </c>
      <c r="B2412" t="s">
        <v>29</v>
      </c>
      <c r="C2412" t="s">
        <v>148</v>
      </c>
      <c r="D2412" t="s">
        <v>3218</v>
      </c>
      <c r="E2412">
        <v>15.28</v>
      </c>
      <c r="F2412">
        <v>35.340000000000003</v>
      </c>
    </row>
    <row r="2413" spans="1:6" x14ac:dyDescent="0.25">
      <c r="A2413" t="s">
        <v>1158</v>
      </c>
      <c r="B2413" t="s">
        <v>29</v>
      </c>
      <c r="C2413" t="s">
        <v>148</v>
      </c>
      <c r="D2413" t="s">
        <v>3219</v>
      </c>
      <c r="E2413">
        <v>33.340000000000003</v>
      </c>
      <c r="F2413">
        <v>34.659999999999997</v>
      </c>
    </row>
    <row r="2414" spans="1:6" x14ac:dyDescent="0.25">
      <c r="A2414" t="s">
        <v>1159</v>
      </c>
      <c r="B2414" t="s">
        <v>29</v>
      </c>
      <c r="C2414" t="s">
        <v>149</v>
      </c>
      <c r="D2414" t="s">
        <v>3217</v>
      </c>
      <c r="E2414">
        <v>0</v>
      </c>
      <c r="F2414">
        <v>36.92</v>
      </c>
    </row>
    <row r="2415" spans="1:6" x14ac:dyDescent="0.25">
      <c r="A2415" t="s">
        <v>1159</v>
      </c>
      <c r="B2415" t="s">
        <v>29</v>
      </c>
      <c r="C2415" t="s">
        <v>149</v>
      </c>
      <c r="D2415" t="s">
        <v>3218</v>
      </c>
      <c r="E2415">
        <v>15.18</v>
      </c>
      <c r="F2415">
        <v>37.049999999999997</v>
      </c>
    </row>
    <row r="2416" spans="1:6" x14ac:dyDescent="0.25">
      <c r="A2416" t="s">
        <v>1159</v>
      </c>
      <c r="B2416" t="s">
        <v>29</v>
      </c>
      <c r="C2416" t="s">
        <v>149</v>
      </c>
      <c r="D2416" t="s">
        <v>3219</v>
      </c>
      <c r="E2416">
        <v>32.72</v>
      </c>
      <c r="F2416">
        <v>36.24</v>
      </c>
    </row>
    <row r="2417" spans="1:6" x14ac:dyDescent="0.25">
      <c r="A2417" t="s">
        <v>1160</v>
      </c>
      <c r="B2417" t="s">
        <v>29</v>
      </c>
      <c r="C2417" t="s">
        <v>150</v>
      </c>
      <c r="D2417" t="s">
        <v>3217</v>
      </c>
      <c r="E2417">
        <v>0</v>
      </c>
      <c r="F2417">
        <v>38.44</v>
      </c>
    </row>
    <row r="2418" spans="1:6" x14ac:dyDescent="0.25">
      <c r="A2418" t="s">
        <v>1160</v>
      </c>
      <c r="B2418" t="s">
        <v>29</v>
      </c>
      <c r="C2418" t="s">
        <v>150</v>
      </c>
      <c r="D2418" t="s">
        <v>3218</v>
      </c>
      <c r="E2418">
        <v>14.67</v>
      </c>
      <c r="F2418">
        <v>38.56</v>
      </c>
    </row>
    <row r="2419" spans="1:6" x14ac:dyDescent="0.25">
      <c r="A2419" t="s">
        <v>1160</v>
      </c>
      <c r="B2419" t="s">
        <v>29</v>
      </c>
      <c r="C2419" t="s">
        <v>150</v>
      </c>
      <c r="D2419" t="s">
        <v>3219</v>
      </c>
      <c r="E2419">
        <v>32.35</v>
      </c>
      <c r="F2419">
        <v>37.880000000000003</v>
      </c>
    </row>
    <row r="2420" spans="1:6" x14ac:dyDescent="0.25">
      <c r="A2420" t="s">
        <v>1161</v>
      </c>
      <c r="B2420" t="s">
        <v>29</v>
      </c>
      <c r="C2420" t="s">
        <v>151</v>
      </c>
      <c r="D2420" t="s">
        <v>3217</v>
      </c>
      <c r="E2420">
        <v>0</v>
      </c>
      <c r="F2420">
        <v>40.159999999999997</v>
      </c>
    </row>
    <row r="2421" spans="1:6" x14ac:dyDescent="0.25">
      <c r="A2421" t="s">
        <v>1161</v>
      </c>
      <c r="B2421" t="s">
        <v>29</v>
      </c>
      <c r="C2421" t="s">
        <v>151</v>
      </c>
      <c r="D2421" t="s">
        <v>3218</v>
      </c>
      <c r="E2421">
        <v>15.17</v>
      </c>
      <c r="F2421">
        <v>40.25</v>
      </c>
    </row>
    <row r="2422" spans="1:6" x14ac:dyDescent="0.25">
      <c r="A2422" t="s">
        <v>1161</v>
      </c>
      <c r="B2422" t="s">
        <v>29</v>
      </c>
      <c r="C2422" t="s">
        <v>151</v>
      </c>
      <c r="D2422" t="s">
        <v>3219</v>
      </c>
      <c r="E2422">
        <v>32.700000000000003</v>
      </c>
      <c r="F2422">
        <v>39.590000000000003</v>
      </c>
    </row>
    <row r="2423" spans="1:6" x14ac:dyDescent="0.25">
      <c r="A2423" t="s">
        <v>1162</v>
      </c>
      <c r="B2423" t="s">
        <v>29</v>
      </c>
      <c r="C2423" t="s">
        <v>152</v>
      </c>
      <c r="D2423" t="s">
        <v>3217</v>
      </c>
      <c r="E2423">
        <v>0</v>
      </c>
      <c r="F2423">
        <v>41.59</v>
      </c>
    </row>
    <row r="2424" spans="1:6" x14ac:dyDescent="0.25">
      <c r="A2424" t="s">
        <v>1162</v>
      </c>
      <c r="B2424" t="s">
        <v>29</v>
      </c>
      <c r="C2424" t="s">
        <v>152</v>
      </c>
      <c r="D2424" t="s">
        <v>3218</v>
      </c>
      <c r="E2424">
        <v>15.24</v>
      </c>
      <c r="F2424">
        <v>41.76</v>
      </c>
    </row>
    <row r="2425" spans="1:6" x14ac:dyDescent="0.25">
      <c r="A2425" t="s">
        <v>1162</v>
      </c>
      <c r="B2425" t="s">
        <v>29</v>
      </c>
      <c r="C2425" t="s">
        <v>152</v>
      </c>
      <c r="D2425" t="s">
        <v>3219</v>
      </c>
      <c r="E2425">
        <v>31.96</v>
      </c>
      <c r="F2425">
        <v>41.34</v>
      </c>
    </row>
    <row r="2426" spans="1:6" x14ac:dyDescent="0.25">
      <c r="A2426" t="s">
        <v>1163</v>
      </c>
      <c r="B2426" t="s">
        <v>29</v>
      </c>
      <c r="C2426" t="s">
        <v>153</v>
      </c>
      <c r="D2426" t="s">
        <v>3217</v>
      </c>
      <c r="E2426">
        <v>0</v>
      </c>
      <c r="F2426">
        <v>43.27</v>
      </c>
    </row>
    <row r="2427" spans="1:6" x14ac:dyDescent="0.25">
      <c r="A2427" t="s">
        <v>1163</v>
      </c>
      <c r="B2427" t="s">
        <v>29</v>
      </c>
      <c r="C2427" t="s">
        <v>153</v>
      </c>
      <c r="D2427" t="s">
        <v>3218</v>
      </c>
      <c r="E2427">
        <v>15.45</v>
      </c>
      <c r="F2427">
        <v>43.41</v>
      </c>
    </row>
    <row r="2428" spans="1:6" x14ac:dyDescent="0.25">
      <c r="A2428" t="s">
        <v>1163</v>
      </c>
      <c r="B2428" t="s">
        <v>29</v>
      </c>
      <c r="C2428" t="s">
        <v>153</v>
      </c>
      <c r="D2428" t="s">
        <v>3219</v>
      </c>
      <c r="E2428">
        <v>32.44</v>
      </c>
      <c r="F2428">
        <v>42.95</v>
      </c>
    </row>
    <row r="2429" spans="1:6" x14ac:dyDescent="0.25">
      <c r="A2429" t="s">
        <v>1164</v>
      </c>
      <c r="B2429" t="s">
        <v>29</v>
      </c>
      <c r="C2429" t="s">
        <v>154</v>
      </c>
      <c r="D2429" t="s">
        <v>3217</v>
      </c>
      <c r="E2429">
        <v>0</v>
      </c>
      <c r="F2429">
        <v>44.96</v>
      </c>
    </row>
    <row r="2430" spans="1:6" x14ac:dyDescent="0.25">
      <c r="A2430" t="s">
        <v>1164</v>
      </c>
      <c r="B2430" t="s">
        <v>29</v>
      </c>
      <c r="C2430" t="s">
        <v>154</v>
      </c>
      <c r="D2430" t="s">
        <v>3218</v>
      </c>
      <c r="E2430">
        <v>14.72</v>
      </c>
      <c r="F2430">
        <v>45.06</v>
      </c>
    </row>
    <row r="2431" spans="1:6" x14ac:dyDescent="0.25">
      <c r="A2431" t="s">
        <v>1164</v>
      </c>
      <c r="B2431" t="s">
        <v>29</v>
      </c>
      <c r="C2431" t="s">
        <v>154</v>
      </c>
      <c r="D2431" t="s">
        <v>3219</v>
      </c>
      <c r="E2431">
        <v>31.55</v>
      </c>
      <c r="F2431">
        <v>44.43</v>
      </c>
    </row>
    <row r="2432" spans="1:6" x14ac:dyDescent="0.25">
      <c r="A2432" t="s">
        <v>1165</v>
      </c>
      <c r="B2432" t="s">
        <v>29</v>
      </c>
      <c r="C2432" t="s">
        <v>155</v>
      </c>
      <c r="D2432" t="s">
        <v>3217</v>
      </c>
      <c r="E2432">
        <v>0</v>
      </c>
      <c r="F2432">
        <v>46.56</v>
      </c>
    </row>
    <row r="2433" spans="1:6" x14ac:dyDescent="0.25">
      <c r="A2433" t="s">
        <v>1165</v>
      </c>
      <c r="B2433" t="s">
        <v>29</v>
      </c>
      <c r="C2433" t="s">
        <v>155</v>
      </c>
      <c r="D2433" t="s">
        <v>3218</v>
      </c>
      <c r="E2433">
        <v>14.55</v>
      </c>
      <c r="F2433">
        <v>46.66</v>
      </c>
    </row>
    <row r="2434" spans="1:6" x14ac:dyDescent="0.25">
      <c r="A2434" t="s">
        <v>1165</v>
      </c>
      <c r="B2434" t="s">
        <v>29</v>
      </c>
      <c r="C2434" t="s">
        <v>155</v>
      </c>
      <c r="D2434" t="s">
        <v>3219</v>
      </c>
      <c r="E2434">
        <v>31.33</v>
      </c>
      <c r="F2434">
        <v>46.12</v>
      </c>
    </row>
    <row r="2435" spans="1:6" x14ac:dyDescent="0.25">
      <c r="A2435" t="s">
        <v>1166</v>
      </c>
      <c r="B2435" t="s">
        <v>29</v>
      </c>
      <c r="C2435" t="s">
        <v>156</v>
      </c>
      <c r="D2435" t="s">
        <v>3217</v>
      </c>
      <c r="E2435">
        <v>0</v>
      </c>
      <c r="F2435">
        <v>48.03</v>
      </c>
    </row>
    <row r="2436" spans="1:6" x14ac:dyDescent="0.25">
      <c r="A2436" t="s">
        <v>1166</v>
      </c>
      <c r="B2436" t="s">
        <v>29</v>
      </c>
      <c r="C2436" t="s">
        <v>156</v>
      </c>
      <c r="D2436" t="s">
        <v>3218</v>
      </c>
      <c r="E2436">
        <v>15.07</v>
      </c>
      <c r="F2436">
        <v>48.12</v>
      </c>
    </row>
    <row r="2437" spans="1:6" x14ac:dyDescent="0.25">
      <c r="A2437" t="s">
        <v>1166</v>
      </c>
      <c r="B2437" t="s">
        <v>29</v>
      </c>
      <c r="C2437" t="s">
        <v>156</v>
      </c>
      <c r="D2437" t="s">
        <v>3219</v>
      </c>
      <c r="E2437">
        <v>31.25</v>
      </c>
      <c r="F2437">
        <v>47.66</v>
      </c>
    </row>
    <row r="2438" spans="1:6" x14ac:dyDescent="0.25">
      <c r="A2438" t="s">
        <v>1167</v>
      </c>
      <c r="B2438" t="s">
        <v>29</v>
      </c>
      <c r="C2438" t="s">
        <v>157</v>
      </c>
      <c r="D2438" t="s">
        <v>3217</v>
      </c>
      <c r="E2438">
        <v>0</v>
      </c>
      <c r="F2438">
        <v>49.43</v>
      </c>
    </row>
    <row r="2439" spans="1:6" x14ac:dyDescent="0.25">
      <c r="A2439" t="s">
        <v>1167</v>
      </c>
      <c r="B2439" t="s">
        <v>29</v>
      </c>
      <c r="C2439" t="s">
        <v>157</v>
      </c>
      <c r="D2439" t="s">
        <v>3218</v>
      </c>
      <c r="E2439">
        <v>14.45</v>
      </c>
      <c r="F2439">
        <v>49.43</v>
      </c>
    </row>
    <row r="2440" spans="1:6" x14ac:dyDescent="0.25">
      <c r="A2440" t="s">
        <v>1167</v>
      </c>
      <c r="B2440" t="s">
        <v>29</v>
      </c>
      <c r="C2440" t="s">
        <v>157</v>
      </c>
      <c r="D2440" t="s">
        <v>3219</v>
      </c>
      <c r="E2440">
        <v>30.31</v>
      </c>
      <c r="F2440">
        <v>49.1</v>
      </c>
    </row>
    <row r="2441" spans="1:6" x14ac:dyDescent="0.25">
      <c r="A2441" t="s">
        <v>1168</v>
      </c>
      <c r="B2441" t="s">
        <v>29</v>
      </c>
      <c r="C2441" t="s">
        <v>158</v>
      </c>
      <c r="D2441" t="s">
        <v>3217</v>
      </c>
      <c r="E2441">
        <v>0</v>
      </c>
      <c r="F2441">
        <v>50.97</v>
      </c>
    </row>
    <row r="2442" spans="1:6" x14ac:dyDescent="0.25">
      <c r="A2442" t="s">
        <v>1168</v>
      </c>
      <c r="B2442" t="s">
        <v>29</v>
      </c>
      <c r="C2442" t="s">
        <v>158</v>
      </c>
      <c r="D2442" t="s">
        <v>3218</v>
      </c>
      <c r="E2442">
        <v>13.26</v>
      </c>
      <c r="F2442">
        <v>50.93</v>
      </c>
    </row>
    <row r="2443" spans="1:6" x14ac:dyDescent="0.25">
      <c r="A2443" t="s">
        <v>1168</v>
      </c>
      <c r="B2443" t="s">
        <v>29</v>
      </c>
      <c r="C2443" t="s">
        <v>158</v>
      </c>
      <c r="D2443" t="s">
        <v>3219</v>
      </c>
      <c r="E2443">
        <v>29.53</v>
      </c>
      <c r="F2443">
        <v>50.33</v>
      </c>
    </row>
    <row r="2444" spans="1:6" x14ac:dyDescent="0.25">
      <c r="A2444" t="s">
        <v>1169</v>
      </c>
      <c r="B2444" t="s">
        <v>29</v>
      </c>
      <c r="C2444" t="s">
        <v>159</v>
      </c>
      <c r="D2444" t="s">
        <v>3217</v>
      </c>
      <c r="E2444">
        <v>0</v>
      </c>
      <c r="F2444">
        <v>52.75</v>
      </c>
    </row>
    <row r="2445" spans="1:6" x14ac:dyDescent="0.25">
      <c r="A2445" t="s">
        <v>1169</v>
      </c>
      <c r="B2445" t="s">
        <v>29</v>
      </c>
      <c r="C2445" t="s">
        <v>159</v>
      </c>
      <c r="D2445" t="s">
        <v>3218</v>
      </c>
      <c r="E2445">
        <v>14.45</v>
      </c>
      <c r="F2445">
        <v>52.53</v>
      </c>
    </row>
    <row r="2446" spans="1:6" x14ac:dyDescent="0.25">
      <c r="A2446" t="s">
        <v>1169</v>
      </c>
      <c r="B2446" t="s">
        <v>29</v>
      </c>
      <c r="C2446" t="s">
        <v>159</v>
      </c>
      <c r="D2446" t="s">
        <v>3219</v>
      </c>
      <c r="E2446">
        <v>30.65</v>
      </c>
      <c r="F2446">
        <v>51.5</v>
      </c>
    </row>
    <row r="2447" spans="1:6" x14ac:dyDescent="0.25">
      <c r="A2447" t="s">
        <v>1170</v>
      </c>
      <c r="B2447" t="s">
        <v>29</v>
      </c>
      <c r="C2447" t="s">
        <v>229</v>
      </c>
      <c r="D2447" t="s">
        <v>3217</v>
      </c>
      <c r="E2447">
        <v>0</v>
      </c>
      <c r="F2447">
        <v>53.27</v>
      </c>
    </row>
    <row r="2448" spans="1:6" x14ac:dyDescent="0.25">
      <c r="A2448" t="s">
        <v>1170</v>
      </c>
      <c r="B2448" t="s">
        <v>29</v>
      </c>
      <c r="C2448" t="s">
        <v>229</v>
      </c>
      <c r="D2448" t="s">
        <v>3218</v>
      </c>
      <c r="E2448">
        <v>17.5</v>
      </c>
      <c r="F2448">
        <v>52.7</v>
      </c>
    </row>
    <row r="2449" spans="1:6" x14ac:dyDescent="0.25">
      <c r="A2449" t="s">
        <v>1170</v>
      </c>
      <c r="B2449" t="s">
        <v>29</v>
      </c>
      <c r="C2449" t="s">
        <v>229</v>
      </c>
      <c r="D2449" t="s">
        <v>3219</v>
      </c>
      <c r="E2449">
        <v>32.950000000000003</v>
      </c>
      <c r="F2449">
        <v>51.89</v>
      </c>
    </row>
    <row r="2450" spans="1:6" x14ac:dyDescent="0.25">
      <c r="A2450" t="s">
        <v>1171</v>
      </c>
      <c r="B2450" t="s">
        <v>30</v>
      </c>
      <c r="C2450" t="s">
        <v>56</v>
      </c>
      <c r="D2450" t="s">
        <v>3217</v>
      </c>
      <c r="E2450">
        <v>0</v>
      </c>
      <c r="F2450">
        <v>29.62</v>
      </c>
    </row>
    <row r="2451" spans="1:6" x14ac:dyDescent="0.25">
      <c r="A2451" t="s">
        <v>1171</v>
      </c>
      <c r="B2451" t="s">
        <v>30</v>
      </c>
      <c r="C2451" t="s">
        <v>56</v>
      </c>
      <c r="D2451" t="s">
        <v>3218</v>
      </c>
      <c r="E2451">
        <v>16.89</v>
      </c>
      <c r="F2451">
        <v>30.01</v>
      </c>
    </row>
    <row r="2452" spans="1:6" x14ac:dyDescent="0.25">
      <c r="A2452" t="s">
        <v>1171</v>
      </c>
      <c r="B2452" t="s">
        <v>30</v>
      </c>
      <c r="C2452" t="s">
        <v>56</v>
      </c>
      <c r="D2452" t="s">
        <v>3219</v>
      </c>
      <c r="E2452">
        <v>33.08</v>
      </c>
      <c r="F2452">
        <v>32.200000000000003</v>
      </c>
    </row>
    <row r="2453" spans="1:6" x14ac:dyDescent="0.25">
      <c r="A2453" t="s">
        <v>1172</v>
      </c>
      <c r="B2453" t="s">
        <v>30</v>
      </c>
      <c r="C2453" t="s">
        <v>57</v>
      </c>
      <c r="D2453" t="s">
        <v>3217</v>
      </c>
      <c r="E2453">
        <v>0</v>
      </c>
      <c r="F2453">
        <v>28.55</v>
      </c>
    </row>
    <row r="2454" spans="1:6" x14ac:dyDescent="0.25">
      <c r="A2454" t="s">
        <v>1172</v>
      </c>
      <c r="B2454" t="s">
        <v>30</v>
      </c>
      <c r="C2454" t="s">
        <v>57</v>
      </c>
      <c r="D2454" t="s">
        <v>3218</v>
      </c>
      <c r="E2454">
        <v>16.89</v>
      </c>
      <c r="F2454">
        <v>28.9</v>
      </c>
    </row>
    <row r="2455" spans="1:6" x14ac:dyDescent="0.25">
      <c r="A2455" t="s">
        <v>1172</v>
      </c>
      <c r="B2455" t="s">
        <v>30</v>
      </c>
      <c r="C2455" t="s">
        <v>57</v>
      </c>
      <c r="D2455" t="s">
        <v>3219</v>
      </c>
      <c r="E2455">
        <v>32.33</v>
      </c>
      <c r="F2455">
        <v>31.87</v>
      </c>
    </row>
    <row r="2456" spans="1:6" x14ac:dyDescent="0.25">
      <c r="A2456" t="s">
        <v>1173</v>
      </c>
      <c r="B2456" t="s">
        <v>30</v>
      </c>
      <c r="C2456" t="s">
        <v>58</v>
      </c>
      <c r="D2456" t="s">
        <v>3217</v>
      </c>
      <c r="E2456">
        <v>0</v>
      </c>
      <c r="F2456">
        <v>28.01</v>
      </c>
    </row>
    <row r="2457" spans="1:6" x14ac:dyDescent="0.25">
      <c r="A2457" t="s">
        <v>1173</v>
      </c>
      <c r="B2457" t="s">
        <v>30</v>
      </c>
      <c r="C2457" t="s">
        <v>58</v>
      </c>
      <c r="D2457" t="s">
        <v>3218</v>
      </c>
      <c r="E2457">
        <v>15.49</v>
      </c>
      <c r="F2457">
        <v>28.2</v>
      </c>
    </row>
    <row r="2458" spans="1:6" x14ac:dyDescent="0.25">
      <c r="A2458" t="s">
        <v>1173</v>
      </c>
      <c r="B2458" t="s">
        <v>30</v>
      </c>
      <c r="C2458" t="s">
        <v>58</v>
      </c>
      <c r="D2458" t="s">
        <v>3219</v>
      </c>
      <c r="E2458">
        <v>28.02</v>
      </c>
      <c r="F2458">
        <v>29.76</v>
      </c>
    </row>
    <row r="2459" spans="1:6" x14ac:dyDescent="0.25">
      <c r="A2459" t="s">
        <v>1174</v>
      </c>
      <c r="B2459" t="s">
        <v>30</v>
      </c>
      <c r="C2459" t="s">
        <v>59</v>
      </c>
      <c r="D2459" t="s">
        <v>3217</v>
      </c>
      <c r="E2459">
        <v>0</v>
      </c>
      <c r="F2459">
        <v>27.68</v>
      </c>
    </row>
    <row r="2460" spans="1:6" x14ac:dyDescent="0.25">
      <c r="A2460" t="s">
        <v>1174</v>
      </c>
      <c r="B2460" t="s">
        <v>30</v>
      </c>
      <c r="C2460" t="s">
        <v>59</v>
      </c>
      <c r="D2460" t="s">
        <v>3218</v>
      </c>
      <c r="E2460">
        <v>13.45</v>
      </c>
      <c r="F2460">
        <v>27.91</v>
      </c>
    </row>
    <row r="2461" spans="1:6" x14ac:dyDescent="0.25">
      <c r="A2461" t="s">
        <v>1174</v>
      </c>
      <c r="B2461" t="s">
        <v>30</v>
      </c>
      <c r="C2461" t="s">
        <v>59</v>
      </c>
      <c r="D2461" t="s">
        <v>3219</v>
      </c>
      <c r="E2461">
        <v>27.45</v>
      </c>
      <c r="F2461">
        <v>28.08</v>
      </c>
    </row>
    <row r="2462" spans="1:6" x14ac:dyDescent="0.25">
      <c r="A2462" t="s">
        <v>1175</v>
      </c>
      <c r="B2462" t="s">
        <v>30</v>
      </c>
      <c r="C2462" t="s">
        <v>60</v>
      </c>
      <c r="D2462" t="s">
        <v>3217</v>
      </c>
      <c r="E2462">
        <v>0</v>
      </c>
      <c r="F2462">
        <v>26.97</v>
      </c>
    </row>
    <row r="2463" spans="1:6" x14ac:dyDescent="0.25">
      <c r="A2463" t="s">
        <v>1175</v>
      </c>
      <c r="B2463" t="s">
        <v>30</v>
      </c>
      <c r="C2463" t="s">
        <v>60</v>
      </c>
      <c r="D2463" t="s">
        <v>3218</v>
      </c>
      <c r="E2463">
        <v>12.14</v>
      </c>
      <c r="F2463">
        <v>27.19</v>
      </c>
    </row>
    <row r="2464" spans="1:6" x14ac:dyDescent="0.25">
      <c r="A2464" t="s">
        <v>1175</v>
      </c>
      <c r="B2464" t="s">
        <v>30</v>
      </c>
      <c r="C2464" t="s">
        <v>60</v>
      </c>
      <c r="D2464" t="s">
        <v>3219</v>
      </c>
      <c r="E2464">
        <v>25.89</v>
      </c>
      <c r="F2464">
        <v>27.17</v>
      </c>
    </row>
    <row r="2465" spans="1:6" x14ac:dyDescent="0.25">
      <c r="A2465" t="s">
        <v>1176</v>
      </c>
      <c r="B2465" t="s">
        <v>30</v>
      </c>
      <c r="C2465" t="s">
        <v>61</v>
      </c>
      <c r="D2465" t="s">
        <v>3217</v>
      </c>
      <c r="E2465">
        <v>0</v>
      </c>
      <c r="F2465">
        <v>25.95</v>
      </c>
    </row>
    <row r="2466" spans="1:6" x14ac:dyDescent="0.25">
      <c r="A2466" t="s">
        <v>1176</v>
      </c>
      <c r="B2466" t="s">
        <v>30</v>
      </c>
      <c r="C2466" t="s">
        <v>61</v>
      </c>
      <c r="D2466" t="s">
        <v>3218</v>
      </c>
      <c r="E2466">
        <v>11.25</v>
      </c>
      <c r="F2466">
        <v>26.1</v>
      </c>
    </row>
    <row r="2467" spans="1:6" x14ac:dyDescent="0.25">
      <c r="A2467" t="s">
        <v>1176</v>
      </c>
      <c r="B2467" t="s">
        <v>30</v>
      </c>
      <c r="C2467" t="s">
        <v>61</v>
      </c>
      <c r="D2467" t="s">
        <v>3219</v>
      </c>
      <c r="E2467">
        <v>24.4</v>
      </c>
      <c r="F2467">
        <v>26.09</v>
      </c>
    </row>
    <row r="2468" spans="1:6" x14ac:dyDescent="0.25">
      <c r="A2468" t="s">
        <v>1177</v>
      </c>
      <c r="B2468" t="s">
        <v>30</v>
      </c>
      <c r="C2468" t="s">
        <v>62</v>
      </c>
      <c r="D2468" t="s">
        <v>3217</v>
      </c>
      <c r="E2468">
        <v>0</v>
      </c>
      <c r="F2468">
        <v>24.5</v>
      </c>
    </row>
    <row r="2469" spans="1:6" x14ac:dyDescent="0.25">
      <c r="A2469" t="s">
        <v>1177</v>
      </c>
      <c r="B2469" t="s">
        <v>30</v>
      </c>
      <c r="C2469" t="s">
        <v>62</v>
      </c>
      <c r="D2469" t="s">
        <v>3218</v>
      </c>
      <c r="E2469">
        <v>9.17</v>
      </c>
      <c r="F2469">
        <v>24.49</v>
      </c>
    </row>
    <row r="2470" spans="1:6" x14ac:dyDescent="0.25">
      <c r="A2470" t="s">
        <v>1177</v>
      </c>
      <c r="B2470" t="s">
        <v>30</v>
      </c>
      <c r="C2470" t="s">
        <v>62</v>
      </c>
      <c r="D2470" t="s">
        <v>3219</v>
      </c>
      <c r="E2470">
        <v>24.91</v>
      </c>
      <c r="F2470">
        <v>24.26</v>
      </c>
    </row>
    <row r="2471" spans="1:6" x14ac:dyDescent="0.25">
      <c r="A2471" t="s">
        <v>1178</v>
      </c>
      <c r="B2471" t="s">
        <v>30</v>
      </c>
      <c r="C2471" t="s">
        <v>63</v>
      </c>
      <c r="D2471" t="s">
        <v>3217</v>
      </c>
      <c r="E2471">
        <v>0</v>
      </c>
      <c r="F2471">
        <v>22.79</v>
      </c>
    </row>
    <row r="2472" spans="1:6" x14ac:dyDescent="0.25">
      <c r="A2472" t="s">
        <v>1178</v>
      </c>
      <c r="B2472" t="s">
        <v>30</v>
      </c>
      <c r="C2472" t="s">
        <v>63</v>
      </c>
      <c r="D2472" t="s">
        <v>3218</v>
      </c>
      <c r="E2472">
        <v>9.73</v>
      </c>
      <c r="F2472">
        <v>22.94</v>
      </c>
    </row>
    <row r="2473" spans="1:6" x14ac:dyDescent="0.25">
      <c r="A2473" t="s">
        <v>1178</v>
      </c>
      <c r="B2473" t="s">
        <v>30</v>
      </c>
      <c r="C2473" t="s">
        <v>63</v>
      </c>
      <c r="D2473" t="s">
        <v>3219</v>
      </c>
      <c r="E2473">
        <v>26.26</v>
      </c>
      <c r="F2473">
        <v>22.91</v>
      </c>
    </row>
    <row r="2474" spans="1:6" x14ac:dyDescent="0.25">
      <c r="A2474" t="s">
        <v>1179</v>
      </c>
      <c r="B2474" t="s">
        <v>30</v>
      </c>
      <c r="C2474" t="s">
        <v>64</v>
      </c>
      <c r="D2474" t="s">
        <v>3217</v>
      </c>
      <c r="E2474">
        <v>0</v>
      </c>
      <c r="F2474">
        <v>21.15</v>
      </c>
    </row>
    <row r="2475" spans="1:6" x14ac:dyDescent="0.25">
      <c r="A2475" t="s">
        <v>1179</v>
      </c>
      <c r="B2475" t="s">
        <v>30</v>
      </c>
      <c r="C2475" t="s">
        <v>64</v>
      </c>
      <c r="D2475" t="s">
        <v>3218</v>
      </c>
      <c r="E2475">
        <v>10.14</v>
      </c>
      <c r="F2475">
        <v>21.26</v>
      </c>
    </row>
    <row r="2476" spans="1:6" x14ac:dyDescent="0.25">
      <c r="A2476" t="s">
        <v>1179</v>
      </c>
      <c r="B2476" t="s">
        <v>30</v>
      </c>
      <c r="C2476" t="s">
        <v>64</v>
      </c>
      <c r="D2476" t="s">
        <v>3219</v>
      </c>
      <c r="E2476">
        <v>26.03</v>
      </c>
      <c r="F2476">
        <v>21.26</v>
      </c>
    </row>
    <row r="2477" spans="1:6" x14ac:dyDescent="0.25">
      <c r="A2477" t="s">
        <v>1180</v>
      </c>
      <c r="B2477" t="s">
        <v>30</v>
      </c>
      <c r="C2477" t="s">
        <v>65</v>
      </c>
      <c r="D2477" t="s">
        <v>3217</v>
      </c>
      <c r="E2477">
        <v>0</v>
      </c>
      <c r="F2477">
        <v>19.489999999999998</v>
      </c>
    </row>
    <row r="2478" spans="1:6" x14ac:dyDescent="0.25">
      <c r="A2478" t="s">
        <v>1180</v>
      </c>
      <c r="B2478" t="s">
        <v>30</v>
      </c>
      <c r="C2478" t="s">
        <v>65</v>
      </c>
      <c r="D2478" t="s">
        <v>3218</v>
      </c>
      <c r="E2478">
        <v>9.3800000000000008</v>
      </c>
      <c r="F2478">
        <v>19.670000000000002</v>
      </c>
    </row>
    <row r="2479" spans="1:6" x14ac:dyDescent="0.25">
      <c r="A2479" t="s">
        <v>1180</v>
      </c>
      <c r="B2479" t="s">
        <v>30</v>
      </c>
      <c r="C2479" t="s">
        <v>65</v>
      </c>
      <c r="D2479" t="s">
        <v>3219</v>
      </c>
      <c r="E2479">
        <v>24.76</v>
      </c>
      <c r="F2479">
        <v>19.82</v>
      </c>
    </row>
    <row r="2480" spans="1:6" x14ac:dyDescent="0.25">
      <c r="A2480" t="s">
        <v>1181</v>
      </c>
      <c r="B2480" t="s">
        <v>30</v>
      </c>
      <c r="C2480" t="s">
        <v>66</v>
      </c>
      <c r="D2480" t="s">
        <v>3217</v>
      </c>
      <c r="E2480">
        <v>0</v>
      </c>
      <c r="F2480">
        <v>18.28</v>
      </c>
    </row>
    <row r="2481" spans="1:6" x14ac:dyDescent="0.25">
      <c r="A2481" t="s">
        <v>1181</v>
      </c>
      <c r="B2481" t="s">
        <v>30</v>
      </c>
      <c r="C2481" t="s">
        <v>66</v>
      </c>
      <c r="D2481" t="s">
        <v>3218</v>
      </c>
      <c r="E2481">
        <v>9.5</v>
      </c>
      <c r="F2481">
        <v>18.36</v>
      </c>
    </row>
    <row r="2482" spans="1:6" x14ac:dyDescent="0.25">
      <c r="A2482" t="s">
        <v>1181</v>
      </c>
      <c r="B2482" t="s">
        <v>30</v>
      </c>
      <c r="C2482" t="s">
        <v>66</v>
      </c>
      <c r="D2482" t="s">
        <v>3219</v>
      </c>
      <c r="E2482">
        <v>25.15</v>
      </c>
      <c r="F2482">
        <v>18.739999999999998</v>
      </c>
    </row>
    <row r="2483" spans="1:6" x14ac:dyDescent="0.25">
      <c r="A2483" t="s">
        <v>1182</v>
      </c>
      <c r="B2483" t="s">
        <v>30</v>
      </c>
      <c r="C2483" t="s">
        <v>67</v>
      </c>
      <c r="D2483" t="s">
        <v>3217</v>
      </c>
      <c r="E2483">
        <v>0</v>
      </c>
      <c r="F2483">
        <v>16.88</v>
      </c>
    </row>
    <row r="2484" spans="1:6" x14ac:dyDescent="0.25">
      <c r="A2484" t="s">
        <v>1182</v>
      </c>
      <c r="B2484" t="s">
        <v>30</v>
      </c>
      <c r="C2484" t="s">
        <v>67</v>
      </c>
      <c r="D2484" t="s">
        <v>3218</v>
      </c>
      <c r="E2484">
        <v>10.52</v>
      </c>
      <c r="F2484">
        <v>17.059999999999999</v>
      </c>
    </row>
    <row r="2485" spans="1:6" x14ac:dyDescent="0.25">
      <c r="A2485" t="s">
        <v>1182</v>
      </c>
      <c r="B2485" t="s">
        <v>30</v>
      </c>
      <c r="C2485" t="s">
        <v>67</v>
      </c>
      <c r="D2485" t="s">
        <v>3219</v>
      </c>
      <c r="E2485">
        <v>25.2</v>
      </c>
      <c r="F2485">
        <v>17.190000000000001</v>
      </c>
    </row>
    <row r="2486" spans="1:6" x14ac:dyDescent="0.25">
      <c r="A2486" t="s">
        <v>1183</v>
      </c>
      <c r="B2486" t="s">
        <v>30</v>
      </c>
      <c r="C2486" t="s">
        <v>68</v>
      </c>
      <c r="D2486" t="s">
        <v>3217</v>
      </c>
      <c r="E2486">
        <v>0</v>
      </c>
      <c r="F2486">
        <v>15.26</v>
      </c>
    </row>
    <row r="2487" spans="1:6" x14ac:dyDescent="0.25">
      <c r="A2487" t="s">
        <v>1183</v>
      </c>
      <c r="B2487" t="s">
        <v>30</v>
      </c>
      <c r="C2487" t="s">
        <v>68</v>
      </c>
      <c r="D2487" t="s">
        <v>3218</v>
      </c>
      <c r="E2487">
        <v>11.7</v>
      </c>
      <c r="F2487">
        <v>15.46</v>
      </c>
    </row>
    <row r="2488" spans="1:6" x14ac:dyDescent="0.25">
      <c r="A2488" t="s">
        <v>1183</v>
      </c>
      <c r="B2488" t="s">
        <v>30</v>
      </c>
      <c r="C2488" t="s">
        <v>68</v>
      </c>
      <c r="D2488" t="s">
        <v>3219</v>
      </c>
      <c r="E2488">
        <v>24.26</v>
      </c>
      <c r="F2488">
        <v>15.51</v>
      </c>
    </row>
    <row r="2489" spans="1:6" x14ac:dyDescent="0.25">
      <c r="A2489" t="s">
        <v>1184</v>
      </c>
      <c r="B2489" t="s">
        <v>30</v>
      </c>
      <c r="C2489" t="s">
        <v>69</v>
      </c>
      <c r="D2489" t="s">
        <v>3217</v>
      </c>
      <c r="E2489">
        <v>0</v>
      </c>
      <c r="F2489">
        <v>13.34</v>
      </c>
    </row>
    <row r="2490" spans="1:6" x14ac:dyDescent="0.25">
      <c r="A2490" t="s">
        <v>1184</v>
      </c>
      <c r="B2490" t="s">
        <v>30</v>
      </c>
      <c r="C2490" t="s">
        <v>69</v>
      </c>
      <c r="D2490" t="s">
        <v>3218</v>
      </c>
      <c r="E2490">
        <v>13.59</v>
      </c>
      <c r="F2490">
        <v>13.82</v>
      </c>
    </row>
    <row r="2491" spans="1:6" x14ac:dyDescent="0.25">
      <c r="A2491" t="s">
        <v>1184</v>
      </c>
      <c r="B2491" t="s">
        <v>30</v>
      </c>
      <c r="C2491" t="s">
        <v>69</v>
      </c>
      <c r="D2491" t="s">
        <v>3219</v>
      </c>
      <c r="E2491">
        <v>25.34</v>
      </c>
      <c r="F2491">
        <v>13.95</v>
      </c>
    </row>
    <row r="2492" spans="1:6" x14ac:dyDescent="0.25">
      <c r="A2492" t="s">
        <v>1185</v>
      </c>
      <c r="B2492" t="s">
        <v>30</v>
      </c>
      <c r="C2492" t="s">
        <v>70</v>
      </c>
      <c r="D2492" t="s">
        <v>3217</v>
      </c>
      <c r="E2492">
        <v>0</v>
      </c>
      <c r="F2492">
        <v>11.79</v>
      </c>
    </row>
    <row r="2493" spans="1:6" x14ac:dyDescent="0.25">
      <c r="A2493" t="s">
        <v>1185</v>
      </c>
      <c r="B2493" t="s">
        <v>30</v>
      </c>
      <c r="C2493" t="s">
        <v>70</v>
      </c>
      <c r="D2493" t="s">
        <v>3218</v>
      </c>
      <c r="E2493">
        <v>14.58</v>
      </c>
      <c r="F2493">
        <v>12.2</v>
      </c>
    </row>
    <row r="2494" spans="1:6" x14ac:dyDescent="0.25">
      <c r="A2494" t="s">
        <v>1185</v>
      </c>
      <c r="B2494" t="s">
        <v>30</v>
      </c>
      <c r="C2494" t="s">
        <v>70</v>
      </c>
      <c r="D2494" t="s">
        <v>3219</v>
      </c>
      <c r="E2494">
        <v>27.45</v>
      </c>
      <c r="F2494">
        <v>12.48</v>
      </c>
    </row>
    <row r="2495" spans="1:6" x14ac:dyDescent="0.25">
      <c r="A2495" t="s">
        <v>1186</v>
      </c>
      <c r="B2495" t="s">
        <v>30</v>
      </c>
      <c r="C2495" t="s">
        <v>71</v>
      </c>
      <c r="D2495" t="s">
        <v>3217</v>
      </c>
      <c r="E2495">
        <v>0</v>
      </c>
      <c r="F2495">
        <v>10.38</v>
      </c>
    </row>
    <row r="2496" spans="1:6" x14ac:dyDescent="0.25">
      <c r="A2496" t="s">
        <v>1186</v>
      </c>
      <c r="B2496" t="s">
        <v>30</v>
      </c>
      <c r="C2496" t="s">
        <v>71</v>
      </c>
      <c r="D2496" t="s">
        <v>3218</v>
      </c>
      <c r="E2496">
        <v>15.27</v>
      </c>
      <c r="F2496">
        <v>10.77</v>
      </c>
    </row>
    <row r="2497" spans="1:6" x14ac:dyDescent="0.25">
      <c r="A2497" t="s">
        <v>1186</v>
      </c>
      <c r="B2497" t="s">
        <v>30</v>
      </c>
      <c r="C2497" t="s">
        <v>71</v>
      </c>
      <c r="D2497" t="s">
        <v>3219</v>
      </c>
      <c r="E2497">
        <v>28.8</v>
      </c>
      <c r="F2497">
        <v>11.09</v>
      </c>
    </row>
    <row r="2498" spans="1:6" x14ac:dyDescent="0.25">
      <c r="A2498" t="s">
        <v>1187</v>
      </c>
      <c r="B2498" t="s">
        <v>30</v>
      </c>
      <c r="C2498" t="s">
        <v>72</v>
      </c>
      <c r="D2498" t="s">
        <v>3217</v>
      </c>
      <c r="E2498">
        <v>0</v>
      </c>
      <c r="F2498">
        <v>9.36</v>
      </c>
    </row>
    <row r="2499" spans="1:6" x14ac:dyDescent="0.25">
      <c r="A2499" t="s">
        <v>1187</v>
      </c>
      <c r="B2499" t="s">
        <v>30</v>
      </c>
      <c r="C2499" t="s">
        <v>72</v>
      </c>
      <c r="D2499" t="s">
        <v>3218</v>
      </c>
      <c r="E2499">
        <v>14.96</v>
      </c>
      <c r="F2499">
        <v>9.42</v>
      </c>
    </row>
    <row r="2500" spans="1:6" x14ac:dyDescent="0.25">
      <c r="A2500" t="s">
        <v>1187</v>
      </c>
      <c r="B2500" t="s">
        <v>30</v>
      </c>
      <c r="C2500" t="s">
        <v>72</v>
      </c>
      <c r="D2500" t="s">
        <v>3219</v>
      </c>
      <c r="E2500">
        <v>28.5</v>
      </c>
      <c r="F2500">
        <v>9.93</v>
      </c>
    </row>
    <row r="2501" spans="1:6" x14ac:dyDescent="0.25">
      <c r="A2501" t="s">
        <v>1188</v>
      </c>
      <c r="B2501" t="s">
        <v>30</v>
      </c>
      <c r="C2501" t="s">
        <v>73</v>
      </c>
      <c r="D2501" t="s">
        <v>3217</v>
      </c>
      <c r="E2501">
        <v>0</v>
      </c>
      <c r="F2501">
        <v>7.26</v>
      </c>
    </row>
    <row r="2502" spans="1:6" x14ac:dyDescent="0.25">
      <c r="A2502" t="s">
        <v>1188</v>
      </c>
      <c r="B2502" t="s">
        <v>30</v>
      </c>
      <c r="C2502" t="s">
        <v>73</v>
      </c>
      <c r="D2502" t="s">
        <v>3218</v>
      </c>
      <c r="E2502">
        <v>14.96</v>
      </c>
      <c r="F2502">
        <v>7.47</v>
      </c>
    </row>
    <row r="2503" spans="1:6" x14ac:dyDescent="0.25">
      <c r="A2503" t="s">
        <v>1188</v>
      </c>
      <c r="B2503" t="s">
        <v>30</v>
      </c>
      <c r="C2503" t="s">
        <v>73</v>
      </c>
      <c r="D2503" t="s">
        <v>3219</v>
      </c>
      <c r="E2503">
        <v>28.5</v>
      </c>
      <c r="F2503">
        <v>7.93</v>
      </c>
    </row>
    <row r="2504" spans="1:6" x14ac:dyDescent="0.25">
      <c r="A2504" t="s">
        <v>1189</v>
      </c>
      <c r="B2504" t="s">
        <v>30</v>
      </c>
      <c r="C2504" t="s">
        <v>74</v>
      </c>
      <c r="D2504" t="s">
        <v>3217</v>
      </c>
      <c r="E2504">
        <v>0</v>
      </c>
      <c r="F2504">
        <v>5.48</v>
      </c>
    </row>
    <row r="2505" spans="1:6" x14ac:dyDescent="0.25">
      <c r="A2505" t="s">
        <v>1189</v>
      </c>
      <c r="B2505" t="s">
        <v>30</v>
      </c>
      <c r="C2505" t="s">
        <v>74</v>
      </c>
      <c r="D2505" t="s">
        <v>3218</v>
      </c>
      <c r="E2505">
        <v>14</v>
      </c>
      <c r="F2505">
        <v>5.62</v>
      </c>
    </row>
    <row r="2506" spans="1:6" x14ac:dyDescent="0.25">
      <c r="A2506" t="s">
        <v>1189</v>
      </c>
      <c r="B2506" t="s">
        <v>30</v>
      </c>
      <c r="C2506" t="s">
        <v>74</v>
      </c>
      <c r="D2506" t="s">
        <v>3219</v>
      </c>
      <c r="E2506">
        <v>26.85</v>
      </c>
      <c r="F2506">
        <v>5.9</v>
      </c>
    </row>
    <row r="2507" spans="1:6" x14ac:dyDescent="0.25">
      <c r="A2507" t="s">
        <v>1190</v>
      </c>
      <c r="B2507" t="s">
        <v>30</v>
      </c>
      <c r="C2507" t="s">
        <v>75</v>
      </c>
      <c r="D2507" t="s">
        <v>3217</v>
      </c>
      <c r="E2507">
        <v>0</v>
      </c>
      <c r="F2507">
        <v>4.0599999999999996</v>
      </c>
    </row>
    <row r="2508" spans="1:6" x14ac:dyDescent="0.25">
      <c r="A2508" t="s">
        <v>1190</v>
      </c>
      <c r="B2508" t="s">
        <v>30</v>
      </c>
      <c r="C2508" t="s">
        <v>75</v>
      </c>
      <c r="D2508" t="s">
        <v>3218</v>
      </c>
      <c r="E2508">
        <v>13.17</v>
      </c>
      <c r="F2508">
        <v>4.1500000000000004</v>
      </c>
    </row>
    <row r="2509" spans="1:6" x14ac:dyDescent="0.25">
      <c r="A2509" t="s">
        <v>1190</v>
      </c>
      <c r="B2509" t="s">
        <v>30</v>
      </c>
      <c r="C2509" t="s">
        <v>75</v>
      </c>
      <c r="D2509" t="s">
        <v>3219</v>
      </c>
      <c r="E2509">
        <v>25.75</v>
      </c>
      <c r="F2509">
        <v>4.29</v>
      </c>
    </row>
    <row r="2510" spans="1:6" x14ac:dyDescent="0.25">
      <c r="A2510" t="s">
        <v>1191</v>
      </c>
      <c r="B2510" t="s">
        <v>30</v>
      </c>
      <c r="C2510" t="s">
        <v>76</v>
      </c>
      <c r="D2510" t="s">
        <v>3217</v>
      </c>
      <c r="E2510">
        <v>0</v>
      </c>
      <c r="F2510">
        <v>2.58</v>
      </c>
    </row>
    <row r="2511" spans="1:6" x14ac:dyDescent="0.25">
      <c r="A2511" t="s">
        <v>1191</v>
      </c>
      <c r="B2511" t="s">
        <v>30</v>
      </c>
      <c r="C2511" t="s">
        <v>76</v>
      </c>
      <c r="D2511" t="s">
        <v>3218</v>
      </c>
      <c r="E2511">
        <v>12.15</v>
      </c>
      <c r="F2511">
        <v>2.58</v>
      </c>
    </row>
    <row r="2512" spans="1:6" x14ac:dyDescent="0.25">
      <c r="A2512" t="s">
        <v>1191</v>
      </c>
      <c r="B2512" t="s">
        <v>30</v>
      </c>
      <c r="C2512" t="s">
        <v>76</v>
      </c>
      <c r="D2512" t="s">
        <v>3219</v>
      </c>
      <c r="E2512">
        <v>25.37</v>
      </c>
      <c r="F2512">
        <v>2.7</v>
      </c>
    </row>
    <row r="2513" spans="1:6" x14ac:dyDescent="0.25">
      <c r="A2513" t="s">
        <v>1192</v>
      </c>
      <c r="B2513" t="s">
        <v>30</v>
      </c>
      <c r="C2513" t="s">
        <v>77</v>
      </c>
      <c r="D2513" t="s">
        <v>3217</v>
      </c>
      <c r="E2513">
        <v>0</v>
      </c>
      <c r="F2513">
        <v>0.98</v>
      </c>
    </row>
    <row r="2514" spans="1:6" x14ac:dyDescent="0.25">
      <c r="A2514" t="s">
        <v>1192</v>
      </c>
      <c r="B2514" t="s">
        <v>30</v>
      </c>
      <c r="C2514" t="s">
        <v>77</v>
      </c>
      <c r="D2514" t="s">
        <v>3218</v>
      </c>
      <c r="E2514">
        <v>12.02</v>
      </c>
      <c r="F2514">
        <v>0.91</v>
      </c>
    </row>
    <row r="2515" spans="1:6" x14ac:dyDescent="0.25">
      <c r="A2515" t="s">
        <v>1192</v>
      </c>
      <c r="B2515" t="s">
        <v>30</v>
      </c>
      <c r="C2515" t="s">
        <v>77</v>
      </c>
      <c r="D2515" t="s">
        <v>3219</v>
      </c>
      <c r="E2515">
        <v>26.47</v>
      </c>
      <c r="F2515">
        <v>0.86</v>
      </c>
    </row>
    <row r="2516" spans="1:6" x14ac:dyDescent="0.25">
      <c r="A2516" t="s">
        <v>1193</v>
      </c>
      <c r="B2516" t="s">
        <v>30</v>
      </c>
      <c r="C2516" t="s">
        <v>78</v>
      </c>
      <c r="D2516" t="s">
        <v>3217</v>
      </c>
      <c r="E2516">
        <v>0</v>
      </c>
      <c r="F2516">
        <v>-0.52</v>
      </c>
    </row>
    <row r="2517" spans="1:6" x14ac:dyDescent="0.25">
      <c r="A2517" t="s">
        <v>1193</v>
      </c>
      <c r="B2517" t="s">
        <v>30</v>
      </c>
      <c r="C2517" t="s">
        <v>78</v>
      </c>
      <c r="D2517" t="s">
        <v>3218</v>
      </c>
      <c r="E2517">
        <v>11</v>
      </c>
      <c r="F2517">
        <v>-0.76</v>
      </c>
    </row>
    <row r="2518" spans="1:6" x14ac:dyDescent="0.25">
      <c r="A2518" t="s">
        <v>1193</v>
      </c>
      <c r="B2518" t="s">
        <v>30</v>
      </c>
      <c r="C2518" t="s">
        <v>78</v>
      </c>
      <c r="D2518" t="s">
        <v>3219</v>
      </c>
      <c r="E2518">
        <v>25.63</v>
      </c>
      <c r="F2518">
        <v>-0.72</v>
      </c>
    </row>
    <row r="2519" spans="1:6" x14ac:dyDescent="0.25">
      <c r="A2519" t="s">
        <v>1194</v>
      </c>
      <c r="B2519" t="s">
        <v>30</v>
      </c>
      <c r="C2519" t="s">
        <v>79</v>
      </c>
      <c r="D2519" t="s">
        <v>3217</v>
      </c>
      <c r="E2519">
        <v>0</v>
      </c>
      <c r="F2519">
        <v>-2.0699999999999998</v>
      </c>
    </row>
    <row r="2520" spans="1:6" x14ac:dyDescent="0.25">
      <c r="A2520" t="s">
        <v>1194</v>
      </c>
      <c r="B2520" t="s">
        <v>30</v>
      </c>
      <c r="C2520" t="s">
        <v>79</v>
      </c>
      <c r="D2520" t="s">
        <v>3218</v>
      </c>
      <c r="E2520">
        <v>12.15</v>
      </c>
      <c r="F2520">
        <v>-2.3199999999999998</v>
      </c>
    </row>
    <row r="2521" spans="1:6" x14ac:dyDescent="0.25">
      <c r="A2521" t="s">
        <v>1194</v>
      </c>
      <c r="B2521" t="s">
        <v>30</v>
      </c>
      <c r="C2521" t="s">
        <v>79</v>
      </c>
      <c r="D2521" t="s">
        <v>3219</v>
      </c>
      <c r="E2521">
        <v>25.73</v>
      </c>
      <c r="F2521">
        <v>-2.34</v>
      </c>
    </row>
    <row r="2522" spans="1:6" x14ac:dyDescent="0.25">
      <c r="A2522" t="s">
        <v>1195</v>
      </c>
      <c r="B2522" t="s">
        <v>30</v>
      </c>
      <c r="C2522" t="s">
        <v>80</v>
      </c>
      <c r="D2522" t="s">
        <v>3217</v>
      </c>
      <c r="E2522">
        <v>0</v>
      </c>
      <c r="F2522">
        <v>-3.67</v>
      </c>
    </row>
    <row r="2523" spans="1:6" x14ac:dyDescent="0.25">
      <c r="A2523" t="s">
        <v>1195</v>
      </c>
      <c r="B2523" t="s">
        <v>30</v>
      </c>
      <c r="C2523" t="s">
        <v>80</v>
      </c>
      <c r="D2523" t="s">
        <v>3218</v>
      </c>
      <c r="E2523">
        <v>12.02</v>
      </c>
      <c r="F2523">
        <v>-3.82</v>
      </c>
    </row>
    <row r="2524" spans="1:6" x14ac:dyDescent="0.25">
      <c r="A2524" t="s">
        <v>1195</v>
      </c>
      <c r="B2524" t="s">
        <v>30</v>
      </c>
      <c r="C2524" t="s">
        <v>80</v>
      </c>
      <c r="D2524" t="s">
        <v>3219</v>
      </c>
      <c r="E2524">
        <v>25.73</v>
      </c>
      <c r="F2524">
        <v>-3.94</v>
      </c>
    </row>
    <row r="2525" spans="1:6" x14ac:dyDescent="0.25">
      <c r="A2525" t="s">
        <v>1196</v>
      </c>
      <c r="B2525" t="s">
        <v>30</v>
      </c>
      <c r="C2525" t="s">
        <v>81</v>
      </c>
      <c r="D2525" t="s">
        <v>3217</v>
      </c>
      <c r="E2525">
        <v>0</v>
      </c>
      <c r="F2525">
        <v>-4.99</v>
      </c>
    </row>
    <row r="2526" spans="1:6" x14ac:dyDescent="0.25">
      <c r="A2526" t="s">
        <v>1196</v>
      </c>
      <c r="B2526" t="s">
        <v>30</v>
      </c>
      <c r="C2526" t="s">
        <v>81</v>
      </c>
      <c r="D2526" t="s">
        <v>3218</v>
      </c>
      <c r="E2526">
        <v>11.55</v>
      </c>
      <c r="F2526">
        <v>-5.19</v>
      </c>
    </row>
    <row r="2527" spans="1:6" x14ac:dyDescent="0.25">
      <c r="A2527" t="s">
        <v>1196</v>
      </c>
      <c r="B2527" t="s">
        <v>30</v>
      </c>
      <c r="C2527" t="s">
        <v>81</v>
      </c>
      <c r="D2527" t="s">
        <v>3219</v>
      </c>
      <c r="E2527">
        <v>24.42</v>
      </c>
      <c r="F2527">
        <v>-5.39</v>
      </c>
    </row>
    <row r="2528" spans="1:6" x14ac:dyDescent="0.25">
      <c r="A2528" t="s">
        <v>1197</v>
      </c>
      <c r="B2528" t="s">
        <v>30</v>
      </c>
      <c r="C2528" t="s">
        <v>82</v>
      </c>
      <c r="D2528" t="s">
        <v>3217</v>
      </c>
      <c r="E2528">
        <v>0</v>
      </c>
      <c r="F2528">
        <v>-6.6</v>
      </c>
    </row>
    <row r="2529" spans="1:6" x14ac:dyDescent="0.25">
      <c r="A2529" t="s">
        <v>1197</v>
      </c>
      <c r="B2529" t="s">
        <v>30</v>
      </c>
      <c r="C2529" t="s">
        <v>82</v>
      </c>
      <c r="D2529" t="s">
        <v>3218</v>
      </c>
      <c r="E2529">
        <v>12.55</v>
      </c>
      <c r="F2529">
        <v>-6.74</v>
      </c>
    </row>
    <row r="2530" spans="1:6" x14ac:dyDescent="0.25">
      <c r="A2530" t="s">
        <v>1197</v>
      </c>
      <c r="B2530" t="s">
        <v>30</v>
      </c>
      <c r="C2530" t="s">
        <v>82</v>
      </c>
      <c r="D2530" t="s">
        <v>3219</v>
      </c>
      <c r="E2530">
        <v>25.03</v>
      </c>
      <c r="F2530">
        <v>-6.8</v>
      </c>
    </row>
    <row r="2531" spans="1:6" x14ac:dyDescent="0.25">
      <c r="A2531" t="s">
        <v>1198</v>
      </c>
      <c r="B2531" t="s">
        <v>30</v>
      </c>
      <c r="C2531" t="s">
        <v>83</v>
      </c>
      <c r="D2531" t="s">
        <v>3217</v>
      </c>
      <c r="E2531">
        <v>0</v>
      </c>
      <c r="F2531">
        <v>-8.34</v>
      </c>
    </row>
    <row r="2532" spans="1:6" x14ac:dyDescent="0.25">
      <c r="A2532" t="s">
        <v>1198</v>
      </c>
      <c r="B2532" t="s">
        <v>30</v>
      </c>
      <c r="C2532" t="s">
        <v>83</v>
      </c>
      <c r="D2532" t="s">
        <v>3218</v>
      </c>
      <c r="E2532">
        <v>13.03</v>
      </c>
      <c r="F2532">
        <v>-8.36</v>
      </c>
    </row>
    <row r="2533" spans="1:6" x14ac:dyDescent="0.25">
      <c r="A2533" t="s">
        <v>1198</v>
      </c>
      <c r="B2533" t="s">
        <v>30</v>
      </c>
      <c r="C2533" t="s">
        <v>83</v>
      </c>
      <c r="D2533" t="s">
        <v>3219</v>
      </c>
      <c r="E2533">
        <v>24.56</v>
      </c>
      <c r="F2533">
        <v>-8.32</v>
      </c>
    </row>
    <row r="2534" spans="1:6" x14ac:dyDescent="0.25">
      <c r="A2534" t="s">
        <v>1199</v>
      </c>
      <c r="B2534" t="s">
        <v>30</v>
      </c>
      <c r="C2534" t="s">
        <v>84</v>
      </c>
      <c r="D2534" t="s">
        <v>3217</v>
      </c>
      <c r="E2534">
        <v>0</v>
      </c>
      <c r="F2534">
        <v>-9.9499999999999993</v>
      </c>
    </row>
    <row r="2535" spans="1:6" x14ac:dyDescent="0.25">
      <c r="A2535" t="s">
        <v>1199</v>
      </c>
      <c r="B2535" t="s">
        <v>30</v>
      </c>
      <c r="C2535" t="s">
        <v>84</v>
      </c>
      <c r="D2535" t="s">
        <v>3218</v>
      </c>
      <c r="E2535">
        <v>12.72</v>
      </c>
      <c r="F2535">
        <v>-9.9600000000000009</v>
      </c>
    </row>
    <row r="2536" spans="1:6" x14ac:dyDescent="0.25">
      <c r="A2536" t="s">
        <v>1199</v>
      </c>
      <c r="B2536" t="s">
        <v>30</v>
      </c>
      <c r="C2536" t="s">
        <v>84</v>
      </c>
      <c r="D2536" t="s">
        <v>3219</v>
      </c>
      <c r="E2536">
        <v>23.41</v>
      </c>
      <c r="F2536">
        <v>-9.9499999999999993</v>
      </c>
    </row>
    <row r="2537" spans="1:6" x14ac:dyDescent="0.25">
      <c r="A2537" t="s">
        <v>1200</v>
      </c>
      <c r="B2537" t="s">
        <v>30</v>
      </c>
      <c r="C2537" t="s">
        <v>85</v>
      </c>
      <c r="D2537" t="s">
        <v>3217</v>
      </c>
      <c r="E2537">
        <v>0</v>
      </c>
      <c r="F2537">
        <v>-11.41</v>
      </c>
    </row>
    <row r="2538" spans="1:6" x14ac:dyDescent="0.25">
      <c r="A2538" t="s">
        <v>1200</v>
      </c>
      <c r="B2538" t="s">
        <v>30</v>
      </c>
      <c r="C2538" t="s">
        <v>85</v>
      </c>
      <c r="D2538" t="s">
        <v>3218</v>
      </c>
      <c r="E2538">
        <v>12</v>
      </c>
      <c r="F2538">
        <v>-11.48</v>
      </c>
    </row>
    <row r="2539" spans="1:6" x14ac:dyDescent="0.25">
      <c r="A2539" t="s">
        <v>1200</v>
      </c>
      <c r="B2539" t="s">
        <v>30</v>
      </c>
      <c r="C2539" t="s">
        <v>85</v>
      </c>
      <c r="D2539" t="s">
        <v>3219</v>
      </c>
      <c r="E2539">
        <v>22.48</v>
      </c>
      <c r="F2539">
        <v>-11.4</v>
      </c>
    </row>
    <row r="2540" spans="1:6" x14ac:dyDescent="0.25">
      <c r="A2540" t="s">
        <v>1201</v>
      </c>
      <c r="B2540" t="s">
        <v>30</v>
      </c>
      <c r="C2540" t="s">
        <v>86</v>
      </c>
      <c r="D2540" t="s">
        <v>3217</v>
      </c>
      <c r="E2540">
        <v>0</v>
      </c>
      <c r="F2540">
        <v>-12.81</v>
      </c>
    </row>
    <row r="2541" spans="1:6" x14ac:dyDescent="0.25">
      <c r="A2541" t="s">
        <v>1201</v>
      </c>
      <c r="B2541" t="s">
        <v>30</v>
      </c>
      <c r="C2541" t="s">
        <v>86</v>
      </c>
      <c r="D2541" t="s">
        <v>3218</v>
      </c>
      <c r="E2541">
        <v>12.24</v>
      </c>
      <c r="F2541">
        <v>-12.88</v>
      </c>
    </row>
    <row r="2542" spans="1:6" x14ac:dyDescent="0.25">
      <c r="A2542" t="s">
        <v>1201</v>
      </c>
      <c r="B2542" t="s">
        <v>30</v>
      </c>
      <c r="C2542" t="s">
        <v>86</v>
      </c>
      <c r="D2542" t="s">
        <v>3219</v>
      </c>
      <c r="E2542">
        <v>22.33</v>
      </c>
      <c r="F2542">
        <v>-12.87</v>
      </c>
    </row>
    <row r="2543" spans="1:6" x14ac:dyDescent="0.25">
      <c r="A2543" t="s">
        <v>1202</v>
      </c>
      <c r="B2543" t="s">
        <v>30</v>
      </c>
      <c r="C2543" t="s">
        <v>87</v>
      </c>
      <c r="D2543" t="s">
        <v>3217</v>
      </c>
      <c r="E2543">
        <v>0</v>
      </c>
      <c r="F2543">
        <v>-14.16</v>
      </c>
    </row>
    <row r="2544" spans="1:6" x14ac:dyDescent="0.25">
      <c r="A2544" t="s">
        <v>1202</v>
      </c>
      <c r="B2544" t="s">
        <v>30</v>
      </c>
      <c r="C2544" t="s">
        <v>87</v>
      </c>
      <c r="D2544" t="s">
        <v>3218</v>
      </c>
      <c r="E2544">
        <v>12.31</v>
      </c>
      <c r="F2544">
        <v>-14.19</v>
      </c>
    </row>
    <row r="2545" spans="1:6" x14ac:dyDescent="0.25">
      <c r="A2545" t="s">
        <v>1202</v>
      </c>
      <c r="B2545" t="s">
        <v>30</v>
      </c>
      <c r="C2545" t="s">
        <v>87</v>
      </c>
      <c r="D2545" t="s">
        <v>3219</v>
      </c>
      <c r="E2545">
        <v>22.9</v>
      </c>
      <c r="F2545">
        <v>-14.11</v>
      </c>
    </row>
    <row r="2546" spans="1:6" x14ac:dyDescent="0.25">
      <c r="A2546" t="s">
        <v>1203</v>
      </c>
      <c r="B2546" t="s">
        <v>30</v>
      </c>
      <c r="C2546" t="s">
        <v>88</v>
      </c>
      <c r="D2546" t="s">
        <v>3217</v>
      </c>
      <c r="E2546">
        <v>0</v>
      </c>
      <c r="F2546">
        <v>-15.75</v>
      </c>
    </row>
    <row r="2547" spans="1:6" x14ac:dyDescent="0.25">
      <c r="A2547" t="s">
        <v>1203</v>
      </c>
      <c r="B2547" t="s">
        <v>30</v>
      </c>
      <c r="C2547" t="s">
        <v>88</v>
      </c>
      <c r="D2547" t="s">
        <v>3218</v>
      </c>
      <c r="E2547">
        <v>13.13</v>
      </c>
      <c r="F2547">
        <v>-15.84</v>
      </c>
    </row>
    <row r="2548" spans="1:6" x14ac:dyDescent="0.25">
      <c r="A2548" t="s">
        <v>1203</v>
      </c>
      <c r="B2548" t="s">
        <v>30</v>
      </c>
      <c r="C2548" t="s">
        <v>88</v>
      </c>
      <c r="D2548" t="s">
        <v>3219</v>
      </c>
      <c r="E2548">
        <v>23.58</v>
      </c>
      <c r="F2548">
        <v>-15.81</v>
      </c>
    </row>
    <row r="2549" spans="1:6" x14ac:dyDescent="0.25">
      <c r="A2549" t="s">
        <v>1204</v>
      </c>
      <c r="B2549" t="s">
        <v>30</v>
      </c>
      <c r="C2549" t="s">
        <v>89</v>
      </c>
      <c r="D2549" t="s">
        <v>3217</v>
      </c>
      <c r="E2549">
        <v>0</v>
      </c>
      <c r="F2549">
        <v>-17.12</v>
      </c>
    </row>
    <row r="2550" spans="1:6" x14ac:dyDescent="0.25">
      <c r="A2550" t="s">
        <v>1204</v>
      </c>
      <c r="B2550" t="s">
        <v>30</v>
      </c>
      <c r="C2550" t="s">
        <v>89</v>
      </c>
      <c r="D2550" t="s">
        <v>3218</v>
      </c>
      <c r="E2550">
        <v>14.64</v>
      </c>
      <c r="F2550">
        <v>-17.03</v>
      </c>
    </row>
    <row r="2551" spans="1:6" x14ac:dyDescent="0.25">
      <c r="A2551" t="s">
        <v>1204</v>
      </c>
      <c r="B2551" t="s">
        <v>30</v>
      </c>
      <c r="C2551" t="s">
        <v>89</v>
      </c>
      <c r="D2551" t="s">
        <v>3219</v>
      </c>
      <c r="E2551">
        <v>26.18</v>
      </c>
      <c r="F2551">
        <v>-16.920000000000002</v>
      </c>
    </row>
    <row r="2552" spans="1:6" x14ac:dyDescent="0.25">
      <c r="A2552" t="s">
        <v>1205</v>
      </c>
      <c r="B2552" t="s">
        <v>30</v>
      </c>
      <c r="C2552" t="s">
        <v>90</v>
      </c>
      <c r="D2552" t="s">
        <v>3217</v>
      </c>
      <c r="E2552">
        <v>0</v>
      </c>
      <c r="F2552">
        <v>-18.38</v>
      </c>
    </row>
    <row r="2553" spans="1:6" x14ac:dyDescent="0.25">
      <c r="A2553" t="s">
        <v>1205</v>
      </c>
      <c r="B2553" t="s">
        <v>30</v>
      </c>
      <c r="C2553" t="s">
        <v>90</v>
      </c>
      <c r="D2553" t="s">
        <v>3218</v>
      </c>
      <c r="E2553">
        <v>14.86</v>
      </c>
      <c r="F2553">
        <v>-18.2</v>
      </c>
    </row>
    <row r="2554" spans="1:6" x14ac:dyDescent="0.25">
      <c r="A2554" t="s">
        <v>1205</v>
      </c>
      <c r="B2554" t="s">
        <v>30</v>
      </c>
      <c r="C2554" t="s">
        <v>90</v>
      </c>
      <c r="D2554" t="s">
        <v>3219</v>
      </c>
      <c r="E2554">
        <v>26.79</v>
      </c>
      <c r="F2554">
        <v>-18.28</v>
      </c>
    </row>
    <row r="2555" spans="1:6" x14ac:dyDescent="0.25">
      <c r="A2555" t="s">
        <v>1206</v>
      </c>
      <c r="B2555" t="s">
        <v>30</v>
      </c>
      <c r="C2555" t="s">
        <v>91</v>
      </c>
      <c r="D2555" t="s">
        <v>3217</v>
      </c>
      <c r="E2555">
        <v>0</v>
      </c>
      <c r="F2555">
        <v>-19.59</v>
      </c>
    </row>
    <row r="2556" spans="1:6" x14ac:dyDescent="0.25">
      <c r="A2556" t="s">
        <v>1206</v>
      </c>
      <c r="B2556" t="s">
        <v>30</v>
      </c>
      <c r="C2556" t="s">
        <v>91</v>
      </c>
      <c r="D2556" t="s">
        <v>3218</v>
      </c>
      <c r="E2556">
        <v>17.07</v>
      </c>
      <c r="F2556">
        <v>-19.23</v>
      </c>
    </row>
    <row r="2557" spans="1:6" x14ac:dyDescent="0.25">
      <c r="A2557" t="s">
        <v>1206</v>
      </c>
      <c r="B2557" t="s">
        <v>30</v>
      </c>
      <c r="C2557" t="s">
        <v>91</v>
      </c>
      <c r="D2557" t="s">
        <v>3219</v>
      </c>
      <c r="E2557">
        <v>30.26</v>
      </c>
      <c r="F2557">
        <v>-19.25</v>
      </c>
    </row>
    <row r="2558" spans="1:6" x14ac:dyDescent="0.25">
      <c r="A2558" t="s">
        <v>1207</v>
      </c>
      <c r="B2558" t="s">
        <v>30</v>
      </c>
      <c r="C2558" t="s">
        <v>92</v>
      </c>
      <c r="D2558" t="s">
        <v>3217</v>
      </c>
      <c r="E2558">
        <v>0</v>
      </c>
      <c r="F2558">
        <v>-20.73</v>
      </c>
    </row>
    <row r="2559" spans="1:6" x14ac:dyDescent="0.25">
      <c r="A2559" t="s">
        <v>1207</v>
      </c>
      <c r="B2559" t="s">
        <v>30</v>
      </c>
      <c r="C2559" t="s">
        <v>92</v>
      </c>
      <c r="D2559" t="s">
        <v>3218</v>
      </c>
      <c r="E2559">
        <v>20</v>
      </c>
      <c r="F2559">
        <v>-19.690000000000001</v>
      </c>
    </row>
    <row r="2560" spans="1:6" x14ac:dyDescent="0.25">
      <c r="A2560" t="s">
        <v>1207</v>
      </c>
      <c r="B2560" t="s">
        <v>30</v>
      </c>
      <c r="C2560" t="s">
        <v>92</v>
      </c>
      <c r="D2560" t="s">
        <v>3219</v>
      </c>
      <c r="E2560">
        <v>38.25</v>
      </c>
      <c r="F2560">
        <v>-19.47</v>
      </c>
    </row>
    <row r="2561" spans="1:6" x14ac:dyDescent="0.25">
      <c r="A2561" t="s">
        <v>1208</v>
      </c>
      <c r="B2561" t="s">
        <v>30</v>
      </c>
      <c r="C2561" t="s">
        <v>93</v>
      </c>
      <c r="D2561" t="s">
        <v>3217</v>
      </c>
      <c r="E2561">
        <v>0</v>
      </c>
      <c r="F2561">
        <v>-20.6</v>
      </c>
    </row>
    <row r="2562" spans="1:6" x14ac:dyDescent="0.25">
      <c r="A2562" t="s">
        <v>1208</v>
      </c>
      <c r="B2562" t="s">
        <v>30</v>
      </c>
      <c r="C2562" t="s">
        <v>93</v>
      </c>
      <c r="D2562" t="s">
        <v>3218</v>
      </c>
      <c r="E2562">
        <v>20</v>
      </c>
      <c r="F2562">
        <v>-20.350000000000001</v>
      </c>
    </row>
    <row r="2563" spans="1:6" x14ac:dyDescent="0.25">
      <c r="A2563" t="s">
        <v>1208</v>
      </c>
      <c r="B2563" t="s">
        <v>30</v>
      </c>
      <c r="C2563" t="s">
        <v>93</v>
      </c>
      <c r="D2563" t="s">
        <v>3219</v>
      </c>
      <c r="E2563">
        <v>37.61</v>
      </c>
      <c r="F2563">
        <v>-20.64</v>
      </c>
    </row>
    <row r="2564" spans="1:6" x14ac:dyDescent="0.25">
      <c r="A2564" t="s">
        <v>1209</v>
      </c>
      <c r="B2564" t="s">
        <v>30</v>
      </c>
      <c r="C2564" t="s">
        <v>94</v>
      </c>
      <c r="D2564" t="s">
        <v>3217</v>
      </c>
      <c r="E2564">
        <v>0</v>
      </c>
      <c r="F2564">
        <v>-20.66</v>
      </c>
    </row>
    <row r="2565" spans="1:6" x14ac:dyDescent="0.25">
      <c r="A2565" t="s">
        <v>1209</v>
      </c>
      <c r="B2565" t="s">
        <v>30</v>
      </c>
      <c r="C2565" t="s">
        <v>94</v>
      </c>
      <c r="D2565" t="s">
        <v>3218</v>
      </c>
      <c r="E2565">
        <v>20</v>
      </c>
      <c r="F2565">
        <v>-21.64</v>
      </c>
    </row>
    <row r="2566" spans="1:6" x14ac:dyDescent="0.25">
      <c r="A2566" t="s">
        <v>1209</v>
      </c>
      <c r="B2566" t="s">
        <v>30</v>
      </c>
      <c r="C2566" t="s">
        <v>94</v>
      </c>
      <c r="D2566" t="s">
        <v>3219</v>
      </c>
      <c r="E2566">
        <v>37.61</v>
      </c>
      <c r="F2566">
        <v>-21.91</v>
      </c>
    </row>
    <row r="2567" spans="1:6" x14ac:dyDescent="0.25">
      <c r="A2567" t="s">
        <v>1210</v>
      </c>
      <c r="B2567" t="s">
        <v>30</v>
      </c>
      <c r="C2567" t="s">
        <v>95</v>
      </c>
      <c r="D2567" t="s">
        <v>3217</v>
      </c>
      <c r="E2567">
        <v>0</v>
      </c>
      <c r="F2567">
        <v>-21.89</v>
      </c>
    </row>
    <row r="2568" spans="1:6" x14ac:dyDescent="0.25">
      <c r="A2568" t="s">
        <v>1210</v>
      </c>
      <c r="B2568" t="s">
        <v>30</v>
      </c>
      <c r="C2568" t="s">
        <v>95</v>
      </c>
      <c r="D2568" t="s">
        <v>3218</v>
      </c>
      <c r="E2568">
        <v>14.25</v>
      </c>
      <c r="F2568">
        <v>-22.4</v>
      </c>
    </row>
    <row r="2569" spans="1:6" x14ac:dyDescent="0.25">
      <c r="A2569" t="s">
        <v>1210</v>
      </c>
      <c r="B2569" t="s">
        <v>30</v>
      </c>
      <c r="C2569" t="s">
        <v>95</v>
      </c>
      <c r="D2569" t="s">
        <v>3219</v>
      </c>
      <c r="E2569">
        <v>28.25</v>
      </c>
      <c r="F2569">
        <v>-22.93</v>
      </c>
    </row>
    <row r="2570" spans="1:6" x14ac:dyDescent="0.25">
      <c r="A2570" t="s">
        <v>1211</v>
      </c>
      <c r="B2570" t="s">
        <v>30</v>
      </c>
      <c r="C2570" t="s">
        <v>96</v>
      </c>
      <c r="D2570" t="s">
        <v>3217</v>
      </c>
      <c r="E2570">
        <v>0</v>
      </c>
      <c r="F2570">
        <v>-23.13</v>
      </c>
    </row>
    <row r="2571" spans="1:6" x14ac:dyDescent="0.25">
      <c r="A2571" t="s">
        <v>1211</v>
      </c>
      <c r="B2571" t="s">
        <v>30</v>
      </c>
      <c r="C2571" t="s">
        <v>96</v>
      </c>
      <c r="D2571" t="s">
        <v>3218</v>
      </c>
      <c r="E2571">
        <v>11.43</v>
      </c>
      <c r="F2571">
        <v>-23.19</v>
      </c>
    </row>
    <row r="2572" spans="1:6" x14ac:dyDescent="0.25">
      <c r="A2572" t="s">
        <v>1211</v>
      </c>
      <c r="B2572" t="s">
        <v>30</v>
      </c>
      <c r="C2572" t="s">
        <v>96</v>
      </c>
      <c r="D2572" t="s">
        <v>3219</v>
      </c>
      <c r="E2572">
        <v>24.15</v>
      </c>
      <c r="F2572">
        <v>-23.62</v>
      </c>
    </row>
    <row r="2573" spans="1:6" x14ac:dyDescent="0.25">
      <c r="A2573" t="s">
        <v>1212</v>
      </c>
      <c r="B2573" t="s">
        <v>30</v>
      </c>
      <c r="C2573" t="s">
        <v>97</v>
      </c>
      <c r="D2573" t="s">
        <v>3217</v>
      </c>
      <c r="E2573">
        <v>0</v>
      </c>
      <c r="F2573">
        <v>-23.52</v>
      </c>
    </row>
    <row r="2574" spans="1:6" x14ac:dyDescent="0.25">
      <c r="A2574" t="s">
        <v>1212</v>
      </c>
      <c r="B2574" t="s">
        <v>30</v>
      </c>
      <c r="C2574" t="s">
        <v>97</v>
      </c>
      <c r="D2574" t="s">
        <v>3218</v>
      </c>
      <c r="E2574">
        <v>11.5</v>
      </c>
      <c r="F2574">
        <v>-23.73</v>
      </c>
    </row>
    <row r="2575" spans="1:6" x14ac:dyDescent="0.25">
      <c r="A2575" t="s">
        <v>1212</v>
      </c>
      <c r="B2575" t="s">
        <v>30</v>
      </c>
      <c r="C2575" t="s">
        <v>97</v>
      </c>
      <c r="D2575" t="s">
        <v>3219</v>
      </c>
      <c r="E2575">
        <v>23.23</v>
      </c>
      <c r="F2575">
        <v>-24.16</v>
      </c>
    </row>
    <row r="2576" spans="1:6" x14ac:dyDescent="0.25">
      <c r="A2576" t="s">
        <v>1213</v>
      </c>
      <c r="B2576" t="s">
        <v>30</v>
      </c>
      <c r="C2576" t="s">
        <v>98</v>
      </c>
      <c r="D2576" t="s">
        <v>3217</v>
      </c>
      <c r="E2576">
        <v>0</v>
      </c>
      <c r="F2576">
        <v>-24.14</v>
      </c>
    </row>
    <row r="2577" spans="1:6" x14ac:dyDescent="0.25">
      <c r="A2577" t="s">
        <v>1213</v>
      </c>
      <c r="B2577" t="s">
        <v>30</v>
      </c>
      <c r="C2577" t="s">
        <v>98</v>
      </c>
      <c r="D2577" t="s">
        <v>3218</v>
      </c>
      <c r="E2577">
        <v>11.75</v>
      </c>
      <c r="F2577">
        <v>-24.54</v>
      </c>
    </row>
    <row r="2578" spans="1:6" x14ac:dyDescent="0.25">
      <c r="A2578" t="s">
        <v>1213</v>
      </c>
      <c r="B2578" t="s">
        <v>30</v>
      </c>
      <c r="C2578" t="s">
        <v>98</v>
      </c>
      <c r="D2578" t="s">
        <v>3219</v>
      </c>
      <c r="E2578">
        <v>23.71</v>
      </c>
      <c r="F2578">
        <v>-24.51</v>
      </c>
    </row>
    <row r="2579" spans="1:6" x14ac:dyDescent="0.25">
      <c r="A2579" t="s">
        <v>1214</v>
      </c>
      <c r="B2579" t="s">
        <v>30</v>
      </c>
      <c r="C2579" t="s">
        <v>99</v>
      </c>
      <c r="D2579" t="s">
        <v>3217</v>
      </c>
      <c r="E2579">
        <v>0</v>
      </c>
      <c r="F2579">
        <v>-24.64</v>
      </c>
    </row>
    <row r="2580" spans="1:6" x14ac:dyDescent="0.25">
      <c r="A2580" t="s">
        <v>1214</v>
      </c>
      <c r="B2580" t="s">
        <v>30</v>
      </c>
      <c r="C2580" t="s">
        <v>99</v>
      </c>
      <c r="D2580" t="s">
        <v>3218</v>
      </c>
      <c r="E2580">
        <v>11.54</v>
      </c>
      <c r="F2580">
        <v>-24.73</v>
      </c>
    </row>
    <row r="2581" spans="1:6" x14ac:dyDescent="0.25">
      <c r="A2581" t="s">
        <v>1214</v>
      </c>
      <c r="B2581" t="s">
        <v>30</v>
      </c>
      <c r="C2581" t="s">
        <v>99</v>
      </c>
      <c r="D2581" t="s">
        <v>3219</v>
      </c>
      <c r="E2581">
        <v>22.95</v>
      </c>
      <c r="F2581">
        <v>-24.83</v>
      </c>
    </row>
    <row r="2582" spans="1:6" x14ac:dyDescent="0.25">
      <c r="A2582" t="s">
        <v>1215</v>
      </c>
      <c r="B2582" t="s">
        <v>30</v>
      </c>
      <c r="C2582" t="s">
        <v>100</v>
      </c>
      <c r="D2582" t="s">
        <v>3217</v>
      </c>
      <c r="E2582">
        <v>0</v>
      </c>
      <c r="F2582">
        <v>-24.57</v>
      </c>
    </row>
    <row r="2583" spans="1:6" x14ac:dyDescent="0.25">
      <c r="A2583" t="s">
        <v>1215</v>
      </c>
      <c r="B2583" t="s">
        <v>30</v>
      </c>
      <c r="C2583" t="s">
        <v>100</v>
      </c>
      <c r="D2583" t="s">
        <v>3218</v>
      </c>
      <c r="E2583">
        <v>12.73</v>
      </c>
      <c r="F2583">
        <v>-24.84</v>
      </c>
    </row>
    <row r="2584" spans="1:6" x14ac:dyDescent="0.25">
      <c r="A2584" t="s">
        <v>1215</v>
      </c>
      <c r="B2584" t="s">
        <v>30</v>
      </c>
      <c r="C2584" t="s">
        <v>100</v>
      </c>
      <c r="D2584" t="s">
        <v>3219</v>
      </c>
      <c r="E2584">
        <v>24.53</v>
      </c>
      <c r="F2584">
        <v>-24.88</v>
      </c>
    </row>
    <row r="2585" spans="1:6" x14ac:dyDescent="0.25">
      <c r="A2585" t="s">
        <v>1216</v>
      </c>
      <c r="B2585" t="s">
        <v>30</v>
      </c>
      <c r="C2585" t="s">
        <v>101</v>
      </c>
      <c r="D2585" t="s">
        <v>3217</v>
      </c>
      <c r="E2585">
        <v>0</v>
      </c>
      <c r="F2585">
        <v>-24.82</v>
      </c>
    </row>
    <row r="2586" spans="1:6" x14ac:dyDescent="0.25">
      <c r="A2586" t="s">
        <v>1216</v>
      </c>
      <c r="B2586" t="s">
        <v>30</v>
      </c>
      <c r="C2586" t="s">
        <v>101</v>
      </c>
      <c r="D2586" t="s">
        <v>3218</v>
      </c>
      <c r="E2586">
        <v>13.43</v>
      </c>
      <c r="F2586">
        <v>-24.95</v>
      </c>
    </row>
    <row r="2587" spans="1:6" x14ac:dyDescent="0.25">
      <c r="A2587" t="s">
        <v>1216</v>
      </c>
      <c r="B2587" t="s">
        <v>30</v>
      </c>
      <c r="C2587" t="s">
        <v>101</v>
      </c>
      <c r="D2587" t="s">
        <v>3219</v>
      </c>
      <c r="E2587">
        <v>25.43</v>
      </c>
      <c r="F2587">
        <v>-25.3</v>
      </c>
    </row>
    <row r="2588" spans="1:6" x14ac:dyDescent="0.25">
      <c r="A2588" t="s">
        <v>1217</v>
      </c>
      <c r="B2588" t="s">
        <v>30</v>
      </c>
      <c r="C2588" t="s">
        <v>102</v>
      </c>
      <c r="D2588" t="s">
        <v>3217</v>
      </c>
      <c r="E2588">
        <v>0</v>
      </c>
      <c r="F2588">
        <v>-25.08</v>
      </c>
    </row>
    <row r="2589" spans="1:6" x14ac:dyDescent="0.25">
      <c r="A2589" t="s">
        <v>1217</v>
      </c>
      <c r="B2589" t="s">
        <v>30</v>
      </c>
      <c r="C2589" t="s">
        <v>102</v>
      </c>
      <c r="D2589" t="s">
        <v>3218</v>
      </c>
      <c r="E2589">
        <v>13.5</v>
      </c>
      <c r="F2589">
        <v>-25.51</v>
      </c>
    </row>
    <row r="2590" spans="1:6" x14ac:dyDescent="0.25">
      <c r="A2590" t="s">
        <v>1217</v>
      </c>
      <c r="B2590" t="s">
        <v>30</v>
      </c>
      <c r="C2590" t="s">
        <v>102</v>
      </c>
      <c r="D2590" t="s">
        <v>3219</v>
      </c>
      <c r="E2590">
        <v>27.94</v>
      </c>
      <c r="F2590">
        <v>-25.84</v>
      </c>
    </row>
    <row r="2591" spans="1:6" x14ac:dyDescent="0.25">
      <c r="A2591" t="s">
        <v>1218</v>
      </c>
      <c r="B2591" t="s">
        <v>30</v>
      </c>
      <c r="C2591" t="s">
        <v>103</v>
      </c>
      <c r="D2591" t="s">
        <v>3217</v>
      </c>
      <c r="E2591">
        <v>0</v>
      </c>
      <c r="F2591">
        <v>-25.89</v>
      </c>
    </row>
    <row r="2592" spans="1:6" x14ac:dyDescent="0.25">
      <c r="A2592" t="s">
        <v>1218</v>
      </c>
      <c r="B2592" t="s">
        <v>30</v>
      </c>
      <c r="C2592" t="s">
        <v>103</v>
      </c>
      <c r="D2592" t="s">
        <v>3218</v>
      </c>
      <c r="E2592">
        <v>13.71</v>
      </c>
      <c r="F2592">
        <v>-26.31</v>
      </c>
    </row>
    <row r="2593" spans="1:6" x14ac:dyDescent="0.25">
      <c r="A2593" t="s">
        <v>1218</v>
      </c>
      <c r="B2593" t="s">
        <v>30</v>
      </c>
      <c r="C2593" t="s">
        <v>103</v>
      </c>
      <c r="D2593" t="s">
        <v>3219</v>
      </c>
      <c r="E2593">
        <v>27.83</v>
      </c>
      <c r="F2593">
        <v>-26.37</v>
      </c>
    </row>
    <row r="2594" spans="1:6" x14ac:dyDescent="0.25">
      <c r="A2594" t="s">
        <v>1219</v>
      </c>
      <c r="B2594" t="s">
        <v>30</v>
      </c>
      <c r="C2594" t="s">
        <v>104</v>
      </c>
      <c r="D2594" t="s">
        <v>3217</v>
      </c>
      <c r="E2594">
        <v>0</v>
      </c>
      <c r="F2594">
        <v>-26.98</v>
      </c>
    </row>
    <row r="2595" spans="1:6" x14ac:dyDescent="0.25">
      <c r="A2595" t="s">
        <v>1219</v>
      </c>
      <c r="B2595" t="s">
        <v>30</v>
      </c>
      <c r="C2595" t="s">
        <v>104</v>
      </c>
      <c r="D2595" t="s">
        <v>3218</v>
      </c>
      <c r="E2595">
        <v>13</v>
      </c>
      <c r="F2595">
        <v>-27.26</v>
      </c>
    </row>
    <row r="2596" spans="1:6" x14ac:dyDescent="0.25">
      <c r="A2596" t="s">
        <v>1219</v>
      </c>
      <c r="B2596" t="s">
        <v>30</v>
      </c>
      <c r="C2596" t="s">
        <v>104</v>
      </c>
      <c r="D2596" t="s">
        <v>3219</v>
      </c>
      <c r="E2596">
        <v>27.45</v>
      </c>
      <c r="F2596">
        <v>-27.33</v>
      </c>
    </row>
    <row r="2597" spans="1:6" x14ac:dyDescent="0.25">
      <c r="A2597" t="s">
        <v>1220</v>
      </c>
      <c r="B2597" t="s">
        <v>30</v>
      </c>
      <c r="C2597" t="s">
        <v>105</v>
      </c>
      <c r="D2597" t="s">
        <v>3217</v>
      </c>
      <c r="E2597">
        <v>0</v>
      </c>
      <c r="F2597">
        <v>-28.21</v>
      </c>
    </row>
    <row r="2598" spans="1:6" x14ac:dyDescent="0.25">
      <c r="A2598" t="s">
        <v>1220</v>
      </c>
      <c r="B2598" t="s">
        <v>30</v>
      </c>
      <c r="C2598" t="s">
        <v>105</v>
      </c>
      <c r="D2598" t="s">
        <v>3218</v>
      </c>
      <c r="E2598">
        <v>13.21</v>
      </c>
      <c r="F2598">
        <v>-28.15</v>
      </c>
    </row>
    <row r="2599" spans="1:6" x14ac:dyDescent="0.25">
      <c r="A2599" t="s">
        <v>1220</v>
      </c>
      <c r="B2599" t="s">
        <v>30</v>
      </c>
      <c r="C2599" t="s">
        <v>105</v>
      </c>
      <c r="D2599" t="s">
        <v>3219</v>
      </c>
      <c r="E2599">
        <v>29.69</v>
      </c>
      <c r="F2599">
        <v>-28.3</v>
      </c>
    </row>
    <row r="2600" spans="1:6" x14ac:dyDescent="0.25">
      <c r="A2600" t="s">
        <v>1221</v>
      </c>
      <c r="B2600" t="s">
        <v>30</v>
      </c>
      <c r="C2600" t="s">
        <v>106</v>
      </c>
      <c r="D2600" t="s">
        <v>3217</v>
      </c>
      <c r="E2600">
        <v>0</v>
      </c>
      <c r="F2600">
        <v>-29.14</v>
      </c>
    </row>
    <row r="2601" spans="1:6" x14ac:dyDescent="0.25">
      <c r="A2601" t="s">
        <v>1221</v>
      </c>
      <c r="B2601" t="s">
        <v>30</v>
      </c>
      <c r="C2601" t="s">
        <v>106</v>
      </c>
      <c r="D2601" t="s">
        <v>3218</v>
      </c>
      <c r="E2601">
        <v>12.84</v>
      </c>
      <c r="F2601">
        <v>-29.03</v>
      </c>
    </row>
    <row r="2602" spans="1:6" x14ac:dyDescent="0.25">
      <c r="A2602" t="s">
        <v>1221</v>
      </c>
      <c r="B2602" t="s">
        <v>30</v>
      </c>
      <c r="C2602" t="s">
        <v>106</v>
      </c>
      <c r="D2602" t="s">
        <v>3219</v>
      </c>
      <c r="E2602">
        <v>30.33</v>
      </c>
      <c r="F2602">
        <v>-29.27</v>
      </c>
    </row>
    <row r="2603" spans="1:6" x14ac:dyDescent="0.25">
      <c r="A2603" t="s">
        <v>1222</v>
      </c>
      <c r="B2603" t="s">
        <v>30</v>
      </c>
      <c r="C2603" t="s">
        <v>108</v>
      </c>
      <c r="D2603" t="s">
        <v>3217</v>
      </c>
      <c r="E2603">
        <v>0</v>
      </c>
      <c r="F2603">
        <v>-29.68</v>
      </c>
    </row>
    <row r="2604" spans="1:6" x14ac:dyDescent="0.25">
      <c r="A2604" t="s">
        <v>1222</v>
      </c>
      <c r="B2604" t="s">
        <v>30</v>
      </c>
      <c r="C2604" t="s">
        <v>108</v>
      </c>
      <c r="D2604" t="s">
        <v>3218</v>
      </c>
      <c r="E2604">
        <v>12.96</v>
      </c>
      <c r="F2604">
        <v>-29.63</v>
      </c>
    </row>
    <row r="2605" spans="1:6" x14ac:dyDescent="0.25">
      <c r="A2605" t="s">
        <v>1222</v>
      </c>
      <c r="B2605" t="s">
        <v>30</v>
      </c>
      <c r="C2605" t="s">
        <v>108</v>
      </c>
      <c r="D2605" t="s">
        <v>3219</v>
      </c>
      <c r="E2605">
        <v>29.44</v>
      </c>
      <c r="F2605">
        <v>-30.12</v>
      </c>
    </row>
    <row r="2606" spans="1:6" x14ac:dyDescent="0.25">
      <c r="A2606" t="s">
        <v>1223</v>
      </c>
      <c r="B2606" t="s">
        <v>30</v>
      </c>
      <c r="C2606" t="s">
        <v>109</v>
      </c>
      <c r="D2606" t="s">
        <v>3217</v>
      </c>
      <c r="E2606">
        <v>0</v>
      </c>
      <c r="F2606">
        <v>-29.88</v>
      </c>
    </row>
    <row r="2607" spans="1:6" x14ac:dyDescent="0.25">
      <c r="A2607" t="s">
        <v>1223</v>
      </c>
      <c r="B2607" t="s">
        <v>30</v>
      </c>
      <c r="C2607" t="s">
        <v>109</v>
      </c>
      <c r="D2607" t="s">
        <v>3218</v>
      </c>
      <c r="E2607">
        <v>12.84</v>
      </c>
      <c r="F2607">
        <v>-29.97</v>
      </c>
    </row>
    <row r="2608" spans="1:6" x14ac:dyDescent="0.25">
      <c r="A2608" t="s">
        <v>1223</v>
      </c>
      <c r="B2608" t="s">
        <v>30</v>
      </c>
      <c r="C2608" t="s">
        <v>109</v>
      </c>
      <c r="D2608" t="s">
        <v>3219</v>
      </c>
      <c r="E2608">
        <v>28.31</v>
      </c>
      <c r="F2608">
        <v>-30.33</v>
      </c>
    </row>
    <row r="2609" spans="1:6" x14ac:dyDescent="0.25">
      <c r="A2609" t="s">
        <v>1224</v>
      </c>
      <c r="B2609" t="s">
        <v>30</v>
      </c>
      <c r="C2609" t="s">
        <v>110</v>
      </c>
      <c r="D2609" t="s">
        <v>3217</v>
      </c>
      <c r="E2609">
        <v>0</v>
      </c>
      <c r="F2609">
        <v>-29.98</v>
      </c>
    </row>
    <row r="2610" spans="1:6" x14ac:dyDescent="0.25">
      <c r="A2610" t="s">
        <v>1224</v>
      </c>
      <c r="B2610" t="s">
        <v>30</v>
      </c>
      <c r="C2610" t="s">
        <v>110</v>
      </c>
      <c r="D2610" t="s">
        <v>3218</v>
      </c>
      <c r="E2610">
        <v>12.7</v>
      </c>
      <c r="F2610">
        <v>-30.08</v>
      </c>
    </row>
    <row r="2611" spans="1:6" x14ac:dyDescent="0.25">
      <c r="A2611" t="s">
        <v>1224</v>
      </c>
      <c r="B2611" t="s">
        <v>30</v>
      </c>
      <c r="C2611" t="s">
        <v>110</v>
      </c>
      <c r="D2611" t="s">
        <v>3219</v>
      </c>
      <c r="E2611">
        <v>29.18</v>
      </c>
      <c r="F2611">
        <v>-30.38</v>
      </c>
    </row>
    <row r="2612" spans="1:6" x14ac:dyDescent="0.25">
      <c r="A2612" t="s">
        <v>1225</v>
      </c>
      <c r="B2612" t="s">
        <v>30</v>
      </c>
      <c r="C2612" t="s">
        <v>111</v>
      </c>
      <c r="D2612" t="s">
        <v>3217</v>
      </c>
      <c r="E2612">
        <v>0</v>
      </c>
      <c r="F2612">
        <v>-29.55</v>
      </c>
    </row>
    <row r="2613" spans="1:6" x14ac:dyDescent="0.25">
      <c r="A2613" t="s">
        <v>1225</v>
      </c>
      <c r="B2613" t="s">
        <v>30</v>
      </c>
      <c r="C2613" t="s">
        <v>111</v>
      </c>
      <c r="D2613" t="s">
        <v>3218</v>
      </c>
      <c r="E2613">
        <v>14.41</v>
      </c>
      <c r="F2613">
        <v>-29.97</v>
      </c>
    </row>
    <row r="2614" spans="1:6" x14ac:dyDescent="0.25">
      <c r="A2614" t="s">
        <v>1225</v>
      </c>
      <c r="B2614" t="s">
        <v>30</v>
      </c>
      <c r="C2614" t="s">
        <v>111</v>
      </c>
      <c r="D2614" t="s">
        <v>3219</v>
      </c>
      <c r="E2614">
        <v>29.89</v>
      </c>
      <c r="F2614">
        <v>-30.71</v>
      </c>
    </row>
    <row r="2615" spans="1:6" x14ac:dyDescent="0.25">
      <c r="A2615" t="s">
        <v>1226</v>
      </c>
      <c r="B2615" t="s">
        <v>30</v>
      </c>
      <c r="C2615" t="s">
        <v>230</v>
      </c>
      <c r="D2615" t="s">
        <v>3217</v>
      </c>
      <c r="E2615">
        <v>0</v>
      </c>
      <c r="F2615">
        <v>-29.9</v>
      </c>
    </row>
    <row r="2616" spans="1:6" x14ac:dyDescent="0.25">
      <c r="A2616" t="s">
        <v>1226</v>
      </c>
      <c r="B2616" t="s">
        <v>30</v>
      </c>
      <c r="C2616" t="s">
        <v>230</v>
      </c>
      <c r="D2616" t="s">
        <v>3218</v>
      </c>
      <c r="E2616">
        <v>16.329999999999998</v>
      </c>
      <c r="F2616">
        <v>-30.28</v>
      </c>
    </row>
    <row r="2617" spans="1:6" x14ac:dyDescent="0.25">
      <c r="A2617" t="s">
        <v>1226</v>
      </c>
      <c r="B2617" t="s">
        <v>30</v>
      </c>
      <c r="C2617" t="s">
        <v>230</v>
      </c>
      <c r="D2617" t="s">
        <v>3219</v>
      </c>
      <c r="E2617">
        <v>31.28</v>
      </c>
      <c r="F2617">
        <v>-30.78</v>
      </c>
    </row>
    <row r="2618" spans="1:6" x14ac:dyDescent="0.25">
      <c r="A2618" t="s">
        <v>1227</v>
      </c>
      <c r="B2618" t="s">
        <v>31</v>
      </c>
      <c r="C2618" t="s">
        <v>56</v>
      </c>
      <c r="D2618" t="s">
        <v>3217</v>
      </c>
      <c r="E2618">
        <v>0</v>
      </c>
      <c r="F2618">
        <v>54.44</v>
      </c>
    </row>
    <row r="2619" spans="1:6" x14ac:dyDescent="0.25">
      <c r="A2619" t="s">
        <v>1227</v>
      </c>
      <c r="B2619" t="s">
        <v>31</v>
      </c>
      <c r="C2619" t="s">
        <v>56</v>
      </c>
      <c r="D2619" t="s">
        <v>3218</v>
      </c>
      <c r="E2619">
        <v>16.670000000000002</v>
      </c>
      <c r="F2619">
        <v>54.05</v>
      </c>
    </row>
    <row r="2620" spans="1:6" x14ac:dyDescent="0.25">
      <c r="A2620" t="s">
        <v>1227</v>
      </c>
      <c r="B2620" t="s">
        <v>31</v>
      </c>
      <c r="C2620" t="s">
        <v>56</v>
      </c>
      <c r="D2620" t="s">
        <v>3219</v>
      </c>
      <c r="E2620">
        <v>32.85</v>
      </c>
      <c r="F2620">
        <v>54.32</v>
      </c>
    </row>
    <row r="2621" spans="1:6" x14ac:dyDescent="0.25">
      <c r="A2621" t="s">
        <v>1228</v>
      </c>
      <c r="B2621" t="s">
        <v>31</v>
      </c>
      <c r="C2621" t="s">
        <v>57</v>
      </c>
      <c r="D2621" t="s">
        <v>3217</v>
      </c>
      <c r="E2621">
        <v>0</v>
      </c>
      <c r="F2621">
        <v>54.66</v>
      </c>
    </row>
    <row r="2622" spans="1:6" x14ac:dyDescent="0.25">
      <c r="A2622" t="s">
        <v>1228</v>
      </c>
      <c r="B2622" t="s">
        <v>31</v>
      </c>
      <c r="C2622" t="s">
        <v>57</v>
      </c>
      <c r="D2622" t="s">
        <v>3218</v>
      </c>
      <c r="E2622">
        <v>16.329999999999998</v>
      </c>
      <c r="F2622">
        <v>54.61</v>
      </c>
    </row>
    <row r="2623" spans="1:6" x14ac:dyDescent="0.25">
      <c r="A2623" t="s">
        <v>1228</v>
      </c>
      <c r="B2623" t="s">
        <v>31</v>
      </c>
      <c r="C2623" t="s">
        <v>57</v>
      </c>
      <c r="D2623" t="s">
        <v>3219</v>
      </c>
      <c r="E2623">
        <v>31.28</v>
      </c>
      <c r="F2623">
        <v>53.88</v>
      </c>
    </row>
    <row r="2624" spans="1:6" x14ac:dyDescent="0.25">
      <c r="A2624" t="s">
        <v>1229</v>
      </c>
      <c r="B2624" t="s">
        <v>31</v>
      </c>
      <c r="C2624" t="s">
        <v>58</v>
      </c>
      <c r="D2624" t="s">
        <v>3217</v>
      </c>
      <c r="E2624">
        <v>0</v>
      </c>
      <c r="F2624">
        <v>55.02</v>
      </c>
    </row>
    <row r="2625" spans="1:6" x14ac:dyDescent="0.25">
      <c r="A2625" t="s">
        <v>1229</v>
      </c>
      <c r="B2625" t="s">
        <v>31</v>
      </c>
      <c r="C2625" t="s">
        <v>58</v>
      </c>
      <c r="D2625" t="s">
        <v>3218</v>
      </c>
      <c r="E2625">
        <v>14.25</v>
      </c>
      <c r="F2625">
        <v>54.79</v>
      </c>
    </row>
    <row r="2626" spans="1:6" x14ac:dyDescent="0.25">
      <c r="A2626" t="s">
        <v>1229</v>
      </c>
      <c r="B2626" t="s">
        <v>31</v>
      </c>
      <c r="C2626" t="s">
        <v>58</v>
      </c>
      <c r="D2626" t="s">
        <v>3219</v>
      </c>
      <c r="E2626">
        <v>30.44</v>
      </c>
      <c r="F2626">
        <v>54.21</v>
      </c>
    </row>
    <row r="2627" spans="1:6" x14ac:dyDescent="0.25">
      <c r="A2627" t="s">
        <v>1230</v>
      </c>
      <c r="B2627" t="s">
        <v>31</v>
      </c>
      <c r="C2627" t="s">
        <v>59</v>
      </c>
      <c r="D2627" t="s">
        <v>3217</v>
      </c>
      <c r="E2627">
        <v>0</v>
      </c>
      <c r="F2627">
        <v>55.36</v>
      </c>
    </row>
    <row r="2628" spans="1:6" x14ac:dyDescent="0.25">
      <c r="A2628" t="s">
        <v>1230</v>
      </c>
      <c r="B2628" t="s">
        <v>31</v>
      </c>
      <c r="C2628" t="s">
        <v>59</v>
      </c>
      <c r="D2628" t="s">
        <v>3218</v>
      </c>
      <c r="E2628">
        <v>13.53</v>
      </c>
      <c r="F2628">
        <v>55.29</v>
      </c>
    </row>
    <row r="2629" spans="1:6" x14ac:dyDescent="0.25">
      <c r="A2629" t="s">
        <v>1230</v>
      </c>
      <c r="B2629" t="s">
        <v>31</v>
      </c>
      <c r="C2629" t="s">
        <v>59</v>
      </c>
      <c r="D2629" t="s">
        <v>3219</v>
      </c>
      <c r="E2629">
        <v>31.37</v>
      </c>
      <c r="F2629">
        <v>54.67</v>
      </c>
    </row>
    <row r="2630" spans="1:6" x14ac:dyDescent="0.25">
      <c r="A2630" t="s">
        <v>1231</v>
      </c>
      <c r="B2630" t="s">
        <v>31</v>
      </c>
      <c r="C2630" t="s">
        <v>60</v>
      </c>
      <c r="D2630" t="s">
        <v>3217</v>
      </c>
      <c r="E2630">
        <v>0</v>
      </c>
      <c r="F2630">
        <v>55.88</v>
      </c>
    </row>
    <row r="2631" spans="1:6" x14ac:dyDescent="0.25">
      <c r="A2631" t="s">
        <v>1231</v>
      </c>
      <c r="B2631" t="s">
        <v>31</v>
      </c>
      <c r="C2631" t="s">
        <v>60</v>
      </c>
      <c r="D2631" t="s">
        <v>3218</v>
      </c>
      <c r="E2631">
        <v>13.04</v>
      </c>
      <c r="F2631">
        <v>55.86</v>
      </c>
    </row>
    <row r="2632" spans="1:6" x14ac:dyDescent="0.25">
      <c r="A2632" t="s">
        <v>1231</v>
      </c>
      <c r="B2632" t="s">
        <v>31</v>
      </c>
      <c r="C2632" t="s">
        <v>60</v>
      </c>
      <c r="D2632" t="s">
        <v>3219</v>
      </c>
      <c r="E2632">
        <v>30.71</v>
      </c>
      <c r="F2632">
        <v>55.08</v>
      </c>
    </row>
    <row r="2633" spans="1:6" x14ac:dyDescent="0.25">
      <c r="A2633" t="s">
        <v>1232</v>
      </c>
      <c r="B2633" t="s">
        <v>31</v>
      </c>
      <c r="C2633" t="s">
        <v>61</v>
      </c>
      <c r="D2633" t="s">
        <v>3217</v>
      </c>
      <c r="E2633">
        <v>0</v>
      </c>
      <c r="F2633">
        <v>56.4</v>
      </c>
    </row>
    <row r="2634" spans="1:6" x14ac:dyDescent="0.25">
      <c r="A2634" t="s">
        <v>1232</v>
      </c>
      <c r="B2634" t="s">
        <v>31</v>
      </c>
      <c r="C2634" t="s">
        <v>61</v>
      </c>
      <c r="D2634" t="s">
        <v>3218</v>
      </c>
      <c r="E2634">
        <v>13.46</v>
      </c>
      <c r="F2634">
        <v>56.35</v>
      </c>
    </row>
    <row r="2635" spans="1:6" x14ac:dyDescent="0.25">
      <c r="A2635" t="s">
        <v>1232</v>
      </c>
      <c r="B2635" t="s">
        <v>31</v>
      </c>
      <c r="C2635" t="s">
        <v>61</v>
      </c>
      <c r="D2635" t="s">
        <v>3219</v>
      </c>
      <c r="E2635">
        <v>30.01</v>
      </c>
      <c r="F2635">
        <v>55.6</v>
      </c>
    </row>
    <row r="2636" spans="1:6" x14ac:dyDescent="0.25">
      <c r="A2636" t="s">
        <v>1233</v>
      </c>
      <c r="B2636" t="s">
        <v>31</v>
      </c>
      <c r="C2636" t="s">
        <v>62</v>
      </c>
      <c r="D2636" t="s">
        <v>3217</v>
      </c>
      <c r="E2636">
        <v>0</v>
      </c>
      <c r="F2636">
        <v>56.94</v>
      </c>
    </row>
    <row r="2637" spans="1:6" x14ac:dyDescent="0.25">
      <c r="A2637" t="s">
        <v>1233</v>
      </c>
      <c r="B2637" t="s">
        <v>31</v>
      </c>
      <c r="C2637" t="s">
        <v>62</v>
      </c>
      <c r="D2637" t="s">
        <v>3218</v>
      </c>
      <c r="E2637">
        <v>13.29</v>
      </c>
      <c r="F2637">
        <v>57.03</v>
      </c>
    </row>
    <row r="2638" spans="1:6" x14ac:dyDescent="0.25">
      <c r="A2638" t="s">
        <v>1233</v>
      </c>
      <c r="B2638" t="s">
        <v>31</v>
      </c>
      <c r="C2638" t="s">
        <v>62</v>
      </c>
      <c r="D2638" t="s">
        <v>3219</v>
      </c>
      <c r="E2638">
        <v>28.25</v>
      </c>
      <c r="F2638">
        <v>56.32</v>
      </c>
    </row>
    <row r="2639" spans="1:6" x14ac:dyDescent="0.25">
      <c r="A2639" t="s">
        <v>1234</v>
      </c>
      <c r="B2639" t="s">
        <v>31</v>
      </c>
      <c r="C2639" t="s">
        <v>63</v>
      </c>
      <c r="D2639" t="s">
        <v>3217</v>
      </c>
      <c r="E2639">
        <v>0</v>
      </c>
      <c r="F2639">
        <v>57.72</v>
      </c>
    </row>
    <row r="2640" spans="1:6" x14ac:dyDescent="0.25">
      <c r="A2640" t="s">
        <v>1234</v>
      </c>
      <c r="B2640" t="s">
        <v>31</v>
      </c>
      <c r="C2640" t="s">
        <v>63</v>
      </c>
      <c r="D2640" t="s">
        <v>3218</v>
      </c>
      <c r="E2640">
        <v>13.59</v>
      </c>
      <c r="F2640">
        <v>57.73</v>
      </c>
    </row>
    <row r="2641" spans="1:6" x14ac:dyDescent="0.25">
      <c r="A2641" t="s">
        <v>1234</v>
      </c>
      <c r="B2641" t="s">
        <v>31</v>
      </c>
      <c r="C2641" t="s">
        <v>63</v>
      </c>
      <c r="D2641" t="s">
        <v>3219</v>
      </c>
      <c r="E2641">
        <v>27.74</v>
      </c>
      <c r="F2641">
        <v>57.18</v>
      </c>
    </row>
    <row r="2642" spans="1:6" x14ac:dyDescent="0.25">
      <c r="A2642" t="s">
        <v>1235</v>
      </c>
      <c r="B2642" t="s">
        <v>31</v>
      </c>
      <c r="C2642" t="s">
        <v>64</v>
      </c>
      <c r="D2642" t="s">
        <v>3217</v>
      </c>
      <c r="E2642">
        <v>0</v>
      </c>
      <c r="F2642">
        <v>58.36</v>
      </c>
    </row>
    <row r="2643" spans="1:6" x14ac:dyDescent="0.25">
      <c r="A2643" t="s">
        <v>1235</v>
      </c>
      <c r="B2643" t="s">
        <v>31</v>
      </c>
      <c r="C2643" t="s">
        <v>64</v>
      </c>
      <c r="D2643" t="s">
        <v>3218</v>
      </c>
      <c r="E2643">
        <v>13.75</v>
      </c>
      <c r="F2643">
        <v>58.57</v>
      </c>
    </row>
    <row r="2644" spans="1:6" x14ac:dyDescent="0.25">
      <c r="A2644" t="s">
        <v>1235</v>
      </c>
      <c r="B2644" t="s">
        <v>31</v>
      </c>
      <c r="C2644" t="s">
        <v>64</v>
      </c>
      <c r="D2644" t="s">
        <v>3219</v>
      </c>
      <c r="E2644">
        <v>28.16</v>
      </c>
      <c r="F2644">
        <v>57.97</v>
      </c>
    </row>
    <row r="2645" spans="1:6" x14ac:dyDescent="0.25">
      <c r="A2645" t="s">
        <v>1236</v>
      </c>
      <c r="B2645" t="s">
        <v>31</v>
      </c>
      <c r="C2645" t="s">
        <v>65</v>
      </c>
      <c r="D2645" t="s">
        <v>3217</v>
      </c>
      <c r="E2645">
        <v>0</v>
      </c>
      <c r="F2645">
        <v>59.23</v>
      </c>
    </row>
    <row r="2646" spans="1:6" x14ac:dyDescent="0.25">
      <c r="A2646" t="s">
        <v>1236</v>
      </c>
      <c r="B2646" t="s">
        <v>31</v>
      </c>
      <c r="C2646" t="s">
        <v>65</v>
      </c>
      <c r="D2646" t="s">
        <v>3218</v>
      </c>
      <c r="E2646">
        <v>13.5</v>
      </c>
      <c r="F2646">
        <v>59.53</v>
      </c>
    </row>
    <row r="2647" spans="1:6" x14ac:dyDescent="0.25">
      <c r="A2647" t="s">
        <v>1236</v>
      </c>
      <c r="B2647" t="s">
        <v>31</v>
      </c>
      <c r="C2647" t="s">
        <v>65</v>
      </c>
      <c r="D2647" t="s">
        <v>3219</v>
      </c>
      <c r="E2647">
        <v>28.25</v>
      </c>
      <c r="F2647">
        <v>58.95</v>
      </c>
    </row>
    <row r="2648" spans="1:6" x14ac:dyDescent="0.25">
      <c r="A2648" t="s">
        <v>1237</v>
      </c>
      <c r="B2648" t="s">
        <v>31</v>
      </c>
      <c r="C2648" t="s">
        <v>66</v>
      </c>
      <c r="D2648" t="s">
        <v>3217</v>
      </c>
      <c r="E2648">
        <v>0</v>
      </c>
      <c r="F2648">
        <v>60.24</v>
      </c>
    </row>
    <row r="2649" spans="1:6" x14ac:dyDescent="0.25">
      <c r="A2649" t="s">
        <v>1237</v>
      </c>
      <c r="B2649" t="s">
        <v>31</v>
      </c>
      <c r="C2649" t="s">
        <v>66</v>
      </c>
      <c r="D2649" t="s">
        <v>3218</v>
      </c>
      <c r="E2649">
        <v>12.65</v>
      </c>
      <c r="F2649">
        <v>60.5</v>
      </c>
    </row>
    <row r="2650" spans="1:6" x14ac:dyDescent="0.25">
      <c r="A2650" t="s">
        <v>1237</v>
      </c>
      <c r="B2650" t="s">
        <v>31</v>
      </c>
      <c r="C2650" t="s">
        <v>66</v>
      </c>
      <c r="D2650" t="s">
        <v>3219</v>
      </c>
      <c r="E2650">
        <v>27.86</v>
      </c>
      <c r="F2650">
        <v>60.04</v>
      </c>
    </row>
    <row r="2651" spans="1:6" x14ac:dyDescent="0.25">
      <c r="A2651" t="s">
        <v>1238</v>
      </c>
      <c r="B2651" t="s">
        <v>31</v>
      </c>
      <c r="C2651" t="s">
        <v>67</v>
      </c>
      <c r="D2651" t="s">
        <v>3217</v>
      </c>
      <c r="E2651">
        <v>0</v>
      </c>
      <c r="F2651">
        <v>61.47</v>
      </c>
    </row>
    <row r="2652" spans="1:6" x14ac:dyDescent="0.25">
      <c r="A2652" t="s">
        <v>1238</v>
      </c>
      <c r="B2652" t="s">
        <v>31</v>
      </c>
      <c r="C2652" t="s">
        <v>67</v>
      </c>
      <c r="D2652" t="s">
        <v>3218</v>
      </c>
      <c r="E2652">
        <v>12.52</v>
      </c>
      <c r="F2652">
        <v>61.69</v>
      </c>
    </row>
    <row r="2653" spans="1:6" x14ac:dyDescent="0.25">
      <c r="A2653" t="s">
        <v>1238</v>
      </c>
      <c r="B2653" t="s">
        <v>31</v>
      </c>
      <c r="C2653" t="s">
        <v>67</v>
      </c>
      <c r="D2653" t="s">
        <v>3219</v>
      </c>
      <c r="E2653">
        <v>27.17</v>
      </c>
      <c r="F2653">
        <v>61.06</v>
      </c>
    </row>
    <row r="2654" spans="1:6" x14ac:dyDescent="0.25">
      <c r="A2654" t="s">
        <v>1239</v>
      </c>
      <c r="B2654" t="s">
        <v>31</v>
      </c>
      <c r="C2654" t="s">
        <v>68</v>
      </c>
      <c r="D2654" t="s">
        <v>3217</v>
      </c>
      <c r="E2654">
        <v>0</v>
      </c>
      <c r="F2654">
        <v>62.7</v>
      </c>
    </row>
    <row r="2655" spans="1:6" x14ac:dyDescent="0.25">
      <c r="A2655" t="s">
        <v>1239</v>
      </c>
      <c r="B2655" t="s">
        <v>31</v>
      </c>
      <c r="C2655" t="s">
        <v>68</v>
      </c>
      <c r="D2655" t="s">
        <v>3218</v>
      </c>
      <c r="E2655">
        <v>12.69</v>
      </c>
      <c r="F2655">
        <v>62.99</v>
      </c>
    </row>
    <row r="2656" spans="1:6" x14ac:dyDescent="0.25">
      <c r="A2656" t="s">
        <v>1239</v>
      </c>
      <c r="B2656" t="s">
        <v>31</v>
      </c>
      <c r="C2656" t="s">
        <v>68</v>
      </c>
      <c r="D2656" t="s">
        <v>3219</v>
      </c>
      <c r="E2656">
        <v>26.98</v>
      </c>
      <c r="F2656">
        <v>62.37</v>
      </c>
    </row>
    <row r="2657" spans="1:6" x14ac:dyDescent="0.25">
      <c r="A2657" t="s">
        <v>1240</v>
      </c>
      <c r="B2657" t="s">
        <v>31</v>
      </c>
      <c r="C2657" t="s">
        <v>69</v>
      </c>
      <c r="D2657" t="s">
        <v>3217</v>
      </c>
      <c r="E2657">
        <v>0</v>
      </c>
      <c r="F2657">
        <v>64.14</v>
      </c>
    </row>
    <row r="2658" spans="1:6" x14ac:dyDescent="0.25">
      <c r="A2658" t="s">
        <v>1240</v>
      </c>
      <c r="B2658" t="s">
        <v>31</v>
      </c>
      <c r="C2658" t="s">
        <v>69</v>
      </c>
      <c r="D2658" t="s">
        <v>3218</v>
      </c>
      <c r="E2658">
        <v>12.73</v>
      </c>
      <c r="F2658">
        <v>64.44</v>
      </c>
    </row>
    <row r="2659" spans="1:6" x14ac:dyDescent="0.25">
      <c r="A2659" t="s">
        <v>1240</v>
      </c>
      <c r="B2659" t="s">
        <v>31</v>
      </c>
      <c r="C2659" t="s">
        <v>69</v>
      </c>
      <c r="D2659" t="s">
        <v>3219</v>
      </c>
      <c r="E2659">
        <v>25.92</v>
      </c>
      <c r="F2659">
        <v>63.85</v>
      </c>
    </row>
    <row r="2660" spans="1:6" x14ac:dyDescent="0.25">
      <c r="A2660" t="s">
        <v>1241</v>
      </c>
      <c r="B2660" t="s">
        <v>31</v>
      </c>
      <c r="C2660" t="s">
        <v>70</v>
      </c>
      <c r="D2660" t="s">
        <v>3217</v>
      </c>
      <c r="E2660">
        <v>0</v>
      </c>
      <c r="F2660">
        <v>65.58</v>
      </c>
    </row>
    <row r="2661" spans="1:6" x14ac:dyDescent="0.25">
      <c r="A2661" t="s">
        <v>1241</v>
      </c>
      <c r="B2661" t="s">
        <v>31</v>
      </c>
      <c r="C2661" t="s">
        <v>70</v>
      </c>
      <c r="D2661" t="s">
        <v>3218</v>
      </c>
      <c r="E2661">
        <v>12.55</v>
      </c>
      <c r="F2661">
        <v>65.91</v>
      </c>
    </row>
    <row r="2662" spans="1:6" x14ac:dyDescent="0.25">
      <c r="A2662" t="s">
        <v>1241</v>
      </c>
      <c r="B2662" t="s">
        <v>31</v>
      </c>
      <c r="C2662" t="s">
        <v>70</v>
      </c>
      <c r="D2662" t="s">
        <v>3219</v>
      </c>
      <c r="E2662">
        <v>24.98</v>
      </c>
      <c r="F2662">
        <v>65.400000000000006</v>
      </c>
    </row>
    <row r="2663" spans="1:6" x14ac:dyDescent="0.25">
      <c r="A2663" t="s">
        <v>1242</v>
      </c>
      <c r="B2663" t="s">
        <v>31</v>
      </c>
      <c r="C2663" t="s">
        <v>71</v>
      </c>
      <c r="D2663" t="s">
        <v>3217</v>
      </c>
      <c r="E2663">
        <v>0</v>
      </c>
      <c r="F2663">
        <v>67.010000000000005</v>
      </c>
    </row>
    <row r="2664" spans="1:6" x14ac:dyDescent="0.25">
      <c r="A2664" t="s">
        <v>1242</v>
      </c>
      <c r="B2664" t="s">
        <v>31</v>
      </c>
      <c r="C2664" t="s">
        <v>71</v>
      </c>
      <c r="D2664" t="s">
        <v>3218</v>
      </c>
      <c r="E2664">
        <v>12.42</v>
      </c>
      <c r="F2664">
        <v>67.31</v>
      </c>
    </row>
    <row r="2665" spans="1:6" x14ac:dyDescent="0.25">
      <c r="A2665" t="s">
        <v>1242</v>
      </c>
      <c r="B2665" t="s">
        <v>31</v>
      </c>
      <c r="C2665" t="s">
        <v>71</v>
      </c>
      <c r="D2665" t="s">
        <v>3219</v>
      </c>
      <c r="E2665">
        <v>24.17</v>
      </c>
      <c r="F2665">
        <v>66.790000000000006</v>
      </c>
    </row>
    <row r="2666" spans="1:6" x14ac:dyDescent="0.25">
      <c r="A2666" t="s">
        <v>1243</v>
      </c>
      <c r="B2666" t="s">
        <v>31</v>
      </c>
      <c r="C2666" t="s">
        <v>72</v>
      </c>
      <c r="D2666" t="s">
        <v>3217</v>
      </c>
      <c r="E2666">
        <v>0</v>
      </c>
      <c r="F2666">
        <v>68.22</v>
      </c>
    </row>
    <row r="2667" spans="1:6" x14ac:dyDescent="0.25">
      <c r="A2667" t="s">
        <v>1243</v>
      </c>
      <c r="B2667" t="s">
        <v>31</v>
      </c>
      <c r="C2667" t="s">
        <v>72</v>
      </c>
      <c r="D2667" t="s">
        <v>3218</v>
      </c>
      <c r="E2667">
        <v>12.84</v>
      </c>
      <c r="F2667">
        <v>68.540000000000006</v>
      </c>
    </row>
    <row r="2668" spans="1:6" x14ac:dyDescent="0.25">
      <c r="A2668" t="s">
        <v>1243</v>
      </c>
      <c r="B2668" t="s">
        <v>31</v>
      </c>
      <c r="C2668" t="s">
        <v>72</v>
      </c>
      <c r="D2668" t="s">
        <v>3219</v>
      </c>
      <c r="E2668">
        <v>24.08</v>
      </c>
      <c r="F2668">
        <v>68.069999999999993</v>
      </c>
    </row>
    <row r="2669" spans="1:6" x14ac:dyDescent="0.25">
      <c r="A2669" t="s">
        <v>1244</v>
      </c>
      <c r="B2669" t="s">
        <v>31</v>
      </c>
      <c r="C2669" t="s">
        <v>73</v>
      </c>
      <c r="D2669" t="s">
        <v>3217</v>
      </c>
      <c r="E2669">
        <v>0</v>
      </c>
      <c r="F2669">
        <v>69.81</v>
      </c>
    </row>
    <row r="2670" spans="1:6" x14ac:dyDescent="0.25">
      <c r="A2670" t="s">
        <v>1244</v>
      </c>
      <c r="B2670" t="s">
        <v>31</v>
      </c>
      <c r="C2670" t="s">
        <v>73</v>
      </c>
      <c r="D2670" t="s">
        <v>3218</v>
      </c>
      <c r="E2670">
        <v>13.46</v>
      </c>
      <c r="F2670">
        <v>70.040000000000006</v>
      </c>
    </row>
    <row r="2671" spans="1:6" x14ac:dyDescent="0.25">
      <c r="A2671" t="s">
        <v>1244</v>
      </c>
      <c r="B2671" t="s">
        <v>31</v>
      </c>
      <c r="C2671" t="s">
        <v>73</v>
      </c>
      <c r="D2671" t="s">
        <v>3219</v>
      </c>
      <c r="E2671">
        <v>25.65</v>
      </c>
      <c r="F2671">
        <v>69.44</v>
      </c>
    </row>
    <row r="2672" spans="1:6" x14ac:dyDescent="0.25">
      <c r="A2672" t="s">
        <v>1245</v>
      </c>
      <c r="B2672" t="s">
        <v>31</v>
      </c>
      <c r="C2672" t="s">
        <v>74</v>
      </c>
      <c r="D2672" t="s">
        <v>3217</v>
      </c>
      <c r="E2672">
        <v>0</v>
      </c>
      <c r="F2672">
        <v>71.569999999999993</v>
      </c>
    </row>
    <row r="2673" spans="1:6" x14ac:dyDescent="0.25">
      <c r="A2673" t="s">
        <v>1245</v>
      </c>
      <c r="B2673" t="s">
        <v>31</v>
      </c>
      <c r="C2673" t="s">
        <v>74</v>
      </c>
      <c r="D2673" t="s">
        <v>3218</v>
      </c>
      <c r="E2673">
        <v>13.76</v>
      </c>
      <c r="F2673">
        <v>71.5</v>
      </c>
    </row>
    <row r="2674" spans="1:6" x14ac:dyDescent="0.25">
      <c r="A2674" t="s">
        <v>1245</v>
      </c>
      <c r="B2674" t="s">
        <v>31</v>
      </c>
      <c r="C2674" t="s">
        <v>74</v>
      </c>
      <c r="D2674" t="s">
        <v>3219</v>
      </c>
      <c r="E2674">
        <v>25.67</v>
      </c>
      <c r="F2674">
        <v>70.900000000000006</v>
      </c>
    </row>
    <row r="2675" spans="1:6" x14ac:dyDescent="0.25">
      <c r="A2675" t="s">
        <v>1246</v>
      </c>
      <c r="B2675" t="s">
        <v>31</v>
      </c>
      <c r="C2675" t="s">
        <v>75</v>
      </c>
      <c r="D2675" t="s">
        <v>3217</v>
      </c>
      <c r="E2675">
        <v>0</v>
      </c>
      <c r="F2675">
        <v>73.180000000000007</v>
      </c>
    </row>
    <row r="2676" spans="1:6" x14ac:dyDescent="0.25">
      <c r="A2676" t="s">
        <v>1246</v>
      </c>
      <c r="B2676" t="s">
        <v>31</v>
      </c>
      <c r="C2676" t="s">
        <v>75</v>
      </c>
      <c r="D2676" t="s">
        <v>3218</v>
      </c>
      <c r="E2676">
        <v>14.99</v>
      </c>
      <c r="F2676">
        <v>73.069999999999993</v>
      </c>
    </row>
    <row r="2677" spans="1:6" x14ac:dyDescent="0.25">
      <c r="A2677" t="s">
        <v>1246</v>
      </c>
      <c r="B2677" t="s">
        <v>31</v>
      </c>
      <c r="C2677" t="s">
        <v>75</v>
      </c>
      <c r="D2677" t="s">
        <v>3219</v>
      </c>
      <c r="E2677">
        <v>27.22</v>
      </c>
      <c r="F2677">
        <v>72.28</v>
      </c>
    </row>
    <row r="2678" spans="1:6" x14ac:dyDescent="0.25">
      <c r="A2678" t="s">
        <v>1247</v>
      </c>
      <c r="B2678" t="s">
        <v>31</v>
      </c>
      <c r="C2678" t="s">
        <v>76</v>
      </c>
      <c r="D2678" t="s">
        <v>3217</v>
      </c>
      <c r="E2678">
        <v>0</v>
      </c>
      <c r="F2678">
        <v>74.69</v>
      </c>
    </row>
    <row r="2679" spans="1:6" x14ac:dyDescent="0.25">
      <c r="A2679" t="s">
        <v>1247</v>
      </c>
      <c r="B2679" t="s">
        <v>31</v>
      </c>
      <c r="C2679" t="s">
        <v>76</v>
      </c>
      <c r="D2679" t="s">
        <v>3218</v>
      </c>
      <c r="E2679">
        <v>15.47</v>
      </c>
      <c r="F2679">
        <v>74.55</v>
      </c>
    </row>
    <row r="2680" spans="1:6" x14ac:dyDescent="0.25">
      <c r="A2680" t="s">
        <v>1247</v>
      </c>
      <c r="B2680" t="s">
        <v>31</v>
      </c>
      <c r="C2680" t="s">
        <v>76</v>
      </c>
      <c r="D2680" t="s">
        <v>3219</v>
      </c>
      <c r="E2680">
        <v>26.26</v>
      </c>
      <c r="F2680">
        <v>73.959999999999994</v>
      </c>
    </row>
    <row r="2681" spans="1:6" x14ac:dyDescent="0.25">
      <c r="A2681" t="s">
        <v>1248</v>
      </c>
      <c r="B2681" t="s">
        <v>31</v>
      </c>
      <c r="C2681" t="s">
        <v>77</v>
      </c>
      <c r="D2681" t="s">
        <v>3217</v>
      </c>
      <c r="E2681">
        <v>0</v>
      </c>
      <c r="F2681">
        <v>76.48</v>
      </c>
    </row>
    <row r="2682" spans="1:6" x14ac:dyDescent="0.25">
      <c r="A2682" t="s">
        <v>1248</v>
      </c>
      <c r="B2682" t="s">
        <v>31</v>
      </c>
      <c r="C2682" t="s">
        <v>77</v>
      </c>
      <c r="D2682" t="s">
        <v>3218</v>
      </c>
      <c r="E2682">
        <v>14.4</v>
      </c>
      <c r="F2682">
        <v>76.239999999999995</v>
      </c>
    </row>
    <row r="2683" spans="1:6" x14ac:dyDescent="0.25">
      <c r="A2683" t="s">
        <v>1248</v>
      </c>
      <c r="B2683" t="s">
        <v>31</v>
      </c>
      <c r="C2683" t="s">
        <v>77</v>
      </c>
      <c r="D2683" t="s">
        <v>3219</v>
      </c>
      <c r="E2683">
        <v>26.06</v>
      </c>
      <c r="F2683">
        <v>75.69</v>
      </c>
    </row>
    <row r="2684" spans="1:6" x14ac:dyDescent="0.25">
      <c r="A2684" t="s">
        <v>1249</v>
      </c>
      <c r="B2684" t="s">
        <v>31</v>
      </c>
      <c r="C2684" t="s">
        <v>78</v>
      </c>
      <c r="D2684" t="s">
        <v>3217</v>
      </c>
      <c r="E2684">
        <v>0</v>
      </c>
      <c r="F2684">
        <v>78.02</v>
      </c>
    </row>
    <row r="2685" spans="1:6" x14ac:dyDescent="0.25">
      <c r="A2685" t="s">
        <v>1249</v>
      </c>
      <c r="B2685" t="s">
        <v>31</v>
      </c>
      <c r="C2685" t="s">
        <v>78</v>
      </c>
      <c r="D2685" t="s">
        <v>3218</v>
      </c>
      <c r="E2685">
        <v>14.79</v>
      </c>
      <c r="F2685">
        <v>77.92</v>
      </c>
    </row>
    <row r="2686" spans="1:6" x14ac:dyDescent="0.25">
      <c r="A2686" t="s">
        <v>1249</v>
      </c>
      <c r="B2686" t="s">
        <v>31</v>
      </c>
      <c r="C2686" t="s">
        <v>78</v>
      </c>
      <c r="D2686" t="s">
        <v>3219</v>
      </c>
      <c r="E2686">
        <v>26.35</v>
      </c>
      <c r="F2686">
        <v>77.59</v>
      </c>
    </row>
    <row r="2687" spans="1:6" x14ac:dyDescent="0.25">
      <c r="A2687" t="s">
        <v>1250</v>
      </c>
      <c r="B2687" t="s">
        <v>31</v>
      </c>
      <c r="C2687" t="s">
        <v>79</v>
      </c>
      <c r="D2687" t="s">
        <v>3217</v>
      </c>
      <c r="E2687">
        <v>0</v>
      </c>
      <c r="F2687">
        <v>79.31</v>
      </c>
    </row>
    <row r="2688" spans="1:6" x14ac:dyDescent="0.25">
      <c r="A2688" t="s">
        <v>1250</v>
      </c>
      <c r="B2688" t="s">
        <v>31</v>
      </c>
      <c r="C2688" t="s">
        <v>79</v>
      </c>
      <c r="D2688" t="s">
        <v>3218</v>
      </c>
      <c r="E2688">
        <v>16.23</v>
      </c>
      <c r="F2688">
        <v>79.45</v>
      </c>
    </row>
    <row r="2689" spans="1:6" x14ac:dyDescent="0.25">
      <c r="A2689" t="s">
        <v>1250</v>
      </c>
      <c r="B2689" t="s">
        <v>31</v>
      </c>
      <c r="C2689" t="s">
        <v>79</v>
      </c>
      <c r="D2689" t="s">
        <v>3219</v>
      </c>
      <c r="E2689">
        <v>27.24</v>
      </c>
      <c r="F2689">
        <v>79.25</v>
      </c>
    </row>
    <row r="2690" spans="1:6" x14ac:dyDescent="0.25">
      <c r="A2690" t="s">
        <v>1251</v>
      </c>
      <c r="B2690" t="s">
        <v>31</v>
      </c>
      <c r="C2690" t="s">
        <v>80</v>
      </c>
      <c r="D2690" t="s">
        <v>3217</v>
      </c>
      <c r="E2690">
        <v>0</v>
      </c>
      <c r="F2690">
        <v>80.53</v>
      </c>
    </row>
    <row r="2691" spans="1:6" x14ac:dyDescent="0.25">
      <c r="A2691" t="s">
        <v>1251</v>
      </c>
      <c r="B2691" t="s">
        <v>31</v>
      </c>
      <c r="C2691" t="s">
        <v>80</v>
      </c>
      <c r="D2691" t="s">
        <v>3218</v>
      </c>
      <c r="E2691">
        <v>15.01</v>
      </c>
      <c r="F2691">
        <v>80.23</v>
      </c>
    </row>
    <row r="2692" spans="1:6" x14ac:dyDescent="0.25">
      <c r="A2692" t="s">
        <v>1251</v>
      </c>
      <c r="B2692" t="s">
        <v>31</v>
      </c>
      <c r="C2692" t="s">
        <v>80</v>
      </c>
      <c r="D2692" t="s">
        <v>3219</v>
      </c>
      <c r="E2692">
        <v>26.33</v>
      </c>
      <c r="F2692">
        <v>79.849999999999994</v>
      </c>
    </row>
    <row r="2693" spans="1:6" x14ac:dyDescent="0.25">
      <c r="A2693" t="s">
        <v>1252</v>
      </c>
      <c r="B2693" t="s">
        <v>31</v>
      </c>
      <c r="C2693" t="s">
        <v>81</v>
      </c>
      <c r="D2693" t="s">
        <v>3217</v>
      </c>
      <c r="E2693">
        <v>0</v>
      </c>
      <c r="F2693">
        <v>81.760000000000005</v>
      </c>
    </row>
    <row r="2694" spans="1:6" x14ac:dyDescent="0.25">
      <c r="A2694" t="s">
        <v>1252</v>
      </c>
      <c r="B2694" t="s">
        <v>31</v>
      </c>
      <c r="C2694" t="s">
        <v>81</v>
      </c>
      <c r="D2694" t="s">
        <v>3218</v>
      </c>
      <c r="E2694">
        <v>20</v>
      </c>
      <c r="F2694">
        <v>81.400000000000006</v>
      </c>
    </row>
    <row r="2695" spans="1:6" x14ac:dyDescent="0.25">
      <c r="A2695" t="s">
        <v>1252</v>
      </c>
      <c r="B2695" t="s">
        <v>31</v>
      </c>
      <c r="C2695" t="s">
        <v>81</v>
      </c>
      <c r="D2695" t="s">
        <v>3219</v>
      </c>
      <c r="E2695">
        <v>40</v>
      </c>
      <c r="F2695">
        <v>79.97</v>
      </c>
    </row>
    <row r="2696" spans="1:6" x14ac:dyDescent="0.25">
      <c r="A2696" t="s">
        <v>1253</v>
      </c>
      <c r="B2696" t="s">
        <v>31</v>
      </c>
      <c r="C2696" t="s">
        <v>82</v>
      </c>
      <c r="D2696" t="s">
        <v>3217</v>
      </c>
      <c r="E2696">
        <v>0</v>
      </c>
      <c r="F2696">
        <v>82.4</v>
      </c>
    </row>
    <row r="2697" spans="1:6" x14ac:dyDescent="0.25">
      <c r="A2697" t="s">
        <v>1253</v>
      </c>
      <c r="B2697" t="s">
        <v>31</v>
      </c>
      <c r="C2697" t="s">
        <v>82</v>
      </c>
      <c r="D2697" t="s">
        <v>3218</v>
      </c>
      <c r="E2697">
        <v>20</v>
      </c>
      <c r="F2697">
        <v>80.709999999999994</v>
      </c>
    </row>
    <row r="2698" spans="1:6" x14ac:dyDescent="0.25">
      <c r="A2698" t="s">
        <v>1253</v>
      </c>
      <c r="B2698" t="s">
        <v>31</v>
      </c>
      <c r="C2698" t="s">
        <v>82</v>
      </c>
      <c r="D2698" t="s">
        <v>3219</v>
      </c>
      <c r="E2698">
        <v>40</v>
      </c>
      <c r="F2698">
        <v>79.88</v>
      </c>
    </row>
    <row r="2699" spans="1:6" x14ac:dyDescent="0.25">
      <c r="A2699" t="s">
        <v>1254</v>
      </c>
      <c r="B2699" t="s">
        <v>31</v>
      </c>
      <c r="C2699" t="s">
        <v>83</v>
      </c>
      <c r="D2699" t="s">
        <v>3217</v>
      </c>
      <c r="E2699">
        <v>0</v>
      </c>
      <c r="F2699">
        <v>81.03</v>
      </c>
    </row>
    <row r="2700" spans="1:6" x14ac:dyDescent="0.25">
      <c r="A2700" t="s">
        <v>1254</v>
      </c>
      <c r="B2700" t="s">
        <v>31</v>
      </c>
      <c r="C2700" t="s">
        <v>83</v>
      </c>
      <c r="D2700" t="s">
        <v>3218</v>
      </c>
      <c r="E2700">
        <v>20</v>
      </c>
      <c r="F2700">
        <v>81.319999999999993</v>
      </c>
    </row>
    <row r="2701" spans="1:6" x14ac:dyDescent="0.25">
      <c r="A2701" t="s">
        <v>1254</v>
      </c>
      <c r="B2701" t="s">
        <v>31</v>
      </c>
      <c r="C2701" t="s">
        <v>83</v>
      </c>
      <c r="D2701" t="s">
        <v>3219</v>
      </c>
      <c r="E2701">
        <v>40</v>
      </c>
      <c r="F2701">
        <v>80.89</v>
      </c>
    </row>
    <row r="2702" spans="1:6" x14ac:dyDescent="0.25">
      <c r="A2702" t="s">
        <v>1255</v>
      </c>
      <c r="B2702" t="s">
        <v>31</v>
      </c>
      <c r="C2702" t="s">
        <v>84</v>
      </c>
      <c r="D2702" t="s">
        <v>3217</v>
      </c>
      <c r="E2702">
        <v>0</v>
      </c>
      <c r="F2702">
        <v>82.52</v>
      </c>
    </row>
    <row r="2703" spans="1:6" x14ac:dyDescent="0.25">
      <c r="A2703" t="s">
        <v>1255</v>
      </c>
      <c r="B2703" t="s">
        <v>31</v>
      </c>
      <c r="C2703" t="s">
        <v>84</v>
      </c>
      <c r="D2703" t="s">
        <v>3218</v>
      </c>
      <c r="E2703">
        <v>20</v>
      </c>
      <c r="F2703">
        <v>82.5</v>
      </c>
    </row>
    <row r="2704" spans="1:6" x14ac:dyDescent="0.25">
      <c r="A2704" t="s">
        <v>1255</v>
      </c>
      <c r="B2704" t="s">
        <v>31</v>
      </c>
      <c r="C2704" t="s">
        <v>84</v>
      </c>
      <c r="D2704" t="s">
        <v>3219</v>
      </c>
      <c r="E2704">
        <v>40</v>
      </c>
      <c r="F2704">
        <v>82.11</v>
      </c>
    </row>
    <row r="2705" spans="1:6" x14ac:dyDescent="0.25">
      <c r="A2705" t="s">
        <v>1256</v>
      </c>
      <c r="B2705" t="s">
        <v>31</v>
      </c>
      <c r="C2705" t="s">
        <v>85</v>
      </c>
      <c r="D2705" t="s">
        <v>3217</v>
      </c>
      <c r="E2705">
        <v>0</v>
      </c>
      <c r="F2705">
        <v>83.75</v>
      </c>
    </row>
    <row r="2706" spans="1:6" x14ac:dyDescent="0.25">
      <c r="A2706" t="s">
        <v>1256</v>
      </c>
      <c r="B2706" t="s">
        <v>31</v>
      </c>
      <c r="C2706" t="s">
        <v>85</v>
      </c>
      <c r="D2706" t="s">
        <v>3218</v>
      </c>
      <c r="E2706">
        <v>20</v>
      </c>
      <c r="F2706">
        <v>83.82</v>
      </c>
    </row>
    <row r="2707" spans="1:6" x14ac:dyDescent="0.25">
      <c r="A2707" t="s">
        <v>1256</v>
      </c>
      <c r="B2707" t="s">
        <v>31</v>
      </c>
      <c r="C2707" t="s">
        <v>85</v>
      </c>
      <c r="D2707" t="s">
        <v>3219</v>
      </c>
      <c r="E2707">
        <v>40</v>
      </c>
      <c r="F2707">
        <v>83.9</v>
      </c>
    </row>
    <row r="2708" spans="1:6" x14ac:dyDescent="0.25">
      <c r="A2708" t="s">
        <v>1257</v>
      </c>
      <c r="B2708" t="s">
        <v>31</v>
      </c>
      <c r="C2708" t="s">
        <v>86</v>
      </c>
      <c r="D2708" t="s">
        <v>3217</v>
      </c>
      <c r="E2708">
        <v>0</v>
      </c>
      <c r="F2708">
        <v>85.1</v>
      </c>
    </row>
    <row r="2709" spans="1:6" x14ac:dyDescent="0.25">
      <c r="A2709" t="s">
        <v>1257</v>
      </c>
      <c r="B2709" t="s">
        <v>31</v>
      </c>
      <c r="C2709" t="s">
        <v>86</v>
      </c>
      <c r="D2709" t="s">
        <v>3218</v>
      </c>
      <c r="E2709">
        <v>17.95</v>
      </c>
      <c r="F2709">
        <v>85.37</v>
      </c>
    </row>
    <row r="2710" spans="1:6" x14ac:dyDescent="0.25">
      <c r="A2710" t="s">
        <v>1257</v>
      </c>
      <c r="B2710" t="s">
        <v>31</v>
      </c>
      <c r="C2710" t="s">
        <v>86</v>
      </c>
      <c r="D2710" t="s">
        <v>3219</v>
      </c>
      <c r="E2710">
        <v>37.950000000000003</v>
      </c>
      <c r="F2710">
        <v>85.25</v>
      </c>
    </row>
    <row r="2711" spans="1:6" x14ac:dyDescent="0.25">
      <c r="A2711" t="s">
        <v>1258</v>
      </c>
      <c r="B2711" t="s">
        <v>31</v>
      </c>
      <c r="C2711" t="s">
        <v>87</v>
      </c>
      <c r="D2711" t="s">
        <v>3217</v>
      </c>
      <c r="E2711">
        <v>0</v>
      </c>
      <c r="F2711">
        <v>86.58</v>
      </c>
    </row>
    <row r="2712" spans="1:6" x14ac:dyDescent="0.25">
      <c r="A2712" t="s">
        <v>1258</v>
      </c>
      <c r="B2712" t="s">
        <v>31</v>
      </c>
      <c r="C2712" t="s">
        <v>87</v>
      </c>
      <c r="D2712" t="s">
        <v>3218</v>
      </c>
      <c r="E2712">
        <v>15.7</v>
      </c>
      <c r="F2712">
        <v>86.81</v>
      </c>
    </row>
    <row r="2713" spans="1:6" x14ac:dyDescent="0.25">
      <c r="A2713" t="s">
        <v>1258</v>
      </c>
      <c r="B2713" t="s">
        <v>31</v>
      </c>
      <c r="C2713" t="s">
        <v>87</v>
      </c>
      <c r="D2713" t="s">
        <v>3219</v>
      </c>
      <c r="E2713">
        <v>32.97</v>
      </c>
      <c r="F2713">
        <v>86.7</v>
      </c>
    </row>
    <row r="2714" spans="1:6" x14ac:dyDescent="0.25">
      <c r="A2714" t="s">
        <v>1259</v>
      </c>
      <c r="B2714" t="s">
        <v>31</v>
      </c>
      <c r="C2714" t="s">
        <v>88</v>
      </c>
      <c r="D2714" t="s">
        <v>3217</v>
      </c>
      <c r="E2714">
        <v>0</v>
      </c>
      <c r="F2714">
        <v>87.75</v>
      </c>
    </row>
    <row r="2715" spans="1:6" x14ac:dyDescent="0.25">
      <c r="A2715" t="s">
        <v>1259</v>
      </c>
      <c r="B2715" t="s">
        <v>31</v>
      </c>
      <c r="C2715" t="s">
        <v>88</v>
      </c>
      <c r="D2715" t="s">
        <v>3218</v>
      </c>
      <c r="E2715">
        <v>15.87</v>
      </c>
      <c r="F2715">
        <v>88.22</v>
      </c>
    </row>
    <row r="2716" spans="1:6" x14ac:dyDescent="0.25">
      <c r="A2716" t="s">
        <v>1259</v>
      </c>
      <c r="B2716" t="s">
        <v>31</v>
      </c>
      <c r="C2716" t="s">
        <v>88</v>
      </c>
      <c r="D2716" t="s">
        <v>3219</v>
      </c>
      <c r="E2716">
        <v>32.29</v>
      </c>
      <c r="F2716">
        <v>88.45</v>
      </c>
    </row>
    <row r="2717" spans="1:6" x14ac:dyDescent="0.25">
      <c r="A2717" t="s">
        <v>1260</v>
      </c>
      <c r="B2717" t="s">
        <v>31</v>
      </c>
      <c r="C2717" t="s">
        <v>89</v>
      </c>
      <c r="D2717" t="s">
        <v>3217</v>
      </c>
      <c r="E2717">
        <v>0</v>
      </c>
      <c r="F2717">
        <v>89.37</v>
      </c>
    </row>
    <row r="2718" spans="1:6" x14ac:dyDescent="0.25">
      <c r="A2718" t="s">
        <v>1260</v>
      </c>
      <c r="B2718" t="s">
        <v>31</v>
      </c>
      <c r="C2718" t="s">
        <v>89</v>
      </c>
      <c r="D2718" t="s">
        <v>3218</v>
      </c>
      <c r="E2718">
        <v>15.75</v>
      </c>
      <c r="F2718">
        <v>89.76</v>
      </c>
    </row>
    <row r="2719" spans="1:6" x14ac:dyDescent="0.25">
      <c r="A2719" t="s">
        <v>1260</v>
      </c>
      <c r="B2719" t="s">
        <v>31</v>
      </c>
      <c r="C2719" t="s">
        <v>89</v>
      </c>
      <c r="D2719" t="s">
        <v>3219</v>
      </c>
      <c r="E2719">
        <v>32.85</v>
      </c>
      <c r="F2719">
        <v>89.79</v>
      </c>
    </row>
    <row r="2720" spans="1:6" x14ac:dyDescent="0.25">
      <c r="A2720" t="s">
        <v>1261</v>
      </c>
      <c r="B2720" t="s">
        <v>31</v>
      </c>
      <c r="C2720" t="s">
        <v>90</v>
      </c>
      <c r="D2720" t="s">
        <v>3217</v>
      </c>
      <c r="E2720">
        <v>0</v>
      </c>
      <c r="F2720">
        <v>90.86</v>
      </c>
    </row>
    <row r="2721" spans="1:6" x14ac:dyDescent="0.25">
      <c r="A2721" t="s">
        <v>1261</v>
      </c>
      <c r="B2721" t="s">
        <v>31</v>
      </c>
      <c r="C2721" t="s">
        <v>90</v>
      </c>
      <c r="D2721" t="s">
        <v>3218</v>
      </c>
      <c r="E2721">
        <v>14.52</v>
      </c>
      <c r="F2721">
        <v>91.21</v>
      </c>
    </row>
    <row r="2722" spans="1:6" x14ac:dyDescent="0.25">
      <c r="A2722" t="s">
        <v>1261</v>
      </c>
      <c r="B2722" t="s">
        <v>31</v>
      </c>
      <c r="C2722" t="s">
        <v>90</v>
      </c>
      <c r="D2722" t="s">
        <v>3219</v>
      </c>
      <c r="E2722">
        <v>32.47</v>
      </c>
      <c r="F2722">
        <v>91.27</v>
      </c>
    </row>
    <row r="2723" spans="1:6" x14ac:dyDescent="0.25">
      <c r="A2723" t="s">
        <v>1262</v>
      </c>
      <c r="B2723" t="s">
        <v>31</v>
      </c>
      <c r="C2723" t="s">
        <v>91</v>
      </c>
      <c r="D2723" t="s">
        <v>3217</v>
      </c>
      <c r="E2723">
        <v>0</v>
      </c>
      <c r="F2723">
        <v>92.35</v>
      </c>
    </row>
    <row r="2724" spans="1:6" x14ac:dyDescent="0.25">
      <c r="A2724" t="s">
        <v>1262</v>
      </c>
      <c r="B2724" t="s">
        <v>31</v>
      </c>
      <c r="C2724" t="s">
        <v>91</v>
      </c>
      <c r="D2724" t="s">
        <v>3218</v>
      </c>
      <c r="E2724">
        <v>14.54</v>
      </c>
      <c r="F2724">
        <v>92.7</v>
      </c>
    </row>
    <row r="2725" spans="1:6" x14ac:dyDescent="0.25">
      <c r="A2725" t="s">
        <v>1262</v>
      </c>
      <c r="B2725" t="s">
        <v>31</v>
      </c>
      <c r="C2725" t="s">
        <v>91</v>
      </c>
      <c r="D2725" t="s">
        <v>3219</v>
      </c>
      <c r="E2725">
        <v>32.03</v>
      </c>
      <c r="F2725">
        <v>92.74</v>
      </c>
    </row>
    <row r="2726" spans="1:6" x14ac:dyDescent="0.25">
      <c r="A2726" t="s">
        <v>1263</v>
      </c>
      <c r="B2726" t="s">
        <v>31</v>
      </c>
      <c r="C2726" t="s">
        <v>92</v>
      </c>
      <c r="D2726" t="s">
        <v>3217</v>
      </c>
      <c r="E2726">
        <v>0</v>
      </c>
      <c r="F2726">
        <v>93.89</v>
      </c>
    </row>
    <row r="2727" spans="1:6" x14ac:dyDescent="0.25">
      <c r="A2727" t="s">
        <v>1263</v>
      </c>
      <c r="B2727" t="s">
        <v>31</v>
      </c>
      <c r="C2727" t="s">
        <v>92</v>
      </c>
      <c r="D2727" t="s">
        <v>3218</v>
      </c>
      <c r="E2727">
        <v>16.45</v>
      </c>
      <c r="F2727">
        <v>94.23</v>
      </c>
    </row>
    <row r="2728" spans="1:6" x14ac:dyDescent="0.25">
      <c r="A2728" t="s">
        <v>1263</v>
      </c>
      <c r="B2728" t="s">
        <v>31</v>
      </c>
      <c r="C2728" t="s">
        <v>92</v>
      </c>
      <c r="D2728" t="s">
        <v>3219</v>
      </c>
      <c r="E2728">
        <v>34.409999999999997</v>
      </c>
      <c r="F2728">
        <v>94.21</v>
      </c>
    </row>
    <row r="2729" spans="1:6" x14ac:dyDescent="0.25">
      <c r="A2729" t="s">
        <v>1264</v>
      </c>
      <c r="B2729" t="s">
        <v>31</v>
      </c>
      <c r="C2729" t="s">
        <v>93</v>
      </c>
      <c r="D2729" t="s">
        <v>3217</v>
      </c>
      <c r="E2729">
        <v>0</v>
      </c>
      <c r="F2729">
        <v>95.65</v>
      </c>
    </row>
    <row r="2730" spans="1:6" x14ac:dyDescent="0.25">
      <c r="A2730" t="s">
        <v>1264</v>
      </c>
      <c r="B2730" t="s">
        <v>31</v>
      </c>
      <c r="C2730" t="s">
        <v>93</v>
      </c>
      <c r="D2730" t="s">
        <v>3218</v>
      </c>
      <c r="E2730">
        <v>20</v>
      </c>
      <c r="F2730">
        <v>95.86</v>
      </c>
    </row>
    <row r="2731" spans="1:6" x14ac:dyDescent="0.25">
      <c r="A2731" t="s">
        <v>1264</v>
      </c>
      <c r="B2731" t="s">
        <v>31</v>
      </c>
      <c r="C2731" t="s">
        <v>93</v>
      </c>
      <c r="D2731" t="s">
        <v>3219</v>
      </c>
      <c r="E2731">
        <v>37.96</v>
      </c>
      <c r="F2731">
        <v>95.86</v>
      </c>
    </row>
    <row r="2732" spans="1:6" x14ac:dyDescent="0.25">
      <c r="A2732" t="s">
        <v>1265</v>
      </c>
      <c r="B2732" t="s">
        <v>31</v>
      </c>
      <c r="C2732" t="s">
        <v>94</v>
      </c>
      <c r="D2732" t="s">
        <v>3217</v>
      </c>
      <c r="E2732">
        <v>0</v>
      </c>
      <c r="F2732">
        <v>97.55</v>
      </c>
    </row>
    <row r="2733" spans="1:6" x14ac:dyDescent="0.25">
      <c r="A2733" t="s">
        <v>1265</v>
      </c>
      <c r="B2733" t="s">
        <v>31</v>
      </c>
      <c r="C2733" t="s">
        <v>94</v>
      </c>
      <c r="D2733" t="s">
        <v>3218</v>
      </c>
      <c r="E2733">
        <v>20</v>
      </c>
      <c r="F2733">
        <v>97.49</v>
      </c>
    </row>
    <row r="2734" spans="1:6" x14ac:dyDescent="0.25">
      <c r="A2734" t="s">
        <v>1265</v>
      </c>
      <c r="B2734" t="s">
        <v>31</v>
      </c>
      <c r="C2734" t="s">
        <v>94</v>
      </c>
      <c r="D2734" t="s">
        <v>3219</v>
      </c>
      <c r="E2734">
        <v>38.25</v>
      </c>
      <c r="F2734">
        <v>97.18</v>
      </c>
    </row>
    <row r="2735" spans="1:6" x14ac:dyDescent="0.25">
      <c r="A2735" t="s">
        <v>1266</v>
      </c>
      <c r="B2735" t="s">
        <v>31</v>
      </c>
      <c r="C2735" t="s">
        <v>95</v>
      </c>
      <c r="D2735" t="s">
        <v>3217</v>
      </c>
      <c r="E2735">
        <v>0</v>
      </c>
      <c r="F2735">
        <v>99.22</v>
      </c>
    </row>
    <row r="2736" spans="1:6" x14ac:dyDescent="0.25">
      <c r="A2736" t="s">
        <v>1266</v>
      </c>
      <c r="B2736" t="s">
        <v>31</v>
      </c>
      <c r="C2736" t="s">
        <v>95</v>
      </c>
      <c r="D2736" t="s">
        <v>3218</v>
      </c>
      <c r="E2736">
        <v>20</v>
      </c>
      <c r="F2736">
        <v>99.18</v>
      </c>
    </row>
    <row r="2737" spans="1:6" x14ac:dyDescent="0.25">
      <c r="A2737" t="s">
        <v>1266</v>
      </c>
      <c r="B2737" t="s">
        <v>31</v>
      </c>
      <c r="C2737" t="s">
        <v>95</v>
      </c>
      <c r="D2737" t="s">
        <v>3219</v>
      </c>
      <c r="E2737">
        <v>37.950000000000003</v>
      </c>
      <c r="F2737">
        <v>98.63</v>
      </c>
    </row>
    <row r="2738" spans="1:6" x14ac:dyDescent="0.25">
      <c r="A2738" t="s">
        <v>1267</v>
      </c>
      <c r="B2738" t="s">
        <v>31</v>
      </c>
      <c r="C2738" t="s">
        <v>96</v>
      </c>
      <c r="D2738" t="s">
        <v>3217</v>
      </c>
      <c r="E2738">
        <v>0</v>
      </c>
      <c r="F2738">
        <v>101.4</v>
      </c>
    </row>
    <row r="2739" spans="1:6" x14ac:dyDescent="0.25">
      <c r="A2739" t="s">
        <v>1267</v>
      </c>
      <c r="B2739" t="s">
        <v>31</v>
      </c>
      <c r="C2739" t="s">
        <v>96</v>
      </c>
      <c r="D2739" t="s">
        <v>3218</v>
      </c>
      <c r="E2739">
        <v>20</v>
      </c>
      <c r="F2739">
        <v>100.92</v>
      </c>
    </row>
    <row r="2740" spans="1:6" x14ac:dyDescent="0.25">
      <c r="A2740" t="s">
        <v>1267</v>
      </c>
      <c r="B2740" t="s">
        <v>31</v>
      </c>
      <c r="C2740" t="s">
        <v>96</v>
      </c>
      <c r="D2740" t="s">
        <v>3219</v>
      </c>
      <c r="E2740">
        <v>38.25</v>
      </c>
      <c r="F2740">
        <v>99.8</v>
      </c>
    </row>
    <row r="2741" spans="1:6" x14ac:dyDescent="0.25">
      <c r="A2741" t="s">
        <v>1268</v>
      </c>
      <c r="B2741" t="s">
        <v>31</v>
      </c>
      <c r="C2741" t="s">
        <v>97</v>
      </c>
      <c r="D2741" t="s">
        <v>3217</v>
      </c>
      <c r="E2741">
        <v>0</v>
      </c>
      <c r="F2741">
        <v>103.03</v>
      </c>
    </row>
    <row r="2742" spans="1:6" x14ac:dyDescent="0.25">
      <c r="A2742" t="s">
        <v>1268</v>
      </c>
      <c r="B2742" t="s">
        <v>31</v>
      </c>
      <c r="C2742" t="s">
        <v>97</v>
      </c>
      <c r="D2742" t="s">
        <v>3218</v>
      </c>
      <c r="E2742">
        <v>14.07</v>
      </c>
      <c r="F2742">
        <v>102.93</v>
      </c>
    </row>
    <row r="2743" spans="1:6" x14ac:dyDescent="0.25">
      <c r="A2743" t="s">
        <v>1268</v>
      </c>
      <c r="B2743" t="s">
        <v>31</v>
      </c>
      <c r="C2743" t="s">
        <v>97</v>
      </c>
      <c r="D2743" t="s">
        <v>3219</v>
      </c>
      <c r="E2743">
        <v>28.43</v>
      </c>
      <c r="F2743">
        <v>102.36</v>
      </c>
    </row>
    <row r="2744" spans="1:6" x14ac:dyDescent="0.25">
      <c r="A2744" t="s">
        <v>1269</v>
      </c>
      <c r="B2744" t="s">
        <v>31</v>
      </c>
      <c r="C2744" t="s">
        <v>98</v>
      </c>
      <c r="D2744" t="s">
        <v>3217</v>
      </c>
      <c r="E2744">
        <v>0</v>
      </c>
      <c r="F2744">
        <v>104.9</v>
      </c>
    </row>
    <row r="2745" spans="1:6" x14ac:dyDescent="0.25">
      <c r="A2745" t="s">
        <v>1269</v>
      </c>
      <c r="B2745" t="s">
        <v>31</v>
      </c>
      <c r="C2745" t="s">
        <v>98</v>
      </c>
      <c r="D2745" t="s">
        <v>3218</v>
      </c>
      <c r="E2745">
        <v>14.07</v>
      </c>
      <c r="F2745">
        <v>104.6</v>
      </c>
    </row>
    <row r="2746" spans="1:6" x14ac:dyDescent="0.25">
      <c r="A2746" t="s">
        <v>1269</v>
      </c>
      <c r="B2746" t="s">
        <v>31</v>
      </c>
      <c r="C2746" t="s">
        <v>98</v>
      </c>
      <c r="D2746" t="s">
        <v>3219</v>
      </c>
      <c r="E2746">
        <v>29.17</v>
      </c>
      <c r="F2746">
        <v>103.78</v>
      </c>
    </row>
    <row r="2747" spans="1:6" x14ac:dyDescent="0.25">
      <c r="A2747" t="s">
        <v>1270</v>
      </c>
      <c r="B2747" t="s">
        <v>31</v>
      </c>
      <c r="C2747" t="s">
        <v>99</v>
      </c>
      <c r="D2747" t="s">
        <v>3217</v>
      </c>
      <c r="E2747">
        <v>0</v>
      </c>
      <c r="F2747">
        <v>106.12</v>
      </c>
    </row>
    <row r="2748" spans="1:6" x14ac:dyDescent="0.25">
      <c r="A2748" t="s">
        <v>1270</v>
      </c>
      <c r="B2748" t="s">
        <v>31</v>
      </c>
      <c r="C2748" t="s">
        <v>99</v>
      </c>
      <c r="D2748" t="s">
        <v>3218</v>
      </c>
      <c r="E2748">
        <v>12.54</v>
      </c>
      <c r="F2748">
        <v>105.9</v>
      </c>
    </row>
    <row r="2749" spans="1:6" x14ac:dyDescent="0.25">
      <c r="A2749" t="s">
        <v>1270</v>
      </c>
      <c r="B2749" t="s">
        <v>31</v>
      </c>
      <c r="C2749" t="s">
        <v>99</v>
      </c>
      <c r="D2749" t="s">
        <v>3219</v>
      </c>
      <c r="E2749">
        <v>27.64</v>
      </c>
      <c r="F2749">
        <v>105.21</v>
      </c>
    </row>
    <row r="2750" spans="1:6" x14ac:dyDescent="0.25">
      <c r="A2750" t="s">
        <v>1271</v>
      </c>
      <c r="B2750" t="s">
        <v>31</v>
      </c>
      <c r="C2750" t="s">
        <v>100</v>
      </c>
      <c r="D2750" t="s">
        <v>3217</v>
      </c>
      <c r="E2750">
        <v>0</v>
      </c>
      <c r="F2750">
        <v>107.48</v>
      </c>
    </row>
    <row r="2751" spans="1:6" x14ac:dyDescent="0.25">
      <c r="A2751" t="s">
        <v>1271</v>
      </c>
      <c r="B2751" t="s">
        <v>31</v>
      </c>
      <c r="C2751" t="s">
        <v>100</v>
      </c>
      <c r="D2751" t="s">
        <v>3218</v>
      </c>
      <c r="E2751">
        <v>13.07</v>
      </c>
      <c r="F2751">
        <v>107.27</v>
      </c>
    </row>
    <row r="2752" spans="1:6" x14ac:dyDescent="0.25">
      <c r="A2752" t="s">
        <v>1271</v>
      </c>
      <c r="B2752" t="s">
        <v>31</v>
      </c>
      <c r="C2752" t="s">
        <v>100</v>
      </c>
      <c r="D2752" t="s">
        <v>3219</v>
      </c>
      <c r="E2752">
        <v>28.45</v>
      </c>
      <c r="F2752">
        <v>106.62</v>
      </c>
    </row>
    <row r="2753" spans="1:6" x14ac:dyDescent="0.25">
      <c r="A2753" t="s">
        <v>1272</v>
      </c>
      <c r="B2753" t="s">
        <v>31</v>
      </c>
      <c r="C2753" t="s">
        <v>101</v>
      </c>
      <c r="D2753" t="s">
        <v>3217</v>
      </c>
      <c r="E2753">
        <v>0</v>
      </c>
      <c r="F2753">
        <v>108.77</v>
      </c>
    </row>
    <row r="2754" spans="1:6" x14ac:dyDescent="0.25">
      <c r="A2754" t="s">
        <v>1272</v>
      </c>
      <c r="B2754" t="s">
        <v>31</v>
      </c>
      <c r="C2754" t="s">
        <v>101</v>
      </c>
      <c r="D2754" t="s">
        <v>3218</v>
      </c>
      <c r="E2754">
        <v>13.07</v>
      </c>
      <c r="F2754">
        <v>108.78</v>
      </c>
    </row>
    <row r="2755" spans="1:6" x14ac:dyDescent="0.25">
      <c r="A2755" t="s">
        <v>1272</v>
      </c>
      <c r="B2755" t="s">
        <v>31</v>
      </c>
      <c r="C2755" t="s">
        <v>101</v>
      </c>
      <c r="D2755" t="s">
        <v>3219</v>
      </c>
      <c r="E2755">
        <v>29.13</v>
      </c>
      <c r="F2755">
        <v>108.16</v>
      </c>
    </row>
    <row r="2756" spans="1:6" x14ac:dyDescent="0.25">
      <c r="A2756" t="s">
        <v>1273</v>
      </c>
      <c r="B2756" t="s">
        <v>31</v>
      </c>
      <c r="C2756" t="s">
        <v>102</v>
      </c>
      <c r="D2756" t="s">
        <v>3217</v>
      </c>
      <c r="E2756">
        <v>0</v>
      </c>
      <c r="F2756">
        <v>110.34</v>
      </c>
    </row>
    <row r="2757" spans="1:6" x14ac:dyDescent="0.25">
      <c r="A2757" t="s">
        <v>1273</v>
      </c>
      <c r="B2757" t="s">
        <v>31</v>
      </c>
      <c r="C2757" t="s">
        <v>102</v>
      </c>
      <c r="D2757" t="s">
        <v>3218</v>
      </c>
      <c r="E2757">
        <v>13.74</v>
      </c>
      <c r="F2757">
        <v>110.28</v>
      </c>
    </row>
    <row r="2758" spans="1:6" x14ac:dyDescent="0.25">
      <c r="A2758" t="s">
        <v>1273</v>
      </c>
      <c r="B2758" t="s">
        <v>31</v>
      </c>
      <c r="C2758" t="s">
        <v>102</v>
      </c>
      <c r="D2758" t="s">
        <v>3219</v>
      </c>
      <c r="E2758">
        <v>29.41</v>
      </c>
      <c r="F2758">
        <v>109.72</v>
      </c>
    </row>
    <row r="2759" spans="1:6" x14ac:dyDescent="0.25">
      <c r="A2759" t="s">
        <v>1274</v>
      </c>
      <c r="B2759" t="s">
        <v>31</v>
      </c>
      <c r="C2759" t="s">
        <v>103</v>
      </c>
      <c r="D2759" t="s">
        <v>3217</v>
      </c>
      <c r="E2759">
        <v>0</v>
      </c>
      <c r="F2759">
        <v>111.89</v>
      </c>
    </row>
    <row r="2760" spans="1:6" x14ac:dyDescent="0.25">
      <c r="A2760" t="s">
        <v>1274</v>
      </c>
      <c r="B2760" t="s">
        <v>31</v>
      </c>
      <c r="C2760" t="s">
        <v>103</v>
      </c>
      <c r="D2760" t="s">
        <v>3218</v>
      </c>
      <c r="E2760">
        <v>14.93</v>
      </c>
      <c r="F2760">
        <v>111.83</v>
      </c>
    </row>
    <row r="2761" spans="1:6" x14ac:dyDescent="0.25">
      <c r="A2761" t="s">
        <v>1274</v>
      </c>
      <c r="B2761" t="s">
        <v>31</v>
      </c>
      <c r="C2761" t="s">
        <v>103</v>
      </c>
      <c r="D2761" t="s">
        <v>3219</v>
      </c>
      <c r="E2761">
        <v>29.8</v>
      </c>
      <c r="F2761">
        <v>111.23</v>
      </c>
    </row>
    <row r="2762" spans="1:6" x14ac:dyDescent="0.25">
      <c r="A2762" t="s">
        <v>1275</v>
      </c>
      <c r="B2762" t="s">
        <v>31</v>
      </c>
      <c r="C2762" t="s">
        <v>104</v>
      </c>
      <c r="D2762" t="s">
        <v>3217</v>
      </c>
      <c r="E2762">
        <v>0</v>
      </c>
      <c r="F2762">
        <v>113.07</v>
      </c>
    </row>
    <row r="2763" spans="1:6" x14ac:dyDescent="0.25">
      <c r="A2763" t="s">
        <v>1275</v>
      </c>
      <c r="B2763" t="s">
        <v>31</v>
      </c>
      <c r="C2763" t="s">
        <v>104</v>
      </c>
      <c r="D2763" t="s">
        <v>3218</v>
      </c>
      <c r="E2763">
        <v>16.100000000000001</v>
      </c>
      <c r="F2763">
        <v>113.45</v>
      </c>
    </row>
    <row r="2764" spans="1:6" x14ac:dyDescent="0.25">
      <c r="A2764" t="s">
        <v>1275</v>
      </c>
      <c r="B2764" t="s">
        <v>31</v>
      </c>
      <c r="C2764" t="s">
        <v>104</v>
      </c>
      <c r="D2764" t="s">
        <v>3219</v>
      </c>
      <c r="E2764">
        <v>29.92</v>
      </c>
      <c r="F2764">
        <v>112.75</v>
      </c>
    </row>
    <row r="2765" spans="1:6" x14ac:dyDescent="0.25">
      <c r="A2765" t="s">
        <v>1276</v>
      </c>
      <c r="B2765" t="s">
        <v>31</v>
      </c>
      <c r="C2765" t="s">
        <v>105</v>
      </c>
      <c r="D2765" t="s">
        <v>3217</v>
      </c>
      <c r="E2765">
        <v>0</v>
      </c>
      <c r="F2765">
        <v>114.17</v>
      </c>
    </row>
    <row r="2766" spans="1:6" x14ac:dyDescent="0.25">
      <c r="A2766" t="s">
        <v>1276</v>
      </c>
      <c r="B2766" t="s">
        <v>31</v>
      </c>
      <c r="C2766" t="s">
        <v>105</v>
      </c>
      <c r="D2766" t="s">
        <v>3218</v>
      </c>
      <c r="E2766">
        <v>15.18</v>
      </c>
      <c r="F2766">
        <v>114.34</v>
      </c>
    </row>
    <row r="2767" spans="1:6" x14ac:dyDescent="0.25">
      <c r="A2767" t="s">
        <v>1276</v>
      </c>
      <c r="B2767" t="s">
        <v>31</v>
      </c>
      <c r="C2767" t="s">
        <v>105</v>
      </c>
      <c r="D2767" t="s">
        <v>3219</v>
      </c>
      <c r="E2767">
        <v>29.01</v>
      </c>
      <c r="F2767">
        <v>114.55</v>
      </c>
    </row>
    <row r="2768" spans="1:6" x14ac:dyDescent="0.25">
      <c r="A2768" t="s">
        <v>1277</v>
      </c>
      <c r="B2768" t="s">
        <v>31</v>
      </c>
      <c r="C2768" t="s">
        <v>231</v>
      </c>
      <c r="D2768" t="s">
        <v>3217</v>
      </c>
      <c r="E2768">
        <v>0</v>
      </c>
      <c r="F2768">
        <v>114.58</v>
      </c>
    </row>
    <row r="2769" spans="1:6" x14ac:dyDescent="0.25">
      <c r="A2769" t="s">
        <v>1277</v>
      </c>
      <c r="B2769" t="s">
        <v>31</v>
      </c>
      <c r="C2769" t="s">
        <v>231</v>
      </c>
      <c r="D2769" t="s">
        <v>3218</v>
      </c>
      <c r="E2769">
        <v>14.74</v>
      </c>
      <c r="F2769">
        <v>114.8</v>
      </c>
    </row>
    <row r="2770" spans="1:6" x14ac:dyDescent="0.25">
      <c r="A2770" t="s">
        <v>1277</v>
      </c>
      <c r="B2770" t="s">
        <v>31</v>
      </c>
      <c r="C2770" t="s">
        <v>231</v>
      </c>
      <c r="D2770" t="s">
        <v>3219</v>
      </c>
      <c r="E2770">
        <v>28.56</v>
      </c>
      <c r="F2770">
        <v>114.75</v>
      </c>
    </row>
    <row r="2771" spans="1:6" x14ac:dyDescent="0.25">
      <c r="A2771" t="s">
        <v>1278</v>
      </c>
      <c r="B2771" t="s">
        <v>32</v>
      </c>
      <c r="C2771" t="s">
        <v>56</v>
      </c>
      <c r="D2771" t="s">
        <v>3217</v>
      </c>
      <c r="E2771">
        <v>0</v>
      </c>
      <c r="F2771">
        <v>117.65</v>
      </c>
    </row>
    <row r="2772" spans="1:6" x14ac:dyDescent="0.25">
      <c r="A2772" t="s">
        <v>1278</v>
      </c>
      <c r="B2772" t="s">
        <v>32</v>
      </c>
      <c r="C2772" t="s">
        <v>56</v>
      </c>
      <c r="D2772" t="s">
        <v>3218</v>
      </c>
      <c r="E2772">
        <v>14.03</v>
      </c>
      <c r="F2772">
        <v>117.83</v>
      </c>
    </row>
    <row r="2773" spans="1:6" x14ac:dyDescent="0.25">
      <c r="A2773" t="s">
        <v>1278</v>
      </c>
      <c r="B2773" t="s">
        <v>32</v>
      </c>
      <c r="C2773" t="s">
        <v>56</v>
      </c>
      <c r="D2773" t="s">
        <v>3219</v>
      </c>
      <c r="E2773">
        <v>29.43</v>
      </c>
      <c r="F2773">
        <v>117.68</v>
      </c>
    </row>
    <row r="2774" spans="1:6" x14ac:dyDescent="0.25">
      <c r="A2774" t="s">
        <v>1279</v>
      </c>
      <c r="B2774" t="s">
        <v>32</v>
      </c>
      <c r="C2774" t="s">
        <v>57</v>
      </c>
      <c r="D2774" t="s">
        <v>3217</v>
      </c>
      <c r="E2774">
        <v>0</v>
      </c>
      <c r="F2774">
        <v>118.57</v>
      </c>
    </row>
    <row r="2775" spans="1:6" x14ac:dyDescent="0.25">
      <c r="A2775" t="s">
        <v>1279</v>
      </c>
      <c r="B2775" t="s">
        <v>32</v>
      </c>
      <c r="C2775" t="s">
        <v>57</v>
      </c>
      <c r="D2775" t="s">
        <v>3218</v>
      </c>
      <c r="E2775">
        <v>12.92</v>
      </c>
      <c r="F2775">
        <v>118.65</v>
      </c>
    </row>
    <row r="2776" spans="1:6" x14ac:dyDescent="0.25">
      <c r="A2776" t="s">
        <v>1279</v>
      </c>
      <c r="B2776" t="s">
        <v>32</v>
      </c>
      <c r="C2776" t="s">
        <v>57</v>
      </c>
      <c r="D2776" t="s">
        <v>3219</v>
      </c>
      <c r="E2776">
        <v>28.77</v>
      </c>
      <c r="F2776">
        <v>118.26</v>
      </c>
    </row>
    <row r="2777" spans="1:6" x14ac:dyDescent="0.25">
      <c r="A2777" t="s">
        <v>1280</v>
      </c>
      <c r="B2777" t="s">
        <v>32</v>
      </c>
      <c r="C2777" t="s">
        <v>58</v>
      </c>
      <c r="D2777" t="s">
        <v>3217</v>
      </c>
      <c r="E2777">
        <v>0</v>
      </c>
      <c r="F2777">
        <v>119.22</v>
      </c>
    </row>
    <row r="2778" spans="1:6" x14ac:dyDescent="0.25">
      <c r="A2778" t="s">
        <v>1280</v>
      </c>
      <c r="B2778" t="s">
        <v>32</v>
      </c>
      <c r="C2778" t="s">
        <v>58</v>
      </c>
      <c r="D2778" t="s">
        <v>3218</v>
      </c>
      <c r="E2778">
        <v>14.03</v>
      </c>
      <c r="F2778">
        <v>119.58</v>
      </c>
    </row>
    <row r="2779" spans="1:6" x14ac:dyDescent="0.25">
      <c r="A2779" t="s">
        <v>1280</v>
      </c>
      <c r="B2779" t="s">
        <v>32</v>
      </c>
      <c r="C2779" t="s">
        <v>58</v>
      </c>
      <c r="D2779" t="s">
        <v>3219</v>
      </c>
      <c r="E2779">
        <v>29.43</v>
      </c>
      <c r="F2779">
        <v>118.67</v>
      </c>
    </row>
    <row r="2780" spans="1:6" x14ac:dyDescent="0.25">
      <c r="A2780" t="s">
        <v>1281</v>
      </c>
      <c r="B2780" t="s">
        <v>32</v>
      </c>
      <c r="C2780" t="s">
        <v>59</v>
      </c>
      <c r="D2780" t="s">
        <v>3217</v>
      </c>
      <c r="E2780">
        <v>0</v>
      </c>
      <c r="F2780">
        <v>119.82</v>
      </c>
    </row>
    <row r="2781" spans="1:6" x14ac:dyDescent="0.25">
      <c r="A2781" t="s">
        <v>1281</v>
      </c>
      <c r="B2781" t="s">
        <v>32</v>
      </c>
      <c r="C2781" t="s">
        <v>59</v>
      </c>
      <c r="D2781" t="s">
        <v>3218</v>
      </c>
      <c r="E2781">
        <v>14.35</v>
      </c>
      <c r="F2781">
        <v>120.1</v>
      </c>
    </row>
    <row r="2782" spans="1:6" x14ac:dyDescent="0.25">
      <c r="A2782" t="s">
        <v>1281</v>
      </c>
      <c r="B2782" t="s">
        <v>32</v>
      </c>
      <c r="C2782" t="s">
        <v>59</v>
      </c>
      <c r="D2782" t="s">
        <v>3219</v>
      </c>
      <c r="E2782">
        <v>29.97</v>
      </c>
      <c r="F2782">
        <v>119.46</v>
      </c>
    </row>
    <row r="2783" spans="1:6" x14ac:dyDescent="0.25">
      <c r="A2783" t="s">
        <v>1282</v>
      </c>
      <c r="B2783" t="s">
        <v>32</v>
      </c>
      <c r="C2783" t="s">
        <v>60</v>
      </c>
      <c r="D2783" t="s">
        <v>3217</v>
      </c>
      <c r="E2783">
        <v>0</v>
      </c>
      <c r="F2783">
        <v>120.65</v>
      </c>
    </row>
    <row r="2784" spans="1:6" x14ac:dyDescent="0.25">
      <c r="A2784" t="s">
        <v>1282</v>
      </c>
      <c r="B2784" t="s">
        <v>32</v>
      </c>
      <c r="C2784" t="s">
        <v>60</v>
      </c>
      <c r="D2784" t="s">
        <v>3218</v>
      </c>
      <c r="E2784">
        <v>14.41</v>
      </c>
      <c r="F2784">
        <v>120.99</v>
      </c>
    </row>
    <row r="2785" spans="1:6" x14ac:dyDescent="0.25">
      <c r="A2785" t="s">
        <v>1282</v>
      </c>
      <c r="B2785" t="s">
        <v>32</v>
      </c>
      <c r="C2785" t="s">
        <v>60</v>
      </c>
      <c r="D2785" t="s">
        <v>3219</v>
      </c>
      <c r="E2785">
        <v>29.9</v>
      </c>
      <c r="F2785">
        <v>120.38</v>
      </c>
    </row>
    <row r="2786" spans="1:6" x14ac:dyDescent="0.25">
      <c r="A2786" t="s">
        <v>1283</v>
      </c>
      <c r="B2786" t="s">
        <v>32</v>
      </c>
      <c r="C2786" t="s">
        <v>61</v>
      </c>
      <c r="D2786" t="s">
        <v>3217</v>
      </c>
      <c r="E2786">
        <v>0</v>
      </c>
      <c r="F2786">
        <v>121.6</v>
      </c>
    </row>
    <row r="2787" spans="1:6" x14ac:dyDescent="0.25">
      <c r="A2787" t="s">
        <v>1283</v>
      </c>
      <c r="B2787" t="s">
        <v>32</v>
      </c>
      <c r="C2787" t="s">
        <v>61</v>
      </c>
      <c r="D2787" t="s">
        <v>3218</v>
      </c>
      <c r="E2787">
        <v>14.75</v>
      </c>
      <c r="F2787">
        <v>121.92</v>
      </c>
    </row>
    <row r="2788" spans="1:6" x14ac:dyDescent="0.25">
      <c r="A2788" t="s">
        <v>1283</v>
      </c>
      <c r="B2788" t="s">
        <v>32</v>
      </c>
      <c r="C2788" t="s">
        <v>61</v>
      </c>
      <c r="D2788" t="s">
        <v>3219</v>
      </c>
      <c r="E2788">
        <v>30.49</v>
      </c>
      <c r="F2788">
        <v>121.25</v>
      </c>
    </row>
    <row r="2789" spans="1:6" x14ac:dyDescent="0.25">
      <c r="A2789" t="s">
        <v>1284</v>
      </c>
      <c r="B2789" t="s">
        <v>32</v>
      </c>
      <c r="C2789" t="s">
        <v>62</v>
      </c>
      <c r="D2789" t="s">
        <v>3217</v>
      </c>
      <c r="E2789">
        <v>0</v>
      </c>
      <c r="F2789">
        <v>122.88</v>
      </c>
    </row>
    <row r="2790" spans="1:6" x14ac:dyDescent="0.25">
      <c r="A2790" t="s">
        <v>1284</v>
      </c>
      <c r="B2790" t="s">
        <v>32</v>
      </c>
      <c r="C2790" t="s">
        <v>62</v>
      </c>
      <c r="D2790" t="s">
        <v>3218</v>
      </c>
      <c r="E2790">
        <v>15.2</v>
      </c>
      <c r="F2790">
        <v>122.84</v>
      </c>
    </row>
    <row r="2791" spans="1:6" x14ac:dyDescent="0.25">
      <c r="A2791" t="s">
        <v>1284</v>
      </c>
      <c r="B2791" t="s">
        <v>32</v>
      </c>
      <c r="C2791" t="s">
        <v>62</v>
      </c>
      <c r="D2791" t="s">
        <v>3219</v>
      </c>
      <c r="E2791">
        <v>30.89</v>
      </c>
      <c r="F2791">
        <v>122.06</v>
      </c>
    </row>
    <row r="2792" spans="1:6" x14ac:dyDescent="0.25">
      <c r="A2792" t="s">
        <v>1285</v>
      </c>
      <c r="B2792" t="s">
        <v>32</v>
      </c>
      <c r="C2792" t="s">
        <v>63</v>
      </c>
      <c r="D2792" t="s">
        <v>3217</v>
      </c>
      <c r="E2792">
        <v>0</v>
      </c>
      <c r="F2792">
        <v>123.94</v>
      </c>
    </row>
    <row r="2793" spans="1:6" x14ac:dyDescent="0.25">
      <c r="A2793" t="s">
        <v>1285</v>
      </c>
      <c r="B2793" t="s">
        <v>32</v>
      </c>
      <c r="C2793" t="s">
        <v>63</v>
      </c>
      <c r="D2793" t="s">
        <v>3218</v>
      </c>
      <c r="E2793">
        <v>18.420000000000002</v>
      </c>
      <c r="F2793">
        <v>123.83</v>
      </c>
    </row>
    <row r="2794" spans="1:6" x14ac:dyDescent="0.25">
      <c r="A2794" t="s">
        <v>1285</v>
      </c>
      <c r="B2794" t="s">
        <v>32</v>
      </c>
      <c r="C2794" t="s">
        <v>63</v>
      </c>
      <c r="D2794" t="s">
        <v>3219</v>
      </c>
      <c r="E2794">
        <v>33.64</v>
      </c>
      <c r="F2794">
        <v>123.07</v>
      </c>
    </row>
    <row r="2795" spans="1:6" x14ac:dyDescent="0.25">
      <c r="A2795" t="s">
        <v>1286</v>
      </c>
      <c r="B2795" t="s">
        <v>32</v>
      </c>
      <c r="C2795" t="s">
        <v>64</v>
      </c>
      <c r="D2795" t="s">
        <v>3217</v>
      </c>
      <c r="E2795">
        <v>0</v>
      </c>
      <c r="F2795">
        <v>124.69</v>
      </c>
    </row>
    <row r="2796" spans="1:6" x14ac:dyDescent="0.25">
      <c r="A2796" t="s">
        <v>1286</v>
      </c>
      <c r="B2796" t="s">
        <v>32</v>
      </c>
      <c r="C2796" t="s">
        <v>64</v>
      </c>
      <c r="D2796" t="s">
        <v>3218</v>
      </c>
      <c r="E2796">
        <v>18.420000000000002</v>
      </c>
      <c r="F2796">
        <v>124.91</v>
      </c>
    </row>
    <row r="2797" spans="1:6" x14ac:dyDescent="0.25">
      <c r="A2797" t="s">
        <v>1286</v>
      </c>
      <c r="B2797" t="s">
        <v>32</v>
      </c>
      <c r="C2797" t="s">
        <v>64</v>
      </c>
      <c r="D2797" t="s">
        <v>3219</v>
      </c>
      <c r="E2797">
        <v>34.119999999999997</v>
      </c>
      <c r="F2797">
        <v>124.35</v>
      </c>
    </row>
    <row r="2798" spans="1:6" x14ac:dyDescent="0.25">
      <c r="A2798" t="s">
        <v>1287</v>
      </c>
      <c r="B2798" t="s">
        <v>32</v>
      </c>
      <c r="C2798" t="s">
        <v>65</v>
      </c>
      <c r="D2798" t="s">
        <v>3217</v>
      </c>
      <c r="E2798">
        <v>0</v>
      </c>
      <c r="F2798">
        <v>125.68</v>
      </c>
    </row>
    <row r="2799" spans="1:6" x14ac:dyDescent="0.25">
      <c r="A2799" t="s">
        <v>1287</v>
      </c>
      <c r="B2799" t="s">
        <v>32</v>
      </c>
      <c r="C2799" t="s">
        <v>65</v>
      </c>
      <c r="D2799" t="s">
        <v>3218</v>
      </c>
      <c r="E2799">
        <v>18.420000000000002</v>
      </c>
      <c r="F2799">
        <v>126.17</v>
      </c>
    </row>
    <row r="2800" spans="1:6" x14ac:dyDescent="0.25">
      <c r="A2800" t="s">
        <v>1287</v>
      </c>
      <c r="B2800" t="s">
        <v>32</v>
      </c>
      <c r="C2800" t="s">
        <v>65</v>
      </c>
      <c r="D2800" t="s">
        <v>3219</v>
      </c>
      <c r="E2800">
        <v>34.479999999999997</v>
      </c>
      <c r="F2800">
        <v>125.79</v>
      </c>
    </row>
    <row r="2801" spans="1:6" x14ac:dyDescent="0.25">
      <c r="A2801" t="s">
        <v>1288</v>
      </c>
      <c r="B2801" t="s">
        <v>32</v>
      </c>
      <c r="C2801" t="s">
        <v>66</v>
      </c>
      <c r="D2801" t="s">
        <v>3217</v>
      </c>
      <c r="E2801">
        <v>0</v>
      </c>
      <c r="F2801">
        <v>127.24</v>
      </c>
    </row>
    <row r="2802" spans="1:6" x14ac:dyDescent="0.25">
      <c r="A2802" t="s">
        <v>1288</v>
      </c>
      <c r="B2802" t="s">
        <v>32</v>
      </c>
      <c r="C2802" t="s">
        <v>66</v>
      </c>
      <c r="D2802" t="s">
        <v>3218</v>
      </c>
      <c r="E2802">
        <v>15.54</v>
      </c>
      <c r="F2802">
        <v>127.48</v>
      </c>
    </row>
    <row r="2803" spans="1:6" x14ac:dyDescent="0.25">
      <c r="A2803" t="s">
        <v>1288</v>
      </c>
      <c r="B2803" t="s">
        <v>32</v>
      </c>
      <c r="C2803" t="s">
        <v>66</v>
      </c>
      <c r="D2803" t="s">
        <v>3219</v>
      </c>
      <c r="E2803">
        <v>31.52</v>
      </c>
      <c r="F2803">
        <v>126.77</v>
      </c>
    </row>
    <row r="2804" spans="1:6" x14ac:dyDescent="0.25">
      <c r="A2804" t="s">
        <v>1289</v>
      </c>
      <c r="B2804" t="s">
        <v>32</v>
      </c>
      <c r="C2804" t="s">
        <v>67</v>
      </c>
      <c r="D2804" t="s">
        <v>3217</v>
      </c>
      <c r="E2804">
        <v>0</v>
      </c>
      <c r="F2804">
        <v>128.4</v>
      </c>
    </row>
    <row r="2805" spans="1:6" x14ac:dyDescent="0.25">
      <c r="A2805" t="s">
        <v>1289</v>
      </c>
      <c r="B2805" t="s">
        <v>32</v>
      </c>
      <c r="C2805" t="s">
        <v>67</v>
      </c>
      <c r="D2805" t="s">
        <v>3218</v>
      </c>
      <c r="E2805">
        <v>15.54</v>
      </c>
      <c r="F2805">
        <v>128.78</v>
      </c>
    </row>
    <row r="2806" spans="1:6" x14ac:dyDescent="0.25">
      <c r="A2806" t="s">
        <v>1289</v>
      </c>
      <c r="B2806" t="s">
        <v>32</v>
      </c>
      <c r="C2806" t="s">
        <v>67</v>
      </c>
      <c r="D2806" t="s">
        <v>3219</v>
      </c>
      <c r="E2806">
        <v>30.81</v>
      </c>
      <c r="F2806">
        <v>127.84</v>
      </c>
    </row>
    <row r="2807" spans="1:6" x14ac:dyDescent="0.25">
      <c r="A2807" t="s">
        <v>1290</v>
      </c>
      <c r="B2807" t="s">
        <v>32</v>
      </c>
      <c r="C2807" t="s">
        <v>68</v>
      </c>
      <c r="D2807" t="s">
        <v>3217</v>
      </c>
      <c r="E2807">
        <v>0</v>
      </c>
      <c r="F2807">
        <v>129.62</v>
      </c>
    </row>
    <row r="2808" spans="1:6" x14ac:dyDescent="0.25">
      <c r="A2808" t="s">
        <v>1290</v>
      </c>
      <c r="B2808" t="s">
        <v>32</v>
      </c>
      <c r="C2808" t="s">
        <v>68</v>
      </c>
      <c r="D2808" t="s">
        <v>3218</v>
      </c>
      <c r="E2808">
        <v>14.65</v>
      </c>
      <c r="F2808">
        <v>130.06</v>
      </c>
    </row>
    <row r="2809" spans="1:6" x14ac:dyDescent="0.25">
      <c r="A2809" t="s">
        <v>1290</v>
      </c>
      <c r="B2809" t="s">
        <v>32</v>
      </c>
      <c r="C2809" t="s">
        <v>68</v>
      </c>
      <c r="D2809" t="s">
        <v>3219</v>
      </c>
      <c r="E2809">
        <v>29.57</v>
      </c>
      <c r="F2809">
        <v>129.19999999999999</v>
      </c>
    </row>
    <row r="2810" spans="1:6" x14ac:dyDescent="0.25">
      <c r="A2810" t="s">
        <v>1291</v>
      </c>
      <c r="B2810" t="s">
        <v>32</v>
      </c>
      <c r="C2810" t="s">
        <v>69</v>
      </c>
      <c r="D2810" t="s">
        <v>3217</v>
      </c>
      <c r="E2810">
        <v>0</v>
      </c>
      <c r="F2810">
        <v>130.86000000000001</v>
      </c>
    </row>
    <row r="2811" spans="1:6" x14ac:dyDescent="0.25">
      <c r="A2811" t="s">
        <v>1291</v>
      </c>
      <c r="B2811" t="s">
        <v>32</v>
      </c>
      <c r="C2811" t="s">
        <v>69</v>
      </c>
      <c r="D2811" t="s">
        <v>3218</v>
      </c>
      <c r="E2811">
        <v>15.97</v>
      </c>
      <c r="F2811">
        <v>131.37</v>
      </c>
    </row>
    <row r="2812" spans="1:6" x14ac:dyDescent="0.25">
      <c r="A2812" t="s">
        <v>1291</v>
      </c>
      <c r="B2812" t="s">
        <v>32</v>
      </c>
      <c r="C2812" t="s">
        <v>69</v>
      </c>
      <c r="D2812" t="s">
        <v>3219</v>
      </c>
      <c r="E2812">
        <v>30.5</v>
      </c>
      <c r="F2812">
        <v>130.72</v>
      </c>
    </row>
    <row r="2813" spans="1:6" x14ac:dyDescent="0.25">
      <c r="A2813" t="s">
        <v>1292</v>
      </c>
      <c r="B2813" t="s">
        <v>32</v>
      </c>
      <c r="C2813" t="s">
        <v>70</v>
      </c>
      <c r="D2813" t="s">
        <v>3217</v>
      </c>
      <c r="E2813">
        <v>0</v>
      </c>
      <c r="F2813">
        <v>132.44</v>
      </c>
    </row>
    <row r="2814" spans="1:6" x14ac:dyDescent="0.25">
      <c r="A2814" t="s">
        <v>1292</v>
      </c>
      <c r="B2814" t="s">
        <v>32</v>
      </c>
      <c r="C2814" t="s">
        <v>70</v>
      </c>
      <c r="D2814" t="s">
        <v>3218</v>
      </c>
      <c r="E2814">
        <v>16.77</v>
      </c>
      <c r="F2814">
        <v>132.85</v>
      </c>
    </row>
    <row r="2815" spans="1:6" x14ac:dyDescent="0.25">
      <c r="A2815" t="s">
        <v>1292</v>
      </c>
      <c r="B2815" t="s">
        <v>32</v>
      </c>
      <c r="C2815" t="s">
        <v>70</v>
      </c>
      <c r="D2815" t="s">
        <v>3219</v>
      </c>
      <c r="E2815">
        <v>31.22</v>
      </c>
      <c r="F2815">
        <v>132.19</v>
      </c>
    </row>
    <row r="2816" spans="1:6" x14ac:dyDescent="0.25">
      <c r="A2816" t="s">
        <v>1293</v>
      </c>
      <c r="B2816" t="s">
        <v>32</v>
      </c>
      <c r="C2816" t="s">
        <v>71</v>
      </c>
      <c r="D2816" t="s">
        <v>3217</v>
      </c>
      <c r="E2816">
        <v>0</v>
      </c>
      <c r="F2816">
        <v>134.04</v>
      </c>
    </row>
    <row r="2817" spans="1:6" x14ac:dyDescent="0.25">
      <c r="A2817" t="s">
        <v>1293</v>
      </c>
      <c r="B2817" t="s">
        <v>32</v>
      </c>
      <c r="C2817" t="s">
        <v>71</v>
      </c>
      <c r="D2817" t="s">
        <v>3218</v>
      </c>
      <c r="E2817">
        <v>16.600000000000001</v>
      </c>
      <c r="F2817">
        <v>134.46</v>
      </c>
    </row>
    <row r="2818" spans="1:6" x14ac:dyDescent="0.25">
      <c r="A2818" t="s">
        <v>1293</v>
      </c>
      <c r="B2818" t="s">
        <v>32</v>
      </c>
      <c r="C2818" t="s">
        <v>71</v>
      </c>
      <c r="D2818" t="s">
        <v>3219</v>
      </c>
      <c r="E2818">
        <v>30.98</v>
      </c>
      <c r="F2818">
        <v>133.84</v>
      </c>
    </row>
    <row r="2819" spans="1:6" x14ac:dyDescent="0.25">
      <c r="A2819" t="s">
        <v>1294</v>
      </c>
      <c r="B2819" t="s">
        <v>32</v>
      </c>
      <c r="C2819" t="s">
        <v>72</v>
      </c>
      <c r="D2819" t="s">
        <v>3217</v>
      </c>
      <c r="E2819">
        <v>0</v>
      </c>
      <c r="F2819">
        <v>135.49</v>
      </c>
    </row>
    <row r="2820" spans="1:6" x14ac:dyDescent="0.25">
      <c r="A2820" t="s">
        <v>1294</v>
      </c>
      <c r="B2820" t="s">
        <v>32</v>
      </c>
      <c r="C2820" t="s">
        <v>72</v>
      </c>
      <c r="D2820" t="s">
        <v>3218</v>
      </c>
      <c r="E2820">
        <v>16.48</v>
      </c>
      <c r="F2820">
        <v>135.9</v>
      </c>
    </row>
    <row r="2821" spans="1:6" x14ac:dyDescent="0.25">
      <c r="A2821" t="s">
        <v>1294</v>
      </c>
      <c r="B2821" t="s">
        <v>32</v>
      </c>
      <c r="C2821" t="s">
        <v>72</v>
      </c>
      <c r="D2821" t="s">
        <v>3219</v>
      </c>
      <c r="E2821">
        <v>29.85</v>
      </c>
      <c r="F2821">
        <v>135.36000000000001</v>
      </c>
    </row>
    <row r="2822" spans="1:6" x14ac:dyDescent="0.25">
      <c r="A2822" t="s">
        <v>1295</v>
      </c>
      <c r="B2822" t="s">
        <v>32</v>
      </c>
      <c r="C2822" t="s">
        <v>73</v>
      </c>
      <c r="D2822" t="s">
        <v>3217</v>
      </c>
      <c r="E2822">
        <v>0</v>
      </c>
      <c r="F2822">
        <v>136.94999999999999</v>
      </c>
    </row>
    <row r="2823" spans="1:6" x14ac:dyDescent="0.25">
      <c r="A2823" t="s">
        <v>1295</v>
      </c>
      <c r="B2823" t="s">
        <v>32</v>
      </c>
      <c r="C2823" t="s">
        <v>73</v>
      </c>
      <c r="D2823" t="s">
        <v>3218</v>
      </c>
      <c r="E2823">
        <v>16.12</v>
      </c>
      <c r="F2823">
        <v>137.35</v>
      </c>
    </row>
    <row r="2824" spans="1:6" x14ac:dyDescent="0.25">
      <c r="A2824" t="s">
        <v>1295</v>
      </c>
      <c r="B2824" t="s">
        <v>32</v>
      </c>
      <c r="C2824" t="s">
        <v>73</v>
      </c>
      <c r="D2824" t="s">
        <v>3219</v>
      </c>
      <c r="E2824">
        <v>30.12</v>
      </c>
      <c r="F2824">
        <v>136.77000000000001</v>
      </c>
    </row>
    <row r="2825" spans="1:6" x14ac:dyDescent="0.25">
      <c r="A2825" t="s">
        <v>1296</v>
      </c>
      <c r="B2825" t="s">
        <v>32</v>
      </c>
      <c r="C2825" t="s">
        <v>74</v>
      </c>
      <c r="D2825" t="s">
        <v>3217</v>
      </c>
      <c r="E2825">
        <v>0</v>
      </c>
      <c r="F2825">
        <v>138.41</v>
      </c>
    </row>
    <row r="2826" spans="1:6" x14ac:dyDescent="0.25">
      <c r="A2826" t="s">
        <v>1296</v>
      </c>
      <c r="B2826" t="s">
        <v>32</v>
      </c>
      <c r="C2826" t="s">
        <v>74</v>
      </c>
      <c r="D2826" t="s">
        <v>3218</v>
      </c>
      <c r="E2826">
        <v>15.39</v>
      </c>
      <c r="F2826">
        <v>138.80000000000001</v>
      </c>
    </row>
    <row r="2827" spans="1:6" x14ac:dyDescent="0.25">
      <c r="A2827" t="s">
        <v>1296</v>
      </c>
      <c r="B2827" t="s">
        <v>32</v>
      </c>
      <c r="C2827" t="s">
        <v>74</v>
      </c>
      <c r="D2827" t="s">
        <v>3219</v>
      </c>
      <c r="E2827">
        <v>30.22</v>
      </c>
      <c r="F2827">
        <v>138.09</v>
      </c>
    </row>
    <row r="2828" spans="1:6" x14ac:dyDescent="0.25">
      <c r="A2828" t="s">
        <v>1297</v>
      </c>
      <c r="B2828" t="s">
        <v>32</v>
      </c>
      <c r="C2828" t="s">
        <v>75</v>
      </c>
      <c r="D2828" t="s">
        <v>3217</v>
      </c>
      <c r="E2828">
        <v>0</v>
      </c>
      <c r="F2828">
        <v>139.85</v>
      </c>
    </row>
    <row r="2829" spans="1:6" x14ac:dyDescent="0.25">
      <c r="A2829" t="s">
        <v>1297</v>
      </c>
      <c r="B2829" t="s">
        <v>32</v>
      </c>
      <c r="C2829" t="s">
        <v>75</v>
      </c>
      <c r="D2829" t="s">
        <v>3218</v>
      </c>
      <c r="E2829">
        <v>14.49</v>
      </c>
      <c r="F2829">
        <v>140.12</v>
      </c>
    </row>
    <row r="2830" spans="1:6" x14ac:dyDescent="0.25">
      <c r="A2830" t="s">
        <v>1297</v>
      </c>
      <c r="B2830" t="s">
        <v>32</v>
      </c>
      <c r="C2830" t="s">
        <v>75</v>
      </c>
      <c r="D2830" t="s">
        <v>3219</v>
      </c>
      <c r="E2830">
        <v>29.85</v>
      </c>
      <c r="F2830">
        <v>139.28</v>
      </c>
    </row>
    <row r="2831" spans="1:6" x14ac:dyDescent="0.25">
      <c r="A2831" t="s">
        <v>1298</v>
      </c>
      <c r="B2831" t="s">
        <v>32</v>
      </c>
      <c r="C2831" t="s">
        <v>76</v>
      </c>
      <c r="D2831" t="s">
        <v>3217</v>
      </c>
      <c r="E2831">
        <v>0</v>
      </c>
      <c r="F2831">
        <v>141.1</v>
      </c>
    </row>
    <row r="2832" spans="1:6" x14ac:dyDescent="0.25">
      <c r="A2832" t="s">
        <v>1298</v>
      </c>
      <c r="B2832" t="s">
        <v>32</v>
      </c>
      <c r="C2832" t="s">
        <v>76</v>
      </c>
      <c r="D2832" t="s">
        <v>3218</v>
      </c>
      <c r="E2832">
        <v>13.98</v>
      </c>
      <c r="F2832">
        <v>141.53</v>
      </c>
    </row>
    <row r="2833" spans="1:6" x14ac:dyDescent="0.25">
      <c r="A2833" t="s">
        <v>1298</v>
      </c>
      <c r="B2833" t="s">
        <v>32</v>
      </c>
      <c r="C2833" t="s">
        <v>76</v>
      </c>
      <c r="D2833" t="s">
        <v>3219</v>
      </c>
      <c r="E2833">
        <v>29.82</v>
      </c>
      <c r="F2833">
        <v>140.71</v>
      </c>
    </row>
    <row r="2834" spans="1:6" x14ac:dyDescent="0.25">
      <c r="A2834" t="s">
        <v>1299</v>
      </c>
      <c r="B2834" t="s">
        <v>32</v>
      </c>
      <c r="C2834" t="s">
        <v>77</v>
      </c>
      <c r="D2834" t="s">
        <v>3217</v>
      </c>
      <c r="E2834">
        <v>0</v>
      </c>
      <c r="F2834">
        <v>142.37</v>
      </c>
    </row>
    <row r="2835" spans="1:6" x14ac:dyDescent="0.25">
      <c r="A2835" t="s">
        <v>1299</v>
      </c>
      <c r="B2835" t="s">
        <v>32</v>
      </c>
      <c r="C2835" t="s">
        <v>77</v>
      </c>
      <c r="D2835" t="s">
        <v>3218</v>
      </c>
      <c r="E2835">
        <v>15.57</v>
      </c>
      <c r="F2835">
        <v>142.9</v>
      </c>
    </row>
    <row r="2836" spans="1:6" x14ac:dyDescent="0.25">
      <c r="A2836" t="s">
        <v>1299</v>
      </c>
      <c r="B2836" t="s">
        <v>32</v>
      </c>
      <c r="C2836" t="s">
        <v>77</v>
      </c>
      <c r="D2836" t="s">
        <v>3219</v>
      </c>
      <c r="E2836">
        <v>32.28</v>
      </c>
      <c r="F2836">
        <v>142.13999999999999</v>
      </c>
    </row>
    <row r="2837" spans="1:6" x14ac:dyDescent="0.25">
      <c r="A2837" t="s">
        <v>1300</v>
      </c>
      <c r="B2837" t="s">
        <v>32</v>
      </c>
      <c r="C2837" t="s">
        <v>78</v>
      </c>
      <c r="D2837" t="s">
        <v>3217</v>
      </c>
      <c r="E2837">
        <v>0</v>
      </c>
      <c r="F2837">
        <v>143.97999999999999</v>
      </c>
    </row>
    <row r="2838" spans="1:6" x14ac:dyDescent="0.25">
      <c r="A2838" t="s">
        <v>1300</v>
      </c>
      <c r="B2838" t="s">
        <v>32</v>
      </c>
      <c r="C2838" t="s">
        <v>78</v>
      </c>
      <c r="D2838" t="s">
        <v>3218</v>
      </c>
      <c r="E2838">
        <v>15.19</v>
      </c>
      <c r="F2838">
        <v>144.22</v>
      </c>
    </row>
    <row r="2839" spans="1:6" x14ac:dyDescent="0.25">
      <c r="A2839" t="s">
        <v>1300</v>
      </c>
      <c r="B2839" t="s">
        <v>32</v>
      </c>
      <c r="C2839" t="s">
        <v>78</v>
      </c>
      <c r="D2839" t="s">
        <v>3219</v>
      </c>
      <c r="E2839">
        <v>32.36</v>
      </c>
      <c r="F2839">
        <v>143.52000000000001</v>
      </c>
    </row>
    <row r="2840" spans="1:6" x14ac:dyDescent="0.25">
      <c r="A2840" t="s">
        <v>1301</v>
      </c>
      <c r="B2840" t="s">
        <v>32</v>
      </c>
      <c r="C2840" t="s">
        <v>79</v>
      </c>
      <c r="D2840" t="s">
        <v>3217</v>
      </c>
      <c r="E2840">
        <v>0</v>
      </c>
      <c r="F2840">
        <v>145.29</v>
      </c>
    </row>
    <row r="2841" spans="1:6" x14ac:dyDescent="0.25">
      <c r="A2841" t="s">
        <v>1301</v>
      </c>
      <c r="B2841" t="s">
        <v>32</v>
      </c>
      <c r="C2841" t="s">
        <v>79</v>
      </c>
      <c r="D2841" t="s">
        <v>3218</v>
      </c>
      <c r="E2841">
        <v>15.99</v>
      </c>
      <c r="F2841">
        <v>145.6</v>
      </c>
    </row>
    <row r="2842" spans="1:6" x14ac:dyDescent="0.25">
      <c r="A2842" t="s">
        <v>1301</v>
      </c>
      <c r="B2842" t="s">
        <v>32</v>
      </c>
      <c r="C2842" t="s">
        <v>79</v>
      </c>
      <c r="D2842" t="s">
        <v>3219</v>
      </c>
      <c r="E2842">
        <v>35.99</v>
      </c>
      <c r="F2842">
        <v>144.99</v>
      </c>
    </row>
    <row r="2843" spans="1:6" x14ac:dyDescent="0.25">
      <c r="A2843" t="s">
        <v>1302</v>
      </c>
      <c r="B2843" t="s">
        <v>32</v>
      </c>
      <c r="C2843" t="s">
        <v>80</v>
      </c>
      <c r="D2843" t="s">
        <v>3217</v>
      </c>
      <c r="E2843">
        <v>0</v>
      </c>
      <c r="F2843">
        <v>146.88999999999999</v>
      </c>
    </row>
    <row r="2844" spans="1:6" x14ac:dyDescent="0.25">
      <c r="A2844" t="s">
        <v>1302</v>
      </c>
      <c r="B2844" t="s">
        <v>32</v>
      </c>
      <c r="C2844" t="s">
        <v>80</v>
      </c>
      <c r="D2844" t="s">
        <v>3218</v>
      </c>
      <c r="E2844">
        <v>16.260000000000002</v>
      </c>
      <c r="F2844">
        <v>147.11000000000001</v>
      </c>
    </row>
    <row r="2845" spans="1:6" x14ac:dyDescent="0.25">
      <c r="A2845" t="s">
        <v>1302</v>
      </c>
      <c r="B2845" t="s">
        <v>32</v>
      </c>
      <c r="C2845" t="s">
        <v>80</v>
      </c>
      <c r="D2845" t="s">
        <v>3219</v>
      </c>
      <c r="E2845">
        <v>36.26</v>
      </c>
      <c r="F2845">
        <v>146.62</v>
      </c>
    </row>
    <row r="2846" spans="1:6" x14ac:dyDescent="0.25">
      <c r="A2846" t="s">
        <v>1303</v>
      </c>
      <c r="B2846" t="s">
        <v>32</v>
      </c>
      <c r="C2846" t="s">
        <v>81</v>
      </c>
      <c r="D2846" t="s">
        <v>3217</v>
      </c>
      <c r="E2846">
        <v>0</v>
      </c>
      <c r="F2846">
        <v>148.6</v>
      </c>
    </row>
    <row r="2847" spans="1:6" x14ac:dyDescent="0.25">
      <c r="A2847" t="s">
        <v>1303</v>
      </c>
      <c r="B2847" t="s">
        <v>32</v>
      </c>
      <c r="C2847" t="s">
        <v>81</v>
      </c>
      <c r="D2847" t="s">
        <v>3218</v>
      </c>
      <c r="E2847">
        <v>15.69</v>
      </c>
      <c r="F2847">
        <v>148.71</v>
      </c>
    </row>
    <row r="2848" spans="1:6" x14ac:dyDescent="0.25">
      <c r="A2848" t="s">
        <v>1303</v>
      </c>
      <c r="B2848" t="s">
        <v>32</v>
      </c>
      <c r="C2848" t="s">
        <v>81</v>
      </c>
      <c r="D2848" t="s">
        <v>3219</v>
      </c>
      <c r="E2848">
        <v>35.69</v>
      </c>
      <c r="F2848">
        <v>148.01</v>
      </c>
    </row>
    <row r="2849" spans="1:6" x14ac:dyDescent="0.25">
      <c r="A2849" t="s">
        <v>1304</v>
      </c>
      <c r="B2849" t="s">
        <v>32</v>
      </c>
      <c r="C2849" t="s">
        <v>82</v>
      </c>
      <c r="D2849" t="s">
        <v>3217</v>
      </c>
      <c r="E2849">
        <v>0</v>
      </c>
      <c r="F2849">
        <v>150.51</v>
      </c>
    </row>
    <row r="2850" spans="1:6" x14ac:dyDescent="0.25">
      <c r="A2850" t="s">
        <v>1304</v>
      </c>
      <c r="B2850" t="s">
        <v>32</v>
      </c>
      <c r="C2850" t="s">
        <v>82</v>
      </c>
      <c r="D2850" t="s">
        <v>3218</v>
      </c>
      <c r="E2850">
        <v>16.600000000000001</v>
      </c>
      <c r="F2850">
        <v>150.28</v>
      </c>
    </row>
    <row r="2851" spans="1:6" x14ac:dyDescent="0.25">
      <c r="A2851" t="s">
        <v>1304</v>
      </c>
      <c r="B2851" t="s">
        <v>32</v>
      </c>
      <c r="C2851" t="s">
        <v>82</v>
      </c>
      <c r="D2851" t="s">
        <v>3219</v>
      </c>
      <c r="E2851">
        <v>36.6</v>
      </c>
      <c r="F2851">
        <v>149.41999999999999</v>
      </c>
    </row>
    <row r="2852" spans="1:6" x14ac:dyDescent="0.25">
      <c r="A2852" t="s">
        <v>1305</v>
      </c>
      <c r="B2852" t="s">
        <v>32</v>
      </c>
      <c r="C2852" t="s">
        <v>83</v>
      </c>
      <c r="D2852" t="s">
        <v>3217</v>
      </c>
      <c r="E2852">
        <v>0</v>
      </c>
      <c r="F2852">
        <v>151.53</v>
      </c>
    </row>
    <row r="2853" spans="1:6" x14ac:dyDescent="0.25">
      <c r="A2853" t="s">
        <v>1305</v>
      </c>
      <c r="B2853" t="s">
        <v>32</v>
      </c>
      <c r="C2853" t="s">
        <v>83</v>
      </c>
      <c r="D2853" t="s">
        <v>3218</v>
      </c>
      <c r="E2853">
        <v>16.54</v>
      </c>
      <c r="F2853">
        <v>151.63999999999999</v>
      </c>
    </row>
    <row r="2854" spans="1:6" x14ac:dyDescent="0.25">
      <c r="A2854" t="s">
        <v>1305</v>
      </c>
      <c r="B2854" t="s">
        <v>32</v>
      </c>
      <c r="C2854" t="s">
        <v>83</v>
      </c>
      <c r="D2854" t="s">
        <v>3219</v>
      </c>
      <c r="E2854">
        <v>36.54</v>
      </c>
      <c r="F2854">
        <v>150.69999999999999</v>
      </c>
    </row>
    <row r="2855" spans="1:6" x14ac:dyDescent="0.25">
      <c r="A2855" t="s">
        <v>1306</v>
      </c>
      <c r="B2855" t="s">
        <v>32</v>
      </c>
      <c r="C2855" t="s">
        <v>84</v>
      </c>
      <c r="D2855" t="s">
        <v>3217</v>
      </c>
      <c r="E2855">
        <v>0</v>
      </c>
      <c r="F2855">
        <v>152.74</v>
      </c>
    </row>
    <row r="2856" spans="1:6" x14ac:dyDescent="0.25">
      <c r="A2856" t="s">
        <v>1306</v>
      </c>
      <c r="B2856" t="s">
        <v>32</v>
      </c>
      <c r="C2856" t="s">
        <v>84</v>
      </c>
      <c r="D2856" t="s">
        <v>3218</v>
      </c>
      <c r="E2856">
        <v>17.649999999999999</v>
      </c>
      <c r="F2856">
        <v>152.71</v>
      </c>
    </row>
    <row r="2857" spans="1:6" x14ac:dyDescent="0.25">
      <c r="A2857" t="s">
        <v>1306</v>
      </c>
      <c r="B2857" t="s">
        <v>32</v>
      </c>
      <c r="C2857" t="s">
        <v>84</v>
      </c>
      <c r="D2857" t="s">
        <v>3219</v>
      </c>
      <c r="E2857">
        <v>37.65</v>
      </c>
      <c r="F2857">
        <v>152.4</v>
      </c>
    </row>
    <row r="2858" spans="1:6" x14ac:dyDescent="0.25">
      <c r="A2858" t="s">
        <v>1307</v>
      </c>
      <c r="B2858" t="s">
        <v>32</v>
      </c>
      <c r="C2858" t="s">
        <v>85</v>
      </c>
      <c r="D2858" t="s">
        <v>3217</v>
      </c>
      <c r="E2858">
        <v>0</v>
      </c>
      <c r="F2858">
        <v>153.52000000000001</v>
      </c>
    </row>
    <row r="2859" spans="1:6" x14ac:dyDescent="0.25">
      <c r="A2859" t="s">
        <v>1307</v>
      </c>
      <c r="B2859" t="s">
        <v>32</v>
      </c>
      <c r="C2859" t="s">
        <v>85</v>
      </c>
      <c r="D2859" t="s">
        <v>3218</v>
      </c>
      <c r="E2859">
        <v>17.98</v>
      </c>
      <c r="F2859">
        <v>153.76</v>
      </c>
    </row>
    <row r="2860" spans="1:6" x14ac:dyDescent="0.25">
      <c r="A2860" t="s">
        <v>1307</v>
      </c>
      <c r="B2860" t="s">
        <v>32</v>
      </c>
      <c r="C2860" t="s">
        <v>85</v>
      </c>
      <c r="D2860" t="s">
        <v>3219</v>
      </c>
      <c r="E2860">
        <v>37.979999999999997</v>
      </c>
      <c r="F2860">
        <v>153.46</v>
      </c>
    </row>
    <row r="2861" spans="1:6" x14ac:dyDescent="0.25">
      <c r="A2861" t="s">
        <v>1308</v>
      </c>
      <c r="B2861" t="s">
        <v>32</v>
      </c>
      <c r="C2861" t="s">
        <v>86</v>
      </c>
      <c r="D2861" t="s">
        <v>3217</v>
      </c>
      <c r="E2861">
        <v>0</v>
      </c>
      <c r="F2861">
        <v>154.08000000000001</v>
      </c>
    </row>
    <row r="2862" spans="1:6" x14ac:dyDescent="0.25">
      <c r="A2862" t="s">
        <v>1308</v>
      </c>
      <c r="B2862" t="s">
        <v>32</v>
      </c>
      <c r="C2862" t="s">
        <v>86</v>
      </c>
      <c r="D2862" t="s">
        <v>3218</v>
      </c>
      <c r="E2862">
        <v>17.98</v>
      </c>
      <c r="F2862">
        <v>153.96</v>
      </c>
    </row>
    <row r="2863" spans="1:6" x14ac:dyDescent="0.25">
      <c r="A2863" t="s">
        <v>1308</v>
      </c>
      <c r="B2863" t="s">
        <v>32</v>
      </c>
      <c r="C2863" t="s">
        <v>86</v>
      </c>
      <c r="D2863" t="s">
        <v>3219</v>
      </c>
      <c r="E2863">
        <v>35.32</v>
      </c>
      <c r="F2863">
        <v>153.85</v>
      </c>
    </row>
    <row r="2864" spans="1:6" x14ac:dyDescent="0.25">
      <c r="A2864" t="s">
        <v>1309</v>
      </c>
      <c r="B2864" t="s">
        <v>32</v>
      </c>
      <c r="C2864" t="s">
        <v>87</v>
      </c>
      <c r="D2864" t="s">
        <v>3217</v>
      </c>
      <c r="E2864">
        <v>0</v>
      </c>
      <c r="F2864">
        <v>154.02000000000001</v>
      </c>
    </row>
    <row r="2865" spans="1:6" x14ac:dyDescent="0.25">
      <c r="A2865" t="s">
        <v>1309</v>
      </c>
      <c r="B2865" t="s">
        <v>32</v>
      </c>
      <c r="C2865" t="s">
        <v>87</v>
      </c>
      <c r="D2865" t="s">
        <v>3218</v>
      </c>
      <c r="E2865">
        <v>17.98</v>
      </c>
      <c r="F2865">
        <v>154.24</v>
      </c>
    </row>
    <row r="2866" spans="1:6" x14ac:dyDescent="0.25">
      <c r="A2866" t="s">
        <v>1309</v>
      </c>
      <c r="B2866" t="s">
        <v>32</v>
      </c>
      <c r="C2866" t="s">
        <v>87</v>
      </c>
      <c r="D2866" t="s">
        <v>3219</v>
      </c>
      <c r="E2866">
        <v>37.979999999999997</v>
      </c>
      <c r="F2866">
        <v>153.94</v>
      </c>
    </row>
    <row r="2867" spans="1:6" x14ac:dyDescent="0.25">
      <c r="A2867" t="s">
        <v>1310</v>
      </c>
      <c r="B2867" t="s">
        <v>32</v>
      </c>
      <c r="C2867" t="s">
        <v>88</v>
      </c>
      <c r="D2867" t="s">
        <v>3217</v>
      </c>
      <c r="E2867">
        <v>0</v>
      </c>
      <c r="F2867">
        <v>153.97</v>
      </c>
    </row>
    <row r="2868" spans="1:6" x14ac:dyDescent="0.25">
      <c r="A2868" t="s">
        <v>1310</v>
      </c>
      <c r="B2868" t="s">
        <v>32</v>
      </c>
      <c r="C2868" t="s">
        <v>88</v>
      </c>
      <c r="D2868" t="s">
        <v>3218</v>
      </c>
      <c r="E2868">
        <v>16.739999999999998</v>
      </c>
      <c r="F2868">
        <v>154.16</v>
      </c>
    </row>
    <row r="2869" spans="1:6" x14ac:dyDescent="0.25">
      <c r="A2869" t="s">
        <v>1310</v>
      </c>
      <c r="B2869" t="s">
        <v>32</v>
      </c>
      <c r="C2869" t="s">
        <v>88</v>
      </c>
      <c r="D2869" t="s">
        <v>3219</v>
      </c>
      <c r="E2869">
        <v>36.74</v>
      </c>
      <c r="F2869">
        <v>154.47999999999999</v>
      </c>
    </row>
    <row r="2870" spans="1:6" x14ac:dyDescent="0.25">
      <c r="A2870" t="s">
        <v>1311</v>
      </c>
      <c r="B2870" t="s">
        <v>32</v>
      </c>
      <c r="C2870" t="s">
        <v>89</v>
      </c>
      <c r="D2870" t="s">
        <v>3217</v>
      </c>
      <c r="E2870">
        <v>0</v>
      </c>
      <c r="F2870">
        <v>154.19</v>
      </c>
    </row>
    <row r="2871" spans="1:6" x14ac:dyDescent="0.25">
      <c r="A2871" t="s">
        <v>1311</v>
      </c>
      <c r="B2871" t="s">
        <v>32</v>
      </c>
      <c r="C2871" t="s">
        <v>89</v>
      </c>
      <c r="D2871" t="s">
        <v>3218</v>
      </c>
      <c r="E2871">
        <v>14.54</v>
      </c>
      <c r="F2871">
        <v>154.09</v>
      </c>
    </row>
    <row r="2872" spans="1:6" x14ac:dyDescent="0.25">
      <c r="A2872" t="s">
        <v>1311</v>
      </c>
      <c r="B2872" t="s">
        <v>32</v>
      </c>
      <c r="C2872" t="s">
        <v>89</v>
      </c>
      <c r="D2872" t="s">
        <v>3219</v>
      </c>
      <c r="E2872">
        <v>31.61</v>
      </c>
      <c r="F2872">
        <v>153.62</v>
      </c>
    </row>
    <row r="2873" spans="1:6" x14ac:dyDescent="0.25">
      <c r="A2873" t="s">
        <v>1312</v>
      </c>
      <c r="B2873" t="s">
        <v>32</v>
      </c>
      <c r="C2873" t="s">
        <v>90</v>
      </c>
      <c r="D2873" t="s">
        <v>3217</v>
      </c>
      <c r="E2873">
        <v>0</v>
      </c>
      <c r="F2873">
        <v>154.27000000000001</v>
      </c>
    </row>
    <row r="2874" spans="1:6" x14ac:dyDescent="0.25">
      <c r="A2874" t="s">
        <v>1312</v>
      </c>
      <c r="B2874" t="s">
        <v>32</v>
      </c>
      <c r="C2874" t="s">
        <v>90</v>
      </c>
      <c r="D2874" t="s">
        <v>3218</v>
      </c>
      <c r="E2874">
        <v>13.56</v>
      </c>
      <c r="F2874">
        <v>154.06</v>
      </c>
    </row>
    <row r="2875" spans="1:6" x14ac:dyDescent="0.25">
      <c r="A2875" t="s">
        <v>1312</v>
      </c>
      <c r="B2875" t="s">
        <v>32</v>
      </c>
      <c r="C2875" t="s">
        <v>90</v>
      </c>
      <c r="D2875" t="s">
        <v>3219</v>
      </c>
      <c r="E2875">
        <v>29.69</v>
      </c>
      <c r="F2875">
        <v>153.77000000000001</v>
      </c>
    </row>
    <row r="2876" spans="1:6" x14ac:dyDescent="0.25">
      <c r="A2876" t="s">
        <v>1313</v>
      </c>
      <c r="B2876" t="s">
        <v>32</v>
      </c>
      <c r="C2876" t="s">
        <v>91</v>
      </c>
      <c r="D2876" t="s">
        <v>3217</v>
      </c>
      <c r="E2876">
        <v>0</v>
      </c>
      <c r="F2876">
        <v>154.41999999999999</v>
      </c>
    </row>
    <row r="2877" spans="1:6" x14ac:dyDescent="0.25">
      <c r="A2877" t="s">
        <v>1313</v>
      </c>
      <c r="B2877" t="s">
        <v>32</v>
      </c>
      <c r="C2877" t="s">
        <v>91</v>
      </c>
      <c r="D2877" t="s">
        <v>3218</v>
      </c>
      <c r="E2877">
        <v>14.72</v>
      </c>
      <c r="F2877">
        <v>154.04</v>
      </c>
    </row>
    <row r="2878" spans="1:6" x14ac:dyDescent="0.25">
      <c r="A2878" t="s">
        <v>1313</v>
      </c>
      <c r="B2878" t="s">
        <v>32</v>
      </c>
      <c r="C2878" t="s">
        <v>91</v>
      </c>
      <c r="D2878" t="s">
        <v>3219</v>
      </c>
      <c r="E2878">
        <v>31.79</v>
      </c>
      <c r="F2878">
        <v>153.9</v>
      </c>
    </row>
    <row r="2879" spans="1:6" x14ac:dyDescent="0.25">
      <c r="A2879" t="s">
        <v>1314</v>
      </c>
      <c r="B2879" t="s">
        <v>32</v>
      </c>
      <c r="C2879" t="s">
        <v>92</v>
      </c>
      <c r="D2879" t="s">
        <v>3217</v>
      </c>
      <c r="E2879">
        <v>0</v>
      </c>
      <c r="F2879">
        <v>154.52000000000001</v>
      </c>
    </row>
    <row r="2880" spans="1:6" x14ac:dyDescent="0.25">
      <c r="A2880" t="s">
        <v>1314</v>
      </c>
      <c r="B2880" t="s">
        <v>32</v>
      </c>
      <c r="C2880" t="s">
        <v>92</v>
      </c>
      <c r="D2880" t="s">
        <v>3218</v>
      </c>
      <c r="E2880">
        <v>16.77</v>
      </c>
      <c r="F2880">
        <v>154.28</v>
      </c>
    </row>
    <row r="2881" spans="1:6" x14ac:dyDescent="0.25">
      <c r="A2881" t="s">
        <v>1314</v>
      </c>
      <c r="B2881" t="s">
        <v>32</v>
      </c>
      <c r="C2881" t="s">
        <v>92</v>
      </c>
      <c r="D2881" t="s">
        <v>3219</v>
      </c>
      <c r="E2881">
        <v>32.479999999999997</v>
      </c>
      <c r="F2881">
        <v>154.09</v>
      </c>
    </row>
    <row r="2882" spans="1:6" x14ac:dyDescent="0.25">
      <c r="A2882" t="s">
        <v>1315</v>
      </c>
      <c r="B2882" t="s">
        <v>32</v>
      </c>
      <c r="C2882" t="s">
        <v>93</v>
      </c>
      <c r="D2882" t="s">
        <v>3217</v>
      </c>
      <c r="E2882">
        <v>0</v>
      </c>
      <c r="F2882">
        <v>154.6</v>
      </c>
    </row>
    <row r="2883" spans="1:6" x14ac:dyDescent="0.25">
      <c r="A2883" t="s">
        <v>1315</v>
      </c>
      <c r="B2883" t="s">
        <v>32</v>
      </c>
      <c r="C2883" t="s">
        <v>93</v>
      </c>
      <c r="D2883" t="s">
        <v>3218</v>
      </c>
      <c r="E2883">
        <v>16.77</v>
      </c>
      <c r="F2883">
        <v>154.27000000000001</v>
      </c>
    </row>
    <row r="2884" spans="1:6" x14ac:dyDescent="0.25">
      <c r="A2884" t="s">
        <v>1315</v>
      </c>
      <c r="B2884" t="s">
        <v>32</v>
      </c>
      <c r="C2884" t="s">
        <v>93</v>
      </c>
      <c r="D2884" t="s">
        <v>3219</v>
      </c>
      <c r="E2884">
        <v>30.19</v>
      </c>
      <c r="F2884">
        <v>153.9</v>
      </c>
    </row>
    <row r="2885" spans="1:6" x14ac:dyDescent="0.25">
      <c r="A2885" t="s">
        <v>1316</v>
      </c>
      <c r="B2885" t="s">
        <v>32</v>
      </c>
      <c r="C2885" t="s">
        <v>94</v>
      </c>
      <c r="D2885" t="s">
        <v>3217</v>
      </c>
      <c r="E2885">
        <v>0</v>
      </c>
      <c r="F2885">
        <v>154.76</v>
      </c>
    </row>
    <row r="2886" spans="1:6" x14ac:dyDescent="0.25">
      <c r="A2886" t="s">
        <v>1316</v>
      </c>
      <c r="B2886" t="s">
        <v>32</v>
      </c>
      <c r="C2886" t="s">
        <v>94</v>
      </c>
      <c r="D2886" t="s">
        <v>3218</v>
      </c>
      <c r="E2886">
        <v>16.77</v>
      </c>
      <c r="F2886">
        <v>154.19</v>
      </c>
    </row>
    <row r="2887" spans="1:6" x14ac:dyDescent="0.25">
      <c r="A2887" t="s">
        <v>1316</v>
      </c>
      <c r="B2887" t="s">
        <v>32</v>
      </c>
      <c r="C2887" t="s">
        <v>94</v>
      </c>
      <c r="D2887" t="s">
        <v>3219</v>
      </c>
      <c r="E2887">
        <v>30.7</v>
      </c>
      <c r="F2887">
        <v>153.57</v>
      </c>
    </row>
    <row r="2888" spans="1:6" x14ac:dyDescent="0.25">
      <c r="A2888" t="s">
        <v>1317</v>
      </c>
      <c r="B2888" t="s">
        <v>32</v>
      </c>
      <c r="C2888" t="s">
        <v>95</v>
      </c>
      <c r="D2888" t="s">
        <v>3217</v>
      </c>
      <c r="E2888">
        <v>0</v>
      </c>
      <c r="F2888">
        <v>154.55000000000001</v>
      </c>
    </row>
    <row r="2889" spans="1:6" x14ac:dyDescent="0.25">
      <c r="A2889" t="s">
        <v>1317</v>
      </c>
      <c r="B2889" t="s">
        <v>32</v>
      </c>
      <c r="C2889" t="s">
        <v>95</v>
      </c>
      <c r="D2889" t="s">
        <v>3218</v>
      </c>
      <c r="E2889">
        <v>15.63</v>
      </c>
      <c r="F2889">
        <v>154.32</v>
      </c>
    </row>
    <row r="2890" spans="1:6" x14ac:dyDescent="0.25">
      <c r="A2890" t="s">
        <v>1317</v>
      </c>
      <c r="B2890" t="s">
        <v>32</v>
      </c>
      <c r="C2890" t="s">
        <v>95</v>
      </c>
      <c r="D2890" t="s">
        <v>3219</v>
      </c>
      <c r="E2890">
        <v>30.21</v>
      </c>
      <c r="F2890">
        <v>153.46</v>
      </c>
    </row>
    <row r="2891" spans="1:6" x14ac:dyDescent="0.25">
      <c r="A2891" t="s">
        <v>1318</v>
      </c>
      <c r="B2891" t="s">
        <v>32</v>
      </c>
      <c r="C2891" t="s">
        <v>96</v>
      </c>
      <c r="D2891" t="s">
        <v>3217</v>
      </c>
      <c r="E2891">
        <v>0</v>
      </c>
      <c r="F2891">
        <v>154.47</v>
      </c>
    </row>
    <row r="2892" spans="1:6" x14ac:dyDescent="0.25">
      <c r="A2892" t="s">
        <v>1318</v>
      </c>
      <c r="B2892" t="s">
        <v>32</v>
      </c>
      <c r="C2892" t="s">
        <v>96</v>
      </c>
      <c r="D2892" t="s">
        <v>3218</v>
      </c>
      <c r="E2892">
        <v>15.63</v>
      </c>
      <c r="F2892">
        <v>153.84</v>
      </c>
    </row>
    <row r="2893" spans="1:6" x14ac:dyDescent="0.25">
      <c r="A2893" t="s">
        <v>1318</v>
      </c>
      <c r="B2893" t="s">
        <v>32</v>
      </c>
      <c r="C2893" t="s">
        <v>96</v>
      </c>
      <c r="D2893" t="s">
        <v>3219</v>
      </c>
      <c r="E2893">
        <v>31.21</v>
      </c>
      <c r="F2893">
        <v>153.27000000000001</v>
      </c>
    </row>
    <row r="2894" spans="1:6" x14ac:dyDescent="0.25">
      <c r="A2894" t="s">
        <v>1319</v>
      </c>
      <c r="B2894" t="s">
        <v>32</v>
      </c>
      <c r="C2894" t="s">
        <v>97</v>
      </c>
      <c r="D2894" t="s">
        <v>3217</v>
      </c>
      <c r="E2894">
        <v>0</v>
      </c>
      <c r="F2894">
        <v>154.33000000000001</v>
      </c>
    </row>
    <row r="2895" spans="1:6" x14ac:dyDescent="0.25">
      <c r="A2895" t="s">
        <v>1319</v>
      </c>
      <c r="B2895" t="s">
        <v>32</v>
      </c>
      <c r="C2895" t="s">
        <v>97</v>
      </c>
      <c r="D2895" t="s">
        <v>3218</v>
      </c>
      <c r="E2895">
        <v>15.63</v>
      </c>
      <c r="F2895">
        <v>153.65</v>
      </c>
    </row>
    <row r="2896" spans="1:6" x14ac:dyDescent="0.25">
      <c r="A2896" t="s">
        <v>1319</v>
      </c>
      <c r="B2896" t="s">
        <v>32</v>
      </c>
      <c r="C2896" t="s">
        <v>97</v>
      </c>
      <c r="D2896" t="s">
        <v>3219</v>
      </c>
      <c r="E2896">
        <v>32.76</v>
      </c>
      <c r="F2896">
        <v>153.24</v>
      </c>
    </row>
    <row r="2897" spans="1:6" x14ac:dyDescent="0.25">
      <c r="A2897" t="s">
        <v>1320</v>
      </c>
      <c r="B2897" t="s">
        <v>32</v>
      </c>
      <c r="C2897" t="s">
        <v>98</v>
      </c>
      <c r="D2897" t="s">
        <v>3217</v>
      </c>
      <c r="E2897">
        <v>0</v>
      </c>
      <c r="F2897">
        <v>154.38999999999999</v>
      </c>
    </row>
    <row r="2898" spans="1:6" x14ac:dyDescent="0.25">
      <c r="A2898" t="s">
        <v>1320</v>
      </c>
      <c r="B2898" t="s">
        <v>32</v>
      </c>
      <c r="C2898" t="s">
        <v>98</v>
      </c>
      <c r="D2898" t="s">
        <v>3218</v>
      </c>
      <c r="E2898">
        <v>15.68</v>
      </c>
      <c r="F2898">
        <v>154.08000000000001</v>
      </c>
    </row>
    <row r="2899" spans="1:6" x14ac:dyDescent="0.25">
      <c r="A2899" t="s">
        <v>1320</v>
      </c>
      <c r="B2899" t="s">
        <v>32</v>
      </c>
      <c r="C2899" t="s">
        <v>98</v>
      </c>
      <c r="D2899" t="s">
        <v>3219</v>
      </c>
      <c r="E2899">
        <v>31.43</v>
      </c>
      <c r="F2899">
        <v>153.43</v>
      </c>
    </row>
    <row r="2900" spans="1:6" x14ac:dyDescent="0.25">
      <c r="A2900" t="s">
        <v>1321</v>
      </c>
      <c r="B2900" t="s">
        <v>32</v>
      </c>
      <c r="C2900" t="s">
        <v>99</v>
      </c>
      <c r="D2900" t="s">
        <v>3217</v>
      </c>
      <c r="E2900">
        <v>0</v>
      </c>
      <c r="F2900">
        <v>154.5</v>
      </c>
    </row>
    <row r="2901" spans="1:6" x14ac:dyDescent="0.25">
      <c r="A2901" t="s">
        <v>1321</v>
      </c>
      <c r="B2901" t="s">
        <v>32</v>
      </c>
      <c r="C2901" t="s">
        <v>99</v>
      </c>
      <c r="D2901" t="s">
        <v>3218</v>
      </c>
      <c r="E2901">
        <v>17.09</v>
      </c>
      <c r="F2901">
        <v>154.16999999999999</v>
      </c>
    </row>
    <row r="2902" spans="1:6" x14ac:dyDescent="0.25">
      <c r="A2902" t="s">
        <v>1321</v>
      </c>
      <c r="B2902" t="s">
        <v>32</v>
      </c>
      <c r="C2902" t="s">
        <v>99</v>
      </c>
      <c r="D2902" t="s">
        <v>3219</v>
      </c>
      <c r="E2902">
        <v>32.840000000000003</v>
      </c>
      <c r="F2902">
        <v>153.53</v>
      </c>
    </row>
    <row r="2903" spans="1:6" x14ac:dyDescent="0.25">
      <c r="A2903" t="s">
        <v>1322</v>
      </c>
      <c r="B2903" t="s">
        <v>32</v>
      </c>
      <c r="C2903" t="s">
        <v>100</v>
      </c>
      <c r="D2903" t="s">
        <v>3217</v>
      </c>
      <c r="E2903">
        <v>0</v>
      </c>
      <c r="F2903">
        <v>154.6</v>
      </c>
    </row>
    <row r="2904" spans="1:6" x14ac:dyDescent="0.25">
      <c r="A2904" t="s">
        <v>1322</v>
      </c>
      <c r="B2904" t="s">
        <v>32</v>
      </c>
      <c r="C2904" t="s">
        <v>100</v>
      </c>
      <c r="D2904" t="s">
        <v>3218</v>
      </c>
      <c r="E2904">
        <v>16.36</v>
      </c>
      <c r="F2904">
        <v>154.28</v>
      </c>
    </row>
    <row r="2905" spans="1:6" x14ac:dyDescent="0.25">
      <c r="A2905" t="s">
        <v>1322</v>
      </c>
      <c r="B2905" t="s">
        <v>32</v>
      </c>
      <c r="C2905" t="s">
        <v>100</v>
      </c>
      <c r="D2905" t="s">
        <v>3219</v>
      </c>
      <c r="E2905">
        <v>31.16</v>
      </c>
      <c r="F2905">
        <v>153.57</v>
      </c>
    </row>
    <row r="2906" spans="1:6" x14ac:dyDescent="0.25">
      <c r="A2906" t="s">
        <v>1323</v>
      </c>
      <c r="B2906" t="s">
        <v>32</v>
      </c>
      <c r="C2906" t="s">
        <v>101</v>
      </c>
      <c r="D2906" t="s">
        <v>3217</v>
      </c>
      <c r="E2906">
        <v>0</v>
      </c>
      <c r="F2906">
        <v>154.41</v>
      </c>
    </row>
    <row r="2907" spans="1:6" x14ac:dyDescent="0.25">
      <c r="A2907" t="s">
        <v>1323</v>
      </c>
      <c r="B2907" t="s">
        <v>32</v>
      </c>
      <c r="C2907" t="s">
        <v>101</v>
      </c>
      <c r="D2907" t="s">
        <v>3218</v>
      </c>
      <c r="E2907">
        <v>16.53</v>
      </c>
      <c r="F2907">
        <v>153.85</v>
      </c>
    </row>
    <row r="2908" spans="1:6" x14ac:dyDescent="0.25">
      <c r="A2908" t="s">
        <v>1323</v>
      </c>
      <c r="B2908" t="s">
        <v>32</v>
      </c>
      <c r="C2908" t="s">
        <v>101</v>
      </c>
      <c r="D2908" t="s">
        <v>3219</v>
      </c>
      <c r="E2908">
        <v>32.479999999999997</v>
      </c>
      <c r="F2908">
        <v>153.49</v>
      </c>
    </row>
    <row r="2909" spans="1:6" x14ac:dyDescent="0.25">
      <c r="A2909" t="s">
        <v>1324</v>
      </c>
      <c r="B2909" t="s">
        <v>32</v>
      </c>
      <c r="C2909" t="s">
        <v>102</v>
      </c>
      <c r="D2909" t="s">
        <v>3217</v>
      </c>
      <c r="E2909">
        <v>0</v>
      </c>
      <c r="F2909">
        <v>154.44</v>
      </c>
    </row>
    <row r="2910" spans="1:6" x14ac:dyDescent="0.25">
      <c r="A2910" t="s">
        <v>1324</v>
      </c>
      <c r="B2910" t="s">
        <v>32</v>
      </c>
      <c r="C2910" t="s">
        <v>102</v>
      </c>
      <c r="D2910" t="s">
        <v>3218</v>
      </c>
      <c r="E2910">
        <v>16.309999999999999</v>
      </c>
      <c r="F2910">
        <v>153.96</v>
      </c>
    </row>
    <row r="2911" spans="1:6" x14ac:dyDescent="0.25">
      <c r="A2911" t="s">
        <v>1324</v>
      </c>
      <c r="B2911" t="s">
        <v>32</v>
      </c>
      <c r="C2911" t="s">
        <v>102</v>
      </c>
      <c r="D2911" t="s">
        <v>3219</v>
      </c>
      <c r="E2911">
        <v>36.31</v>
      </c>
      <c r="F2911">
        <v>153.82</v>
      </c>
    </row>
    <row r="2912" spans="1:6" x14ac:dyDescent="0.25">
      <c r="A2912" t="s">
        <v>1325</v>
      </c>
      <c r="B2912" t="s">
        <v>32</v>
      </c>
      <c r="C2912" t="s">
        <v>103</v>
      </c>
      <c r="D2912" t="s">
        <v>3217</v>
      </c>
      <c r="E2912">
        <v>0</v>
      </c>
      <c r="F2912">
        <v>154.26</v>
      </c>
    </row>
    <row r="2913" spans="1:6" x14ac:dyDescent="0.25">
      <c r="A2913" t="s">
        <v>1325</v>
      </c>
      <c r="B2913" t="s">
        <v>32</v>
      </c>
      <c r="C2913" t="s">
        <v>103</v>
      </c>
      <c r="D2913" t="s">
        <v>3218</v>
      </c>
      <c r="E2913">
        <v>15.95</v>
      </c>
      <c r="F2913">
        <v>153.69999999999999</v>
      </c>
    </row>
    <row r="2914" spans="1:6" x14ac:dyDescent="0.25">
      <c r="A2914" t="s">
        <v>1325</v>
      </c>
      <c r="B2914" t="s">
        <v>32</v>
      </c>
      <c r="C2914" t="s">
        <v>103</v>
      </c>
      <c r="D2914" t="s">
        <v>3219</v>
      </c>
      <c r="E2914">
        <v>35.950000000000003</v>
      </c>
      <c r="F2914">
        <v>153.13999999999999</v>
      </c>
    </row>
    <row r="2915" spans="1:6" x14ac:dyDescent="0.25">
      <c r="A2915" t="s">
        <v>1326</v>
      </c>
      <c r="B2915" t="s">
        <v>32</v>
      </c>
      <c r="C2915" t="s">
        <v>104</v>
      </c>
      <c r="D2915" t="s">
        <v>3217</v>
      </c>
      <c r="E2915">
        <v>0</v>
      </c>
      <c r="F2915">
        <v>154.15</v>
      </c>
    </row>
    <row r="2916" spans="1:6" x14ac:dyDescent="0.25">
      <c r="A2916" t="s">
        <v>1326</v>
      </c>
      <c r="B2916" t="s">
        <v>32</v>
      </c>
      <c r="C2916" t="s">
        <v>104</v>
      </c>
      <c r="D2916" t="s">
        <v>3218</v>
      </c>
      <c r="E2916">
        <v>16.03</v>
      </c>
      <c r="F2916">
        <v>153.69999999999999</v>
      </c>
    </row>
    <row r="2917" spans="1:6" x14ac:dyDescent="0.25">
      <c r="A2917" t="s">
        <v>1326</v>
      </c>
      <c r="B2917" t="s">
        <v>32</v>
      </c>
      <c r="C2917" t="s">
        <v>104</v>
      </c>
      <c r="D2917" t="s">
        <v>3219</v>
      </c>
      <c r="E2917">
        <v>36.03</v>
      </c>
      <c r="F2917">
        <v>153.16999999999999</v>
      </c>
    </row>
    <row r="2918" spans="1:6" x14ac:dyDescent="0.25">
      <c r="A2918" t="s">
        <v>1327</v>
      </c>
      <c r="B2918" t="s">
        <v>32</v>
      </c>
      <c r="C2918" t="s">
        <v>105</v>
      </c>
      <c r="D2918" t="s">
        <v>3217</v>
      </c>
      <c r="E2918">
        <v>0</v>
      </c>
      <c r="F2918">
        <v>153.97</v>
      </c>
    </row>
    <row r="2919" spans="1:6" x14ac:dyDescent="0.25">
      <c r="A2919" t="s">
        <v>1327</v>
      </c>
      <c r="B2919" t="s">
        <v>32</v>
      </c>
      <c r="C2919" t="s">
        <v>105</v>
      </c>
      <c r="D2919" t="s">
        <v>3218</v>
      </c>
      <c r="E2919">
        <v>15.65</v>
      </c>
      <c r="F2919">
        <v>153.38999999999999</v>
      </c>
    </row>
    <row r="2920" spans="1:6" x14ac:dyDescent="0.25">
      <c r="A2920" t="s">
        <v>1327</v>
      </c>
      <c r="B2920" t="s">
        <v>32</v>
      </c>
      <c r="C2920" t="s">
        <v>105</v>
      </c>
      <c r="D2920" t="s">
        <v>3219</v>
      </c>
      <c r="E2920">
        <v>30.2</v>
      </c>
      <c r="F2920">
        <v>152.69999999999999</v>
      </c>
    </row>
    <row r="2921" spans="1:6" x14ac:dyDescent="0.25">
      <c r="A2921" t="s">
        <v>1328</v>
      </c>
      <c r="B2921" t="s">
        <v>32</v>
      </c>
      <c r="C2921" t="s">
        <v>106</v>
      </c>
      <c r="D2921" t="s">
        <v>3217</v>
      </c>
      <c r="E2921">
        <v>0</v>
      </c>
      <c r="F2921">
        <v>153.83000000000001</v>
      </c>
    </row>
    <row r="2922" spans="1:6" x14ac:dyDescent="0.25">
      <c r="A2922" t="s">
        <v>1328</v>
      </c>
      <c r="B2922" t="s">
        <v>32</v>
      </c>
      <c r="C2922" t="s">
        <v>106</v>
      </c>
      <c r="D2922" t="s">
        <v>3218</v>
      </c>
      <c r="E2922">
        <v>16.010000000000002</v>
      </c>
      <c r="F2922">
        <v>153.38</v>
      </c>
    </row>
    <row r="2923" spans="1:6" x14ac:dyDescent="0.25">
      <c r="A2923" t="s">
        <v>1328</v>
      </c>
      <c r="B2923" t="s">
        <v>32</v>
      </c>
      <c r="C2923" t="s">
        <v>106</v>
      </c>
      <c r="D2923" t="s">
        <v>3219</v>
      </c>
      <c r="E2923">
        <v>30.55</v>
      </c>
      <c r="F2923">
        <v>152.72</v>
      </c>
    </row>
    <row r="2924" spans="1:6" x14ac:dyDescent="0.25">
      <c r="A2924" t="s">
        <v>1329</v>
      </c>
      <c r="B2924" t="s">
        <v>32</v>
      </c>
      <c r="C2924" t="s">
        <v>108</v>
      </c>
      <c r="D2924" t="s">
        <v>3217</v>
      </c>
      <c r="E2924">
        <v>0</v>
      </c>
      <c r="F2924">
        <v>153.63</v>
      </c>
    </row>
    <row r="2925" spans="1:6" x14ac:dyDescent="0.25">
      <c r="A2925" t="s">
        <v>1329</v>
      </c>
      <c r="B2925" t="s">
        <v>32</v>
      </c>
      <c r="C2925" t="s">
        <v>108</v>
      </c>
      <c r="D2925" t="s">
        <v>3218</v>
      </c>
      <c r="E2925">
        <v>15.27</v>
      </c>
      <c r="F2925">
        <v>153.33000000000001</v>
      </c>
    </row>
    <row r="2926" spans="1:6" x14ac:dyDescent="0.25">
      <c r="A2926" t="s">
        <v>1329</v>
      </c>
      <c r="B2926" t="s">
        <v>32</v>
      </c>
      <c r="C2926" t="s">
        <v>108</v>
      </c>
      <c r="D2926" t="s">
        <v>3219</v>
      </c>
      <c r="E2926">
        <v>29.93</v>
      </c>
      <c r="F2926">
        <v>152.44</v>
      </c>
    </row>
    <row r="2927" spans="1:6" x14ac:dyDescent="0.25">
      <c r="A2927" t="s">
        <v>1330</v>
      </c>
      <c r="B2927" t="s">
        <v>32</v>
      </c>
      <c r="C2927" t="s">
        <v>109</v>
      </c>
      <c r="D2927" t="s">
        <v>3217</v>
      </c>
      <c r="E2927">
        <v>0</v>
      </c>
      <c r="F2927">
        <v>153.54</v>
      </c>
    </row>
    <row r="2928" spans="1:6" x14ac:dyDescent="0.25">
      <c r="A2928" t="s">
        <v>1330</v>
      </c>
      <c r="B2928" t="s">
        <v>32</v>
      </c>
      <c r="C2928" t="s">
        <v>109</v>
      </c>
      <c r="D2928" t="s">
        <v>3218</v>
      </c>
      <c r="E2928">
        <v>14.79</v>
      </c>
      <c r="F2928">
        <v>153.16999999999999</v>
      </c>
    </row>
    <row r="2929" spans="1:6" x14ac:dyDescent="0.25">
      <c r="A2929" t="s">
        <v>1330</v>
      </c>
      <c r="B2929" t="s">
        <v>32</v>
      </c>
      <c r="C2929" t="s">
        <v>109</v>
      </c>
      <c r="D2929" t="s">
        <v>3219</v>
      </c>
      <c r="E2929">
        <v>29.75</v>
      </c>
      <c r="F2929">
        <v>152.22</v>
      </c>
    </row>
    <row r="2930" spans="1:6" x14ac:dyDescent="0.25">
      <c r="A2930" t="s">
        <v>1331</v>
      </c>
      <c r="B2930" t="s">
        <v>32</v>
      </c>
      <c r="C2930" t="s">
        <v>110</v>
      </c>
      <c r="D2930" t="s">
        <v>3217</v>
      </c>
      <c r="E2930">
        <v>0</v>
      </c>
      <c r="F2930">
        <v>153.30000000000001</v>
      </c>
    </row>
    <row r="2931" spans="1:6" x14ac:dyDescent="0.25">
      <c r="A2931" t="s">
        <v>1331</v>
      </c>
      <c r="B2931" t="s">
        <v>32</v>
      </c>
      <c r="C2931" t="s">
        <v>110</v>
      </c>
      <c r="D2931" t="s">
        <v>3218</v>
      </c>
      <c r="E2931">
        <v>15.24</v>
      </c>
      <c r="F2931">
        <v>153.03</v>
      </c>
    </row>
    <row r="2932" spans="1:6" x14ac:dyDescent="0.25">
      <c r="A2932" t="s">
        <v>1331</v>
      </c>
      <c r="B2932" t="s">
        <v>32</v>
      </c>
      <c r="C2932" t="s">
        <v>110</v>
      </c>
      <c r="D2932" t="s">
        <v>3219</v>
      </c>
      <c r="E2932">
        <v>31.73</v>
      </c>
      <c r="F2932">
        <v>152.18</v>
      </c>
    </row>
    <row r="2933" spans="1:6" x14ac:dyDescent="0.25">
      <c r="A2933" t="s">
        <v>1332</v>
      </c>
      <c r="B2933" t="s">
        <v>32</v>
      </c>
      <c r="C2933" t="s">
        <v>111</v>
      </c>
      <c r="D2933" t="s">
        <v>3217</v>
      </c>
      <c r="E2933">
        <v>0</v>
      </c>
      <c r="F2933">
        <v>153.04</v>
      </c>
    </row>
    <row r="2934" spans="1:6" x14ac:dyDescent="0.25">
      <c r="A2934" t="s">
        <v>1332</v>
      </c>
      <c r="B2934" t="s">
        <v>32</v>
      </c>
      <c r="C2934" t="s">
        <v>111</v>
      </c>
      <c r="D2934" t="s">
        <v>3218</v>
      </c>
      <c r="E2934">
        <v>15.48</v>
      </c>
      <c r="F2934">
        <v>152.88999999999999</v>
      </c>
    </row>
    <row r="2935" spans="1:6" x14ac:dyDescent="0.25">
      <c r="A2935" t="s">
        <v>1332</v>
      </c>
      <c r="B2935" t="s">
        <v>32</v>
      </c>
      <c r="C2935" t="s">
        <v>111</v>
      </c>
      <c r="D2935" t="s">
        <v>3219</v>
      </c>
      <c r="E2935">
        <v>31.97</v>
      </c>
      <c r="F2935">
        <v>152.02000000000001</v>
      </c>
    </row>
    <row r="2936" spans="1:6" x14ac:dyDescent="0.25">
      <c r="A2936" t="s">
        <v>1333</v>
      </c>
      <c r="B2936" t="s">
        <v>32</v>
      </c>
      <c r="C2936" t="s">
        <v>112</v>
      </c>
      <c r="D2936" t="s">
        <v>3217</v>
      </c>
      <c r="E2936">
        <v>0</v>
      </c>
      <c r="F2936">
        <v>152.97</v>
      </c>
    </row>
    <row r="2937" spans="1:6" x14ac:dyDescent="0.25">
      <c r="A2937" t="s">
        <v>1333</v>
      </c>
      <c r="B2937" t="s">
        <v>32</v>
      </c>
      <c r="C2937" t="s">
        <v>112</v>
      </c>
      <c r="D2937" t="s">
        <v>3218</v>
      </c>
      <c r="E2937">
        <v>15.64</v>
      </c>
      <c r="F2937">
        <v>152.66999999999999</v>
      </c>
    </row>
    <row r="2938" spans="1:6" x14ac:dyDescent="0.25">
      <c r="A2938" t="s">
        <v>1333</v>
      </c>
      <c r="B2938" t="s">
        <v>32</v>
      </c>
      <c r="C2938" t="s">
        <v>112</v>
      </c>
      <c r="D2938" t="s">
        <v>3219</v>
      </c>
      <c r="E2938">
        <v>32.520000000000003</v>
      </c>
      <c r="F2938">
        <v>151.83000000000001</v>
      </c>
    </row>
    <row r="2939" spans="1:6" x14ac:dyDescent="0.25">
      <c r="A2939" t="s">
        <v>1334</v>
      </c>
      <c r="B2939" t="s">
        <v>32</v>
      </c>
      <c r="C2939" t="s">
        <v>113</v>
      </c>
      <c r="D2939" t="s">
        <v>3217</v>
      </c>
      <c r="E2939">
        <v>0</v>
      </c>
      <c r="F2939">
        <v>152.91999999999999</v>
      </c>
    </row>
    <row r="2940" spans="1:6" x14ac:dyDescent="0.25">
      <c r="A2940" t="s">
        <v>1334</v>
      </c>
      <c r="B2940" t="s">
        <v>32</v>
      </c>
      <c r="C2940" t="s">
        <v>113</v>
      </c>
      <c r="D2940" t="s">
        <v>3218</v>
      </c>
      <c r="E2940">
        <v>16.260000000000002</v>
      </c>
      <c r="F2940">
        <v>152.55000000000001</v>
      </c>
    </row>
    <row r="2941" spans="1:6" x14ac:dyDescent="0.25">
      <c r="A2941" t="s">
        <v>1334</v>
      </c>
      <c r="B2941" t="s">
        <v>32</v>
      </c>
      <c r="C2941" t="s">
        <v>113</v>
      </c>
      <c r="D2941" t="s">
        <v>3219</v>
      </c>
      <c r="E2941">
        <v>32.93</v>
      </c>
      <c r="F2941">
        <v>151.75</v>
      </c>
    </row>
    <row r="2942" spans="1:6" x14ac:dyDescent="0.25">
      <c r="A2942" t="s">
        <v>1335</v>
      </c>
      <c r="B2942" t="s">
        <v>32</v>
      </c>
      <c r="C2942" t="s">
        <v>114</v>
      </c>
      <c r="D2942" t="s">
        <v>3217</v>
      </c>
      <c r="E2942">
        <v>0</v>
      </c>
      <c r="F2942">
        <v>152.88</v>
      </c>
    </row>
    <row r="2943" spans="1:6" x14ac:dyDescent="0.25">
      <c r="A2943" t="s">
        <v>1335</v>
      </c>
      <c r="B2943" t="s">
        <v>32</v>
      </c>
      <c r="C2943" t="s">
        <v>114</v>
      </c>
      <c r="D2943" t="s">
        <v>3218</v>
      </c>
      <c r="E2943">
        <v>15.96</v>
      </c>
      <c r="F2943">
        <v>152.62</v>
      </c>
    </row>
    <row r="2944" spans="1:6" x14ac:dyDescent="0.25">
      <c r="A2944" t="s">
        <v>1335</v>
      </c>
      <c r="B2944" t="s">
        <v>32</v>
      </c>
      <c r="C2944" t="s">
        <v>114</v>
      </c>
      <c r="D2944" t="s">
        <v>3219</v>
      </c>
      <c r="E2944">
        <v>32.409999999999997</v>
      </c>
      <c r="F2944">
        <v>151.84</v>
      </c>
    </row>
    <row r="2945" spans="1:6" x14ac:dyDescent="0.25">
      <c r="A2945" t="s">
        <v>1336</v>
      </c>
      <c r="B2945" t="s">
        <v>32</v>
      </c>
      <c r="C2945" t="s">
        <v>115</v>
      </c>
      <c r="D2945" t="s">
        <v>3217</v>
      </c>
      <c r="E2945">
        <v>0</v>
      </c>
      <c r="F2945">
        <v>152.85</v>
      </c>
    </row>
    <row r="2946" spans="1:6" x14ac:dyDescent="0.25">
      <c r="A2946" t="s">
        <v>1336</v>
      </c>
      <c r="B2946" t="s">
        <v>32</v>
      </c>
      <c r="C2946" t="s">
        <v>115</v>
      </c>
      <c r="D2946" t="s">
        <v>3218</v>
      </c>
      <c r="E2946">
        <v>16.48</v>
      </c>
      <c r="F2946">
        <v>152.63999999999999</v>
      </c>
    </row>
    <row r="2947" spans="1:6" x14ac:dyDescent="0.25">
      <c r="A2947" t="s">
        <v>1336</v>
      </c>
      <c r="B2947" t="s">
        <v>32</v>
      </c>
      <c r="C2947" t="s">
        <v>115</v>
      </c>
      <c r="D2947" t="s">
        <v>3219</v>
      </c>
      <c r="E2947">
        <v>32.340000000000003</v>
      </c>
      <c r="F2947">
        <v>151.91999999999999</v>
      </c>
    </row>
    <row r="2948" spans="1:6" x14ac:dyDescent="0.25">
      <c r="A2948" t="s">
        <v>1337</v>
      </c>
      <c r="B2948" t="s">
        <v>32</v>
      </c>
      <c r="C2948" t="s">
        <v>116</v>
      </c>
      <c r="D2948" t="s">
        <v>3217</v>
      </c>
      <c r="E2948">
        <v>0</v>
      </c>
      <c r="F2948">
        <v>152.72</v>
      </c>
    </row>
    <row r="2949" spans="1:6" x14ac:dyDescent="0.25">
      <c r="A2949" t="s">
        <v>1337</v>
      </c>
      <c r="B2949" t="s">
        <v>32</v>
      </c>
      <c r="C2949" t="s">
        <v>116</v>
      </c>
      <c r="D2949" t="s">
        <v>3218</v>
      </c>
      <c r="E2949">
        <v>16.78</v>
      </c>
      <c r="F2949">
        <v>152.57</v>
      </c>
    </row>
    <row r="2950" spans="1:6" x14ac:dyDescent="0.25">
      <c r="A2950" t="s">
        <v>1337</v>
      </c>
      <c r="B2950" t="s">
        <v>32</v>
      </c>
      <c r="C2950" t="s">
        <v>116</v>
      </c>
      <c r="D2950" t="s">
        <v>3219</v>
      </c>
      <c r="E2950">
        <v>32.64</v>
      </c>
      <c r="F2950">
        <v>151.97</v>
      </c>
    </row>
    <row r="2951" spans="1:6" x14ac:dyDescent="0.25">
      <c r="A2951" t="s">
        <v>1338</v>
      </c>
      <c r="B2951" t="s">
        <v>32</v>
      </c>
      <c r="C2951" t="s">
        <v>117</v>
      </c>
      <c r="D2951" t="s">
        <v>3217</v>
      </c>
      <c r="E2951">
        <v>0</v>
      </c>
      <c r="F2951">
        <v>152.68</v>
      </c>
    </row>
    <row r="2952" spans="1:6" x14ac:dyDescent="0.25">
      <c r="A2952" t="s">
        <v>1338</v>
      </c>
      <c r="B2952" t="s">
        <v>32</v>
      </c>
      <c r="C2952" t="s">
        <v>117</v>
      </c>
      <c r="D2952" t="s">
        <v>3218</v>
      </c>
      <c r="E2952">
        <v>17.559999999999999</v>
      </c>
      <c r="F2952">
        <v>152.41</v>
      </c>
    </row>
    <row r="2953" spans="1:6" x14ac:dyDescent="0.25">
      <c r="A2953" t="s">
        <v>1338</v>
      </c>
      <c r="B2953" t="s">
        <v>32</v>
      </c>
      <c r="C2953" t="s">
        <v>117</v>
      </c>
      <c r="D2953" t="s">
        <v>3219</v>
      </c>
      <c r="E2953">
        <v>32.159999999999997</v>
      </c>
      <c r="F2953">
        <v>152.04</v>
      </c>
    </row>
    <row r="2954" spans="1:6" x14ac:dyDescent="0.25">
      <c r="A2954" t="s">
        <v>1339</v>
      </c>
      <c r="B2954" t="s">
        <v>32</v>
      </c>
      <c r="C2954" t="s">
        <v>118</v>
      </c>
      <c r="D2954" t="s">
        <v>3217</v>
      </c>
      <c r="E2954">
        <v>0</v>
      </c>
      <c r="F2954">
        <v>152.69</v>
      </c>
    </row>
    <row r="2955" spans="1:6" x14ac:dyDescent="0.25">
      <c r="A2955" t="s">
        <v>1339</v>
      </c>
      <c r="B2955" t="s">
        <v>32</v>
      </c>
      <c r="C2955" t="s">
        <v>118</v>
      </c>
      <c r="D2955" t="s">
        <v>3218</v>
      </c>
      <c r="E2955">
        <v>17.559999999999999</v>
      </c>
      <c r="F2955">
        <v>152.5</v>
      </c>
    </row>
    <row r="2956" spans="1:6" x14ac:dyDescent="0.25">
      <c r="A2956" t="s">
        <v>1339</v>
      </c>
      <c r="B2956" t="s">
        <v>32</v>
      </c>
      <c r="C2956" t="s">
        <v>118</v>
      </c>
      <c r="D2956" t="s">
        <v>3219</v>
      </c>
      <c r="E2956">
        <v>32.31</v>
      </c>
      <c r="F2956">
        <v>151.94</v>
      </c>
    </row>
    <row r="2957" spans="1:6" x14ac:dyDescent="0.25">
      <c r="A2957" t="s">
        <v>1340</v>
      </c>
      <c r="B2957" t="s">
        <v>32</v>
      </c>
      <c r="C2957" t="s">
        <v>119</v>
      </c>
      <c r="D2957" t="s">
        <v>3217</v>
      </c>
      <c r="E2957">
        <v>0</v>
      </c>
      <c r="F2957">
        <v>152.54</v>
      </c>
    </row>
    <row r="2958" spans="1:6" x14ac:dyDescent="0.25">
      <c r="A2958" t="s">
        <v>1340</v>
      </c>
      <c r="B2958" t="s">
        <v>32</v>
      </c>
      <c r="C2958" t="s">
        <v>119</v>
      </c>
      <c r="D2958" t="s">
        <v>3218</v>
      </c>
      <c r="E2958">
        <v>17.75</v>
      </c>
      <c r="F2958">
        <v>152.43</v>
      </c>
    </row>
    <row r="2959" spans="1:6" x14ac:dyDescent="0.25">
      <c r="A2959" t="s">
        <v>1340</v>
      </c>
      <c r="B2959" t="s">
        <v>32</v>
      </c>
      <c r="C2959" t="s">
        <v>119</v>
      </c>
      <c r="D2959" t="s">
        <v>3219</v>
      </c>
      <c r="E2959">
        <v>33.659999999999997</v>
      </c>
      <c r="F2959">
        <v>151.94999999999999</v>
      </c>
    </row>
    <row r="2960" spans="1:6" x14ac:dyDescent="0.25">
      <c r="A2960" t="s">
        <v>1341</v>
      </c>
      <c r="B2960" t="s">
        <v>32</v>
      </c>
      <c r="C2960" t="s">
        <v>120</v>
      </c>
      <c r="D2960" t="s">
        <v>3217</v>
      </c>
      <c r="E2960">
        <v>0</v>
      </c>
      <c r="F2960">
        <v>152.19999999999999</v>
      </c>
    </row>
    <row r="2961" spans="1:6" x14ac:dyDescent="0.25">
      <c r="A2961" t="s">
        <v>1341</v>
      </c>
      <c r="B2961" t="s">
        <v>32</v>
      </c>
      <c r="C2961" t="s">
        <v>120</v>
      </c>
      <c r="D2961" t="s">
        <v>3218</v>
      </c>
      <c r="E2961">
        <v>15.05</v>
      </c>
      <c r="F2961">
        <v>151.9</v>
      </c>
    </row>
    <row r="2962" spans="1:6" x14ac:dyDescent="0.25">
      <c r="A2962" t="s">
        <v>1341</v>
      </c>
      <c r="B2962" t="s">
        <v>32</v>
      </c>
      <c r="C2962" t="s">
        <v>120</v>
      </c>
      <c r="D2962" t="s">
        <v>3219</v>
      </c>
      <c r="E2962">
        <v>28.46</v>
      </c>
      <c r="F2962">
        <v>151.51</v>
      </c>
    </row>
    <row r="2963" spans="1:6" x14ac:dyDescent="0.25">
      <c r="A2963" t="s">
        <v>1342</v>
      </c>
      <c r="B2963" t="s">
        <v>32</v>
      </c>
      <c r="C2963" t="s">
        <v>121</v>
      </c>
      <c r="D2963" t="s">
        <v>3217</v>
      </c>
      <c r="E2963">
        <v>0</v>
      </c>
      <c r="F2963">
        <v>151.97</v>
      </c>
    </row>
    <row r="2964" spans="1:6" x14ac:dyDescent="0.25">
      <c r="A2964" t="s">
        <v>1342</v>
      </c>
      <c r="B2964" t="s">
        <v>32</v>
      </c>
      <c r="C2964" t="s">
        <v>121</v>
      </c>
      <c r="D2964" t="s">
        <v>3218</v>
      </c>
      <c r="E2964">
        <v>13.74</v>
      </c>
      <c r="F2964">
        <v>151.63</v>
      </c>
    </row>
    <row r="2965" spans="1:6" x14ac:dyDescent="0.25">
      <c r="A2965" t="s">
        <v>1342</v>
      </c>
      <c r="B2965" t="s">
        <v>32</v>
      </c>
      <c r="C2965" t="s">
        <v>121</v>
      </c>
      <c r="D2965" t="s">
        <v>3219</v>
      </c>
      <c r="E2965">
        <v>26.17</v>
      </c>
      <c r="F2965">
        <v>151</v>
      </c>
    </row>
    <row r="2966" spans="1:6" x14ac:dyDescent="0.25">
      <c r="A2966" t="s">
        <v>1343</v>
      </c>
      <c r="B2966" t="s">
        <v>32</v>
      </c>
      <c r="C2966" t="s">
        <v>123</v>
      </c>
      <c r="D2966" t="s">
        <v>3217</v>
      </c>
      <c r="E2966">
        <v>0</v>
      </c>
      <c r="F2966">
        <v>151.91</v>
      </c>
    </row>
    <row r="2967" spans="1:6" x14ac:dyDescent="0.25">
      <c r="A2967" t="s">
        <v>1343</v>
      </c>
      <c r="B2967" t="s">
        <v>32</v>
      </c>
      <c r="C2967" t="s">
        <v>123</v>
      </c>
      <c r="D2967" t="s">
        <v>3218</v>
      </c>
      <c r="E2967">
        <v>14.07</v>
      </c>
      <c r="F2967">
        <v>151.69</v>
      </c>
    </row>
    <row r="2968" spans="1:6" x14ac:dyDescent="0.25">
      <c r="A2968" t="s">
        <v>1343</v>
      </c>
      <c r="B2968" t="s">
        <v>32</v>
      </c>
      <c r="C2968" t="s">
        <v>123</v>
      </c>
      <c r="D2968" t="s">
        <v>3219</v>
      </c>
      <c r="E2968">
        <v>27.69</v>
      </c>
      <c r="F2968">
        <v>150.86000000000001</v>
      </c>
    </row>
    <row r="2969" spans="1:6" x14ac:dyDescent="0.25">
      <c r="A2969" t="s">
        <v>1344</v>
      </c>
      <c r="B2969" t="s">
        <v>32</v>
      </c>
      <c r="C2969" t="s">
        <v>124</v>
      </c>
      <c r="D2969" t="s">
        <v>3217</v>
      </c>
      <c r="E2969">
        <v>0</v>
      </c>
      <c r="F2969">
        <v>151.99</v>
      </c>
    </row>
    <row r="2970" spans="1:6" x14ac:dyDescent="0.25">
      <c r="A2970" t="s">
        <v>1344</v>
      </c>
      <c r="B2970" t="s">
        <v>32</v>
      </c>
      <c r="C2970" t="s">
        <v>124</v>
      </c>
      <c r="D2970" t="s">
        <v>3218</v>
      </c>
      <c r="E2970">
        <v>15.13</v>
      </c>
      <c r="F2970">
        <v>151.19</v>
      </c>
    </row>
    <row r="2971" spans="1:6" x14ac:dyDescent="0.25">
      <c r="A2971" t="s">
        <v>1344</v>
      </c>
      <c r="B2971" t="s">
        <v>32</v>
      </c>
      <c r="C2971" t="s">
        <v>124</v>
      </c>
      <c r="D2971" t="s">
        <v>3219</v>
      </c>
      <c r="E2971">
        <v>30.01</v>
      </c>
      <c r="F2971">
        <v>150.56</v>
      </c>
    </row>
    <row r="2972" spans="1:6" x14ac:dyDescent="0.25">
      <c r="A2972" t="s">
        <v>1345</v>
      </c>
      <c r="B2972" t="s">
        <v>32</v>
      </c>
      <c r="C2972" t="s">
        <v>125</v>
      </c>
      <c r="D2972" t="s">
        <v>3217</v>
      </c>
      <c r="E2972">
        <v>0</v>
      </c>
      <c r="F2972">
        <v>152.19</v>
      </c>
    </row>
    <row r="2973" spans="1:6" x14ac:dyDescent="0.25">
      <c r="A2973" t="s">
        <v>1345</v>
      </c>
      <c r="B2973" t="s">
        <v>32</v>
      </c>
      <c r="C2973" t="s">
        <v>125</v>
      </c>
      <c r="D2973" t="s">
        <v>3218</v>
      </c>
      <c r="E2973">
        <v>15.13</v>
      </c>
      <c r="F2973">
        <v>151.24</v>
      </c>
    </row>
    <row r="2974" spans="1:6" x14ac:dyDescent="0.25">
      <c r="A2974" t="s">
        <v>1345</v>
      </c>
      <c r="B2974" t="s">
        <v>32</v>
      </c>
      <c r="C2974" t="s">
        <v>125</v>
      </c>
      <c r="D2974" t="s">
        <v>3219</v>
      </c>
      <c r="E2974">
        <v>30.87</v>
      </c>
      <c r="F2974">
        <v>150.43</v>
      </c>
    </row>
    <row r="2975" spans="1:6" x14ac:dyDescent="0.25">
      <c r="A2975" t="s">
        <v>1346</v>
      </c>
      <c r="B2975" t="s">
        <v>32</v>
      </c>
      <c r="C2975" t="s">
        <v>126</v>
      </c>
      <c r="D2975" t="s">
        <v>3217</v>
      </c>
      <c r="E2975">
        <v>0</v>
      </c>
      <c r="F2975">
        <v>152.05000000000001</v>
      </c>
    </row>
    <row r="2976" spans="1:6" x14ac:dyDescent="0.25">
      <c r="A2976" t="s">
        <v>1346</v>
      </c>
      <c r="B2976" t="s">
        <v>32</v>
      </c>
      <c r="C2976" t="s">
        <v>126</v>
      </c>
      <c r="D2976" t="s">
        <v>3218</v>
      </c>
      <c r="E2976">
        <v>15.13</v>
      </c>
      <c r="F2976">
        <v>151.38999999999999</v>
      </c>
    </row>
    <row r="2977" spans="1:6" x14ac:dyDescent="0.25">
      <c r="A2977" t="s">
        <v>1346</v>
      </c>
      <c r="B2977" t="s">
        <v>32</v>
      </c>
      <c r="C2977" t="s">
        <v>126</v>
      </c>
      <c r="D2977" t="s">
        <v>3219</v>
      </c>
      <c r="E2977">
        <v>30.19</v>
      </c>
      <c r="F2977">
        <v>150.53</v>
      </c>
    </row>
    <row r="2978" spans="1:6" x14ac:dyDescent="0.25">
      <c r="A2978" t="s">
        <v>1347</v>
      </c>
      <c r="B2978" t="s">
        <v>32</v>
      </c>
      <c r="C2978" t="s">
        <v>127</v>
      </c>
      <c r="D2978" t="s">
        <v>3217</v>
      </c>
      <c r="E2978">
        <v>0</v>
      </c>
      <c r="F2978">
        <v>152.05000000000001</v>
      </c>
    </row>
    <row r="2979" spans="1:6" x14ac:dyDescent="0.25">
      <c r="A2979" t="s">
        <v>1347</v>
      </c>
      <c r="B2979" t="s">
        <v>32</v>
      </c>
      <c r="C2979" t="s">
        <v>127</v>
      </c>
      <c r="D2979" t="s">
        <v>3218</v>
      </c>
      <c r="E2979">
        <v>14.07</v>
      </c>
      <c r="F2979">
        <v>151.61000000000001</v>
      </c>
    </row>
    <row r="2980" spans="1:6" x14ac:dyDescent="0.25">
      <c r="A2980" t="s">
        <v>1347</v>
      </c>
      <c r="B2980" t="s">
        <v>32</v>
      </c>
      <c r="C2980" t="s">
        <v>127</v>
      </c>
      <c r="D2980" t="s">
        <v>3219</v>
      </c>
      <c r="E2980">
        <v>29.13</v>
      </c>
      <c r="F2980">
        <v>150.82</v>
      </c>
    </row>
    <row r="2981" spans="1:6" x14ac:dyDescent="0.25">
      <c r="A2981" t="s">
        <v>1348</v>
      </c>
      <c r="B2981" t="s">
        <v>32</v>
      </c>
      <c r="C2981" t="s">
        <v>128</v>
      </c>
      <c r="D2981" t="s">
        <v>3217</v>
      </c>
      <c r="E2981">
        <v>0</v>
      </c>
      <c r="F2981">
        <v>152.33000000000001</v>
      </c>
    </row>
    <row r="2982" spans="1:6" x14ac:dyDescent="0.25">
      <c r="A2982" t="s">
        <v>1348</v>
      </c>
      <c r="B2982" t="s">
        <v>32</v>
      </c>
      <c r="C2982" t="s">
        <v>128</v>
      </c>
      <c r="D2982" t="s">
        <v>3218</v>
      </c>
      <c r="E2982">
        <v>13.72</v>
      </c>
      <c r="F2982">
        <v>152.1</v>
      </c>
    </row>
    <row r="2983" spans="1:6" x14ac:dyDescent="0.25">
      <c r="A2983" t="s">
        <v>1348</v>
      </c>
      <c r="B2983" t="s">
        <v>32</v>
      </c>
      <c r="C2983" t="s">
        <v>128</v>
      </c>
      <c r="D2983" t="s">
        <v>3219</v>
      </c>
      <c r="E2983">
        <v>27.33</v>
      </c>
      <c r="F2983">
        <v>150.91999999999999</v>
      </c>
    </row>
    <row r="2984" spans="1:6" x14ac:dyDescent="0.25">
      <c r="A2984" t="s">
        <v>1349</v>
      </c>
      <c r="B2984" t="s">
        <v>32</v>
      </c>
      <c r="C2984" t="s">
        <v>129</v>
      </c>
      <c r="D2984" t="s">
        <v>3217</v>
      </c>
      <c r="E2984">
        <v>0</v>
      </c>
      <c r="F2984">
        <v>152.36000000000001</v>
      </c>
    </row>
    <row r="2985" spans="1:6" x14ac:dyDescent="0.25">
      <c r="A2985" t="s">
        <v>1349</v>
      </c>
      <c r="B2985" t="s">
        <v>32</v>
      </c>
      <c r="C2985" t="s">
        <v>129</v>
      </c>
      <c r="D2985" t="s">
        <v>3218</v>
      </c>
      <c r="E2985">
        <v>14.1</v>
      </c>
      <c r="F2985">
        <v>151.72999999999999</v>
      </c>
    </row>
    <row r="2986" spans="1:6" x14ac:dyDescent="0.25">
      <c r="A2986" t="s">
        <v>1349</v>
      </c>
      <c r="B2986" t="s">
        <v>32</v>
      </c>
      <c r="C2986" t="s">
        <v>129</v>
      </c>
      <c r="D2986" t="s">
        <v>3219</v>
      </c>
      <c r="E2986">
        <v>27.7</v>
      </c>
      <c r="F2986">
        <v>151.18</v>
      </c>
    </row>
    <row r="2987" spans="1:6" x14ac:dyDescent="0.25">
      <c r="A2987" t="s">
        <v>1350</v>
      </c>
      <c r="B2987" t="s">
        <v>32</v>
      </c>
      <c r="C2987" t="s">
        <v>130</v>
      </c>
      <c r="D2987" t="s">
        <v>3217</v>
      </c>
      <c r="E2987">
        <v>0</v>
      </c>
      <c r="F2987">
        <v>152.28</v>
      </c>
    </row>
    <row r="2988" spans="1:6" x14ac:dyDescent="0.25">
      <c r="A2988" t="s">
        <v>1350</v>
      </c>
      <c r="B2988" t="s">
        <v>32</v>
      </c>
      <c r="C2988" t="s">
        <v>130</v>
      </c>
      <c r="D2988" t="s">
        <v>3218</v>
      </c>
      <c r="E2988">
        <v>14.31</v>
      </c>
      <c r="F2988">
        <v>151.78</v>
      </c>
    </row>
    <row r="2989" spans="1:6" x14ac:dyDescent="0.25">
      <c r="A2989" t="s">
        <v>1350</v>
      </c>
      <c r="B2989" t="s">
        <v>32</v>
      </c>
      <c r="C2989" t="s">
        <v>130</v>
      </c>
      <c r="D2989" t="s">
        <v>3219</v>
      </c>
      <c r="E2989">
        <v>27.91</v>
      </c>
      <c r="F2989">
        <v>151.25</v>
      </c>
    </row>
    <row r="2990" spans="1:6" x14ac:dyDescent="0.25">
      <c r="A2990" t="s">
        <v>1351</v>
      </c>
      <c r="B2990" t="s">
        <v>32</v>
      </c>
      <c r="C2990" t="s">
        <v>131</v>
      </c>
      <c r="D2990" t="s">
        <v>3217</v>
      </c>
      <c r="E2990">
        <v>0</v>
      </c>
      <c r="F2990">
        <v>152.33000000000001</v>
      </c>
    </row>
    <row r="2991" spans="1:6" x14ac:dyDescent="0.25">
      <c r="A2991" t="s">
        <v>1351</v>
      </c>
      <c r="B2991" t="s">
        <v>32</v>
      </c>
      <c r="C2991" t="s">
        <v>131</v>
      </c>
      <c r="D2991" t="s">
        <v>3218</v>
      </c>
      <c r="E2991">
        <v>14.62</v>
      </c>
      <c r="F2991">
        <v>152.07</v>
      </c>
    </row>
    <row r="2992" spans="1:6" x14ac:dyDescent="0.25">
      <c r="A2992" t="s">
        <v>1351</v>
      </c>
      <c r="B2992" t="s">
        <v>32</v>
      </c>
      <c r="C2992" t="s">
        <v>131</v>
      </c>
      <c r="D2992" t="s">
        <v>3219</v>
      </c>
      <c r="E2992">
        <v>27.69</v>
      </c>
      <c r="F2992">
        <v>151.34</v>
      </c>
    </row>
    <row r="2993" spans="1:6" x14ac:dyDescent="0.25">
      <c r="A2993" t="s">
        <v>1352</v>
      </c>
      <c r="B2993" t="s">
        <v>32</v>
      </c>
      <c r="C2993" t="s">
        <v>132</v>
      </c>
      <c r="D2993" t="s">
        <v>3217</v>
      </c>
      <c r="E2993">
        <v>0</v>
      </c>
      <c r="F2993">
        <v>152.21</v>
      </c>
    </row>
    <row r="2994" spans="1:6" x14ac:dyDescent="0.25">
      <c r="A2994" t="s">
        <v>1352</v>
      </c>
      <c r="B2994" t="s">
        <v>32</v>
      </c>
      <c r="C2994" t="s">
        <v>132</v>
      </c>
      <c r="D2994" t="s">
        <v>3218</v>
      </c>
      <c r="E2994">
        <v>14.08</v>
      </c>
      <c r="F2994">
        <v>151.85</v>
      </c>
    </row>
    <row r="2995" spans="1:6" x14ac:dyDescent="0.25">
      <c r="A2995" t="s">
        <v>1352</v>
      </c>
      <c r="B2995" t="s">
        <v>32</v>
      </c>
      <c r="C2995" t="s">
        <v>132</v>
      </c>
      <c r="D2995" t="s">
        <v>3219</v>
      </c>
      <c r="E2995">
        <v>27.18</v>
      </c>
      <c r="F2995">
        <v>151.22999999999999</v>
      </c>
    </row>
    <row r="2996" spans="1:6" x14ac:dyDescent="0.25">
      <c r="A2996" t="s">
        <v>1353</v>
      </c>
      <c r="B2996" t="s">
        <v>32</v>
      </c>
      <c r="C2996" t="s">
        <v>133</v>
      </c>
      <c r="D2996" t="s">
        <v>3217</v>
      </c>
      <c r="E2996">
        <v>0</v>
      </c>
      <c r="F2996">
        <v>152.26</v>
      </c>
    </row>
    <row r="2997" spans="1:6" x14ac:dyDescent="0.25">
      <c r="A2997" t="s">
        <v>1353</v>
      </c>
      <c r="B2997" t="s">
        <v>32</v>
      </c>
      <c r="C2997" t="s">
        <v>133</v>
      </c>
      <c r="D2997" t="s">
        <v>3218</v>
      </c>
      <c r="E2997">
        <v>13.73</v>
      </c>
      <c r="F2997">
        <v>151.87</v>
      </c>
    </row>
    <row r="2998" spans="1:6" x14ac:dyDescent="0.25">
      <c r="A2998" t="s">
        <v>1353</v>
      </c>
      <c r="B2998" t="s">
        <v>32</v>
      </c>
      <c r="C2998" t="s">
        <v>133</v>
      </c>
      <c r="D2998" t="s">
        <v>3219</v>
      </c>
      <c r="E2998">
        <v>27.39</v>
      </c>
      <c r="F2998">
        <v>151.13999999999999</v>
      </c>
    </row>
    <row r="2999" spans="1:6" x14ac:dyDescent="0.25">
      <c r="A2999" t="s">
        <v>1354</v>
      </c>
      <c r="B2999" t="s">
        <v>32</v>
      </c>
      <c r="C2999" t="s">
        <v>134</v>
      </c>
      <c r="D2999" t="s">
        <v>3217</v>
      </c>
      <c r="E2999">
        <v>0</v>
      </c>
      <c r="F2999">
        <v>152.1</v>
      </c>
    </row>
    <row r="3000" spans="1:6" x14ac:dyDescent="0.25">
      <c r="A3000" t="s">
        <v>1354</v>
      </c>
      <c r="B3000" t="s">
        <v>32</v>
      </c>
      <c r="C3000" t="s">
        <v>134</v>
      </c>
      <c r="D3000" t="s">
        <v>3218</v>
      </c>
      <c r="E3000">
        <v>14.8</v>
      </c>
      <c r="F3000">
        <v>151.75</v>
      </c>
    </row>
    <row r="3001" spans="1:6" x14ac:dyDescent="0.25">
      <c r="A3001" t="s">
        <v>1354</v>
      </c>
      <c r="B3001" t="s">
        <v>32</v>
      </c>
      <c r="C3001" t="s">
        <v>134</v>
      </c>
      <c r="D3001" t="s">
        <v>3219</v>
      </c>
      <c r="E3001">
        <v>29.39</v>
      </c>
      <c r="F3001">
        <v>151.06</v>
      </c>
    </row>
    <row r="3002" spans="1:6" x14ac:dyDescent="0.25">
      <c r="A3002" t="s">
        <v>1355</v>
      </c>
      <c r="B3002" t="s">
        <v>32</v>
      </c>
      <c r="C3002" t="s">
        <v>135</v>
      </c>
      <c r="D3002" t="s">
        <v>3217</v>
      </c>
      <c r="E3002">
        <v>0</v>
      </c>
      <c r="F3002">
        <v>152.22</v>
      </c>
    </row>
    <row r="3003" spans="1:6" x14ac:dyDescent="0.25">
      <c r="A3003" t="s">
        <v>1355</v>
      </c>
      <c r="B3003" t="s">
        <v>32</v>
      </c>
      <c r="C3003" t="s">
        <v>135</v>
      </c>
      <c r="D3003" t="s">
        <v>3218</v>
      </c>
      <c r="E3003">
        <v>16.97</v>
      </c>
      <c r="F3003">
        <v>151.61000000000001</v>
      </c>
    </row>
    <row r="3004" spans="1:6" x14ac:dyDescent="0.25">
      <c r="A3004" t="s">
        <v>1355</v>
      </c>
      <c r="B3004" t="s">
        <v>32</v>
      </c>
      <c r="C3004" t="s">
        <v>135</v>
      </c>
      <c r="D3004" t="s">
        <v>3219</v>
      </c>
      <c r="E3004">
        <v>32.119999999999997</v>
      </c>
      <c r="F3004">
        <v>151.09</v>
      </c>
    </row>
    <row r="3005" spans="1:6" x14ac:dyDescent="0.25">
      <c r="A3005" t="s">
        <v>1356</v>
      </c>
      <c r="B3005" t="s">
        <v>32</v>
      </c>
      <c r="C3005" t="s">
        <v>136</v>
      </c>
      <c r="D3005" t="s">
        <v>3217</v>
      </c>
      <c r="E3005">
        <v>0</v>
      </c>
      <c r="F3005">
        <v>152.08000000000001</v>
      </c>
    </row>
    <row r="3006" spans="1:6" x14ac:dyDescent="0.25">
      <c r="A3006" t="s">
        <v>1356</v>
      </c>
      <c r="B3006" t="s">
        <v>32</v>
      </c>
      <c r="C3006" t="s">
        <v>136</v>
      </c>
      <c r="D3006" t="s">
        <v>3218</v>
      </c>
      <c r="E3006">
        <v>17.760000000000002</v>
      </c>
      <c r="F3006">
        <v>151.38999999999999</v>
      </c>
    </row>
    <row r="3007" spans="1:6" x14ac:dyDescent="0.25">
      <c r="A3007" t="s">
        <v>1356</v>
      </c>
      <c r="B3007" t="s">
        <v>32</v>
      </c>
      <c r="C3007" t="s">
        <v>136</v>
      </c>
      <c r="D3007" t="s">
        <v>3219</v>
      </c>
      <c r="E3007">
        <v>33.31</v>
      </c>
      <c r="F3007">
        <v>151.03</v>
      </c>
    </row>
    <row r="3008" spans="1:6" x14ac:dyDescent="0.25">
      <c r="A3008" t="s">
        <v>1357</v>
      </c>
      <c r="B3008" t="s">
        <v>32</v>
      </c>
      <c r="C3008" t="s">
        <v>137</v>
      </c>
      <c r="D3008" t="s">
        <v>3217</v>
      </c>
      <c r="E3008">
        <v>0</v>
      </c>
      <c r="F3008">
        <v>151.79</v>
      </c>
    </row>
    <row r="3009" spans="1:6" x14ac:dyDescent="0.25">
      <c r="A3009" t="s">
        <v>1357</v>
      </c>
      <c r="B3009" t="s">
        <v>32</v>
      </c>
      <c r="C3009" t="s">
        <v>137</v>
      </c>
      <c r="D3009" t="s">
        <v>3218</v>
      </c>
      <c r="E3009">
        <v>17.02</v>
      </c>
      <c r="F3009">
        <v>151.6</v>
      </c>
    </row>
    <row r="3010" spans="1:6" x14ac:dyDescent="0.25">
      <c r="A3010" t="s">
        <v>1357</v>
      </c>
      <c r="B3010" t="s">
        <v>32</v>
      </c>
      <c r="C3010" t="s">
        <v>137</v>
      </c>
      <c r="D3010" t="s">
        <v>3219</v>
      </c>
      <c r="E3010">
        <v>33.049999999999997</v>
      </c>
      <c r="F3010">
        <v>150.97</v>
      </c>
    </row>
    <row r="3011" spans="1:6" x14ac:dyDescent="0.25">
      <c r="A3011" t="s">
        <v>1358</v>
      </c>
      <c r="B3011" t="s">
        <v>32</v>
      </c>
      <c r="C3011" t="s">
        <v>138</v>
      </c>
      <c r="D3011" t="s">
        <v>3217</v>
      </c>
      <c r="E3011">
        <v>0</v>
      </c>
      <c r="F3011">
        <v>151.94</v>
      </c>
    </row>
    <row r="3012" spans="1:6" x14ac:dyDescent="0.25">
      <c r="A3012" t="s">
        <v>1358</v>
      </c>
      <c r="B3012" t="s">
        <v>32</v>
      </c>
      <c r="C3012" t="s">
        <v>138</v>
      </c>
      <c r="D3012" t="s">
        <v>3218</v>
      </c>
      <c r="E3012">
        <v>20</v>
      </c>
      <c r="F3012">
        <v>151.32</v>
      </c>
    </row>
    <row r="3013" spans="1:6" x14ac:dyDescent="0.25">
      <c r="A3013" t="s">
        <v>1358</v>
      </c>
      <c r="B3013" t="s">
        <v>32</v>
      </c>
      <c r="C3013" t="s">
        <v>138</v>
      </c>
      <c r="D3013" t="s">
        <v>3219</v>
      </c>
      <c r="E3013">
        <v>36.51</v>
      </c>
      <c r="F3013">
        <v>150.83000000000001</v>
      </c>
    </row>
    <row r="3014" spans="1:6" x14ac:dyDescent="0.25">
      <c r="A3014" t="s">
        <v>1359</v>
      </c>
      <c r="B3014" t="s">
        <v>32</v>
      </c>
      <c r="C3014" t="s">
        <v>139</v>
      </c>
      <c r="D3014" t="s">
        <v>3217</v>
      </c>
      <c r="E3014">
        <v>0</v>
      </c>
      <c r="F3014">
        <v>151.69999999999999</v>
      </c>
    </row>
    <row r="3015" spans="1:6" x14ac:dyDescent="0.25">
      <c r="A3015" t="s">
        <v>1359</v>
      </c>
      <c r="B3015" t="s">
        <v>32</v>
      </c>
      <c r="C3015" t="s">
        <v>139</v>
      </c>
      <c r="D3015" t="s">
        <v>3218</v>
      </c>
      <c r="E3015">
        <v>20</v>
      </c>
      <c r="F3015">
        <v>151.44</v>
      </c>
    </row>
    <row r="3016" spans="1:6" x14ac:dyDescent="0.25">
      <c r="A3016" t="s">
        <v>1359</v>
      </c>
      <c r="B3016" t="s">
        <v>32</v>
      </c>
      <c r="C3016" t="s">
        <v>139</v>
      </c>
      <c r="D3016" t="s">
        <v>3219</v>
      </c>
      <c r="E3016">
        <v>37.06</v>
      </c>
      <c r="F3016">
        <v>150.81</v>
      </c>
    </row>
    <row r="3017" spans="1:6" x14ac:dyDescent="0.25">
      <c r="A3017" t="s">
        <v>1360</v>
      </c>
      <c r="B3017" t="s">
        <v>32</v>
      </c>
      <c r="C3017" t="s">
        <v>140</v>
      </c>
      <c r="D3017" t="s">
        <v>3217</v>
      </c>
      <c r="E3017">
        <v>0</v>
      </c>
      <c r="F3017">
        <v>151.57</v>
      </c>
    </row>
    <row r="3018" spans="1:6" x14ac:dyDescent="0.25">
      <c r="A3018" t="s">
        <v>1360</v>
      </c>
      <c r="B3018" t="s">
        <v>32</v>
      </c>
      <c r="C3018" t="s">
        <v>140</v>
      </c>
      <c r="D3018" t="s">
        <v>3218</v>
      </c>
      <c r="E3018">
        <v>20</v>
      </c>
      <c r="F3018">
        <v>150.97999999999999</v>
      </c>
    </row>
    <row r="3019" spans="1:6" x14ac:dyDescent="0.25">
      <c r="A3019" t="s">
        <v>1360</v>
      </c>
      <c r="B3019" t="s">
        <v>32</v>
      </c>
      <c r="C3019" t="s">
        <v>140</v>
      </c>
      <c r="D3019" t="s">
        <v>3219</v>
      </c>
      <c r="E3019">
        <v>37.06</v>
      </c>
      <c r="F3019">
        <v>150.72</v>
      </c>
    </row>
    <row r="3020" spans="1:6" x14ac:dyDescent="0.25">
      <c r="A3020" t="s">
        <v>1361</v>
      </c>
      <c r="B3020" t="s">
        <v>32</v>
      </c>
      <c r="C3020" t="s">
        <v>141</v>
      </c>
      <c r="D3020" t="s">
        <v>3217</v>
      </c>
      <c r="E3020">
        <v>0</v>
      </c>
      <c r="F3020">
        <v>150.88999999999999</v>
      </c>
    </row>
    <row r="3021" spans="1:6" x14ac:dyDescent="0.25">
      <c r="A3021" t="s">
        <v>1361</v>
      </c>
      <c r="B3021" t="s">
        <v>32</v>
      </c>
      <c r="C3021" t="s">
        <v>141</v>
      </c>
      <c r="D3021" t="s">
        <v>3218</v>
      </c>
      <c r="E3021">
        <v>13.53</v>
      </c>
      <c r="F3021">
        <v>150.77000000000001</v>
      </c>
    </row>
    <row r="3022" spans="1:6" x14ac:dyDescent="0.25">
      <c r="A3022" t="s">
        <v>1361</v>
      </c>
      <c r="B3022" t="s">
        <v>32</v>
      </c>
      <c r="C3022" t="s">
        <v>141</v>
      </c>
      <c r="D3022" t="s">
        <v>3219</v>
      </c>
      <c r="E3022">
        <v>30.62</v>
      </c>
      <c r="F3022">
        <v>150.1</v>
      </c>
    </row>
    <row r="3023" spans="1:6" x14ac:dyDescent="0.25">
      <c r="A3023" t="s">
        <v>1362</v>
      </c>
      <c r="B3023" t="s">
        <v>32</v>
      </c>
      <c r="C3023" t="s">
        <v>142</v>
      </c>
      <c r="D3023" t="s">
        <v>3217</v>
      </c>
      <c r="E3023">
        <v>0</v>
      </c>
      <c r="F3023">
        <v>150.35</v>
      </c>
    </row>
    <row r="3024" spans="1:6" x14ac:dyDescent="0.25">
      <c r="A3024" t="s">
        <v>1362</v>
      </c>
      <c r="B3024" t="s">
        <v>32</v>
      </c>
      <c r="C3024" t="s">
        <v>142</v>
      </c>
      <c r="D3024" t="s">
        <v>3218</v>
      </c>
      <c r="E3024">
        <v>12.08</v>
      </c>
      <c r="F3024">
        <v>150.21</v>
      </c>
    </row>
    <row r="3025" spans="1:6" x14ac:dyDescent="0.25">
      <c r="A3025" t="s">
        <v>1362</v>
      </c>
      <c r="B3025" t="s">
        <v>32</v>
      </c>
      <c r="C3025" t="s">
        <v>142</v>
      </c>
      <c r="D3025" t="s">
        <v>3219</v>
      </c>
      <c r="E3025">
        <v>27.76</v>
      </c>
      <c r="F3025">
        <v>149.54</v>
      </c>
    </row>
    <row r="3026" spans="1:6" x14ac:dyDescent="0.25">
      <c r="A3026" t="s">
        <v>1363</v>
      </c>
      <c r="B3026" t="s">
        <v>32</v>
      </c>
      <c r="C3026" t="s">
        <v>143</v>
      </c>
      <c r="D3026" t="s">
        <v>3217</v>
      </c>
      <c r="E3026">
        <v>0</v>
      </c>
      <c r="F3026">
        <v>149.63</v>
      </c>
    </row>
    <row r="3027" spans="1:6" x14ac:dyDescent="0.25">
      <c r="A3027" t="s">
        <v>1363</v>
      </c>
      <c r="B3027" t="s">
        <v>32</v>
      </c>
      <c r="C3027" t="s">
        <v>143</v>
      </c>
      <c r="D3027" t="s">
        <v>3218</v>
      </c>
      <c r="E3027">
        <v>12.31</v>
      </c>
      <c r="F3027">
        <v>149.57</v>
      </c>
    </row>
    <row r="3028" spans="1:6" x14ac:dyDescent="0.25">
      <c r="A3028" t="s">
        <v>1363</v>
      </c>
      <c r="B3028" t="s">
        <v>32</v>
      </c>
      <c r="C3028" t="s">
        <v>143</v>
      </c>
      <c r="D3028" t="s">
        <v>3219</v>
      </c>
      <c r="E3028">
        <v>26.22</v>
      </c>
      <c r="F3028">
        <v>148.96</v>
      </c>
    </row>
    <row r="3029" spans="1:6" x14ac:dyDescent="0.25">
      <c r="A3029" t="s">
        <v>1364</v>
      </c>
      <c r="B3029" t="s">
        <v>32</v>
      </c>
      <c r="C3029" t="s">
        <v>144</v>
      </c>
      <c r="D3029" t="s">
        <v>3217</v>
      </c>
      <c r="E3029">
        <v>0</v>
      </c>
      <c r="F3029">
        <v>148.97999999999999</v>
      </c>
    </row>
    <row r="3030" spans="1:6" x14ac:dyDescent="0.25">
      <c r="A3030" t="s">
        <v>1364</v>
      </c>
      <c r="B3030" t="s">
        <v>32</v>
      </c>
      <c r="C3030" t="s">
        <v>144</v>
      </c>
      <c r="D3030" t="s">
        <v>3218</v>
      </c>
      <c r="E3030">
        <v>12.07</v>
      </c>
      <c r="F3030">
        <v>148.96</v>
      </c>
    </row>
    <row r="3031" spans="1:6" x14ac:dyDescent="0.25">
      <c r="A3031" t="s">
        <v>1364</v>
      </c>
      <c r="B3031" t="s">
        <v>32</v>
      </c>
      <c r="C3031" t="s">
        <v>144</v>
      </c>
      <c r="D3031" t="s">
        <v>3219</v>
      </c>
      <c r="E3031">
        <v>24.9</v>
      </c>
      <c r="F3031">
        <v>148.46</v>
      </c>
    </row>
    <row r="3032" spans="1:6" x14ac:dyDescent="0.25">
      <c r="A3032" t="s">
        <v>1365</v>
      </c>
      <c r="B3032" t="s">
        <v>32</v>
      </c>
      <c r="C3032" t="s">
        <v>145</v>
      </c>
      <c r="D3032" t="s">
        <v>3217</v>
      </c>
      <c r="E3032">
        <v>0</v>
      </c>
      <c r="F3032">
        <v>148.57</v>
      </c>
    </row>
    <row r="3033" spans="1:6" x14ac:dyDescent="0.25">
      <c r="A3033" t="s">
        <v>1365</v>
      </c>
      <c r="B3033" t="s">
        <v>32</v>
      </c>
      <c r="C3033" t="s">
        <v>145</v>
      </c>
      <c r="D3033" t="s">
        <v>3218</v>
      </c>
      <c r="E3033">
        <v>12.25</v>
      </c>
      <c r="F3033">
        <v>148.47</v>
      </c>
    </row>
    <row r="3034" spans="1:6" x14ac:dyDescent="0.25">
      <c r="A3034" t="s">
        <v>1365</v>
      </c>
      <c r="B3034" t="s">
        <v>32</v>
      </c>
      <c r="C3034" t="s">
        <v>145</v>
      </c>
      <c r="D3034" t="s">
        <v>3219</v>
      </c>
      <c r="E3034">
        <v>26.16</v>
      </c>
      <c r="F3034">
        <v>147.86000000000001</v>
      </c>
    </row>
    <row r="3035" spans="1:6" x14ac:dyDescent="0.25">
      <c r="A3035" t="s">
        <v>1366</v>
      </c>
      <c r="B3035" t="s">
        <v>32</v>
      </c>
      <c r="C3035" t="s">
        <v>146</v>
      </c>
      <c r="D3035" t="s">
        <v>3217</v>
      </c>
      <c r="E3035">
        <v>0</v>
      </c>
      <c r="F3035">
        <v>148.13999999999999</v>
      </c>
    </row>
    <row r="3036" spans="1:6" x14ac:dyDescent="0.25">
      <c r="A3036" t="s">
        <v>1366</v>
      </c>
      <c r="B3036" t="s">
        <v>32</v>
      </c>
      <c r="C3036" t="s">
        <v>146</v>
      </c>
      <c r="D3036" t="s">
        <v>3218</v>
      </c>
      <c r="E3036">
        <v>13.63</v>
      </c>
      <c r="F3036">
        <v>147.91999999999999</v>
      </c>
    </row>
    <row r="3037" spans="1:6" x14ac:dyDescent="0.25">
      <c r="A3037" t="s">
        <v>1366</v>
      </c>
      <c r="B3037" t="s">
        <v>32</v>
      </c>
      <c r="C3037" t="s">
        <v>146</v>
      </c>
      <c r="D3037" t="s">
        <v>3219</v>
      </c>
      <c r="E3037">
        <v>33.630000000000003</v>
      </c>
      <c r="F3037">
        <v>147.06</v>
      </c>
    </row>
    <row r="3038" spans="1:6" x14ac:dyDescent="0.25">
      <c r="A3038" t="s">
        <v>1367</v>
      </c>
      <c r="B3038" t="s">
        <v>32</v>
      </c>
      <c r="C3038" t="s">
        <v>147</v>
      </c>
      <c r="D3038" t="s">
        <v>3217</v>
      </c>
      <c r="E3038">
        <v>0</v>
      </c>
      <c r="F3038">
        <v>147.52000000000001</v>
      </c>
    </row>
    <row r="3039" spans="1:6" x14ac:dyDescent="0.25">
      <c r="A3039" t="s">
        <v>1367</v>
      </c>
      <c r="B3039" t="s">
        <v>32</v>
      </c>
      <c r="C3039" t="s">
        <v>147</v>
      </c>
      <c r="D3039" t="s">
        <v>3218</v>
      </c>
      <c r="E3039">
        <v>17.41</v>
      </c>
      <c r="F3039">
        <v>147.30000000000001</v>
      </c>
    </row>
    <row r="3040" spans="1:6" x14ac:dyDescent="0.25">
      <c r="A3040" t="s">
        <v>1367</v>
      </c>
      <c r="B3040" t="s">
        <v>32</v>
      </c>
      <c r="C3040" t="s">
        <v>147</v>
      </c>
      <c r="D3040" t="s">
        <v>3219</v>
      </c>
      <c r="E3040">
        <v>37.409999999999997</v>
      </c>
      <c r="F3040">
        <v>146.91</v>
      </c>
    </row>
    <row r="3041" spans="1:6" x14ac:dyDescent="0.25">
      <c r="A3041" t="s">
        <v>1368</v>
      </c>
      <c r="B3041" t="s">
        <v>32</v>
      </c>
      <c r="C3041" t="s">
        <v>148</v>
      </c>
      <c r="D3041" t="s">
        <v>3217</v>
      </c>
      <c r="E3041">
        <v>0</v>
      </c>
      <c r="F3041">
        <v>147.49</v>
      </c>
    </row>
    <row r="3042" spans="1:6" x14ac:dyDescent="0.25">
      <c r="A3042" t="s">
        <v>1368</v>
      </c>
      <c r="B3042" t="s">
        <v>32</v>
      </c>
      <c r="C3042" t="s">
        <v>148</v>
      </c>
      <c r="D3042" t="s">
        <v>3218</v>
      </c>
      <c r="E3042">
        <v>20</v>
      </c>
      <c r="F3042">
        <v>146.6</v>
      </c>
    </row>
    <row r="3043" spans="1:6" x14ac:dyDescent="0.25">
      <c r="A3043" t="s">
        <v>1368</v>
      </c>
      <c r="B3043" t="s">
        <v>32</v>
      </c>
      <c r="C3043" t="s">
        <v>148</v>
      </c>
      <c r="D3043" t="s">
        <v>3219</v>
      </c>
      <c r="E3043">
        <v>40</v>
      </c>
      <c r="F3043">
        <v>146.38</v>
      </c>
    </row>
    <row r="3044" spans="1:6" x14ac:dyDescent="0.25">
      <c r="A3044" t="s">
        <v>1369</v>
      </c>
      <c r="B3044" t="s">
        <v>32</v>
      </c>
      <c r="C3044" t="s">
        <v>149</v>
      </c>
      <c r="D3044" t="s">
        <v>3217</v>
      </c>
      <c r="E3044">
        <v>0</v>
      </c>
      <c r="F3044">
        <v>147.32</v>
      </c>
    </row>
    <row r="3045" spans="1:6" x14ac:dyDescent="0.25">
      <c r="A3045" t="s">
        <v>1369</v>
      </c>
      <c r="B3045" t="s">
        <v>32</v>
      </c>
      <c r="C3045" t="s">
        <v>149</v>
      </c>
      <c r="D3045" t="s">
        <v>3218</v>
      </c>
      <c r="E3045">
        <v>20</v>
      </c>
      <c r="F3045">
        <v>146.11000000000001</v>
      </c>
    </row>
    <row r="3046" spans="1:6" x14ac:dyDescent="0.25">
      <c r="A3046" t="s">
        <v>1369</v>
      </c>
      <c r="B3046" t="s">
        <v>32</v>
      </c>
      <c r="C3046" t="s">
        <v>149</v>
      </c>
      <c r="D3046" t="s">
        <v>3219</v>
      </c>
      <c r="E3046">
        <v>35.57</v>
      </c>
      <c r="F3046">
        <v>145.41999999999999</v>
      </c>
    </row>
    <row r="3047" spans="1:6" x14ac:dyDescent="0.25">
      <c r="A3047" t="s">
        <v>1370</v>
      </c>
      <c r="B3047" t="s">
        <v>32</v>
      </c>
      <c r="C3047" t="s">
        <v>150</v>
      </c>
      <c r="D3047" t="s">
        <v>3217</v>
      </c>
      <c r="E3047">
        <v>0</v>
      </c>
      <c r="F3047">
        <v>147.01</v>
      </c>
    </row>
    <row r="3048" spans="1:6" x14ac:dyDescent="0.25">
      <c r="A3048" t="s">
        <v>1370</v>
      </c>
      <c r="B3048" t="s">
        <v>32</v>
      </c>
      <c r="C3048" t="s">
        <v>150</v>
      </c>
      <c r="D3048" t="s">
        <v>3218</v>
      </c>
      <c r="E3048">
        <v>20</v>
      </c>
      <c r="F3048">
        <v>145.78</v>
      </c>
    </row>
    <row r="3049" spans="1:6" x14ac:dyDescent="0.25">
      <c r="A3049" t="s">
        <v>1370</v>
      </c>
      <c r="B3049" t="s">
        <v>32</v>
      </c>
      <c r="C3049" t="s">
        <v>150</v>
      </c>
      <c r="D3049" t="s">
        <v>3219</v>
      </c>
      <c r="E3049">
        <v>36.159999999999997</v>
      </c>
      <c r="F3049">
        <v>144.9</v>
      </c>
    </row>
    <row r="3050" spans="1:6" x14ac:dyDescent="0.25">
      <c r="A3050" t="s">
        <v>1371</v>
      </c>
      <c r="B3050" t="s">
        <v>32</v>
      </c>
      <c r="C3050" t="s">
        <v>151</v>
      </c>
      <c r="D3050" t="s">
        <v>3217</v>
      </c>
      <c r="E3050">
        <v>0</v>
      </c>
      <c r="F3050">
        <v>146.47</v>
      </c>
    </row>
    <row r="3051" spans="1:6" x14ac:dyDescent="0.25">
      <c r="A3051" t="s">
        <v>1371</v>
      </c>
      <c r="B3051" t="s">
        <v>32</v>
      </c>
      <c r="C3051" t="s">
        <v>151</v>
      </c>
      <c r="D3051" t="s">
        <v>3218</v>
      </c>
      <c r="E3051">
        <v>20</v>
      </c>
      <c r="F3051">
        <v>145.69</v>
      </c>
    </row>
    <row r="3052" spans="1:6" x14ac:dyDescent="0.25">
      <c r="A3052" t="s">
        <v>1371</v>
      </c>
      <c r="B3052" t="s">
        <v>32</v>
      </c>
      <c r="C3052" t="s">
        <v>151</v>
      </c>
      <c r="D3052" t="s">
        <v>3219</v>
      </c>
      <c r="E3052">
        <v>36.22</v>
      </c>
      <c r="F3052">
        <v>144.82</v>
      </c>
    </row>
    <row r="3053" spans="1:6" x14ac:dyDescent="0.25">
      <c r="A3053" t="s">
        <v>1372</v>
      </c>
      <c r="B3053" t="s">
        <v>32</v>
      </c>
      <c r="C3053" t="s">
        <v>152</v>
      </c>
      <c r="D3053" t="s">
        <v>3217</v>
      </c>
      <c r="E3053">
        <v>0</v>
      </c>
      <c r="F3053">
        <v>145.72</v>
      </c>
    </row>
    <row r="3054" spans="1:6" x14ac:dyDescent="0.25">
      <c r="A3054" t="s">
        <v>1372</v>
      </c>
      <c r="B3054" t="s">
        <v>32</v>
      </c>
      <c r="C3054" t="s">
        <v>152</v>
      </c>
      <c r="D3054" t="s">
        <v>3218</v>
      </c>
      <c r="E3054">
        <v>15.98</v>
      </c>
      <c r="F3054">
        <v>145.46</v>
      </c>
    </row>
    <row r="3055" spans="1:6" x14ac:dyDescent="0.25">
      <c r="A3055" t="s">
        <v>1372</v>
      </c>
      <c r="B3055" t="s">
        <v>32</v>
      </c>
      <c r="C3055" t="s">
        <v>152</v>
      </c>
      <c r="D3055" t="s">
        <v>3219</v>
      </c>
      <c r="E3055">
        <v>30.73</v>
      </c>
      <c r="F3055">
        <v>144.75</v>
      </c>
    </row>
    <row r="3056" spans="1:6" x14ac:dyDescent="0.25">
      <c r="A3056" t="s">
        <v>1373</v>
      </c>
      <c r="B3056" t="s">
        <v>32</v>
      </c>
      <c r="C3056" t="s">
        <v>153</v>
      </c>
      <c r="D3056" t="s">
        <v>3217</v>
      </c>
      <c r="E3056">
        <v>0</v>
      </c>
      <c r="F3056">
        <v>145.29</v>
      </c>
    </row>
    <row r="3057" spans="1:6" x14ac:dyDescent="0.25">
      <c r="A3057" t="s">
        <v>1373</v>
      </c>
      <c r="B3057" t="s">
        <v>32</v>
      </c>
      <c r="C3057" t="s">
        <v>153</v>
      </c>
      <c r="D3057" t="s">
        <v>3218</v>
      </c>
      <c r="E3057">
        <v>15.98</v>
      </c>
      <c r="F3057">
        <v>145.21</v>
      </c>
    </row>
    <row r="3058" spans="1:6" x14ac:dyDescent="0.25">
      <c r="A3058" t="s">
        <v>1373</v>
      </c>
      <c r="B3058" t="s">
        <v>32</v>
      </c>
      <c r="C3058" t="s">
        <v>153</v>
      </c>
      <c r="D3058" t="s">
        <v>3219</v>
      </c>
      <c r="E3058">
        <v>32.200000000000003</v>
      </c>
      <c r="F3058">
        <v>145.4</v>
      </c>
    </row>
    <row r="3059" spans="1:6" x14ac:dyDescent="0.25">
      <c r="A3059" t="s">
        <v>1374</v>
      </c>
      <c r="B3059" t="s">
        <v>32</v>
      </c>
      <c r="C3059" t="s">
        <v>154</v>
      </c>
      <c r="D3059" t="s">
        <v>3217</v>
      </c>
      <c r="E3059">
        <v>0</v>
      </c>
      <c r="F3059">
        <v>145.09</v>
      </c>
    </row>
    <row r="3060" spans="1:6" x14ac:dyDescent="0.25">
      <c r="A3060" t="s">
        <v>1374</v>
      </c>
      <c r="B3060" t="s">
        <v>32</v>
      </c>
      <c r="C3060" t="s">
        <v>154</v>
      </c>
      <c r="D3060" t="s">
        <v>3218</v>
      </c>
      <c r="E3060">
        <v>16.260000000000002</v>
      </c>
      <c r="F3060">
        <v>144.88</v>
      </c>
    </row>
    <row r="3061" spans="1:6" x14ac:dyDescent="0.25">
      <c r="A3061" t="s">
        <v>1374</v>
      </c>
      <c r="B3061" t="s">
        <v>32</v>
      </c>
      <c r="C3061" t="s">
        <v>154</v>
      </c>
      <c r="D3061" t="s">
        <v>3219</v>
      </c>
      <c r="E3061">
        <v>33.01</v>
      </c>
      <c r="F3061">
        <v>144.66</v>
      </c>
    </row>
    <row r="3062" spans="1:6" x14ac:dyDescent="0.25">
      <c r="A3062" t="s">
        <v>1375</v>
      </c>
      <c r="B3062" t="s">
        <v>32</v>
      </c>
      <c r="C3062" t="s">
        <v>155</v>
      </c>
      <c r="D3062" t="s">
        <v>3217</v>
      </c>
      <c r="E3062">
        <v>0</v>
      </c>
      <c r="F3062">
        <v>144.71</v>
      </c>
    </row>
    <row r="3063" spans="1:6" x14ac:dyDescent="0.25">
      <c r="A3063" t="s">
        <v>1375</v>
      </c>
      <c r="B3063" t="s">
        <v>32</v>
      </c>
      <c r="C3063" t="s">
        <v>155</v>
      </c>
      <c r="D3063" t="s">
        <v>3218</v>
      </c>
      <c r="E3063">
        <v>16.600000000000001</v>
      </c>
      <c r="F3063">
        <v>144.43</v>
      </c>
    </row>
    <row r="3064" spans="1:6" x14ac:dyDescent="0.25">
      <c r="A3064" t="s">
        <v>1375</v>
      </c>
      <c r="B3064" t="s">
        <v>32</v>
      </c>
      <c r="C3064" t="s">
        <v>155</v>
      </c>
      <c r="D3064" t="s">
        <v>3219</v>
      </c>
      <c r="E3064">
        <v>33.35</v>
      </c>
      <c r="F3064">
        <v>143.83000000000001</v>
      </c>
    </row>
    <row r="3065" spans="1:6" x14ac:dyDescent="0.25">
      <c r="A3065" t="s">
        <v>1376</v>
      </c>
      <c r="B3065" t="s">
        <v>32</v>
      </c>
      <c r="C3065" t="s">
        <v>156</v>
      </c>
      <c r="D3065" t="s">
        <v>3217</v>
      </c>
      <c r="E3065">
        <v>0</v>
      </c>
      <c r="F3065">
        <v>144.16999999999999</v>
      </c>
    </row>
    <row r="3066" spans="1:6" x14ac:dyDescent="0.25">
      <c r="A3066" t="s">
        <v>1376</v>
      </c>
      <c r="B3066" t="s">
        <v>32</v>
      </c>
      <c r="C3066" t="s">
        <v>156</v>
      </c>
      <c r="D3066" t="s">
        <v>3218</v>
      </c>
      <c r="E3066">
        <v>15.45</v>
      </c>
      <c r="F3066">
        <v>143.96</v>
      </c>
    </row>
    <row r="3067" spans="1:6" x14ac:dyDescent="0.25">
      <c r="A3067" t="s">
        <v>1376</v>
      </c>
      <c r="B3067" t="s">
        <v>32</v>
      </c>
      <c r="C3067" t="s">
        <v>156</v>
      </c>
      <c r="D3067" t="s">
        <v>3219</v>
      </c>
      <c r="E3067">
        <v>32.43</v>
      </c>
      <c r="F3067">
        <v>143.04</v>
      </c>
    </row>
    <row r="3068" spans="1:6" x14ac:dyDescent="0.25">
      <c r="A3068" t="s">
        <v>1377</v>
      </c>
      <c r="B3068" t="s">
        <v>32</v>
      </c>
      <c r="C3068" t="s">
        <v>157</v>
      </c>
      <c r="D3068" t="s">
        <v>3217</v>
      </c>
      <c r="E3068">
        <v>0</v>
      </c>
      <c r="F3068">
        <v>144.15</v>
      </c>
    </row>
    <row r="3069" spans="1:6" x14ac:dyDescent="0.25">
      <c r="A3069" t="s">
        <v>1377</v>
      </c>
      <c r="B3069" t="s">
        <v>32</v>
      </c>
      <c r="C3069" t="s">
        <v>157</v>
      </c>
      <c r="D3069" t="s">
        <v>3218</v>
      </c>
      <c r="E3069">
        <v>15.89</v>
      </c>
      <c r="F3069">
        <v>143.5</v>
      </c>
    </row>
    <row r="3070" spans="1:6" x14ac:dyDescent="0.25">
      <c r="A3070" t="s">
        <v>1377</v>
      </c>
      <c r="B3070" t="s">
        <v>32</v>
      </c>
      <c r="C3070" t="s">
        <v>157</v>
      </c>
      <c r="D3070" t="s">
        <v>3219</v>
      </c>
      <c r="E3070">
        <v>32.479999999999997</v>
      </c>
      <c r="F3070">
        <v>143</v>
      </c>
    </row>
    <row r="3071" spans="1:6" x14ac:dyDescent="0.25">
      <c r="A3071" t="s">
        <v>1378</v>
      </c>
      <c r="B3071" t="s">
        <v>32</v>
      </c>
      <c r="C3071" t="s">
        <v>158</v>
      </c>
      <c r="D3071" t="s">
        <v>3217</v>
      </c>
      <c r="E3071">
        <v>0</v>
      </c>
      <c r="F3071">
        <v>144.16</v>
      </c>
    </row>
    <row r="3072" spans="1:6" x14ac:dyDescent="0.25">
      <c r="A3072" t="s">
        <v>1378</v>
      </c>
      <c r="B3072" t="s">
        <v>32</v>
      </c>
      <c r="C3072" t="s">
        <v>158</v>
      </c>
      <c r="D3072" t="s">
        <v>3218</v>
      </c>
      <c r="E3072">
        <v>17.2</v>
      </c>
      <c r="F3072">
        <v>143.55000000000001</v>
      </c>
    </row>
    <row r="3073" spans="1:6" x14ac:dyDescent="0.25">
      <c r="A3073" t="s">
        <v>1378</v>
      </c>
      <c r="B3073" t="s">
        <v>32</v>
      </c>
      <c r="C3073" t="s">
        <v>158</v>
      </c>
      <c r="D3073" t="s">
        <v>3219</v>
      </c>
      <c r="E3073">
        <v>32.75</v>
      </c>
      <c r="F3073">
        <v>142.99</v>
      </c>
    </row>
    <row r="3074" spans="1:6" x14ac:dyDescent="0.25">
      <c r="A3074" t="s">
        <v>1379</v>
      </c>
      <c r="B3074" t="s">
        <v>32</v>
      </c>
      <c r="C3074" t="s">
        <v>232</v>
      </c>
      <c r="D3074" t="s">
        <v>3217</v>
      </c>
      <c r="E3074">
        <v>0</v>
      </c>
      <c r="F3074">
        <v>144.05000000000001</v>
      </c>
    </row>
    <row r="3075" spans="1:6" x14ac:dyDescent="0.25">
      <c r="A3075" t="s">
        <v>1379</v>
      </c>
      <c r="B3075" t="s">
        <v>32</v>
      </c>
      <c r="C3075" t="s">
        <v>232</v>
      </c>
      <c r="D3075" t="s">
        <v>3218</v>
      </c>
      <c r="E3075">
        <v>17.510000000000002</v>
      </c>
      <c r="F3075">
        <v>143.38</v>
      </c>
    </row>
    <row r="3076" spans="1:6" x14ac:dyDescent="0.25">
      <c r="A3076" t="s">
        <v>1379</v>
      </c>
      <c r="B3076" t="s">
        <v>32</v>
      </c>
      <c r="C3076" t="s">
        <v>232</v>
      </c>
      <c r="D3076" t="s">
        <v>3219</v>
      </c>
      <c r="E3076">
        <v>33.04</v>
      </c>
      <c r="F3076">
        <v>142.91</v>
      </c>
    </row>
    <row r="3077" spans="1:6" x14ac:dyDescent="0.25">
      <c r="A3077" t="s">
        <v>1380</v>
      </c>
      <c r="B3077" t="s">
        <v>33</v>
      </c>
      <c r="C3077" t="s">
        <v>56</v>
      </c>
      <c r="D3077" t="s">
        <v>3217</v>
      </c>
      <c r="E3077">
        <v>0</v>
      </c>
      <c r="F3077">
        <v>15.87</v>
      </c>
    </row>
    <row r="3078" spans="1:6" x14ac:dyDescent="0.25">
      <c r="A3078" t="s">
        <v>1380</v>
      </c>
      <c r="B3078" t="s">
        <v>33</v>
      </c>
      <c r="C3078" t="s">
        <v>56</v>
      </c>
      <c r="D3078" t="s">
        <v>3218</v>
      </c>
      <c r="E3078">
        <v>16.75</v>
      </c>
      <c r="F3078">
        <v>16.8</v>
      </c>
    </row>
    <row r="3079" spans="1:6" x14ac:dyDescent="0.25">
      <c r="A3079" t="s">
        <v>1380</v>
      </c>
      <c r="B3079" t="s">
        <v>33</v>
      </c>
      <c r="C3079" t="s">
        <v>56</v>
      </c>
      <c r="D3079" t="s">
        <v>3219</v>
      </c>
      <c r="E3079">
        <v>32.74</v>
      </c>
      <c r="F3079">
        <v>16.850000000000001</v>
      </c>
    </row>
    <row r="3080" spans="1:6" x14ac:dyDescent="0.25">
      <c r="A3080" t="s">
        <v>1381</v>
      </c>
      <c r="B3080" t="s">
        <v>33</v>
      </c>
      <c r="C3080" t="s">
        <v>57</v>
      </c>
      <c r="D3080" t="s">
        <v>3217</v>
      </c>
      <c r="E3080">
        <v>0</v>
      </c>
      <c r="F3080">
        <v>17.09</v>
      </c>
    </row>
    <row r="3081" spans="1:6" x14ac:dyDescent="0.25">
      <c r="A3081" t="s">
        <v>1381</v>
      </c>
      <c r="B3081" t="s">
        <v>33</v>
      </c>
      <c r="C3081" t="s">
        <v>57</v>
      </c>
      <c r="D3081" t="s">
        <v>3218</v>
      </c>
      <c r="E3081">
        <v>14.35</v>
      </c>
      <c r="F3081">
        <v>18.399999999999999</v>
      </c>
    </row>
    <row r="3082" spans="1:6" x14ac:dyDescent="0.25">
      <c r="A3082" t="s">
        <v>1381</v>
      </c>
      <c r="B3082" t="s">
        <v>33</v>
      </c>
      <c r="C3082" t="s">
        <v>57</v>
      </c>
      <c r="D3082" t="s">
        <v>3219</v>
      </c>
      <c r="E3082">
        <v>29.87</v>
      </c>
      <c r="F3082">
        <v>17.329999999999998</v>
      </c>
    </row>
    <row r="3083" spans="1:6" x14ac:dyDescent="0.25">
      <c r="A3083" t="s">
        <v>1382</v>
      </c>
      <c r="B3083" t="s">
        <v>33</v>
      </c>
      <c r="C3083" t="s">
        <v>58</v>
      </c>
      <c r="D3083" t="s">
        <v>3217</v>
      </c>
      <c r="E3083">
        <v>0</v>
      </c>
      <c r="F3083">
        <v>17.82</v>
      </c>
    </row>
    <row r="3084" spans="1:6" x14ac:dyDescent="0.25">
      <c r="A3084" t="s">
        <v>1382</v>
      </c>
      <c r="B3084" t="s">
        <v>33</v>
      </c>
      <c r="C3084" t="s">
        <v>58</v>
      </c>
      <c r="D3084" t="s">
        <v>3218</v>
      </c>
      <c r="E3084">
        <v>14.37</v>
      </c>
      <c r="F3084">
        <v>18.25</v>
      </c>
    </row>
    <row r="3085" spans="1:6" x14ac:dyDescent="0.25">
      <c r="A3085" t="s">
        <v>1382</v>
      </c>
      <c r="B3085" t="s">
        <v>33</v>
      </c>
      <c r="C3085" t="s">
        <v>58</v>
      </c>
      <c r="D3085" t="s">
        <v>3219</v>
      </c>
      <c r="E3085">
        <v>27.05</v>
      </c>
      <c r="F3085">
        <v>18.149999999999999</v>
      </c>
    </row>
    <row r="3086" spans="1:6" x14ac:dyDescent="0.25">
      <c r="A3086" t="s">
        <v>1383</v>
      </c>
      <c r="B3086" t="s">
        <v>33</v>
      </c>
      <c r="C3086" t="s">
        <v>59</v>
      </c>
      <c r="D3086" t="s">
        <v>3217</v>
      </c>
      <c r="E3086">
        <v>0</v>
      </c>
      <c r="F3086">
        <v>18.690000000000001</v>
      </c>
    </row>
    <row r="3087" spans="1:6" x14ac:dyDescent="0.25">
      <c r="A3087" t="s">
        <v>1383</v>
      </c>
      <c r="B3087" t="s">
        <v>33</v>
      </c>
      <c r="C3087" t="s">
        <v>59</v>
      </c>
      <c r="D3087" t="s">
        <v>3218</v>
      </c>
      <c r="E3087">
        <v>13.33</v>
      </c>
      <c r="F3087">
        <v>18.93</v>
      </c>
    </row>
    <row r="3088" spans="1:6" x14ac:dyDescent="0.25">
      <c r="A3088" t="s">
        <v>1383</v>
      </c>
      <c r="B3088" t="s">
        <v>33</v>
      </c>
      <c r="C3088" t="s">
        <v>59</v>
      </c>
      <c r="D3088" t="s">
        <v>3219</v>
      </c>
      <c r="E3088">
        <v>25.54</v>
      </c>
      <c r="F3088">
        <v>18.93</v>
      </c>
    </row>
    <row r="3089" spans="1:6" x14ac:dyDescent="0.25">
      <c r="A3089" t="s">
        <v>1384</v>
      </c>
      <c r="B3089" t="s">
        <v>33</v>
      </c>
      <c r="C3089" t="s">
        <v>60</v>
      </c>
      <c r="D3089" t="s">
        <v>3217</v>
      </c>
      <c r="E3089">
        <v>0</v>
      </c>
      <c r="F3089">
        <v>19.7</v>
      </c>
    </row>
    <row r="3090" spans="1:6" x14ac:dyDescent="0.25">
      <c r="A3090" t="s">
        <v>1384</v>
      </c>
      <c r="B3090" t="s">
        <v>33</v>
      </c>
      <c r="C3090" t="s">
        <v>60</v>
      </c>
      <c r="D3090" t="s">
        <v>3218</v>
      </c>
      <c r="E3090">
        <v>15.5</v>
      </c>
      <c r="F3090">
        <v>20.09</v>
      </c>
    </row>
    <row r="3091" spans="1:6" x14ac:dyDescent="0.25">
      <c r="A3091" t="s">
        <v>1384</v>
      </c>
      <c r="B3091" t="s">
        <v>33</v>
      </c>
      <c r="C3091" t="s">
        <v>60</v>
      </c>
      <c r="D3091" t="s">
        <v>3219</v>
      </c>
      <c r="E3091">
        <v>26.42</v>
      </c>
      <c r="F3091">
        <v>20.010000000000002</v>
      </c>
    </row>
    <row r="3092" spans="1:6" x14ac:dyDescent="0.25">
      <c r="A3092" t="s">
        <v>1385</v>
      </c>
      <c r="B3092" t="s">
        <v>33</v>
      </c>
      <c r="C3092" t="s">
        <v>61</v>
      </c>
      <c r="D3092" t="s">
        <v>3217</v>
      </c>
      <c r="E3092">
        <v>0</v>
      </c>
      <c r="F3092">
        <v>21.18</v>
      </c>
    </row>
    <row r="3093" spans="1:6" x14ac:dyDescent="0.25">
      <c r="A3093" t="s">
        <v>1385</v>
      </c>
      <c r="B3093" t="s">
        <v>33</v>
      </c>
      <c r="C3093" t="s">
        <v>61</v>
      </c>
      <c r="D3093" t="s">
        <v>3218</v>
      </c>
      <c r="E3093">
        <v>18.010000000000002</v>
      </c>
      <c r="F3093">
        <v>21.5</v>
      </c>
    </row>
    <row r="3094" spans="1:6" x14ac:dyDescent="0.25">
      <c r="A3094" t="s">
        <v>1385</v>
      </c>
      <c r="B3094" t="s">
        <v>33</v>
      </c>
      <c r="C3094" t="s">
        <v>61</v>
      </c>
      <c r="D3094" t="s">
        <v>3219</v>
      </c>
      <c r="E3094">
        <v>28.93</v>
      </c>
      <c r="F3094">
        <v>21.45</v>
      </c>
    </row>
    <row r="3095" spans="1:6" x14ac:dyDescent="0.25">
      <c r="A3095" t="s">
        <v>1386</v>
      </c>
      <c r="B3095" t="s">
        <v>33</v>
      </c>
      <c r="C3095" t="s">
        <v>62</v>
      </c>
      <c r="D3095" t="s">
        <v>3217</v>
      </c>
      <c r="E3095">
        <v>0</v>
      </c>
      <c r="F3095">
        <v>22.67</v>
      </c>
    </row>
    <row r="3096" spans="1:6" x14ac:dyDescent="0.25">
      <c r="A3096" t="s">
        <v>1386</v>
      </c>
      <c r="B3096" t="s">
        <v>33</v>
      </c>
      <c r="C3096" t="s">
        <v>62</v>
      </c>
      <c r="D3096" t="s">
        <v>3218</v>
      </c>
      <c r="E3096">
        <v>17.510000000000002</v>
      </c>
      <c r="F3096">
        <v>22.9</v>
      </c>
    </row>
    <row r="3097" spans="1:6" x14ac:dyDescent="0.25">
      <c r="A3097" t="s">
        <v>1386</v>
      </c>
      <c r="B3097" t="s">
        <v>33</v>
      </c>
      <c r="C3097" t="s">
        <v>62</v>
      </c>
      <c r="D3097" t="s">
        <v>3219</v>
      </c>
      <c r="E3097">
        <v>28.43</v>
      </c>
      <c r="F3097">
        <v>23.06</v>
      </c>
    </row>
    <row r="3098" spans="1:6" x14ac:dyDescent="0.25">
      <c r="A3098" t="s">
        <v>1387</v>
      </c>
      <c r="B3098" t="s">
        <v>33</v>
      </c>
      <c r="C3098" t="s">
        <v>63</v>
      </c>
      <c r="D3098" t="s">
        <v>3217</v>
      </c>
      <c r="E3098">
        <v>0</v>
      </c>
      <c r="F3098">
        <v>24.06</v>
      </c>
    </row>
    <row r="3099" spans="1:6" x14ac:dyDescent="0.25">
      <c r="A3099" t="s">
        <v>1387</v>
      </c>
      <c r="B3099" t="s">
        <v>33</v>
      </c>
      <c r="C3099" t="s">
        <v>63</v>
      </c>
      <c r="D3099" t="s">
        <v>3218</v>
      </c>
      <c r="E3099">
        <v>18.010000000000002</v>
      </c>
      <c r="F3099">
        <v>24.48</v>
      </c>
    </row>
    <row r="3100" spans="1:6" x14ac:dyDescent="0.25">
      <c r="A3100" t="s">
        <v>1387</v>
      </c>
      <c r="B3100" t="s">
        <v>33</v>
      </c>
      <c r="C3100" t="s">
        <v>63</v>
      </c>
      <c r="D3100" t="s">
        <v>3219</v>
      </c>
      <c r="E3100">
        <v>35.51</v>
      </c>
      <c r="F3100">
        <v>26.2</v>
      </c>
    </row>
    <row r="3101" spans="1:6" x14ac:dyDescent="0.25">
      <c r="A3101" t="s">
        <v>1388</v>
      </c>
      <c r="B3101" t="s">
        <v>33</v>
      </c>
      <c r="C3101" t="s">
        <v>64</v>
      </c>
      <c r="D3101" t="s">
        <v>3217</v>
      </c>
      <c r="E3101">
        <v>0</v>
      </c>
      <c r="F3101">
        <v>25.77</v>
      </c>
    </row>
    <row r="3102" spans="1:6" x14ac:dyDescent="0.25">
      <c r="A3102" t="s">
        <v>1388</v>
      </c>
      <c r="B3102" t="s">
        <v>33</v>
      </c>
      <c r="C3102" t="s">
        <v>64</v>
      </c>
      <c r="D3102" t="s">
        <v>3218</v>
      </c>
      <c r="E3102">
        <v>18.18</v>
      </c>
      <c r="F3102">
        <v>26.2</v>
      </c>
    </row>
    <row r="3103" spans="1:6" x14ac:dyDescent="0.25">
      <c r="A3103" t="s">
        <v>1388</v>
      </c>
      <c r="B3103" t="s">
        <v>33</v>
      </c>
      <c r="C3103" t="s">
        <v>64</v>
      </c>
      <c r="D3103" t="s">
        <v>3219</v>
      </c>
      <c r="E3103">
        <v>35.43</v>
      </c>
      <c r="F3103">
        <v>27.83</v>
      </c>
    </row>
    <row r="3104" spans="1:6" x14ac:dyDescent="0.25">
      <c r="A3104" t="s">
        <v>1389</v>
      </c>
      <c r="B3104" t="s">
        <v>33</v>
      </c>
      <c r="C3104" t="s">
        <v>65</v>
      </c>
      <c r="D3104" t="s">
        <v>3217</v>
      </c>
      <c r="E3104">
        <v>0</v>
      </c>
      <c r="F3104">
        <v>27.54</v>
      </c>
    </row>
    <row r="3105" spans="1:6" x14ac:dyDescent="0.25">
      <c r="A3105" t="s">
        <v>1389</v>
      </c>
      <c r="B3105" t="s">
        <v>33</v>
      </c>
      <c r="C3105" t="s">
        <v>65</v>
      </c>
      <c r="D3105" t="s">
        <v>3218</v>
      </c>
      <c r="E3105">
        <v>17.809999999999999</v>
      </c>
      <c r="F3105">
        <v>28.03</v>
      </c>
    </row>
    <row r="3106" spans="1:6" x14ac:dyDescent="0.25">
      <c r="A3106" t="s">
        <v>1389</v>
      </c>
      <c r="B3106" t="s">
        <v>33</v>
      </c>
      <c r="C3106" t="s">
        <v>65</v>
      </c>
      <c r="D3106" t="s">
        <v>3219</v>
      </c>
      <c r="E3106">
        <v>34.299999999999997</v>
      </c>
      <c r="F3106">
        <v>27.46</v>
      </c>
    </row>
    <row r="3107" spans="1:6" x14ac:dyDescent="0.25">
      <c r="A3107" t="s">
        <v>1390</v>
      </c>
      <c r="B3107" t="s">
        <v>33</v>
      </c>
      <c r="C3107" t="s">
        <v>66</v>
      </c>
      <c r="D3107" t="s">
        <v>3217</v>
      </c>
      <c r="E3107">
        <v>0</v>
      </c>
      <c r="F3107">
        <v>29.21</v>
      </c>
    </row>
    <row r="3108" spans="1:6" x14ac:dyDescent="0.25">
      <c r="A3108" t="s">
        <v>1390</v>
      </c>
      <c r="B3108" t="s">
        <v>33</v>
      </c>
      <c r="C3108" t="s">
        <v>66</v>
      </c>
      <c r="D3108" t="s">
        <v>3218</v>
      </c>
      <c r="E3108">
        <v>17.809999999999999</v>
      </c>
      <c r="F3108">
        <v>29.77</v>
      </c>
    </row>
    <row r="3109" spans="1:6" x14ac:dyDescent="0.25">
      <c r="A3109" t="s">
        <v>1390</v>
      </c>
      <c r="B3109" t="s">
        <v>33</v>
      </c>
      <c r="C3109" t="s">
        <v>66</v>
      </c>
      <c r="D3109" t="s">
        <v>3219</v>
      </c>
      <c r="E3109">
        <v>35.729999999999997</v>
      </c>
      <c r="F3109">
        <v>28.53</v>
      </c>
    </row>
    <row r="3110" spans="1:6" x14ac:dyDescent="0.25">
      <c r="A3110" t="s">
        <v>1391</v>
      </c>
      <c r="B3110" t="s">
        <v>33</v>
      </c>
      <c r="C3110" t="s">
        <v>67</v>
      </c>
      <c r="D3110" t="s">
        <v>3217</v>
      </c>
      <c r="E3110">
        <v>0</v>
      </c>
      <c r="F3110">
        <v>30.92</v>
      </c>
    </row>
    <row r="3111" spans="1:6" x14ac:dyDescent="0.25">
      <c r="A3111" t="s">
        <v>1391</v>
      </c>
      <c r="B3111" t="s">
        <v>33</v>
      </c>
      <c r="C3111" t="s">
        <v>67</v>
      </c>
      <c r="D3111" t="s">
        <v>3218</v>
      </c>
      <c r="E3111">
        <v>16.649999999999999</v>
      </c>
      <c r="F3111">
        <v>31.35</v>
      </c>
    </row>
    <row r="3112" spans="1:6" x14ac:dyDescent="0.25">
      <c r="A3112" t="s">
        <v>1391</v>
      </c>
      <c r="B3112" t="s">
        <v>33</v>
      </c>
      <c r="C3112" t="s">
        <v>67</v>
      </c>
      <c r="D3112" t="s">
        <v>3219</v>
      </c>
      <c r="E3112">
        <v>30.81</v>
      </c>
      <c r="F3112">
        <v>33.06</v>
      </c>
    </row>
    <row r="3113" spans="1:6" x14ac:dyDescent="0.25">
      <c r="A3113" t="s">
        <v>1392</v>
      </c>
      <c r="B3113" t="s">
        <v>33</v>
      </c>
      <c r="C3113" t="s">
        <v>68</v>
      </c>
      <c r="D3113" t="s">
        <v>3217</v>
      </c>
      <c r="E3113">
        <v>0</v>
      </c>
      <c r="F3113">
        <v>32.56</v>
      </c>
    </row>
    <row r="3114" spans="1:6" x14ac:dyDescent="0.25">
      <c r="A3114" t="s">
        <v>1392</v>
      </c>
      <c r="B3114" t="s">
        <v>33</v>
      </c>
      <c r="C3114" t="s">
        <v>68</v>
      </c>
      <c r="D3114" t="s">
        <v>3218</v>
      </c>
      <c r="E3114">
        <v>15.32</v>
      </c>
      <c r="F3114">
        <v>32.76</v>
      </c>
    </row>
    <row r="3115" spans="1:6" x14ac:dyDescent="0.25">
      <c r="A3115" t="s">
        <v>1392</v>
      </c>
      <c r="B3115" t="s">
        <v>33</v>
      </c>
      <c r="C3115" t="s">
        <v>68</v>
      </c>
      <c r="D3115" t="s">
        <v>3219</v>
      </c>
      <c r="E3115">
        <v>29.48</v>
      </c>
      <c r="F3115">
        <v>33.6</v>
      </c>
    </row>
    <row r="3116" spans="1:6" x14ac:dyDescent="0.25">
      <c r="A3116" t="s">
        <v>1393</v>
      </c>
      <c r="B3116" t="s">
        <v>33</v>
      </c>
      <c r="C3116" t="s">
        <v>69</v>
      </c>
      <c r="D3116" t="s">
        <v>3217</v>
      </c>
      <c r="E3116">
        <v>0</v>
      </c>
      <c r="F3116">
        <v>34.11</v>
      </c>
    </row>
    <row r="3117" spans="1:6" x14ac:dyDescent="0.25">
      <c r="A3117" t="s">
        <v>1393</v>
      </c>
      <c r="B3117" t="s">
        <v>33</v>
      </c>
      <c r="C3117" t="s">
        <v>69</v>
      </c>
      <c r="D3117" t="s">
        <v>3218</v>
      </c>
      <c r="E3117">
        <v>15.17</v>
      </c>
      <c r="F3117">
        <v>34.51</v>
      </c>
    </row>
    <row r="3118" spans="1:6" x14ac:dyDescent="0.25">
      <c r="A3118" t="s">
        <v>1393</v>
      </c>
      <c r="B3118" t="s">
        <v>33</v>
      </c>
      <c r="C3118" t="s">
        <v>69</v>
      </c>
      <c r="D3118" t="s">
        <v>3219</v>
      </c>
      <c r="E3118">
        <v>29.33</v>
      </c>
      <c r="F3118">
        <v>34.590000000000003</v>
      </c>
    </row>
    <row r="3119" spans="1:6" x14ac:dyDescent="0.25">
      <c r="A3119" t="s">
        <v>1394</v>
      </c>
      <c r="B3119" t="s">
        <v>33</v>
      </c>
      <c r="C3119" t="s">
        <v>70</v>
      </c>
      <c r="D3119" t="s">
        <v>3217</v>
      </c>
      <c r="E3119">
        <v>0</v>
      </c>
      <c r="F3119">
        <v>35.68</v>
      </c>
    </row>
    <row r="3120" spans="1:6" x14ac:dyDescent="0.25">
      <c r="A3120" t="s">
        <v>1394</v>
      </c>
      <c r="B3120" t="s">
        <v>33</v>
      </c>
      <c r="C3120" t="s">
        <v>70</v>
      </c>
      <c r="D3120" t="s">
        <v>3218</v>
      </c>
      <c r="E3120">
        <v>16.36</v>
      </c>
      <c r="F3120">
        <v>35.81</v>
      </c>
    </row>
    <row r="3121" spans="1:6" x14ac:dyDescent="0.25">
      <c r="A3121" t="s">
        <v>1394</v>
      </c>
      <c r="B3121" t="s">
        <v>33</v>
      </c>
      <c r="C3121" t="s">
        <v>70</v>
      </c>
      <c r="D3121" t="s">
        <v>3219</v>
      </c>
      <c r="E3121">
        <v>36.36</v>
      </c>
      <c r="F3121">
        <v>36.82</v>
      </c>
    </row>
    <row r="3122" spans="1:6" x14ac:dyDescent="0.25">
      <c r="A3122" t="s">
        <v>1395</v>
      </c>
      <c r="B3122" t="s">
        <v>33</v>
      </c>
      <c r="C3122" t="s">
        <v>71</v>
      </c>
      <c r="D3122" t="s">
        <v>3217</v>
      </c>
      <c r="E3122">
        <v>0</v>
      </c>
      <c r="F3122">
        <v>37.57</v>
      </c>
    </row>
    <row r="3123" spans="1:6" x14ac:dyDescent="0.25">
      <c r="A3123" t="s">
        <v>1395</v>
      </c>
      <c r="B3123" t="s">
        <v>33</v>
      </c>
      <c r="C3123" t="s">
        <v>71</v>
      </c>
      <c r="D3123" t="s">
        <v>3218</v>
      </c>
      <c r="E3123">
        <v>20</v>
      </c>
      <c r="F3123">
        <v>37.22</v>
      </c>
    </row>
    <row r="3124" spans="1:6" x14ac:dyDescent="0.25">
      <c r="A3124" t="s">
        <v>1395</v>
      </c>
      <c r="B3124" t="s">
        <v>33</v>
      </c>
      <c r="C3124" t="s">
        <v>71</v>
      </c>
      <c r="D3124" t="s">
        <v>3219</v>
      </c>
      <c r="E3124">
        <v>40</v>
      </c>
      <c r="F3124">
        <v>37.869999999999997</v>
      </c>
    </row>
    <row r="3125" spans="1:6" x14ac:dyDescent="0.25">
      <c r="A3125" t="s">
        <v>1396</v>
      </c>
      <c r="B3125" t="s">
        <v>33</v>
      </c>
      <c r="C3125" t="s">
        <v>72</v>
      </c>
      <c r="D3125" t="s">
        <v>3217</v>
      </c>
      <c r="E3125">
        <v>0</v>
      </c>
      <c r="F3125">
        <v>38.28</v>
      </c>
    </row>
    <row r="3126" spans="1:6" x14ac:dyDescent="0.25">
      <c r="A3126" t="s">
        <v>1396</v>
      </c>
      <c r="B3126" t="s">
        <v>33</v>
      </c>
      <c r="C3126" t="s">
        <v>72</v>
      </c>
      <c r="D3126" t="s">
        <v>3218</v>
      </c>
      <c r="E3126">
        <v>20</v>
      </c>
      <c r="F3126">
        <v>37.81</v>
      </c>
    </row>
    <row r="3127" spans="1:6" x14ac:dyDescent="0.25">
      <c r="A3127" t="s">
        <v>1396</v>
      </c>
      <c r="B3127" t="s">
        <v>33</v>
      </c>
      <c r="C3127" t="s">
        <v>72</v>
      </c>
      <c r="D3127" t="s">
        <v>3219</v>
      </c>
      <c r="E3127">
        <v>40</v>
      </c>
      <c r="F3127">
        <v>37.93</v>
      </c>
    </row>
    <row r="3128" spans="1:6" x14ac:dyDescent="0.25">
      <c r="A3128" t="s">
        <v>1397</v>
      </c>
      <c r="B3128" t="s">
        <v>33</v>
      </c>
      <c r="C3128" t="s">
        <v>73</v>
      </c>
      <c r="D3128" t="s">
        <v>3217</v>
      </c>
      <c r="E3128">
        <v>0</v>
      </c>
      <c r="F3128">
        <v>39.04</v>
      </c>
    </row>
    <row r="3129" spans="1:6" x14ac:dyDescent="0.25">
      <c r="A3129" t="s">
        <v>1397</v>
      </c>
      <c r="B3129" t="s">
        <v>33</v>
      </c>
      <c r="C3129" t="s">
        <v>73</v>
      </c>
      <c r="D3129" t="s">
        <v>3218</v>
      </c>
      <c r="E3129">
        <v>20</v>
      </c>
      <c r="F3129">
        <v>38.869999999999997</v>
      </c>
    </row>
    <row r="3130" spans="1:6" x14ac:dyDescent="0.25">
      <c r="A3130" t="s">
        <v>1397</v>
      </c>
      <c r="B3130" t="s">
        <v>33</v>
      </c>
      <c r="C3130" t="s">
        <v>73</v>
      </c>
      <c r="D3130" t="s">
        <v>3219</v>
      </c>
      <c r="E3130">
        <v>40</v>
      </c>
      <c r="F3130">
        <v>38.07</v>
      </c>
    </row>
    <row r="3131" spans="1:6" x14ac:dyDescent="0.25">
      <c r="A3131" t="s">
        <v>1398</v>
      </c>
      <c r="B3131" t="s">
        <v>33</v>
      </c>
      <c r="C3131" t="s">
        <v>74</v>
      </c>
      <c r="D3131" t="s">
        <v>3217</v>
      </c>
      <c r="E3131">
        <v>0</v>
      </c>
      <c r="F3131">
        <v>39.99</v>
      </c>
    </row>
    <row r="3132" spans="1:6" x14ac:dyDescent="0.25">
      <c r="A3132" t="s">
        <v>1398</v>
      </c>
      <c r="B3132" t="s">
        <v>33</v>
      </c>
      <c r="C3132" t="s">
        <v>74</v>
      </c>
      <c r="D3132" t="s">
        <v>3218</v>
      </c>
      <c r="E3132">
        <v>20</v>
      </c>
      <c r="F3132">
        <v>40.11</v>
      </c>
    </row>
    <row r="3133" spans="1:6" x14ac:dyDescent="0.25">
      <c r="A3133" t="s">
        <v>1398</v>
      </c>
      <c r="B3133" t="s">
        <v>33</v>
      </c>
      <c r="C3133" t="s">
        <v>74</v>
      </c>
      <c r="D3133" t="s">
        <v>3219</v>
      </c>
      <c r="E3133">
        <v>40</v>
      </c>
      <c r="F3133">
        <v>39.06</v>
      </c>
    </row>
    <row r="3134" spans="1:6" x14ac:dyDescent="0.25">
      <c r="A3134" t="s">
        <v>1399</v>
      </c>
      <c r="B3134" t="s">
        <v>33</v>
      </c>
      <c r="C3134" t="s">
        <v>75</v>
      </c>
      <c r="D3134" t="s">
        <v>3217</v>
      </c>
      <c r="E3134">
        <v>0</v>
      </c>
      <c r="F3134">
        <v>41.24</v>
      </c>
    </row>
    <row r="3135" spans="1:6" x14ac:dyDescent="0.25">
      <c r="A3135" t="s">
        <v>1399</v>
      </c>
      <c r="B3135" t="s">
        <v>33</v>
      </c>
      <c r="C3135" t="s">
        <v>75</v>
      </c>
      <c r="D3135" t="s">
        <v>3218</v>
      </c>
      <c r="E3135">
        <v>14.11</v>
      </c>
      <c r="F3135">
        <v>41.54</v>
      </c>
    </row>
    <row r="3136" spans="1:6" x14ac:dyDescent="0.25">
      <c r="A3136" t="s">
        <v>1399</v>
      </c>
      <c r="B3136" t="s">
        <v>33</v>
      </c>
      <c r="C3136" t="s">
        <v>75</v>
      </c>
      <c r="D3136" t="s">
        <v>3219</v>
      </c>
      <c r="E3136">
        <v>31.41</v>
      </c>
      <c r="F3136">
        <v>40.840000000000003</v>
      </c>
    </row>
    <row r="3137" spans="1:6" x14ac:dyDescent="0.25">
      <c r="A3137" t="s">
        <v>1400</v>
      </c>
      <c r="B3137" t="s">
        <v>33</v>
      </c>
      <c r="C3137" t="s">
        <v>76</v>
      </c>
      <c r="D3137" t="s">
        <v>3217</v>
      </c>
      <c r="E3137">
        <v>0</v>
      </c>
      <c r="F3137">
        <v>42.56</v>
      </c>
    </row>
    <row r="3138" spans="1:6" x14ac:dyDescent="0.25">
      <c r="A3138" t="s">
        <v>1400</v>
      </c>
      <c r="B3138" t="s">
        <v>33</v>
      </c>
      <c r="C3138" t="s">
        <v>76</v>
      </c>
      <c r="D3138" t="s">
        <v>3218</v>
      </c>
      <c r="E3138">
        <v>12.98</v>
      </c>
      <c r="F3138">
        <v>42.64</v>
      </c>
    </row>
    <row r="3139" spans="1:6" x14ac:dyDescent="0.25">
      <c r="A3139" t="s">
        <v>1400</v>
      </c>
      <c r="B3139" t="s">
        <v>33</v>
      </c>
      <c r="C3139" t="s">
        <v>76</v>
      </c>
      <c r="D3139" t="s">
        <v>3219</v>
      </c>
      <c r="E3139">
        <v>29.84</v>
      </c>
      <c r="F3139">
        <v>42.01</v>
      </c>
    </row>
    <row r="3140" spans="1:6" x14ac:dyDescent="0.25">
      <c r="A3140" t="s">
        <v>1401</v>
      </c>
      <c r="B3140" t="s">
        <v>33</v>
      </c>
      <c r="C3140" t="s">
        <v>77</v>
      </c>
      <c r="D3140" t="s">
        <v>3217</v>
      </c>
      <c r="E3140">
        <v>0</v>
      </c>
      <c r="F3140">
        <v>44.03</v>
      </c>
    </row>
    <row r="3141" spans="1:6" x14ac:dyDescent="0.25">
      <c r="A3141" t="s">
        <v>1401</v>
      </c>
      <c r="B3141" t="s">
        <v>33</v>
      </c>
      <c r="C3141" t="s">
        <v>77</v>
      </c>
      <c r="D3141" t="s">
        <v>3218</v>
      </c>
      <c r="E3141">
        <v>13.05</v>
      </c>
      <c r="F3141">
        <v>44.06</v>
      </c>
    </row>
    <row r="3142" spans="1:6" x14ac:dyDescent="0.25">
      <c r="A3142" t="s">
        <v>1401</v>
      </c>
      <c r="B3142" t="s">
        <v>33</v>
      </c>
      <c r="C3142" t="s">
        <v>77</v>
      </c>
      <c r="D3142" t="s">
        <v>3219</v>
      </c>
      <c r="E3142">
        <v>29.16</v>
      </c>
      <c r="F3142">
        <v>43.47</v>
      </c>
    </row>
    <row r="3143" spans="1:6" x14ac:dyDescent="0.25">
      <c r="A3143" t="s">
        <v>1402</v>
      </c>
      <c r="B3143" t="s">
        <v>33</v>
      </c>
      <c r="C3143" t="s">
        <v>78</v>
      </c>
      <c r="D3143" t="s">
        <v>3217</v>
      </c>
      <c r="E3143">
        <v>0</v>
      </c>
      <c r="F3143">
        <v>45.57</v>
      </c>
    </row>
    <row r="3144" spans="1:6" x14ac:dyDescent="0.25">
      <c r="A3144" t="s">
        <v>1402</v>
      </c>
      <c r="B3144" t="s">
        <v>33</v>
      </c>
      <c r="C3144" t="s">
        <v>78</v>
      </c>
      <c r="D3144" t="s">
        <v>3218</v>
      </c>
      <c r="E3144">
        <v>12.12</v>
      </c>
      <c r="F3144">
        <v>45.62</v>
      </c>
    </row>
    <row r="3145" spans="1:6" x14ac:dyDescent="0.25">
      <c r="A3145" t="s">
        <v>1402</v>
      </c>
      <c r="B3145" t="s">
        <v>33</v>
      </c>
      <c r="C3145" t="s">
        <v>78</v>
      </c>
      <c r="D3145" t="s">
        <v>3219</v>
      </c>
      <c r="E3145">
        <v>27.94</v>
      </c>
      <c r="F3145">
        <v>45.12</v>
      </c>
    </row>
    <row r="3146" spans="1:6" x14ac:dyDescent="0.25">
      <c r="A3146" t="s">
        <v>1403</v>
      </c>
      <c r="B3146" t="s">
        <v>33</v>
      </c>
      <c r="C3146" t="s">
        <v>79</v>
      </c>
      <c r="D3146" t="s">
        <v>3217</v>
      </c>
      <c r="E3146">
        <v>0</v>
      </c>
      <c r="F3146">
        <v>47.07</v>
      </c>
    </row>
    <row r="3147" spans="1:6" x14ac:dyDescent="0.25">
      <c r="A3147" t="s">
        <v>1403</v>
      </c>
      <c r="B3147" t="s">
        <v>33</v>
      </c>
      <c r="C3147" t="s">
        <v>79</v>
      </c>
      <c r="D3147" t="s">
        <v>3218</v>
      </c>
      <c r="E3147">
        <v>12.12</v>
      </c>
      <c r="F3147">
        <v>47.16</v>
      </c>
    </row>
    <row r="3148" spans="1:6" x14ac:dyDescent="0.25">
      <c r="A3148" t="s">
        <v>1403</v>
      </c>
      <c r="B3148" t="s">
        <v>33</v>
      </c>
      <c r="C3148" t="s">
        <v>79</v>
      </c>
      <c r="D3148" t="s">
        <v>3219</v>
      </c>
      <c r="E3148">
        <v>27.42</v>
      </c>
      <c r="F3148">
        <v>46.52</v>
      </c>
    </row>
    <row r="3149" spans="1:6" x14ac:dyDescent="0.25">
      <c r="A3149" t="s">
        <v>1404</v>
      </c>
      <c r="B3149" t="s">
        <v>33</v>
      </c>
      <c r="C3149" t="s">
        <v>80</v>
      </c>
      <c r="D3149" t="s">
        <v>3217</v>
      </c>
      <c r="E3149">
        <v>0</v>
      </c>
      <c r="F3149">
        <v>48.31</v>
      </c>
    </row>
    <row r="3150" spans="1:6" x14ac:dyDescent="0.25">
      <c r="A3150" t="s">
        <v>1404</v>
      </c>
      <c r="B3150" t="s">
        <v>33</v>
      </c>
      <c r="C3150" t="s">
        <v>80</v>
      </c>
      <c r="D3150" t="s">
        <v>3218</v>
      </c>
      <c r="E3150">
        <v>11.73</v>
      </c>
      <c r="F3150">
        <v>48.6</v>
      </c>
    </row>
    <row r="3151" spans="1:6" x14ac:dyDescent="0.25">
      <c r="A3151" t="s">
        <v>1404</v>
      </c>
      <c r="B3151" t="s">
        <v>33</v>
      </c>
      <c r="C3151" t="s">
        <v>80</v>
      </c>
      <c r="D3151" t="s">
        <v>3219</v>
      </c>
      <c r="E3151">
        <v>27.06</v>
      </c>
      <c r="F3151">
        <v>47.92</v>
      </c>
    </row>
    <row r="3152" spans="1:6" x14ac:dyDescent="0.25">
      <c r="A3152" t="s">
        <v>1405</v>
      </c>
      <c r="B3152" t="s">
        <v>33</v>
      </c>
      <c r="C3152" t="s">
        <v>81</v>
      </c>
      <c r="D3152" t="s">
        <v>3217</v>
      </c>
      <c r="E3152">
        <v>0</v>
      </c>
      <c r="F3152">
        <v>49.7</v>
      </c>
    </row>
    <row r="3153" spans="1:6" x14ac:dyDescent="0.25">
      <c r="A3153" t="s">
        <v>1405</v>
      </c>
      <c r="B3153" t="s">
        <v>33</v>
      </c>
      <c r="C3153" t="s">
        <v>81</v>
      </c>
      <c r="D3153" t="s">
        <v>3218</v>
      </c>
      <c r="E3153">
        <v>11.05</v>
      </c>
      <c r="F3153">
        <v>49.79</v>
      </c>
    </row>
    <row r="3154" spans="1:6" x14ac:dyDescent="0.25">
      <c r="A3154" t="s">
        <v>1405</v>
      </c>
      <c r="B3154" t="s">
        <v>33</v>
      </c>
      <c r="C3154" t="s">
        <v>81</v>
      </c>
      <c r="D3154" t="s">
        <v>3219</v>
      </c>
      <c r="E3154">
        <v>28</v>
      </c>
      <c r="F3154">
        <v>49.15</v>
      </c>
    </row>
    <row r="3155" spans="1:6" x14ac:dyDescent="0.25">
      <c r="A3155" t="s">
        <v>1406</v>
      </c>
      <c r="B3155" t="s">
        <v>33</v>
      </c>
      <c r="C3155" t="s">
        <v>82</v>
      </c>
      <c r="D3155" t="s">
        <v>3217</v>
      </c>
      <c r="E3155">
        <v>0</v>
      </c>
      <c r="F3155">
        <v>50.99</v>
      </c>
    </row>
    <row r="3156" spans="1:6" x14ac:dyDescent="0.25">
      <c r="A3156" t="s">
        <v>1406</v>
      </c>
      <c r="B3156" t="s">
        <v>33</v>
      </c>
      <c r="C3156" t="s">
        <v>82</v>
      </c>
      <c r="D3156" t="s">
        <v>3218</v>
      </c>
      <c r="E3156">
        <v>11.05</v>
      </c>
      <c r="F3156">
        <v>51.13</v>
      </c>
    </row>
    <row r="3157" spans="1:6" x14ac:dyDescent="0.25">
      <c r="A3157" t="s">
        <v>1406</v>
      </c>
      <c r="B3157" t="s">
        <v>33</v>
      </c>
      <c r="C3157" t="s">
        <v>82</v>
      </c>
      <c r="D3157" t="s">
        <v>3219</v>
      </c>
      <c r="E3157">
        <v>31.05</v>
      </c>
      <c r="F3157">
        <v>50.56</v>
      </c>
    </row>
    <row r="3158" spans="1:6" x14ac:dyDescent="0.25">
      <c r="A3158" t="s">
        <v>1407</v>
      </c>
      <c r="B3158" t="s">
        <v>33</v>
      </c>
      <c r="C3158" t="s">
        <v>83</v>
      </c>
      <c r="D3158" t="s">
        <v>3217</v>
      </c>
      <c r="E3158">
        <v>0</v>
      </c>
      <c r="F3158">
        <v>51.95</v>
      </c>
    </row>
    <row r="3159" spans="1:6" x14ac:dyDescent="0.25">
      <c r="A3159" t="s">
        <v>1407</v>
      </c>
      <c r="B3159" t="s">
        <v>33</v>
      </c>
      <c r="C3159" t="s">
        <v>83</v>
      </c>
      <c r="D3159" t="s">
        <v>3218</v>
      </c>
      <c r="E3159">
        <v>10</v>
      </c>
      <c r="F3159">
        <v>52.29</v>
      </c>
    </row>
    <row r="3160" spans="1:6" x14ac:dyDescent="0.25">
      <c r="A3160" t="s">
        <v>1407</v>
      </c>
      <c r="B3160" t="s">
        <v>33</v>
      </c>
      <c r="C3160" t="s">
        <v>83</v>
      </c>
      <c r="D3160" t="s">
        <v>3219</v>
      </c>
      <c r="E3160">
        <v>30</v>
      </c>
      <c r="F3160">
        <v>51.55</v>
      </c>
    </row>
    <row r="3161" spans="1:6" x14ac:dyDescent="0.25">
      <c r="A3161" t="s">
        <v>1408</v>
      </c>
      <c r="B3161" t="s">
        <v>33</v>
      </c>
      <c r="C3161" t="s">
        <v>84</v>
      </c>
      <c r="D3161" t="s">
        <v>3217</v>
      </c>
      <c r="E3161">
        <v>0</v>
      </c>
      <c r="F3161">
        <v>53.07</v>
      </c>
    </row>
    <row r="3162" spans="1:6" x14ac:dyDescent="0.25">
      <c r="A3162" t="s">
        <v>1408</v>
      </c>
      <c r="B3162" t="s">
        <v>33</v>
      </c>
      <c r="C3162" t="s">
        <v>84</v>
      </c>
      <c r="D3162" t="s">
        <v>3218</v>
      </c>
      <c r="E3162">
        <v>9.89</v>
      </c>
      <c r="F3162">
        <v>53.28</v>
      </c>
    </row>
    <row r="3163" spans="1:6" x14ac:dyDescent="0.25">
      <c r="A3163" t="s">
        <v>1408</v>
      </c>
      <c r="B3163" t="s">
        <v>33</v>
      </c>
      <c r="C3163" t="s">
        <v>84</v>
      </c>
      <c r="D3163" t="s">
        <v>3219</v>
      </c>
      <c r="E3163">
        <v>29.89</v>
      </c>
      <c r="F3163">
        <v>52.59</v>
      </c>
    </row>
    <row r="3164" spans="1:6" x14ac:dyDescent="0.25">
      <c r="A3164" t="s">
        <v>1409</v>
      </c>
      <c r="B3164" t="s">
        <v>33</v>
      </c>
      <c r="C3164" t="s">
        <v>85</v>
      </c>
      <c r="D3164" t="s">
        <v>3217</v>
      </c>
      <c r="E3164">
        <v>0</v>
      </c>
      <c r="F3164">
        <v>54.25</v>
      </c>
    </row>
    <row r="3165" spans="1:6" x14ac:dyDescent="0.25">
      <c r="A3165" t="s">
        <v>1409</v>
      </c>
      <c r="B3165" t="s">
        <v>33</v>
      </c>
      <c r="C3165" t="s">
        <v>85</v>
      </c>
      <c r="D3165" t="s">
        <v>3218</v>
      </c>
      <c r="E3165">
        <v>10.54</v>
      </c>
      <c r="F3165">
        <v>54.37</v>
      </c>
    </row>
    <row r="3166" spans="1:6" x14ac:dyDescent="0.25">
      <c r="A3166" t="s">
        <v>1409</v>
      </c>
      <c r="B3166" t="s">
        <v>33</v>
      </c>
      <c r="C3166" t="s">
        <v>85</v>
      </c>
      <c r="D3166" t="s">
        <v>3219</v>
      </c>
      <c r="E3166">
        <v>27.97</v>
      </c>
      <c r="F3166">
        <v>53.65</v>
      </c>
    </row>
    <row r="3167" spans="1:6" x14ac:dyDescent="0.25">
      <c r="A3167" t="s">
        <v>1410</v>
      </c>
      <c r="B3167" t="s">
        <v>33</v>
      </c>
      <c r="C3167" t="s">
        <v>86</v>
      </c>
      <c r="D3167" t="s">
        <v>3217</v>
      </c>
      <c r="E3167">
        <v>0</v>
      </c>
      <c r="F3167">
        <v>55.01</v>
      </c>
    </row>
    <row r="3168" spans="1:6" x14ac:dyDescent="0.25">
      <c r="A3168" t="s">
        <v>1410</v>
      </c>
      <c r="B3168" t="s">
        <v>33</v>
      </c>
      <c r="C3168" t="s">
        <v>86</v>
      </c>
      <c r="D3168" t="s">
        <v>3218</v>
      </c>
      <c r="E3168">
        <v>12.82</v>
      </c>
      <c r="F3168">
        <v>55.21</v>
      </c>
    </row>
    <row r="3169" spans="1:6" x14ac:dyDescent="0.25">
      <c r="A3169" t="s">
        <v>1410</v>
      </c>
      <c r="B3169" t="s">
        <v>33</v>
      </c>
      <c r="C3169" t="s">
        <v>86</v>
      </c>
      <c r="D3169" t="s">
        <v>3219</v>
      </c>
      <c r="E3169">
        <v>27.2</v>
      </c>
      <c r="F3169">
        <v>54.66</v>
      </c>
    </row>
    <row r="3170" spans="1:6" x14ac:dyDescent="0.25">
      <c r="A3170" t="s">
        <v>1411</v>
      </c>
      <c r="B3170" t="s">
        <v>33</v>
      </c>
      <c r="C3170" t="s">
        <v>87</v>
      </c>
      <c r="D3170" t="s">
        <v>3217</v>
      </c>
      <c r="E3170">
        <v>0</v>
      </c>
      <c r="F3170">
        <v>56.02</v>
      </c>
    </row>
    <row r="3171" spans="1:6" x14ac:dyDescent="0.25">
      <c r="A3171" t="s">
        <v>1411</v>
      </c>
      <c r="B3171" t="s">
        <v>33</v>
      </c>
      <c r="C3171" t="s">
        <v>87</v>
      </c>
      <c r="D3171" t="s">
        <v>3218</v>
      </c>
      <c r="E3171">
        <v>13.24</v>
      </c>
      <c r="F3171">
        <v>56.14</v>
      </c>
    </row>
    <row r="3172" spans="1:6" x14ac:dyDescent="0.25">
      <c r="A3172" t="s">
        <v>1411</v>
      </c>
      <c r="B3172" t="s">
        <v>33</v>
      </c>
      <c r="C3172" t="s">
        <v>87</v>
      </c>
      <c r="D3172" t="s">
        <v>3219</v>
      </c>
      <c r="E3172">
        <v>25.87</v>
      </c>
      <c r="F3172">
        <v>55.62</v>
      </c>
    </row>
    <row r="3173" spans="1:6" x14ac:dyDescent="0.25">
      <c r="A3173" t="s">
        <v>1412</v>
      </c>
      <c r="B3173" t="s">
        <v>33</v>
      </c>
      <c r="C3173" t="s">
        <v>88</v>
      </c>
      <c r="D3173" t="s">
        <v>3217</v>
      </c>
      <c r="E3173">
        <v>0</v>
      </c>
      <c r="F3173">
        <v>57.12</v>
      </c>
    </row>
    <row r="3174" spans="1:6" x14ac:dyDescent="0.25">
      <c r="A3174" t="s">
        <v>1412</v>
      </c>
      <c r="B3174" t="s">
        <v>33</v>
      </c>
      <c r="C3174" t="s">
        <v>88</v>
      </c>
      <c r="D3174" t="s">
        <v>3218</v>
      </c>
      <c r="E3174">
        <v>12.91</v>
      </c>
      <c r="F3174">
        <v>57.1</v>
      </c>
    </row>
    <row r="3175" spans="1:6" x14ac:dyDescent="0.25">
      <c r="A3175" t="s">
        <v>1412</v>
      </c>
      <c r="B3175" t="s">
        <v>33</v>
      </c>
      <c r="C3175" t="s">
        <v>88</v>
      </c>
      <c r="D3175" t="s">
        <v>3219</v>
      </c>
      <c r="E3175">
        <v>24.65</v>
      </c>
      <c r="F3175">
        <v>56.78</v>
      </c>
    </row>
    <row r="3176" spans="1:6" x14ac:dyDescent="0.25">
      <c r="A3176" t="s">
        <v>1413</v>
      </c>
      <c r="B3176" t="s">
        <v>33</v>
      </c>
      <c r="C3176" t="s">
        <v>89</v>
      </c>
      <c r="D3176" t="s">
        <v>3217</v>
      </c>
      <c r="E3176">
        <v>0</v>
      </c>
      <c r="F3176">
        <v>58.2</v>
      </c>
    </row>
    <row r="3177" spans="1:6" x14ac:dyDescent="0.25">
      <c r="A3177" t="s">
        <v>1413</v>
      </c>
      <c r="B3177" t="s">
        <v>33</v>
      </c>
      <c r="C3177" t="s">
        <v>89</v>
      </c>
      <c r="D3177" t="s">
        <v>3218</v>
      </c>
      <c r="E3177">
        <v>12.5</v>
      </c>
      <c r="F3177">
        <v>58.23</v>
      </c>
    </row>
    <row r="3178" spans="1:6" x14ac:dyDescent="0.25">
      <c r="A3178" t="s">
        <v>1413</v>
      </c>
      <c r="B3178" t="s">
        <v>33</v>
      </c>
      <c r="C3178" t="s">
        <v>89</v>
      </c>
      <c r="D3178" t="s">
        <v>3219</v>
      </c>
      <c r="E3178">
        <v>24.24</v>
      </c>
      <c r="F3178">
        <v>57.83</v>
      </c>
    </row>
    <row r="3179" spans="1:6" x14ac:dyDescent="0.25">
      <c r="A3179" t="s">
        <v>1414</v>
      </c>
      <c r="B3179" t="s">
        <v>33</v>
      </c>
      <c r="C3179" t="s">
        <v>90</v>
      </c>
      <c r="D3179" t="s">
        <v>3217</v>
      </c>
      <c r="E3179">
        <v>0</v>
      </c>
      <c r="F3179">
        <v>59.22</v>
      </c>
    </row>
    <row r="3180" spans="1:6" x14ac:dyDescent="0.25">
      <c r="A3180" t="s">
        <v>1414</v>
      </c>
      <c r="B3180" t="s">
        <v>33</v>
      </c>
      <c r="C3180" t="s">
        <v>90</v>
      </c>
      <c r="D3180" t="s">
        <v>3218</v>
      </c>
      <c r="E3180">
        <v>11.94</v>
      </c>
      <c r="F3180">
        <v>59.38</v>
      </c>
    </row>
    <row r="3181" spans="1:6" x14ac:dyDescent="0.25">
      <c r="A3181" t="s">
        <v>1414</v>
      </c>
      <c r="B3181" t="s">
        <v>33</v>
      </c>
      <c r="C3181" t="s">
        <v>90</v>
      </c>
      <c r="D3181" t="s">
        <v>3219</v>
      </c>
      <c r="E3181">
        <v>24.74</v>
      </c>
      <c r="F3181">
        <v>58.96</v>
      </c>
    </row>
    <row r="3182" spans="1:6" x14ac:dyDescent="0.25">
      <c r="A3182" t="s">
        <v>1415</v>
      </c>
      <c r="B3182" t="s">
        <v>33</v>
      </c>
      <c r="C3182" t="s">
        <v>91</v>
      </c>
      <c r="D3182" t="s">
        <v>3217</v>
      </c>
      <c r="E3182">
        <v>0</v>
      </c>
      <c r="F3182">
        <v>60.25</v>
      </c>
    </row>
    <row r="3183" spans="1:6" x14ac:dyDescent="0.25">
      <c r="A3183" t="s">
        <v>1415</v>
      </c>
      <c r="B3183" t="s">
        <v>33</v>
      </c>
      <c r="C3183" t="s">
        <v>91</v>
      </c>
      <c r="D3183" t="s">
        <v>3218</v>
      </c>
      <c r="E3183">
        <v>11.19</v>
      </c>
      <c r="F3183">
        <v>60.43</v>
      </c>
    </row>
    <row r="3184" spans="1:6" x14ac:dyDescent="0.25">
      <c r="A3184" t="s">
        <v>1415</v>
      </c>
      <c r="B3184" t="s">
        <v>33</v>
      </c>
      <c r="C3184" t="s">
        <v>91</v>
      </c>
      <c r="D3184" t="s">
        <v>3219</v>
      </c>
      <c r="E3184">
        <v>24.89</v>
      </c>
      <c r="F3184">
        <v>59.99</v>
      </c>
    </row>
    <row r="3185" spans="1:6" x14ac:dyDescent="0.25">
      <c r="A3185" t="s">
        <v>1416</v>
      </c>
      <c r="B3185" t="s">
        <v>33</v>
      </c>
      <c r="C3185" t="s">
        <v>92</v>
      </c>
      <c r="D3185" t="s">
        <v>3217</v>
      </c>
      <c r="E3185">
        <v>0</v>
      </c>
      <c r="F3185">
        <v>61.58</v>
      </c>
    </row>
    <row r="3186" spans="1:6" x14ac:dyDescent="0.25">
      <c r="A3186" t="s">
        <v>1416</v>
      </c>
      <c r="B3186" t="s">
        <v>33</v>
      </c>
      <c r="C3186" t="s">
        <v>92</v>
      </c>
      <c r="D3186" t="s">
        <v>3218</v>
      </c>
      <c r="E3186">
        <v>10.71</v>
      </c>
      <c r="F3186">
        <v>61.69</v>
      </c>
    </row>
    <row r="3187" spans="1:6" x14ac:dyDescent="0.25">
      <c r="A3187" t="s">
        <v>1416</v>
      </c>
      <c r="B3187" t="s">
        <v>33</v>
      </c>
      <c r="C3187" t="s">
        <v>92</v>
      </c>
      <c r="D3187" t="s">
        <v>3219</v>
      </c>
      <c r="E3187">
        <v>25.39</v>
      </c>
      <c r="F3187">
        <v>61.16</v>
      </c>
    </row>
    <row r="3188" spans="1:6" x14ac:dyDescent="0.25">
      <c r="A3188" t="s">
        <v>1417</v>
      </c>
      <c r="B3188" t="s">
        <v>33</v>
      </c>
      <c r="C3188" t="s">
        <v>93</v>
      </c>
      <c r="D3188" t="s">
        <v>3217</v>
      </c>
      <c r="E3188">
        <v>0</v>
      </c>
      <c r="F3188">
        <v>62.85</v>
      </c>
    </row>
    <row r="3189" spans="1:6" x14ac:dyDescent="0.25">
      <c r="A3189" t="s">
        <v>1417</v>
      </c>
      <c r="B3189" t="s">
        <v>33</v>
      </c>
      <c r="C3189" t="s">
        <v>93</v>
      </c>
      <c r="D3189" t="s">
        <v>3218</v>
      </c>
      <c r="E3189">
        <v>11.53</v>
      </c>
      <c r="F3189">
        <v>62.79</v>
      </c>
    </row>
    <row r="3190" spans="1:6" x14ac:dyDescent="0.25">
      <c r="A3190" t="s">
        <v>1417</v>
      </c>
      <c r="B3190" t="s">
        <v>33</v>
      </c>
      <c r="C3190" t="s">
        <v>93</v>
      </c>
      <c r="D3190" t="s">
        <v>3219</v>
      </c>
      <c r="E3190">
        <v>26.66</v>
      </c>
      <c r="F3190">
        <v>62.37</v>
      </c>
    </row>
    <row r="3191" spans="1:6" x14ac:dyDescent="0.25">
      <c r="A3191" t="s">
        <v>1418</v>
      </c>
      <c r="B3191" t="s">
        <v>33</v>
      </c>
      <c r="C3191" t="s">
        <v>94</v>
      </c>
      <c r="D3191" t="s">
        <v>3217</v>
      </c>
      <c r="E3191">
        <v>0</v>
      </c>
      <c r="F3191">
        <v>63.79</v>
      </c>
    </row>
    <row r="3192" spans="1:6" x14ac:dyDescent="0.25">
      <c r="A3192" t="s">
        <v>1418</v>
      </c>
      <c r="B3192" t="s">
        <v>33</v>
      </c>
      <c r="C3192" t="s">
        <v>94</v>
      </c>
      <c r="D3192" t="s">
        <v>3218</v>
      </c>
      <c r="E3192">
        <v>16.39</v>
      </c>
      <c r="F3192">
        <v>63.56</v>
      </c>
    </row>
    <row r="3193" spans="1:6" x14ac:dyDescent="0.25">
      <c r="A3193" t="s">
        <v>1418</v>
      </c>
      <c r="B3193" t="s">
        <v>33</v>
      </c>
      <c r="C3193" t="s">
        <v>94</v>
      </c>
      <c r="D3193" t="s">
        <v>3219</v>
      </c>
      <c r="E3193">
        <v>32.6</v>
      </c>
      <c r="F3193">
        <v>63.46</v>
      </c>
    </row>
    <row r="3194" spans="1:6" x14ac:dyDescent="0.25">
      <c r="A3194" t="s">
        <v>1419</v>
      </c>
      <c r="B3194" t="s">
        <v>33</v>
      </c>
      <c r="C3194" t="s">
        <v>95</v>
      </c>
      <c r="D3194" t="s">
        <v>3217</v>
      </c>
      <c r="E3194">
        <v>0</v>
      </c>
      <c r="F3194">
        <v>64.75</v>
      </c>
    </row>
    <row r="3195" spans="1:6" x14ac:dyDescent="0.25">
      <c r="A3195" t="s">
        <v>1419</v>
      </c>
      <c r="B3195" t="s">
        <v>33</v>
      </c>
      <c r="C3195" t="s">
        <v>95</v>
      </c>
      <c r="D3195" t="s">
        <v>3218</v>
      </c>
      <c r="E3195">
        <v>20</v>
      </c>
      <c r="F3195">
        <v>65.040000000000006</v>
      </c>
    </row>
    <row r="3196" spans="1:6" x14ac:dyDescent="0.25">
      <c r="A3196" t="s">
        <v>1419</v>
      </c>
      <c r="B3196" t="s">
        <v>33</v>
      </c>
      <c r="C3196" t="s">
        <v>95</v>
      </c>
      <c r="D3196" t="s">
        <v>3219</v>
      </c>
      <c r="E3196">
        <v>37.299999999999997</v>
      </c>
      <c r="F3196">
        <v>64.37</v>
      </c>
    </row>
    <row r="3197" spans="1:6" x14ac:dyDescent="0.25">
      <c r="A3197" t="s">
        <v>1420</v>
      </c>
      <c r="B3197" t="s">
        <v>33</v>
      </c>
      <c r="C3197" t="s">
        <v>96</v>
      </c>
      <c r="D3197" t="s">
        <v>3217</v>
      </c>
      <c r="E3197">
        <v>0</v>
      </c>
      <c r="F3197">
        <v>65.25</v>
      </c>
    </row>
    <row r="3198" spans="1:6" x14ac:dyDescent="0.25">
      <c r="A3198" t="s">
        <v>1420</v>
      </c>
      <c r="B3198" t="s">
        <v>33</v>
      </c>
      <c r="C3198" t="s">
        <v>96</v>
      </c>
      <c r="D3198" t="s">
        <v>3218</v>
      </c>
      <c r="E3198">
        <v>20</v>
      </c>
      <c r="F3198">
        <v>65.599999999999994</v>
      </c>
    </row>
    <row r="3199" spans="1:6" x14ac:dyDescent="0.25">
      <c r="A3199" t="s">
        <v>1420</v>
      </c>
      <c r="B3199" t="s">
        <v>33</v>
      </c>
      <c r="C3199" t="s">
        <v>96</v>
      </c>
      <c r="D3199" t="s">
        <v>3219</v>
      </c>
      <c r="E3199">
        <v>37.299999999999997</v>
      </c>
      <c r="F3199">
        <v>65.67</v>
      </c>
    </row>
    <row r="3200" spans="1:6" x14ac:dyDescent="0.25">
      <c r="A3200" t="s">
        <v>1421</v>
      </c>
      <c r="B3200" t="s">
        <v>33</v>
      </c>
      <c r="C3200" t="s">
        <v>97</v>
      </c>
      <c r="D3200" t="s">
        <v>3217</v>
      </c>
      <c r="E3200">
        <v>0</v>
      </c>
      <c r="F3200">
        <v>65.44</v>
      </c>
    </row>
    <row r="3201" spans="1:6" x14ac:dyDescent="0.25">
      <c r="A3201" t="s">
        <v>1421</v>
      </c>
      <c r="B3201" t="s">
        <v>33</v>
      </c>
      <c r="C3201" t="s">
        <v>97</v>
      </c>
      <c r="D3201" t="s">
        <v>3218</v>
      </c>
      <c r="E3201">
        <v>20</v>
      </c>
      <c r="F3201">
        <v>67.599999999999994</v>
      </c>
    </row>
    <row r="3202" spans="1:6" x14ac:dyDescent="0.25">
      <c r="A3202" t="s">
        <v>1421</v>
      </c>
      <c r="B3202" t="s">
        <v>33</v>
      </c>
      <c r="C3202" t="s">
        <v>97</v>
      </c>
      <c r="D3202" t="s">
        <v>3219</v>
      </c>
      <c r="E3202">
        <v>37.86</v>
      </c>
      <c r="F3202">
        <v>66.2</v>
      </c>
    </row>
    <row r="3203" spans="1:6" x14ac:dyDescent="0.25">
      <c r="A3203" t="s">
        <v>1422</v>
      </c>
      <c r="B3203" t="s">
        <v>33</v>
      </c>
      <c r="C3203" t="s">
        <v>98</v>
      </c>
      <c r="D3203" t="s">
        <v>3217</v>
      </c>
      <c r="E3203">
        <v>0</v>
      </c>
      <c r="F3203">
        <v>64.97</v>
      </c>
    </row>
    <row r="3204" spans="1:6" x14ac:dyDescent="0.25">
      <c r="A3204" t="s">
        <v>1422</v>
      </c>
      <c r="B3204" t="s">
        <v>33</v>
      </c>
      <c r="C3204" t="s">
        <v>98</v>
      </c>
      <c r="D3204" t="s">
        <v>3218</v>
      </c>
      <c r="E3204">
        <v>20</v>
      </c>
      <c r="F3204">
        <v>67.569999999999993</v>
      </c>
    </row>
    <row r="3205" spans="1:6" x14ac:dyDescent="0.25">
      <c r="A3205" t="s">
        <v>1422</v>
      </c>
      <c r="B3205" t="s">
        <v>33</v>
      </c>
      <c r="C3205" t="s">
        <v>98</v>
      </c>
      <c r="D3205" t="s">
        <v>3219</v>
      </c>
      <c r="E3205">
        <v>36.65</v>
      </c>
      <c r="F3205">
        <v>66.22</v>
      </c>
    </row>
    <row r="3206" spans="1:6" x14ac:dyDescent="0.25">
      <c r="A3206" t="s">
        <v>1423</v>
      </c>
      <c r="B3206" t="s">
        <v>33</v>
      </c>
      <c r="C3206" t="s">
        <v>99</v>
      </c>
      <c r="D3206" t="s">
        <v>3217</v>
      </c>
      <c r="E3206">
        <v>0</v>
      </c>
      <c r="F3206">
        <v>65.87</v>
      </c>
    </row>
    <row r="3207" spans="1:6" x14ac:dyDescent="0.25">
      <c r="A3207" t="s">
        <v>1423</v>
      </c>
      <c r="B3207" t="s">
        <v>33</v>
      </c>
      <c r="C3207" t="s">
        <v>99</v>
      </c>
      <c r="D3207" t="s">
        <v>3218</v>
      </c>
      <c r="E3207">
        <v>14.89</v>
      </c>
      <c r="F3207">
        <v>66.42</v>
      </c>
    </row>
    <row r="3208" spans="1:6" x14ac:dyDescent="0.25">
      <c r="A3208" t="s">
        <v>1423</v>
      </c>
      <c r="B3208" t="s">
        <v>33</v>
      </c>
      <c r="C3208" t="s">
        <v>99</v>
      </c>
      <c r="D3208" t="s">
        <v>3219</v>
      </c>
      <c r="E3208">
        <v>30.92</v>
      </c>
      <c r="F3208">
        <v>66.44</v>
      </c>
    </row>
    <row r="3209" spans="1:6" x14ac:dyDescent="0.25">
      <c r="A3209" t="s">
        <v>1424</v>
      </c>
      <c r="B3209" t="s">
        <v>33</v>
      </c>
      <c r="C3209" t="s">
        <v>100</v>
      </c>
      <c r="D3209" t="s">
        <v>3217</v>
      </c>
      <c r="E3209">
        <v>0</v>
      </c>
      <c r="F3209">
        <v>66.81</v>
      </c>
    </row>
    <row r="3210" spans="1:6" x14ac:dyDescent="0.25">
      <c r="A3210" t="s">
        <v>1424</v>
      </c>
      <c r="B3210" t="s">
        <v>33</v>
      </c>
      <c r="C3210" t="s">
        <v>100</v>
      </c>
      <c r="D3210" t="s">
        <v>3218</v>
      </c>
      <c r="E3210">
        <v>15.51</v>
      </c>
      <c r="F3210">
        <v>66.930000000000007</v>
      </c>
    </row>
    <row r="3211" spans="1:6" x14ac:dyDescent="0.25">
      <c r="A3211" t="s">
        <v>1424</v>
      </c>
      <c r="B3211" t="s">
        <v>33</v>
      </c>
      <c r="C3211" t="s">
        <v>100</v>
      </c>
      <c r="D3211" t="s">
        <v>3219</v>
      </c>
      <c r="E3211">
        <v>31.54</v>
      </c>
      <c r="F3211">
        <v>67.86</v>
      </c>
    </row>
    <row r="3212" spans="1:6" x14ac:dyDescent="0.25">
      <c r="A3212" t="s">
        <v>1425</v>
      </c>
      <c r="B3212" t="s">
        <v>33</v>
      </c>
      <c r="C3212" t="s">
        <v>101</v>
      </c>
      <c r="D3212" t="s">
        <v>3217</v>
      </c>
      <c r="E3212">
        <v>0</v>
      </c>
      <c r="F3212">
        <v>67.349999999999994</v>
      </c>
    </row>
    <row r="3213" spans="1:6" x14ac:dyDescent="0.25">
      <c r="A3213" t="s">
        <v>1425</v>
      </c>
      <c r="B3213" t="s">
        <v>33</v>
      </c>
      <c r="C3213" t="s">
        <v>101</v>
      </c>
      <c r="D3213" t="s">
        <v>3218</v>
      </c>
      <c r="E3213">
        <v>16.12</v>
      </c>
      <c r="F3213">
        <v>67.27</v>
      </c>
    </row>
    <row r="3214" spans="1:6" x14ac:dyDescent="0.25">
      <c r="A3214" t="s">
        <v>1425</v>
      </c>
      <c r="B3214" t="s">
        <v>33</v>
      </c>
      <c r="C3214" t="s">
        <v>101</v>
      </c>
      <c r="D3214" t="s">
        <v>3219</v>
      </c>
      <c r="E3214">
        <v>28.63</v>
      </c>
      <c r="F3214">
        <v>67.09</v>
      </c>
    </row>
    <row r="3215" spans="1:6" x14ac:dyDescent="0.25">
      <c r="A3215" t="s">
        <v>1426</v>
      </c>
      <c r="B3215" t="s">
        <v>33</v>
      </c>
      <c r="C3215" t="s">
        <v>102</v>
      </c>
      <c r="D3215" t="s">
        <v>3217</v>
      </c>
      <c r="E3215">
        <v>0</v>
      </c>
      <c r="F3215">
        <v>67.47</v>
      </c>
    </row>
    <row r="3216" spans="1:6" x14ac:dyDescent="0.25">
      <c r="A3216" t="s">
        <v>1426</v>
      </c>
      <c r="B3216" t="s">
        <v>33</v>
      </c>
      <c r="C3216" t="s">
        <v>102</v>
      </c>
      <c r="D3216" t="s">
        <v>3218</v>
      </c>
      <c r="E3216">
        <v>16.649999999999999</v>
      </c>
      <c r="F3216">
        <v>67.400000000000006</v>
      </c>
    </row>
    <row r="3217" spans="1:6" x14ac:dyDescent="0.25">
      <c r="A3217" t="s">
        <v>1426</v>
      </c>
      <c r="B3217" t="s">
        <v>33</v>
      </c>
      <c r="C3217" t="s">
        <v>102</v>
      </c>
      <c r="D3217" t="s">
        <v>3219</v>
      </c>
      <c r="E3217">
        <v>26.4</v>
      </c>
      <c r="F3217">
        <v>67.209999999999994</v>
      </c>
    </row>
    <row r="3218" spans="1:6" x14ac:dyDescent="0.25">
      <c r="A3218" t="s">
        <v>1427</v>
      </c>
      <c r="B3218" t="s">
        <v>33</v>
      </c>
      <c r="C3218" t="s">
        <v>103</v>
      </c>
      <c r="D3218" t="s">
        <v>3217</v>
      </c>
      <c r="E3218">
        <v>0</v>
      </c>
      <c r="F3218">
        <v>67.5</v>
      </c>
    </row>
    <row r="3219" spans="1:6" x14ac:dyDescent="0.25">
      <c r="A3219" t="s">
        <v>1427</v>
      </c>
      <c r="B3219" t="s">
        <v>33</v>
      </c>
      <c r="C3219" t="s">
        <v>103</v>
      </c>
      <c r="D3219" t="s">
        <v>3218</v>
      </c>
      <c r="E3219">
        <v>17.16</v>
      </c>
      <c r="F3219">
        <v>67.59</v>
      </c>
    </row>
    <row r="3220" spans="1:6" x14ac:dyDescent="0.25">
      <c r="A3220" t="s">
        <v>1427</v>
      </c>
      <c r="B3220" t="s">
        <v>33</v>
      </c>
      <c r="C3220" t="s">
        <v>103</v>
      </c>
      <c r="D3220" t="s">
        <v>3219</v>
      </c>
      <c r="E3220">
        <v>26.25</v>
      </c>
      <c r="F3220">
        <v>67.34</v>
      </c>
    </row>
    <row r="3221" spans="1:6" x14ac:dyDescent="0.25">
      <c r="A3221" t="s">
        <v>1428</v>
      </c>
      <c r="B3221" t="s">
        <v>33</v>
      </c>
      <c r="C3221" t="s">
        <v>104</v>
      </c>
      <c r="D3221" t="s">
        <v>3217</v>
      </c>
      <c r="E3221">
        <v>0</v>
      </c>
      <c r="F3221">
        <v>67.55</v>
      </c>
    </row>
    <row r="3222" spans="1:6" x14ac:dyDescent="0.25">
      <c r="A3222" t="s">
        <v>1428</v>
      </c>
      <c r="B3222" t="s">
        <v>33</v>
      </c>
      <c r="C3222" t="s">
        <v>104</v>
      </c>
      <c r="D3222" t="s">
        <v>3218</v>
      </c>
      <c r="E3222">
        <v>17.21</v>
      </c>
      <c r="F3222">
        <v>67.52</v>
      </c>
    </row>
    <row r="3223" spans="1:6" x14ac:dyDescent="0.25">
      <c r="A3223" t="s">
        <v>1428</v>
      </c>
      <c r="B3223" t="s">
        <v>33</v>
      </c>
      <c r="C3223" t="s">
        <v>104</v>
      </c>
      <c r="D3223" t="s">
        <v>3219</v>
      </c>
      <c r="E3223">
        <v>26.08</v>
      </c>
      <c r="F3223">
        <v>67.180000000000007</v>
      </c>
    </row>
    <row r="3224" spans="1:6" x14ac:dyDescent="0.25">
      <c r="A3224" t="s">
        <v>1429</v>
      </c>
      <c r="B3224" t="s">
        <v>33</v>
      </c>
      <c r="C3224" t="s">
        <v>105</v>
      </c>
      <c r="D3224" t="s">
        <v>3217</v>
      </c>
      <c r="E3224">
        <v>0</v>
      </c>
      <c r="F3224">
        <v>67.650000000000006</v>
      </c>
    </row>
    <row r="3225" spans="1:6" x14ac:dyDescent="0.25">
      <c r="A3225" t="s">
        <v>1429</v>
      </c>
      <c r="B3225" t="s">
        <v>33</v>
      </c>
      <c r="C3225" t="s">
        <v>105</v>
      </c>
      <c r="D3225" t="s">
        <v>3218</v>
      </c>
      <c r="E3225">
        <v>17.559999999999999</v>
      </c>
      <c r="F3225">
        <v>67.58</v>
      </c>
    </row>
    <row r="3226" spans="1:6" x14ac:dyDescent="0.25">
      <c r="A3226" t="s">
        <v>1429</v>
      </c>
      <c r="B3226" t="s">
        <v>33</v>
      </c>
      <c r="C3226" t="s">
        <v>105</v>
      </c>
      <c r="D3226" t="s">
        <v>3219</v>
      </c>
      <c r="E3226">
        <v>26.48</v>
      </c>
      <c r="F3226">
        <v>67.25</v>
      </c>
    </row>
    <row r="3227" spans="1:6" x14ac:dyDescent="0.25">
      <c r="A3227" t="s">
        <v>1430</v>
      </c>
      <c r="B3227" t="s">
        <v>33</v>
      </c>
      <c r="C3227" t="s">
        <v>106</v>
      </c>
      <c r="D3227" t="s">
        <v>3217</v>
      </c>
      <c r="E3227">
        <v>0</v>
      </c>
      <c r="F3227">
        <v>67.739999999999995</v>
      </c>
    </row>
    <row r="3228" spans="1:6" x14ac:dyDescent="0.25">
      <c r="A3228" t="s">
        <v>1430</v>
      </c>
      <c r="B3228" t="s">
        <v>33</v>
      </c>
      <c r="C3228" t="s">
        <v>106</v>
      </c>
      <c r="D3228" t="s">
        <v>3218</v>
      </c>
      <c r="E3228">
        <v>18.43</v>
      </c>
      <c r="F3228">
        <v>67.540000000000006</v>
      </c>
    </row>
    <row r="3229" spans="1:6" x14ac:dyDescent="0.25">
      <c r="A3229" t="s">
        <v>1430</v>
      </c>
      <c r="B3229" t="s">
        <v>33</v>
      </c>
      <c r="C3229" t="s">
        <v>106</v>
      </c>
      <c r="D3229" t="s">
        <v>3219</v>
      </c>
      <c r="E3229">
        <v>27.03</v>
      </c>
      <c r="F3229">
        <v>67.25</v>
      </c>
    </row>
    <row r="3230" spans="1:6" x14ac:dyDescent="0.25">
      <c r="A3230" t="s">
        <v>1431</v>
      </c>
      <c r="B3230" t="s">
        <v>33</v>
      </c>
      <c r="C3230" t="s">
        <v>108</v>
      </c>
      <c r="D3230" t="s">
        <v>3217</v>
      </c>
      <c r="E3230">
        <v>0</v>
      </c>
      <c r="F3230">
        <v>67.86</v>
      </c>
    </row>
    <row r="3231" spans="1:6" x14ac:dyDescent="0.25">
      <c r="A3231" t="s">
        <v>1431</v>
      </c>
      <c r="B3231" t="s">
        <v>33</v>
      </c>
      <c r="C3231" t="s">
        <v>108</v>
      </c>
      <c r="D3231" t="s">
        <v>3218</v>
      </c>
      <c r="E3231">
        <v>17.93</v>
      </c>
      <c r="F3231">
        <v>67.52</v>
      </c>
    </row>
    <row r="3232" spans="1:6" x14ac:dyDescent="0.25">
      <c r="A3232" t="s">
        <v>1431</v>
      </c>
      <c r="B3232" t="s">
        <v>33</v>
      </c>
      <c r="C3232" t="s">
        <v>108</v>
      </c>
      <c r="D3232" t="s">
        <v>3219</v>
      </c>
      <c r="E3232">
        <v>26.66</v>
      </c>
      <c r="F3232">
        <v>67.28</v>
      </c>
    </row>
    <row r="3233" spans="1:6" x14ac:dyDescent="0.25">
      <c r="A3233" t="s">
        <v>1432</v>
      </c>
      <c r="B3233" t="s">
        <v>33</v>
      </c>
      <c r="C3233" t="s">
        <v>109</v>
      </c>
      <c r="D3233" t="s">
        <v>3217</v>
      </c>
      <c r="E3233">
        <v>0</v>
      </c>
      <c r="F3233">
        <v>67.959999999999994</v>
      </c>
    </row>
    <row r="3234" spans="1:6" x14ac:dyDescent="0.25">
      <c r="A3234" t="s">
        <v>1432</v>
      </c>
      <c r="B3234" t="s">
        <v>33</v>
      </c>
      <c r="C3234" t="s">
        <v>109</v>
      </c>
      <c r="D3234" t="s">
        <v>3218</v>
      </c>
      <c r="E3234">
        <v>17.04</v>
      </c>
      <c r="F3234">
        <v>67.67</v>
      </c>
    </row>
    <row r="3235" spans="1:6" x14ac:dyDescent="0.25">
      <c r="A3235" t="s">
        <v>1432</v>
      </c>
      <c r="B3235" t="s">
        <v>33</v>
      </c>
      <c r="C3235" t="s">
        <v>109</v>
      </c>
      <c r="D3235" t="s">
        <v>3219</v>
      </c>
      <c r="E3235">
        <v>26.18</v>
      </c>
      <c r="F3235">
        <v>67.510000000000005</v>
      </c>
    </row>
    <row r="3236" spans="1:6" x14ac:dyDescent="0.25">
      <c r="A3236" t="s">
        <v>1433</v>
      </c>
      <c r="B3236" t="s">
        <v>33</v>
      </c>
      <c r="C3236" t="s">
        <v>110</v>
      </c>
      <c r="D3236" t="s">
        <v>3217</v>
      </c>
      <c r="E3236">
        <v>0</v>
      </c>
      <c r="F3236">
        <v>67.98</v>
      </c>
    </row>
    <row r="3237" spans="1:6" x14ac:dyDescent="0.25">
      <c r="A3237" t="s">
        <v>1433</v>
      </c>
      <c r="B3237" t="s">
        <v>33</v>
      </c>
      <c r="C3237" t="s">
        <v>110</v>
      </c>
      <c r="D3237" t="s">
        <v>3218</v>
      </c>
      <c r="E3237">
        <v>17.23</v>
      </c>
      <c r="F3237">
        <v>67.790000000000006</v>
      </c>
    </row>
    <row r="3238" spans="1:6" x14ac:dyDescent="0.25">
      <c r="A3238" t="s">
        <v>1433</v>
      </c>
      <c r="B3238" t="s">
        <v>33</v>
      </c>
      <c r="C3238" t="s">
        <v>110</v>
      </c>
      <c r="D3238" t="s">
        <v>3219</v>
      </c>
      <c r="E3238">
        <v>26.45</v>
      </c>
      <c r="F3238">
        <v>67.55</v>
      </c>
    </row>
    <row r="3239" spans="1:6" x14ac:dyDescent="0.25">
      <c r="A3239" t="s">
        <v>1434</v>
      </c>
      <c r="B3239" t="s">
        <v>33</v>
      </c>
      <c r="C3239" t="s">
        <v>111</v>
      </c>
      <c r="D3239" t="s">
        <v>3217</v>
      </c>
      <c r="E3239">
        <v>0</v>
      </c>
      <c r="F3239">
        <v>67.97</v>
      </c>
    </row>
    <row r="3240" spans="1:6" x14ac:dyDescent="0.25">
      <c r="A3240" t="s">
        <v>1434</v>
      </c>
      <c r="B3240" t="s">
        <v>33</v>
      </c>
      <c r="C3240" t="s">
        <v>111</v>
      </c>
      <c r="D3240" t="s">
        <v>3218</v>
      </c>
      <c r="E3240">
        <v>16.89</v>
      </c>
      <c r="F3240">
        <v>67.91</v>
      </c>
    </row>
    <row r="3241" spans="1:6" x14ac:dyDescent="0.25">
      <c r="A3241" t="s">
        <v>1434</v>
      </c>
      <c r="B3241" t="s">
        <v>33</v>
      </c>
      <c r="C3241" t="s">
        <v>111</v>
      </c>
      <c r="D3241" t="s">
        <v>3219</v>
      </c>
      <c r="E3241">
        <v>28.35</v>
      </c>
      <c r="F3241">
        <v>67.63</v>
      </c>
    </row>
    <row r="3242" spans="1:6" x14ac:dyDescent="0.25">
      <c r="A3242" t="s">
        <v>1435</v>
      </c>
      <c r="B3242" t="s">
        <v>33</v>
      </c>
      <c r="C3242" t="s">
        <v>112</v>
      </c>
      <c r="D3242" t="s">
        <v>3217</v>
      </c>
      <c r="E3242">
        <v>0</v>
      </c>
      <c r="F3242">
        <v>67.91</v>
      </c>
    </row>
    <row r="3243" spans="1:6" x14ac:dyDescent="0.25">
      <c r="A3243" t="s">
        <v>1435</v>
      </c>
      <c r="B3243" t="s">
        <v>33</v>
      </c>
      <c r="C3243" t="s">
        <v>112</v>
      </c>
      <c r="D3243" t="s">
        <v>3218</v>
      </c>
      <c r="E3243">
        <v>15.55</v>
      </c>
      <c r="F3243">
        <v>67.91</v>
      </c>
    </row>
    <row r="3244" spans="1:6" x14ac:dyDescent="0.25">
      <c r="A3244" t="s">
        <v>1435</v>
      </c>
      <c r="B3244" t="s">
        <v>33</v>
      </c>
      <c r="C3244" t="s">
        <v>112</v>
      </c>
      <c r="D3244" t="s">
        <v>3219</v>
      </c>
      <c r="E3244">
        <v>30.28</v>
      </c>
      <c r="F3244">
        <v>67.91</v>
      </c>
    </row>
    <row r="3245" spans="1:6" x14ac:dyDescent="0.25">
      <c r="A3245" t="s">
        <v>1436</v>
      </c>
      <c r="B3245" t="s">
        <v>33</v>
      </c>
      <c r="C3245" t="s">
        <v>113</v>
      </c>
      <c r="D3245" t="s">
        <v>3217</v>
      </c>
      <c r="E3245">
        <v>0</v>
      </c>
      <c r="F3245">
        <v>67.760000000000005</v>
      </c>
    </row>
    <row r="3246" spans="1:6" x14ac:dyDescent="0.25">
      <c r="A3246" t="s">
        <v>1436</v>
      </c>
      <c r="B3246" t="s">
        <v>33</v>
      </c>
      <c r="C3246" t="s">
        <v>113</v>
      </c>
      <c r="D3246" t="s">
        <v>3218</v>
      </c>
      <c r="E3246">
        <v>16.27</v>
      </c>
      <c r="F3246">
        <v>67.930000000000007</v>
      </c>
    </row>
    <row r="3247" spans="1:6" x14ac:dyDescent="0.25">
      <c r="A3247" t="s">
        <v>1436</v>
      </c>
      <c r="B3247" t="s">
        <v>33</v>
      </c>
      <c r="C3247" t="s">
        <v>113</v>
      </c>
      <c r="D3247" t="s">
        <v>3219</v>
      </c>
      <c r="E3247">
        <v>31.92</v>
      </c>
      <c r="F3247">
        <v>68.069999999999993</v>
      </c>
    </row>
    <row r="3248" spans="1:6" x14ac:dyDescent="0.25">
      <c r="A3248" t="s">
        <v>1437</v>
      </c>
      <c r="B3248" t="s">
        <v>33</v>
      </c>
      <c r="C3248" t="s">
        <v>114</v>
      </c>
      <c r="D3248" t="s">
        <v>3217</v>
      </c>
      <c r="E3248">
        <v>0</v>
      </c>
      <c r="F3248">
        <v>67.599999999999994</v>
      </c>
    </row>
    <row r="3249" spans="1:6" x14ac:dyDescent="0.25">
      <c r="A3249" t="s">
        <v>1437</v>
      </c>
      <c r="B3249" t="s">
        <v>33</v>
      </c>
      <c r="C3249" t="s">
        <v>114</v>
      </c>
      <c r="D3249" t="s">
        <v>3218</v>
      </c>
      <c r="E3249">
        <v>15.89</v>
      </c>
      <c r="F3249">
        <v>67.959999999999994</v>
      </c>
    </row>
    <row r="3250" spans="1:6" x14ac:dyDescent="0.25">
      <c r="A3250" t="s">
        <v>1437</v>
      </c>
      <c r="B3250" t="s">
        <v>33</v>
      </c>
      <c r="C3250" t="s">
        <v>114</v>
      </c>
      <c r="D3250" t="s">
        <v>3219</v>
      </c>
      <c r="E3250">
        <v>30.79</v>
      </c>
      <c r="F3250">
        <v>68.05</v>
      </c>
    </row>
    <row r="3251" spans="1:6" x14ac:dyDescent="0.25">
      <c r="A3251" t="s">
        <v>1438</v>
      </c>
      <c r="B3251" t="s">
        <v>33</v>
      </c>
      <c r="C3251" t="s">
        <v>115</v>
      </c>
      <c r="D3251" t="s">
        <v>3217</v>
      </c>
      <c r="E3251">
        <v>0</v>
      </c>
      <c r="F3251">
        <v>67.540000000000006</v>
      </c>
    </row>
    <row r="3252" spans="1:6" x14ac:dyDescent="0.25">
      <c r="A3252" t="s">
        <v>1438</v>
      </c>
      <c r="B3252" t="s">
        <v>33</v>
      </c>
      <c r="C3252" t="s">
        <v>115</v>
      </c>
      <c r="D3252" t="s">
        <v>3218</v>
      </c>
      <c r="E3252">
        <v>15.49</v>
      </c>
      <c r="F3252">
        <v>67.94</v>
      </c>
    </row>
    <row r="3253" spans="1:6" x14ac:dyDescent="0.25">
      <c r="A3253" t="s">
        <v>1438</v>
      </c>
      <c r="B3253" t="s">
        <v>33</v>
      </c>
      <c r="C3253" t="s">
        <v>115</v>
      </c>
      <c r="D3253" t="s">
        <v>3219</v>
      </c>
      <c r="E3253">
        <v>29.09</v>
      </c>
      <c r="F3253">
        <v>68.09</v>
      </c>
    </row>
    <row r="3254" spans="1:6" x14ac:dyDescent="0.25">
      <c r="A3254" t="s">
        <v>1439</v>
      </c>
      <c r="B3254" t="s">
        <v>33</v>
      </c>
      <c r="C3254" t="s">
        <v>116</v>
      </c>
      <c r="D3254" t="s">
        <v>3217</v>
      </c>
      <c r="E3254">
        <v>0</v>
      </c>
      <c r="F3254">
        <v>67.430000000000007</v>
      </c>
    </row>
    <row r="3255" spans="1:6" x14ac:dyDescent="0.25">
      <c r="A3255" t="s">
        <v>1439</v>
      </c>
      <c r="B3255" t="s">
        <v>33</v>
      </c>
      <c r="C3255" t="s">
        <v>116</v>
      </c>
      <c r="D3255" t="s">
        <v>3218</v>
      </c>
      <c r="E3255">
        <v>14.17</v>
      </c>
      <c r="F3255">
        <v>67.930000000000007</v>
      </c>
    </row>
    <row r="3256" spans="1:6" x14ac:dyDescent="0.25">
      <c r="A3256" t="s">
        <v>1439</v>
      </c>
      <c r="B3256" t="s">
        <v>33</v>
      </c>
      <c r="C3256" t="s">
        <v>116</v>
      </c>
      <c r="D3256" t="s">
        <v>3219</v>
      </c>
      <c r="E3256">
        <v>26.82</v>
      </c>
      <c r="F3256">
        <v>68.19</v>
      </c>
    </row>
    <row r="3257" spans="1:6" x14ac:dyDescent="0.25">
      <c r="A3257" t="s">
        <v>1440</v>
      </c>
      <c r="B3257" t="s">
        <v>33</v>
      </c>
      <c r="C3257" t="s">
        <v>117</v>
      </c>
      <c r="D3257" t="s">
        <v>3217</v>
      </c>
      <c r="E3257">
        <v>0</v>
      </c>
      <c r="F3257">
        <v>67.599999999999994</v>
      </c>
    </row>
    <row r="3258" spans="1:6" x14ac:dyDescent="0.25">
      <c r="A3258" t="s">
        <v>1440</v>
      </c>
      <c r="B3258" t="s">
        <v>33</v>
      </c>
      <c r="C3258" t="s">
        <v>117</v>
      </c>
      <c r="D3258" t="s">
        <v>3218</v>
      </c>
      <c r="E3258">
        <v>14.17</v>
      </c>
      <c r="F3258">
        <v>68.3</v>
      </c>
    </row>
    <row r="3259" spans="1:6" x14ac:dyDescent="0.25">
      <c r="A3259" t="s">
        <v>1440</v>
      </c>
      <c r="B3259" t="s">
        <v>33</v>
      </c>
      <c r="C3259" t="s">
        <v>117</v>
      </c>
      <c r="D3259" t="s">
        <v>3219</v>
      </c>
      <c r="E3259">
        <v>26.35</v>
      </c>
      <c r="F3259">
        <v>68.36</v>
      </c>
    </row>
    <row r="3260" spans="1:6" x14ac:dyDescent="0.25">
      <c r="A3260" t="s">
        <v>1441</v>
      </c>
      <c r="B3260" t="s">
        <v>33</v>
      </c>
      <c r="C3260" t="s">
        <v>118</v>
      </c>
      <c r="D3260" t="s">
        <v>3217</v>
      </c>
      <c r="E3260">
        <v>0</v>
      </c>
      <c r="F3260">
        <v>67.81</v>
      </c>
    </row>
    <row r="3261" spans="1:6" x14ac:dyDescent="0.25">
      <c r="A3261" t="s">
        <v>1441</v>
      </c>
      <c r="B3261" t="s">
        <v>33</v>
      </c>
      <c r="C3261" t="s">
        <v>118</v>
      </c>
      <c r="D3261" t="s">
        <v>3218</v>
      </c>
      <c r="E3261">
        <v>14.17</v>
      </c>
      <c r="F3261">
        <v>68.39</v>
      </c>
    </row>
    <row r="3262" spans="1:6" x14ac:dyDescent="0.25">
      <c r="A3262" t="s">
        <v>1441</v>
      </c>
      <c r="B3262" t="s">
        <v>33</v>
      </c>
      <c r="C3262" t="s">
        <v>118</v>
      </c>
      <c r="D3262" t="s">
        <v>3219</v>
      </c>
      <c r="E3262">
        <v>26.2</v>
      </c>
      <c r="F3262">
        <v>68.59</v>
      </c>
    </row>
    <row r="3263" spans="1:6" x14ac:dyDescent="0.25">
      <c r="A3263" t="s">
        <v>1442</v>
      </c>
      <c r="B3263" t="s">
        <v>33</v>
      </c>
      <c r="C3263" t="s">
        <v>119</v>
      </c>
      <c r="D3263" t="s">
        <v>3217</v>
      </c>
      <c r="E3263">
        <v>0</v>
      </c>
      <c r="F3263">
        <v>67.989999999999995</v>
      </c>
    </row>
    <row r="3264" spans="1:6" x14ac:dyDescent="0.25">
      <c r="A3264" t="s">
        <v>1442</v>
      </c>
      <c r="B3264" t="s">
        <v>33</v>
      </c>
      <c r="C3264" t="s">
        <v>119</v>
      </c>
      <c r="D3264" t="s">
        <v>3218</v>
      </c>
      <c r="E3264">
        <v>14.04</v>
      </c>
      <c r="F3264">
        <v>68.599999999999994</v>
      </c>
    </row>
    <row r="3265" spans="1:6" x14ac:dyDescent="0.25">
      <c r="A3265" t="s">
        <v>1442</v>
      </c>
      <c r="B3265" t="s">
        <v>33</v>
      </c>
      <c r="C3265" t="s">
        <v>119</v>
      </c>
      <c r="D3265" t="s">
        <v>3219</v>
      </c>
      <c r="E3265">
        <v>26.49</v>
      </c>
      <c r="F3265">
        <v>68.98</v>
      </c>
    </row>
    <row r="3266" spans="1:6" x14ac:dyDescent="0.25">
      <c r="A3266" t="s">
        <v>1443</v>
      </c>
      <c r="B3266" t="s">
        <v>33</v>
      </c>
      <c r="C3266" t="s">
        <v>120</v>
      </c>
      <c r="D3266" t="s">
        <v>3217</v>
      </c>
      <c r="E3266">
        <v>0</v>
      </c>
      <c r="F3266">
        <v>68.319999999999993</v>
      </c>
    </row>
    <row r="3267" spans="1:6" x14ac:dyDescent="0.25">
      <c r="A3267" t="s">
        <v>1443</v>
      </c>
      <c r="B3267" t="s">
        <v>33</v>
      </c>
      <c r="C3267" t="s">
        <v>120</v>
      </c>
      <c r="D3267" t="s">
        <v>3218</v>
      </c>
      <c r="E3267">
        <v>14.04</v>
      </c>
      <c r="F3267">
        <v>68.739999999999995</v>
      </c>
    </row>
    <row r="3268" spans="1:6" x14ac:dyDescent="0.25">
      <c r="A3268" t="s">
        <v>1443</v>
      </c>
      <c r="B3268" t="s">
        <v>33</v>
      </c>
      <c r="C3268" t="s">
        <v>120</v>
      </c>
      <c r="D3268" t="s">
        <v>3219</v>
      </c>
      <c r="E3268">
        <v>26.09</v>
      </c>
      <c r="F3268">
        <v>69.349999999999994</v>
      </c>
    </row>
    <row r="3269" spans="1:6" x14ac:dyDescent="0.25">
      <c r="A3269" t="s">
        <v>1444</v>
      </c>
      <c r="B3269" t="s">
        <v>33</v>
      </c>
      <c r="C3269" t="s">
        <v>121</v>
      </c>
      <c r="D3269" t="s">
        <v>3217</v>
      </c>
      <c r="E3269">
        <v>0</v>
      </c>
      <c r="F3269">
        <v>68.290000000000006</v>
      </c>
    </row>
    <row r="3270" spans="1:6" x14ac:dyDescent="0.25">
      <c r="A3270" t="s">
        <v>1444</v>
      </c>
      <c r="B3270" t="s">
        <v>33</v>
      </c>
      <c r="C3270" t="s">
        <v>121</v>
      </c>
      <c r="D3270" t="s">
        <v>3218</v>
      </c>
      <c r="E3270">
        <v>14.81</v>
      </c>
      <c r="F3270">
        <v>68.760000000000005</v>
      </c>
    </row>
    <row r="3271" spans="1:6" x14ac:dyDescent="0.25">
      <c r="A3271" t="s">
        <v>1444</v>
      </c>
      <c r="B3271" t="s">
        <v>33</v>
      </c>
      <c r="C3271" t="s">
        <v>121</v>
      </c>
      <c r="D3271" t="s">
        <v>3219</v>
      </c>
      <c r="E3271">
        <v>28.74</v>
      </c>
      <c r="F3271">
        <v>69.33</v>
      </c>
    </row>
    <row r="3272" spans="1:6" x14ac:dyDescent="0.25">
      <c r="A3272" t="s">
        <v>1445</v>
      </c>
      <c r="B3272" t="s">
        <v>33</v>
      </c>
      <c r="C3272" t="s">
        <v>123</v>
      </c>
      <c r="D3272" t="s">
        <v>3217</v>
      </c>
      <c r="E3272">
        <v>0</v>
      </c>
      <c r="F3272">
        <v>68.41</v>
      </c>
    </row>
    <row r="3273" spans="1:6" x14ac:dyDescent="0.25">
      <c r="A3273" t="s">
        <v>1445</v>
      </c>
      <c r="B3273" t="s">
        <v>33</v>
      </c>
      <c r="C3273" t="s">
        <v>123</v>
      </c>
      <c r="D3273" t="s">
        <v>3218</v>
      </c>
      <c r="E3273">
        <v>13.02</v>
      </c>
      <c r="F3273">
        <v>69.08</v>
      </c>
    </row>
    <row r="3274" spans="1:6" x14ac:dyDescent="0.25">
      <c r="A3274" t="s">
        <v>1445</v>
      </c>
      <c r="B3274" t="s">
        <v>33</v>
      </c>
      <c r="C3274" t="s">
        <v>123</v>
      </c>
      <c r="D3274" t="s">
        <v>3219</v>
      </c>
      <c r="E3274">
        <v>27.66</v>
      </c>
      <c r="F3274">
        <v>69.42</v>
      </c>
    </row>
    <row r="3275" spans="1:6" x14ac:dyDescent="0.25">
      <c r="A3275" t="s">
        <v>1446</v>
      </c>
      <c r="B3275" t="s">
        <v>33</v>
      </c>
      <c r="C3275" t="s">
        <v>124</v>
      </c>
      <c r="D3275" t="s">
        <v>3217</v>
      </c>
      <c r="E3275">
        <v>0</v>
      </c>
      <c r="F3275">
        <v>68.900000000000006</v>
      </c>
    </row>
    <row r="3276" spans="1:6" x14ac:dyDescent="0.25">
      <c r="A3276" t="s">
        <v>1446</v>
      </c>
      <c r="B3276" t="s">
        <v>33</v>
      </c>
      <c r="C3276" t="s">
        <v>124</v>
      </c>
      <c r="D3276" t="s">
        <v>3218</v>
      </c>
      <c r="E3276">
        <v>13.3</v>
      </c>
      <c r="F3276">
        <v>69.430000000000007</v>
      </c>
    </row>
    <row r="3277" spans="1:6" x14ac:dyDescent="0.25">
      <c r="A3277" t="s">
        <v>1446</v>
      </c>
      <c r="B3277" t="s">
        <v>33</v>
      </c>
      <c r="C3277" t="s">
        <v>124</v>
      </c>
      <c r="D3277" t="s">
        <v>3219</v>
      </c>
      <c r="E3277">
        <v>27.64</v>
      </c>
      <c r="F3277">
        <v>69.650000000000006</v>
      </c>
    </row>
    <row r="3278" spans="1:6" x14ac:dyDescent="0.25">
      <c r="A3278" t="s">
        <v>1447</v>
      </c>
      <c r="B3278" t="s">
        <v>33</v>
      </c>
      <c r="C3278" t="s">
        <v>125</v>
      </c>
      <c r="D3278" t="s">
        <v>3217</v>
      </c>
      <c r="E3278">
        <v>0</v>
      </c>
      <c r="F3278">
        <v>69.14</v>
      </c>
    </row>
    <row r="3279" spans="1:6" x14ac:dyDescent="0.25">
      <c r="A3279" t="s">
        <v>1447</v>
      </c>
      <c r="B3279" t="s">
        <v>33</v>
      </c>
      <c r="C3279" t="s">
        <v>125</v>
      </c>
      <c r="D3279" t="s">
        <v>3218</v>
      </c>
      <c r="E3279">
        <v>13.3</v>
      </c>
      <c r="F3279">
        <v>69.92</v>
      </c>
    </row>
    <row r="3280" spans="1:6" x14ac:dyDescent="0.25">
      <c r="A3280" t="s">
        <v>1447</v>
      </c>
      <c r="B3280" t="s">
        <v>33</v>
      </c>
      <c r="C3280" t="s">
        <v>125</v>
      </c>
      <c r="D3280" t="s">
        <v>3219</v>
      </c>
      <c r="E3280">
        <v>26.28</v>
      </c>
      <c r="F3280">
        <v>70.09</v>
      </c>
    </row>
    <row r="3281" spans="1:6" x14ac:dyDescent="0.25">
      <c r="A3281" t="s">
        <v>1448</v>
      </c>
      <c r="B3281" t="s">
        <v>33</v>
      </c>
      <c r="C3281" t="s">
        <v>126</v>
      </c>
      <c r="D3281" t="s">
        <v>3217</v>
      </c>
      <c r="E3281">
        <v>0</v>
      </c>
      <c r="F3281">
        <v>69.56</v>
      </c>
    </row>
    <row r="3282" spans="1:6" x14ac:dyDescent="0.25">
      <c r="A3282" t="s">
        <v>1448</v>
      </c>
      <c r="B3282" t="s">
        <v>33</v>
      </c>
      <c r="C3282" t="s">
        <v>126</v>
      </c>
      <c r="D3282" t="s">
        <v>3218</v>
      </c>
      <c r="E3282">
        <v>15.5</v>
      </c>
      <c r="F3282">
        <v>70.349999999999994</v>
      </c>
    </row>
    <row r="3283" spans="1:6" x14ac:dyDescent="0.25">
      <c r="A3283" t="s">
        <v>1448</v>
      </c>
      <c r="B3283" t="s">
        <v>33</v>
      </c>
      <c r="C3283" t="s">
        <v>126</v>
      </c>
      <c r="D3283" t="s">
        <v>3219</v>
      </c>
      <c r="E3283">
        <v>27.43</v>
      </c>
      <c r="F3283">
        <v>70.510000000000005</v>
      </c>
    </row>
    <row r="3284" spans="1:6" x14ac:dyDescent="0.25">
      <c r="A3284" t="s">
        <v>1449</v>
      </c>
      <c r="B3284" t="s">
        <v>33</v>
      </c>
      <c r="C3284" t="s">
        <v>127</v>
      </c>
      <c r="D3284" t="s">
        <v>3217</v>
      </c>
      <c r="E3284">
        <v>0</v>
      </c>
      <c r="F3284">
        <v>70.09</v>
      </c>
    </row>
    <row r="3285" spans="1:6" x14ac:dyDescent="0.25">
      <c r="A3285" t="s">
        <v>1449</v>
      </c>
      <c r="B3285" t="s">
        <v>33</v>
      </c>
      <c r="C3285" t="s">
        <v>127</v>
      </c>
      <c r="D3285" t="s">
        <v>3218</v>
      </c>
      <c r="E3285">
        <v>15.88</v>
      </c>
      <c r="F3285">
        <v>70.790000000000006</v>
      </c>
    </row>
    <row r="3286" spans="1:6" x14ac:dyDescent="0.25">
      <c r="A3286" t="s">
        <v>1449</v>
      </c>
      <c r="B3286" t="s">
        <v>33</v>
      </c>
      <c r="C3286" t="s">
        <v>127</v>
      </c>
      <c r="D3286" t="s">
        <v>3219</v>
      </c>
      <c r="E3286">
        <v>27.06</v>
      </c>
      <c r="F3286">
        <v>70.989999999999995</v>
      </c>
    </row>
    <row r="3287" spans="1:6" x14ac:dyDescent="0.25">
      <c r="A3287" t="s">
        <v>1450</v>
      </c>
      <c r="B3287" t="s">
        <v>33</v>
      </c>
      <c r="C3287" t="s">
        <v>128</v>
      </c>
      <c r="D3287" t="s">
        <v>3217</v>
      </c>
      <c r="E3287">
        <v>0</v>
      </c>
      <c r="F3287">
        <v>70.64</v>
      </c>
    </row>
    <row r="3288" spans="1:6" x14ac:dyDescent="0.25">
      <c r="A3288" t="s">
        <v>1450</v>
      </c>
      <c r="B3288" t="s">
        <v>33</v>
      </c>
      <c r="C3288" t="s">
        <v>128</v>
      </c>
      <c r="D3288" t="s">
        <v>3218</v>
      </c>
      <c r="E3288">
        <v>16.91</v>
      </c>
      <c r="F3288">
        <v>71.349999999999994</v>
      </c>
    </row>
    <row r="3289" spans="1:6" x14ac:dyDescent="0.25">
      <c r="A3289" t="s">
        <v>1450</v>
      </c>
      <c r="B3289" t="s">
        <v>33</v>
      </c>
      <c r="C3289" t="s">
        <v>128</v>
      </c>
      <c r="D3289" t="s">
        <v>3219</v>
      </c>
      <c r="E3289">
        <v>27.45</v>
      </c>
      <c r="F3289">
        <v>71.569999999999993</v>
      </c>
    </row>
    <row r="3290" spans="1:6" x14ac:dyDescent="0.25">
      <c r="A3290" t="s">
        <v>1451</v>
      </c>
      <c r="B3290" t="s">
        <v>33</v>
      </c>
      <c r="C3290" t="s">
        <v>129</v>
      </c>
      <c r="D3290" t="s">
        <v>3217</v>
      </c>
      <c r="E3290">
        <v>0</v>
      </c>
      <c r="F3290">
        <v>71.180000000000007</v>
      </c>
    </row>
    <row r="3291" spans="1:6" x14ac:dyDescent="0.25">
      <c r="A3291" t="s">
        <v>1451</v>
      </c>
      <c r="B3291" t="s">
        <v>33</v>
      </c>
      <c r="C3291" t="s">
        <v>129</v>
      </c>
      <c r="D3291" t="s">
        <v>3218</v>
      </c>
      <c r="E3291">
        <v>17.18</v>
      </c>
      <c r="F3291">
        <v>71.92</v>
      </c>
    </row>
    <row r="3292" spans="1:6" x14ac:dyDescent="0.25">
      <c r="A3292" t="s">
        <v>1451</v>
      </c>
      <c r="B3292" t="s">
        <v>33</v>
      </c>
      <c r="C3292" t="s">
        <v>129</v>
      </c>
      <c r="D3292" t="s">
        <v>3219</v>
      </c>
      <c r="E3292">
        <v>28.59</v>
      </c>
      <c r="F3292">
        <v>72.150000000000006</v>
      </c>
    </row>
    <row r="3293" spans="1:6" x14ac:dyDescent="0.25">
      <c r="A3293" t="s">
        <v>1452</v>
      </c>
      <c r="B3293" t="s">
        <v>33</v>
      </c>
      <c r="C3293" t="s">
        <v>130</v>
      </c>
      <c r="D3293" t="s">
        <v>3217</v>
      </c>
      <c r="E3293">
        <v>0</v>
      </c>
      <c r="F3293">
        <v>71.8</v>
      </c>
    </row>
    <row r="3294" spans="1:6" x14ac:dyDescent="0.25">
      <c r="A3294" t="s">
        <v>1452</v>
      </c>
      <c r="B3294" t="s">
        <v>33</v>
      </c>
      <c r="C3294" t="s">
        <v>130</v>
      </c>
      <c r="D3294" t="s">
        <v>3218</v>
      </c>
      <c r="E3294">
        <v>18.18</v>
      </c>
      <c r="F3294">
        <v>72.569999999999993</v>
      </c>
    </row>
    <row r="3295" spans="1:6" x14ac:dyDescent="0.25">
      <c r="A3295" t="s">
        <v>1452</v>
      </c>
      <c r="B3295" t="s">
        <v>33</v>
      </c>
      <c r="C3295" t="s">
        <v>130</v>
      </c>
      <c r="D3295" t="s">
        <v>3219</v>
      </c>
      <c r="E3295">
        <v>30.48</v>
      </c>
      <c r="F3295">
        <v>72.81</v>
      </c>
    </row>
    <row r="3296" spans="1:6" x14ac:dyDescent="0.25">
      <c r="A3296" t="s">
        <v>1453</v>
      </c>
      <c r="B3296" t="s">
        <v>33</v>
      </c>
      <c r="C3296" t="s">
        <v>131</v>
      </c>
      <c r="D3296" t="s">
        <v>3217</v>
      </c>
      <c r="E3296">
        <v>0</v>
      </c>
      <c r="F3296">
        <v>72.55</v>
      </c>
    </row>
    <row r="3297" spans="1:6" x14ac:dyDescent="0.25">
      <c r="A3297" t="s">
        <v>1453</v>
      </c>
      <c r="B3297" t="s">
        <v>33</v>
      </c>
      <c r="C3297" t="s">
        <v>131</v>
      </c>
      <c r="D3297" t="s">
        <v>3218</v>
      </c>
      <c r="E3297">
        <v>20</v>
      </c>
      <c r="F3297">
        <v>73.19</v>
      </c>
    </row>
    <row r="3298" spans="1:6" x14ac:dyDescent="0.25">
      <c r="A3298" t="s">
        <v>1453</v>
      </c>
      <c r="B3298" t="s">
        <v>33</v>
      </c>
      <c r="C3298" t="s">
        <v>131</v>
      </c>
      <c r="D3298" t="s">
        <v>3219</v>
      </c>
      <c r="E3298">
        <v>33.479999999999997</v>
      </c>
      <c r="F3298">
        <v>73.349999999999994</v>
      </c>
    </row>
    <row r="3299" spans="1:6" x14ac:dyDescent="0.25">
      <c r="A3299" t="s">
        <v>1454</v>
      </c>
      <c r="B3299" t="s">
        <v>33</v>
      </c>
      <c r="C3299" t="s">
        <v>132</v>
      </c>
      <c r="D3299" t="s">
        <v>3217</v>
      </c>
      <c r="E3299">
        <v>0</v>
      </c>
      <c r="F3299">
        <v>73.28</v>
      </c>
    </row>
    <row r="3300" spans="1:6" x14ac:dyDescent="0.25">
      <c r="A3300" t="s">
        <v>1454</v>
      </c>
      <c r="B3300" t="s">
        <v>33</v>
      </c>
      <c r="C3300" t="s">
        <v>132</v>
      </c>
      <c r="D3300" t="s">
        <v>3218</v>
      </c>
      <c r="E3300">
        <v>20</v>
      </c>
      <c r="F3300">
        <v>74.06</v>
      </c>
    </row>
    <row r="3301" spans="1:6" x14ac:dyDescent="0.25">
      <c r="A3301" t="s">
        <v>1454</v>
      </c>
      <c r="B3301" t="s">
        <v>33</v>
      </c>
      <c r="C3301" t="s">
        <v>132</v>
      </c>
      <c r="D3301" t="s">
        <v>3219</v>
      </c>
      <c r="E3301">
        <v>35.549999999999997</v>
      </c>
      <c r="F3301">
        <v>74.13</v>
      </c>
    </row>
    <row r="3302" spans="1:6" x14ac:dyDescent="0.25">
      <c r="A3302" t="s">
        <v>1455</v>
      </c>
      <c r="B3302" t="s">
        <v>33</v>
      </c>
      <c r="C3302" t="s">
        <v>133</v>
      </c>
      <c r="D3302" t="s">
        <v>3217</v>
      </c>
      <c r="E3302">
        <v>0</v>
      </c>
      <c r="F3302">
        <v>74.17</v>
      </c>
    </row>
    <row r="3303" spans="1:6" x14ac:dyDescent="0.25">
      <c r="A3303" t="s">
        <v>1455</v>
      </c>
      <c r="B3303" t="s">
        <v>33</v>
      </c>
      <c r="C3303" t="s">
        <v>133</v>
      </c>
      <c r="D3303" t="s">
        <v>3218</v>
      </c>
      <c r="E3303">
        <v>20</v>
      </c>
      <c r="F3303">
        <v>74.989999999999995</v>
      </c>
    </row>
    <row r="3304" spans="1:6" x14ac:dyDescent="0.25">
      <c r="A3304" t="s">
        <v>1455</v>
      </c>
      <c r="B3304" t="s">
        <v>33</v>
      </c>
      <c r="C3304" t="s">
        <v>133</v>
      </c>
      <c r="D3304" t="s">
        <v>3219</v>
      </c>
      <c r="E3304">
        <v>37.049999999999997</v>
      </c>
      <c r="F3304">
        <v>75.09</v>
      </c>
    </row>
    <row r="3305" spans="1:6" x14ac:dyDescent="0.25">
      <c r="A3305" t="s">
        <v>1456</v>
      </c>
      <c r="B3305" t="s">
        <v>33</v>
      </c>
      <c r="C3305" t="s">
        <v>134</v>
      </c>
      <c r="D3305" t="s">
        <v>3217</v>
      </c>
      <c r="E3305">
        <v>0</v>
      </c>
      <c r="F3305">
        <v>75.52</v>
      </c>
    </row>
    <row r="3306" spans="1:6" x14ac:dyDescent="0.25">
      <c r="A3306" t="s">
        <v>1456</v>
      </c>
      <c r="B3306" t="s">
        <v>33</v>
      </c>
      <c r="C3306" t="s">
        <v>134</v>
      </c>
      <c r="D3306" t="s">
        <v>3218</v>
      </c>
      <c r="E3306">
        <v>20</v>
      </c>
      <c r="F3306">
        <v>76.03</v>
      </c>
    </row>
    <row r="3307" spans="1:6" x14ac:dyDescent="0.25">
      <c r="A3307" t="s">
        <v>1456</v>
      </c>
      <c r="B3307" t="s">
        <v>33</v>
      </c>
      <c r="C3307" t="s">
        <v>134</v>
      </c>
      <c r="D3307" t="s">
        <v>3219</v>
      </c>
      <c r="E3307">
        <v>40</v>
      </c>
      <c r="F3307">
        <v>76.25</v>
      </c>
    </row>
    <row r="3308" spans="1:6" x14ac:dyDescent="0.25">
      <c r="A3308" t="s">
        <v>1457</v>
      </c>
      <c r="B3308" t="s">
        <v>33</v>
      </c>
      <c r="C3308" t="s">
        <v>135</v>
      </c>
      <c r="D3308" t="s">
        <v>3217</v>
      </c>
      <c r="E3308">
        <v>0</v>
      </c>
      <c r="F3308">
        <v>77.14</v>
      </c>
    </row>
    <row r="3309" spans="1:6" x14ac:dyDescent="0.25">
      <c r="A3309" t="s">
        <v>1457</v>
      </c>
      <c r="B3309" t="s">
        <v>33</v>
      </c>
      <c r="C3309" t="s">
        <v>135</v>
      </c>
      <c r="D3309" t="s">
        <v>3218</v>
      </c>
      <c r="E3309">
        <v>20</v>
      </c>
      <c r="F3309">
        <v>77.55</v>
      </c>
    </row>
    <row r="3310" spans="1:6" x14ac:dyDescent="0.25">
      <c r="A3310" t="s">
        <v>1457</v>
      </c>
      <c r="B3310" t="s">
        <v>33</v>
      </c>
      <c r="C3310" t="s">
        <v>135</v>
      </c>
      <c r="D3310" t="s">
        <v>3219</v>
      </c>
      <c r="E3310">
        <v>40</v>
      </c>
      <c r="F3310">
        <v>77.760000000000005</v>
      </c>
    </row>
    <row r="3311" spans="1:6" x14ac:dyDescent="0.25">
      <c r="A3311" t="s">
        <v>1458</v>
      </c>
      <c r="B3311" t="s">
        <v>33</v>
      </c>
      <c r="C3311" t="s">
        <v>233</v>
      </c>
      <c r="D3311" t="s">
        <v>3217</v>
      </c>
      <c r="E3311">
        <v>0</v>
      </c>
      <c r="F3311">
        <v>78.680000000000007</v>
      </c>
    </row>
    <row r="3312" spans="1:6" x14ac:dyDescent="0.25">
      <c r="A3312" t="s">
        <v>1458</v>
      </c>
      <c r="B3312" t="s">
        <v>33</v>
      </c>
      <c r="C3312" t="s">
        <v>233</v>
      </c>
      <c r="D3312" t="s">
        <v>3218</v>
      </c>
      <c r="E3312">
        <v>20</v>
      </c>
      <c r="F3312">
        <v>79.099999999999994</v>
      </c>
    </row>
    <row r="3313" spans="1:6" x14ac:dyDescent="0.25">
      <c r="A3313" t="s">
        <v>1458</v>
      </c>
      <c r="B3313" t="s">
        <v>33</v>
      </c>
      <c r="C3313" t="s">
        <v>233</v>
      </c>
      <c r="D3313" t="s">
        <v>3219</v>
      </c>
      <c r="E3313">
        <v>40</v>
      </c>
      <c r="F3313">
        <v>79.23</v>
      </c>
    </row>
    <row r="3314" spans="1:6" x14ac:dyDescent="0.25">
      <c r="A3314" t="s">
        <v>1459</v>
      </c>
      <c r="B3314" t="s">
        <v>34</v>
      </c>
      <c r="C3314" t="s">
        <v>56</v>
      </c>
      <c r="D3314" t="s">
        <v>3217</v>
      </c>
      <c r="E3314">
        <v>0</v>
      </c>
      <c r="F3314">
        <v>132.78</v>
      </c>
    </row>
    <row r="3315" spans="1:6" x14ac:dyDescent="0.25">
      <c r="A3315" t="s">
        <v>1459</v>
      </c>
      <c r="B3315" t="s">
        <v>34</v>
      </c>
      <c r="C3315" t="s">
        <v>56</v>
      </c>
      <c r="D3315" t="s">
        <v>3218</v>
      </c>
      <c r="E3315">
        <v>20</v>
      </c>
      <c r="F3315">
        <v>133.13999999999999</v>
      </c>
    </row>
    <row r="3316" spans="1:6" x14ac:dyDescent="0.25">
      <c r="A3316" t="s">
        <v>1459</v>
      </c>
      <c r="B3316" t="s">
        <v>34</v>
      </c>
      <c r="C3316" t="s">
        <v>56</v>
      </c>
      <c r="D3316" t="s">
        <v>3219</v>
      </c>
      <c r="E3316">
        <v>40</v>
      </c>
      <c r="F3316">
        <v>134.09</v>
      </c>
    </row>
    <row r="3317" spans="1:6" x14ac:dyDescent="0.25">
      <c r="A3317" t="s">
        <v>1460</v>
      </c>
      <c r="B3317" t="s">
        <v>34</v>
      </c>
      <c r="C3317" t="s">
        <v>57</v>
      </c>
      <c r="D3317" t="s">
        <v>3217</v>
      </c>
      <c r="E3317">
        <v>0</v>
      </c>
      <c r="F3317">
        <v>132.1</v>
      </c>
    </row>
    <row r="3318" spans="1:6" x14ac:dyDescent="0.25">
      <c r="A3318" t="s">
        <v>1460</v>
      </c>
      <c r="B3318" t="s">
        <v>34</v>
      </c>
      <c r="C3318" t="s">
        <v>57</v>
      </c>
      <c r="D3318" t="s">
        <v>3218</v>
      </c>
      <c r="E3318">
        <v>16.05</v>
      </c>
      <c r="F3318">
        <v>132.55000000000001</v>
      </c>
    </row>
    <row r="3319" spans="1:6" x14ac:dyDescent="0.25">
      <c r="A3319" t="s">
        <v>1460</v>
      </c>
      <c r="B3319" t="s">
        <v>34</v>
      </c>
      <c r="C3319" t="s">
        <v>57</v>
      </c>
      <c r="D3319" t="s">
        <v>3219</v>
      </c>
      <c r="E3319">
        <v>30.99</v>
      </c>
      <c r="F3319">
        <v>133.35</v>
      </c>
    </row>
    <row r="3320" spans="1:6" x14ac:dyDescent="0.25">
      <c r="A3320" t="s">
        <v>1461</v>
      </c>
      <c r="B3320" t="s">
        <v>34</v>
      </c>
      <c r="C3320" t="s">
        <v>58</v>
      </c>
      <c r="D3320" t="s">
        <v>3217</v>
      </c>
      <c r="E3320">
        <v>0</v>
      </c>
      <c r="F3320">
        <v>131.44</v>
      </c>
    </row>
    <row r="3321" spans="1:6" x14ac:dyDescent="0.25">
      <c r="A3321" t="s">
        <v>1461</v>
      </c>
      <c r="B3321" t="s">
        <v>34</v>
      </c>
      <c r="C3321" t="s">
        <v>58</v>
      </c>
      <c r="D3321" t="s">
        <v>3218</v>
      </c>
      <c r="E3321">
        <v>14.12</v>
      </c>
      <c r="F3321">
        <v>132.04</v>
      </c>
    </row>
    <row r="3322" spans="1:6" x14ac:dyDescent="0.25">
      <c r="A3322" t="s">
        <v>1461</v>
      </c>
      <c r="B3322" t="s">
        <v>34</v>
      </c>
      <c r="C3322" t="s">
        <v>58</v>
      </c>
      <c r="D3322" t="s">
        <v>3219</v>
      </c>
      <c r="E3322">
        <v>27.75</v>
      </c>
      <c r="F3322">
        <v>132.03</v>
      </c>
    </row>
    <row r="3323" spans="1:6" x14ac:dyDescent="0.25">
      <c r="A3323" t="s">
        <v>1462</v>
      </c>
      <c r="B3323" t="s">
        <v>34</v>
      </c>
      <c r="C3323" t="s">
        <v>59</v>
      </c>
      <c r="D3323" t="s">
        <v>3217</v>
      </c>
      <c r="E3323">
        <v>0</v>
      </c>
      <c r="F3323">
        <v>130.44</v>
      </c>
    </row>
    <row r="3324" spans="1:6" x14ac:dyDescent="0.25">
      <c r="A3324" t="s">
        <v>1462</v>
      </c>
      <c r="B3324" t="s">
        <v>34</v>
      </c>
      <c r="C3324" t="s">
        <v>59</v>
      </c>
      <c r="D3324" t="s">
        <v>3218</v>
      </c>
      <c r="E3324">
        <v>12.97</v>
      </c>
      <c r="F3324">
        <v>130.87</v>
      </c>
    </row>
    <row r="3325" spans="1:6" x14ac:dyDescent="0.25">
      <c r="A3325" t="s">
        <v>1462</v>
      </c>
      <c r="B3325" t="s">
        <v>34</v>
      </c>
      <c r="C3325" t="s">
        <v>59</v>
      </c>
      <c r="D3325" t="s">
        <v>3219</v>
      </c>
      <c r="E3325">
        <v>26.43</v>
      </c>
      <c r="F3325">
        <v>130.63999999999999</v>
      </c>
    </row>
    <row r="3326" spans="1:6" x14ac:dyDescent="0.25">
      <c r="A3326" t="s">
        <v>1463</v>
      </c>
      <c r="B3326" t="s">
        <v>34</v>
      </c>
      <c r="C3326" t="s">
        <v>60</v>
      </c>
      <c r="D3326" t="s">
        <v>3217</v>
      </c>
      <c r="E3326">
        <v>0</v>
      </c>
      <c r="F3326">
        <v>129.35</v>
      </c>
    </row>
    <row r="3327" spans="1:6" x14ac:dyDescent="0.25">
      <c r="A3327" t="s">
        <v>1463</v>
      </c>
      <c r="B3327" t="s">
        <v>34</v>
      </c>
      <c r="C3327" t="s">
        <v>60</v>
      </c>
      <c r="D3327" t="s">
        <v>3218</v>
      </c>
      <c r="E3327">
        <v>12.11</v>
      </c>
      <c r="F3327">
        <v>129.49</v>
      </c>
    </row>
    <row r="3328" spans="1:6" x14ac:dyDescent="0.25">
      <c r="A3328" t="s">
        <v>1463</v>
      </c>
      <c r="B3328" t="s">
        <v>34</v>
      </c>
      <c r="C3328" t="s">
        <v>60</v>
      </c>
      <c r="D3328" t="s">
        <v>3219</v>
      </c>
      <c r="E3328">
        <v>25.45</v>
      </c>
      <c r="F3328">
        <v>129.36000000000001</v>
      </c>
    </row>
    <row r="3329" spans="1:6" x14ac:dyDescent="0.25">
      <c r="A3329" t="s">
        <v>1464</v>
      </c>
      <c r="B3329" t="s">
        <v>34</v>
      </c>
      <c r="C3329" t="s">
        <v>61</v>
      </c>
      <c r="D3329" t="s">
        <v>3217</v>
      </c>
      <c r="E3329">
        <v>0</v>
      </c>
      <c r="F3329">
        <v>128.57</v>
      </c>
    </row>
    <row r="3330" spans="1:6" x14ac:dyDescent="0.25">
      <c r="A3330" t="s">
        <v>1464</v>
      </c>
      <c r="B3330" t="s">
        <v>34</v>
      </c>
      <c r="C3330" t="s">
        <v>61</v>
      </c>
      <c r="D3330" t="s">
        <v>3218</v>
      </c>
      <c r="E3330">
        <v>11.46</v>
      </c>
      <c r="F3330">
        <v>128.88</v>
      </c>
    </row>
    <row r="3331" spans="1:6" x14ac:dyDescent="0.25">
      <c r="A3331" t="s">
        <v>1464</v>
      </c>
      <c r="B3331" t="s">
        <v>34</v>
      </c>
      <c r="C3331" t="s">
        <v>61</v>
      </c>
      <c r="D3331" t="s">
        <v>3219</v>
      </c>
      <c r="E3331">
        <v>24.73</v>
      </c>
      <c r="F3331">
        <v>128.81</v>
      </c>
    </row>
    <row r="3332" spans="1:6" x14ac:dyDescent="0.25">
      <c r="A3332" t="s">
        <v>1465</v>
      </c>
      <c r="B3332" t="s">
        <v>34</v>
      </c>
      <c r="C3332" t="s">
        <v>62</v>
      </c>
      <c r="D3332" t="s">
        <v>3217</v>
      </c>
      <c r="E3332">
        <v>0</v>
      </c>
      <c r="F3332">
        <v>128.13999999999999</v>
      </c>
    </row>
    <row r="3333" spans="1:6" x14ac:dyDescent="0.25">
      <c r="A3333" t="s">
        <v>1465</v>
      </c>
      <c r="B3333" t="s">
        <v>34</v>
      </c>
      <c r="C3333" t="s">
        <v>62</v>
      </c>
      <c r="D3333" t="s">
        <v>3218</v>
      </c>
      <c r="E3333">
        <v>10.92</v>
      </c>
      <c r="F3333">
        <v>128.47999999999999</v>
      </c>
    </row>
    <row r="3334" spans="1:6" x14ac:dyDescent="0.25">
      <c r="A3334" t="s">
        <v>1465</v>
      </c>
      <c r="B3334" t="s">
        <v>34</v>
      </c>
      <c r="C3334" t="s">
        <v>62</v>
      </c>
      <c r="D3334" t="s">
        <v>3219</v>
      </c>
      <c r="E3334">
        <v>23.42</v>
      </c>
      <c r="F3334">
        <v>128.31</v>
      </c>
    </row>
    <row r="3335" spans="1:6" x14ac:dyDescent="0.25">
      <c r="A3335" t="s">
        <v>1466</v>
      </c>
      <c r="B3335" t="s">
        <v>34</v>
      </c>
      <c r="C3335" t="s">
        <v>63</v>
      </c>
      <c r="D3335" t="s">
        <v>3217</v>
      </c>
      <c r="E3335">
        <v>0</v>
      </c>
      <c r="F3335">
        <v>127.7</v>
      </c>
    </row>
    <row r="3336" spans="1:6" x14ac:dyDescent="0.25">
      <c r="A3336" t="s">
        <v>1466</v>
      </c>
      <c r="B3336" t="s">
        <v>34</v>
      </c>
      <c r="C3336" t="s">
        <v>63</v>
      </c>
      <c r="D3336" t="s">
        <v>3218</v>
      </c>
      <c r="E3336">
        <v>11.17</v>
      </c>
      <c r="F3336">
        <v>127.97</v>
      </c>
    </row>
    <row r="3337" spans="1:6" x14ac:dyDescent="0.25">
      <c r="A3337" t="s">
        <v>1466</v>
      </c>
      <c r="B3337" t="s">
        <v>34</v>
      </c>
      <c r="C3337" t="s">
        <v>63</v>
      </c>
      <c r="D3337" t="s">
        <v>3219</v>
      </c>
      <c r="E3337">
        <v>24.27</v>
      </c>
      <c r="F3337">
        <v>127.97</v>
      </c>
    </row>
    <row r="3338" spans="1:6" x14ac:dyDescent="0.25">
      <c r="A3338" t="s">
        <v>1467</v>
      </c>
      <c r="B3338" t="s">
        <v>34</v>
      </c>
      <c r="C3338" t="s">
        <v>64</v>
      </c>
      <c r="D3338" t="s">
        <v>3217</v>
      </c>
      <c r="E3338">
        <v>0</v>
      </c>
      <c r="F3338">
        <v>127.13</v>
      </c>
    </row>
    <row r="3339" spans="1:6" x14ac:dyDescent="0.25">
      <c r="A3339" t="s">
        <v>1467</v>
      </c>
      <c r="B3339" t="s">
        <v>34</v>
      </c>
      <c r="C3339" t="s">
        <v>64</v>
      </c>
      <c r="D3339" t="s">
        <v>3218</v>
      </c>
      <c r="E3339">
        <v>11.17</v>
      </c>
      <c r="F3339">
        <v>127.55</v>
      </c>
    </row>
    <row r="3340" spans="1:6" x14ac:dyDescent="0.25">
      <c r="A3340" t="s">
        <v>1467</v>
      </c>
      <c r="B3340" t="s">
        <v>34</v>
      </c>
      <c r="C3340" t="s">
        <v>64</v>
      </c>
      <c r="D3340" t="s">
        <v>3219</v>
      </c>
      <c r="E3340">
        <v>24.42</v>
      </c>
      <c r="F3340">
        <v>127.49</v>
      </c>
    </row>
    <row r="3341" spans="1:6" x14ac:dyDescent="0.25">
      <c r="A3341" t="s">
        <v>1468</v>
      </c>
      <c r="B3341" t="s">
        <v>34</v>
      </c>
      <c r="C3341" t="s">
        <v>65</v>
      </c>
      <c r="D3341" t="s">
        <v>3217</v>
      </c>
      <c r="E3341">
        <v>0</v>
      </c>
      <c r="F3341">
        <v>126.86</v>
      </c>
    </row>
    <row r="3342" spans="1:6" x14ac:dyDescent="0.25">
      <c r="A3342" t="s">
        <v>1468</v>
      </c>
      <c r="B3342" t="s">
        <v>34</v>
      </c>
      <c r="C3342" t="s">
        <v>65</v>
      </c>
      <c r="D3342" t="s">
        <v>3218</v>
      </c>
      <c r="E3342">
        <v>12.83</v>
      </c>
      <c r="F3342">
        <v>127</v>
      </c>
    </row>
    <row r="3343" spans="1:6" x14ac:dyDescent="0.25">
      <c r="A3343" t="s">
        <v>1468</v>
      </c>
      <c r="B3343" t="s">
        <v>34</v>
      </c>
      <c r="C3343" t="s">
        <v>65</v>
      </c>
      <c r="D3343" t="s">
        <v>3219</v>
      </c>
      <c r="E3343">
        <v>27.37</v>
      </c>
      <c r="F3343">
        <v>127.09</v>
      </c>
    </row>
    <row r="3344" spans="1:6" x14ac:dyDescent="0.25">
      <c r="A3344" t="s">
        <v>1469</v>
      </c>
      <c r="B3344" t="s">
        <v>34</v>
      </c>
      <c r="C3344" t="s">
        <v>66</v>
      </c>
      <c r="D3344" t="s">
        <v>3217</v>
      </c>
      <c r="E3344">
        <v>0</v>
      </c>
      <c r="F3344">
        <v>125.16</v>
      </c>
    </row>
    <row r="3345" spans="1:6" x14ac:dyDescent="0.25">
      <c r="A3345" t="s">
        <v>1469</v>
      </c>
      <c r="B3345" t="s">
        <v>34</v>
      </c>
      <c r="C3345" t="s">
        <v>66</v>
      </c>
      <c r="D3345" t="s">
        <v>3218</v>
      </c>
      <c r="E3345">
        <v>20</v>
      </c>
      <c r="F3345">
        <v>126.53</v>
      </c>
    </row>
    <row r="3346" spans="1:6" x14ac:dyDescent="0.25">
      <c r="A3346" t="s">
        <v>1469</v>
      </c>
      <c r="B3346" t="s">
        <v>34</v>
      </c>
      <c r="C3346" t="s">
        <v>66</v>
      </c>
      <c r="D3346" t="s">
        <v>3219</v>
      </c>
      <c r="E3346">
        <v>35.01</v>
      </c>
      <c r="F3346">
        <v>126.41</v>
      </c>
    </row>
    <row r="3347" spans="1:6" x14ac:dyDescent="0.25">
      <c r="A3347" t="s">
        <v>1470</v>
      </c>
      <c r="B3347" t="s">
        <v>34</v>
      </c>
      <c r="C3347" t="s">
        <v>67</v>
      </c>
      <c r="D3347" t="s">
        <v>3217</v>
      </c>
      <c r="E3347">
        <v>0</v>
      </c>
      <c r="F3347">
        <v>124.56</v>
      </c>
    </row>
    <row r="3348" spans="1:6" x14ac:dyDescent="0.25">
      <c r="A3348" t="s">
        <v>1470</v>
      </c>
      <c r="B3348" t="s">
        <v>34</v>
      </c>
      <c r="C3348" t="s">
        <v>67</v>
      </c>
      <c r="D3348" t="s">
        <v>3218</v>
      </c>
      <c r="E3348">
        <v>12.83</v>
      </c>
      <c r="F3348">
        <v>126.24</v>
      </c>
    </row>
    <row r="3349" spans="1:6" x14ac:dyDescent="0.25">
      <c r="A3349" t="s">
        <v>1470</v>
      </c>
      <c r="B3349" t="s">
        <v>34</v>
      </c>
      <c r="C3349" t="s">
        <v>67</v>
      </c>
      <c r="D3349" t="s">
        <v>3219</v>
      </c>
      <c r="E3349">
        <v>27.37</v>
      </c>
      <c r="F3349">
        <v>125.98</v>
      </c>
    </row>
    <row r="3350" spans="1:6" x14ac:dyDescent="0.25">
      <c r="A3350" t="s">
        <v>1471</v>
      </c>
      <c r="B3350" t="s">
        <v>34</v>
      </c>
      <c r="C3350" t="s">
        <v>68</v>
      </c>
      <c r="D3350" t="s">
        <v>3217</v>
      </c>
      <c r="E3350">
        <v>0</v>
      </c>
      <c r="F3350">
        <v>124.78</v>
      </c>
    </row>
    <row r="3351" spans="1:6" x14ac:dyDescent="0.25">
      <c r="A3351" t="s">
        <v>1471</v>
      </c>
      <c r="B3351" t="s">
        <v>34</v>
      </c>
      <c r="C3351" t="s">
        <v>68</v>
      </c>
      <c r="D3351" t="s">
        <v>3218</v>
      </c>
      <c r="E3351">
        <v>10.82</v>
      </c>
      <c r="F3351">
        <v>126.41</v>
      </c>
    </row>
    <row r="3352" spans="1:6" x14ac:dyDescent="0.25">
      <c r="A3352" t="s">
        <v>1471</v>
      </c>
      <c r="B3352" t="s">
        <v>34</v>
      </c>
      <c r="C3352" t="s">
        <v>68</v>
      </c>
      <c r="D3352" t="s">
        <v>3219</v>
      </c>
      <c r="E3352">
        <v>25.83</v>
      </c>
      <c r="F3352">
        <v>126.43</v>
      </c>
    </row>
    <row r="3353" spans="1:6" x14ac:dyDescent="0.25">
      <c r="A3353" t="s">
        <v>1472</v>
      </c>
      <c r="B3353" t="s">
        <v>34</v>
      </c>
      <c r="C3353" t="s">
        <v>69</v>
      </c>
      <c r="D3353" t="s">
        <v>3217</v>
      </c>
      <c r="E3353">
        <v>0</v>
      </c>
      <c r="F3353">
        <v>126.68</v>
      </c>
    </row>
    <row r="3354" spans="1:6" x14ac:dyDescent="0.25">
      <c r="A3354" t="s">
        <v>1472</v>
      </c>
      <c r="B3354" t="s">
        <v>34</v>
      </c>
      <c r="C3354" t="s">
        <v>69</v>
      </c>
      <c r="D3354" t="s">
        <v>3218</v>
      </c>
      <c r="E3354">
        <v>11.34</v>
      </c>
      <c r="F3354">
        <v>126.91</v>
      </c>
    </row>
    <row r="3355" spans="1:6" x14ac:dyDescent="0.25">
      <c r="A3355" t="s">
        <v>1472</v>
      </c>
      <c r="B3355" t="s">
        <v>34</v>
      </c>
      <c r="C3355" t="s">
        <v>69</v>
      </c>
      <c r="D3355" t="s">
        <v>3219</v>
      </c>
      <c r="E3355">
        <v>26.56</v>
      </c>
      <c r="F3355">
        <v>126.94</v>
      </c>
    </row>
    <row r="3356" spans="1:6" x14ac:dyDescent="0.25">
      <c r="A3356" t="s">
        <v>1473</v>
      </c>
      <c r="B3356" t="s">
        <v>34</v>
      </c>
      <c r="C3356" t="s">
        <v>70</v>
      </c>
      <c r="D3356" t="s">
        <v>3217</v>
      </c>
      <c r="E3356">
        <v>0</v>
      </c>
      <c r="F3356">
        <v>127.22</v>
      </c>
    </row>
    <row r="3357" spans="1:6" x14ac:dyDescent="0.25">
      <c r="A3357" t="s">
        <v>1473</v>
      </c>
      <c r="B3357" t="s">
        <v>34</v>
      </c>
      <c r="C3357" t="s">
        <v>70</v>
      </c>
      <c r="D3357" t="s">
        <v>3218</v>
      </c>
      <c r="E3357">
        <v>10.82</v>
      </c>
      <c r="F3357">
        <v>127.64</v>
      </c>
    </row>
    <row r="3358" spans="1:6" x14ac:dyDescent="0.25">
      <c r="A3358" t="s">
        <v>1473</v>
      </c>
      <c r="B3358" t="s">
        <v>34</v>
      </c>
      <c r="C3358" t="s">
        <v>70</v>
      </c>
      <c r="D3358" t="s">
        <v>3219</v>
      </c>
      <c r="E3358">
        <v>25.16</v>
      </c>
      <c r="F3358">
        <v>127.66</v>
      </c>
    </row>
    <row r="3359" spans="1:6" x14ac:dyDescent="0.25">
      <c r="A3359" t="s">
        <v>1474</v>
      </c>
      <c r="B3359" t="s">
        <v>34</v>
      </c>
      <c r="C3359" t="s">
        <v>71</v>
      </c>
      <c r="D3359" t="s">
        <v>3217</v>
      </c>
      <c r="E3359">
        <v>0</v>
      </c>
      <c r="F3359">
        <v>128.19999999999999</v>
      </c>
    </row>
    <row r="3360" spans="1:6" x14ac:dyDescent="0.25">
      <c r="A3360" t="s">
        <v>1474</v>
      </c>
      <c r="B3360" t="s">
        <v>34</v>
      </c>
      <c r="C3360" t="s">
        <v>71</v>
      </c>
      <c r="D3360" t="s">
        <v>3218</v>
      </c>
      <c r="E3360">
        <v>11.34</v>
      </c>
      <c r="F3360">
        <v>128.72</v>
      </c>
    </row>
    <row r="3361" spans="1:6" x14ac:dyDescent="0.25">
      <c r="A3361" t="s">
        <v>1474</v>
      </c>
      <c r="B3361" t="s">
        <v>34</v>
      </c>
      <c r="C3361" t="s">
        <v>71</v>
      </c>
      <c r="D3361" t="s">
        <v>3219</v>
      </c>
      <c r="E3361">
        <v>24.22</v>
      </c>
      <c r="F3361">
        <v>128.69</v>
      </c>
    </row>
    <row r="3362" spans="1:6" x14ac:dyDescent="0.25">
      <c r="A3362" t="s">
        <v>1475</v>
      </c>
      <c r="B3362" t="s">
        <v>34</v>
      </c>
      <c r="C3362" t="s">
        <v>72</v>
      </c>
      <c r="D3362" t="s">
        <v>3217</v>
      </c>
      <c r="E3362">
        <v>0</v>
      </c>
      <c r="F3362">
        <v>129.77000000000001</v>
      </c>
    </row>
    <row r="3363" spans="1:6" x14ac:dyDescent="0.25">
      <c r="A3363" t="s">
        <v>1475</v>
      </c>
      <c r="B3363" t="s">
        <v>34</v>
      </c>
      <c r="C3363" t="s">
        <v>72</v>
      </c>
      <c r="D3363" t="s">
        <v>3218</v>
      </c>
      <c r="E3363">
        <v>10.8</v>
      </c>
      <c r="F3363">
        <v>130.03</v>
      </c>
    </row>
    <row r="3364" spans="1:6" x14ac:dyDescent="0.25">
      <c r="A3364" t="s">
        <v>1475</v>
      </c>
      <c r="B3364" t="s">
        <v>34</v>
      </c>
      <c r="C3364" t="s">
        <v>72</v>
      </c>
      <c r="D3364" t="s">
        <v>3219</v>
      </c>
      <c r="E3364">
        <v>23.83</v>
      </c>
      <c r="F3364">
        <v>130</v>
      </c>
    </row>
    <row r="3365" spans="1:6" x14ac:dyDescent="0.25">
      <c r="A3365" t="s">
        <v>1476</v>
      </c>
      <c r="B3365" t="s">
        <v>34</v>
      </c>
      <c r="C3365" t="s">
        <v>73</v>
      </c>
      <c r="D3365" t="s">
        <v>3217</v>
      </c>
      <c r="E3365">
        <v>0</v>
      </c>
      <c r="F3365">
        <v>131.27000000000001</v>
      </c>
    </row>
    <row r="3366" spans="1:6" x14ac:dyDescent="0.25">
      <c r="A3366" t="s">
        <v>1476</v>
      </c>
      <c r="B3366" t="s">
        <v>34</v>
      </c>
      <c r="C3366" t="s">
        <v>73</v>
      </c>
      <c r="D3366" t="s">
        <v>3218</v>
      </c>
      <c r="E3366">
        <v>10.79</v>
      </c>
      <c r="F3366">
        <v>131.47999999999999</v>
      </c>
    </row>
    <row r="3367" spans="1:6" x14ac:dyDescent="0.25">
      <c r="A3367" t="s">
        <v>1476</v>
      </c>
      <c r="B3367" t="s">
        <v>34</v>
      </c>
      <c r="C3367" t="s">
        <v>73</v>
      </c>
      <c r="D3367" t="s">
        <v>3219</v>
      </c>
      <c r="E3367">
        <v>23.95</v>
      </c>
      <c r="F3367">
        <v>131.38999999999999</v>
      </c>
    </row>
    <row r="3368" spans="1:6" x14ac:dyDescent="0.25">
      <c r="A3368" t="s">
        <v>1477</v>
      </c>
      <c r="B3368" t="s">
        <v>34</v>
      </c>
      <c r="C3368" t="s">
        <v>74</v>
      </c>
      <c r="D3368" t="s">
        <v>3217</v>
      </c>
      <c r="E3368">
        <v>0</v>
      </c>
      <c r="F3368">
        <v>132.36000000000001</v>
      </c>
    </row>
    <row r="3369" spans="1:6" x14ac:dyDescent="0.25">
      <c r="A3369" t="s">
        <v>1477</v>
      </c>
      <c r="B3369" t="s">
        <v>34</v>
      </c>
      <c r="C3369" t="s">
        <v>74</v>
      </c>
      <c r="D3369" t="s">
        <v>3218</v>
      </c>
      <c r="E3369">
        <v>10.81</v>
      </c>
      <c r="F3369">
        <v>132.68</v>
      </c>
    </row>
    <row r="3370" spans="1:6" x14ac:dyDescent="0.25">
      <c r="A3370" t="s">
        <v>1477</v>
      </c>
      <c r="B3370" t="s">
        <v>34</v>
      </c>
      <c r="C3370" t="s">
        <v>74</v>
      </c>
      <c r="D3370" t="s">
        <v>3219</v>
      </c>
      <c r="E3370">
        <v>23.85</v>
      </c>
      <c r="F3370">
        <v>132.75</v>
      </c>
    </row>
    <row r="3371" spans="1:6" x14ac:dyDescent="0.25">
      <c r="A3371" t="s">
        <v>1478</v>
      </c>
      <c r="B3371" t="s">
        <v>34</v>
      </c>
      <c r="C3371" t="s">
        <v>75</v>
      </c>
      <c r="D3371" t="s">
        <v>3217</v>
      </c>
      <c r="E3371">
        <v>0</v>
      </c>
      <c r="F3371">
        <v>133.21</v>
      </c>
    </row>
    <row r="3372" spans="1:6" x14ac:dyDescent="0.25">
      <c r="A3372" t="s">
        <v>1478</v>
      </c>
      <c r="B3372" t="s">
        <v>34</v>
      </c>
      <c r="C3372" t="s">
        <v>75</v>
      </c>
      <c r="D3372" t="s">
        <v>3218</v>
      </c>
      <c r="E3372">
        <v>12.18</v>
      </c>
      <c r="F3372">
        <v>133.54</v>
      </c>
    </row>
    <row r="3373" spans="1:6" x14ac:dyDescent="0.25">
      <c r="A3373" t="s">
        <v>1478</v>
      </c>
      <c r="B3373" t="s">
        <v>34</v>
      </c>
      <c r="C3373" t="s">
        <v>75</v>
      </c>
      <c r="D3373" t="s">
        <v>3219</v>
      </c>
      <c r="E3373">
        <v>23.77</v>
      </c>
      <c r="F3373">
        <v>133.55000000000001</v>
      </c>
    </row>
    <row r="3374" spans="1:6" x14ac:dyDescent="0.25">
      <c r="A3374" t="s">
        <v>1479</v>
      </c>
      <c r="B3374" t="s">
        <v>34</v>
      </c>
      <c r="C3374" t="s">
        <v>76</v>
      </c>
      <c r="D3374" t="s">
        <v>3217</v>
      </c>
      <c r="E3374">
        <v>0</v>
      </c>
      <c r="F3374">
        <v>133.79</v>
      </c>
    </row>
    <row r="3375" spans="1:6" x14ac:dyDescent="0.25">
      <c r="A3375" t="s">
        <v>1479</v>
      </c>
      <c r="B3375" t="s">
        <v>34</v>
      </c>
      <c r="C3375" t="s">
        <v>76</v>
      </c>
      <c r="D3375" t="s">
        <v>3218</v>
      </c>
      <c r="E3375">
        <v>12.88</v>
      </c>
      <c r="F3375">
        <v>133.91999999999999</v>
      </c>
    </row>
    <row r="3376" spans="1:6" x14ac:dyDescent="0.25">
      <c r="A3376" t="s">
        <v>1479</v>
      </c>
      <c r="B3376" t="s">
        <v>34</v>
      </c>
      <c r="C3376" t="s">
        <v>76</v>
      </c>
      <c r="D3376" t="s">
        <v>3219</v>
      </c>
      <c r="E3376">
        <v>25.55</v>
      </c>
      <c r="F3376">
        <v>134.13999999999999</v>
      </c>
    </row>
    <row r="3377" spans="1:6" x14ac:dyDescent="0.25">
      <c r="A3377" t="s">
        <v>1480</v>
      </c>
      <c r="B3377" t="s">
        <v>34</v>
      </c>
      <c r="C3377" t="s">
        <v>77</v>
      </c>
      <c r="D3377" t="s">
        <v>3217</v>
      </c>
      <c r="E3377">
        <v>0</v>
      </c>
      <c r="F3377">
        <v>134.38</v>
      </c>
    </row>
    <row r="3378" spans="1:6" x14ac:dyDescent="0.25">
      <c r="A3378" t="s">
        <v>1480</v>
      </c>
      <c r="B3378" t="s">
        <v>34</v>
      </c>
      <c r="C3378" t="s">
        <v>77</v>
      </c>
      <c r="D3378" t="s">
        <v>3218</v>
      </c>
      <c r="E3378">
        <v>13.88</v>
      </c>
      <c r="F3378">
        <v>134.71</v>
      </c>
    </row>
    <row r="3379" spans="1:6" x14ac:dyDescent="0.25">
      <c r="A3379" t="s">
        <v>1480</v>
      </c>
      <c r="B3379" t="s">
        <v>34</v>
      </c>
      <c r="C3379" t="s">
        <v>77</v>
      </c>
      <c r="D3379" t="s">
        <v>3219</v>
      </c>
      <c r="E3379">
        <v>33.880000000000003</v>
      </c>
      <c r="F3379">
        <v>134.75</v>
      </c>
    </row>
    <row r="3380" spans="1:6" x14ac:dyDescent="0.25">
      <c r="A3380" t="s">
        <v>1481</v>
      </c>
      <c r="B3380" t="s">
        <v>34</v>
      </c>
      <c r="C3380" t="s">
        <v>78</v>
      </c>
      <c r="D3380" t="s">
        <v>3217</v>
      </c>
      <c r="E3380">
        <v>0</v>
      </c>
      <c r="F3380">
        <v>134.58000000000001</v>
      </c>
    </row>
    <row r="3381" spans="1:6" x14ac:dyDescent="0.25">
      <c r="A3381" t="s">
        <v>1481</v>
      </c>
      <c r="B3381" t="s">
        <v>34</v>
      </c>
      <c r="C3381" t="s">
        <v>78</v>
      </c>
      <c r="D3381" t="s">
        <v>3218</v>
      </c>
      <c r="E3381">
        <v>15.84</v>
      </c>
      <c r="F3381">
        <v>135.12</v>
      </c>
    </row>
    <row r="3382" spans="1:6" x14ac:dyDescent="0.25">
      <c r="A3382" t="s">
        <v>1481</v>
      </c>
      <c r="B3382" t="s">
        <v>34</v>
      </c>
      <c r="C3382" t="s">
        <v>78</v>
      </c>
      <c r="D3382" t="s">
        <v>3219</v>
      </c>
      <c r="E3382">
        <v>35.840000000000003</v>
      </c>
      <c r="F3382">
        <v>135.18</v>
      </c>
    </row>
    <row r="3383" spans="1:6" x14ac:dyDescent="0.25">
      <c r="A3383" t="s">
        <v>1482</v>
      </c>
      <c r="B3383" t="s">
        <v>34</v>
      </c>
      <c r="C3383" t="s">
        <v>79</v>
      </c>
      <c r="D3383" t="s">
        <v>3217</v>
      </c>
      <c r="E3383">
        <v>0</v>
      </c>
      <c r="F3383">
        <v>134.71</v>
      </c>
    </row>
    <row r="3384" spans="1:6" x14ac:dyDescent="0.25">
      <c r="A3384" t="s">
        <v>1482</v>
      </c>
      <c r="B3384" t="s">
        <v>34</v>
      </c>
      <c r="C3384" t="s">
        <v>79</v>
      </c>
      <c r="D3384" t="s">
        <v>3218</v>
      </c>
      <c r="E3384">
        <v>16.190000000000001</v>
      </c>
      <c r="F3384">
        <v>135.22999999999999</v>
      </c>
    </row>
    <row r="3385" spans="1:6" x14ac:dyDescent="0.25">
      <c r="A3385" t="s">
        <v>1482</v>
      </c>
      <c r="B3385" t="s">
        <v>34</v>
      </c>
      <c r="C3385" t="s">
        <v>79</v>
      </c>
      <c r="D3385" t="s">
        <v>3219</v>
      </c>
      <c r="E3385">
        <v>36.19</v>
      </c>
      <c r="F3385">
        <v>135.32</v>
      </c>
    </row>
    <row r="3386" spans="1:6" x14ac:dyDescent="0.25">
      <c r="A3386" t="s">
        <v>1483</v>
      </c>
      <c r="B3386" t="s">
        <v>34</v>
      </c>
      <c r="C3386" t="s">
        <v>80</v>
      </c>
      <c r="D3386" t="s">
        <v>3217</v>
      </c>
      <c r="E3386">
        <v>0</v>
      </c>
      <c r="F3386">
        <v>135.29</v>
      </c>
    </row>
    <row r="3387" spans="1:6" x14ac:dyDescent="0.25">
      <c r="A3387" t="s">
        <v>1483</v>
      </c>
      <c r="B3387" t="s">
        <v>34</v>
      </c>
      <c r="C3387" t="s">
        <v>80</v>
      </c>
      <c r="D3387" t="s">
        <v>3218</v>
      </c>
      <c r="E3387">
        <v>16.440000000000001</v>
      </c>
      <c r="F3387">
        <v>135.38999999999999</v>
      </c>
    </row>
    <row r="3388" spans="1:6" x14ac:dyDescent="0.25">
      <c r="A3388" t="s">
        <v>1483</v>
      </c>
      <c r="B3388" t="s">
        <v>34</v>
      </c>
      <c r="C3388" t="s">
        <v>80</v>
      </c>
      <c r="D3388" t="s">
        <v>3219</v>
      </c>
      <c r="E3388">
        <v>36.44</v>
      </c>
      <c r="F3388">
        <v>135.33000000000001</v>
      </c>
    </row>
    <row r="3389" spans="1:6" x14ac:dyDescent="0.25">
      <c r="A3389" t="s">
        <v>1484</v>
      </c>
      <c r="B3389" t="s">
        <v>34</v>
      </c>
      <c r="C3389" t="s">
        <v>81</v>
      </c>
      <c r="D3389" t="s">
        <v>3217</v>
      </c>
      <c r="E3389">
        <v>0</v>
      </c>
      <c r="F3389">
        <v>135.80000000000001</v>
      </c>
    </row>
    <row r="3390" spans="1:6" x14ac:dyDescent="0.25">
      <c r="A3390" t="s">
        <v>1484</v>
      </c>
      <c r="B3390" t="s">
        <v>34</v>
      </c>
      <c r="C3390" t="s">
        <v>81</v>
      </c>
      <c r="D3390" t="s">
        <v>3218</v>
      </c>
      <c r="E3390">
        <v>14.89</v>
      </c>
      <c r="F3390">
        <v>135.72</v>
      </c>
    </row>
    <row r="3391" spans="1:6" x14ac:dyDescent="0.25">
      <c r="A3391" t="s">
        <v>1484</v>
      </c>
      <c r="B3391" t="s">
        <v>34</v>
      </c>
      <c r="C3391" t="s">
        <v>81</v>
      </c>
      <c r="D3391" t="s">
        <v>3219</v>
      </c>
      <c r="E3391">
        <v>34.89</v>
      </c>
      <c r="F3391">
        <v>135.24</v>
      </c>
    </row>
    <row r="3392" spans="1:6" x14ac:dyDescent="0.25">
      <c r="A3392" t="s">
        <v>1485</v>
      </c>
      <c r="B3392" t="s">
        <v>34</v>
      </c>
      <c r="C3392" t="s">
        <v>82</v>
      </c>
      <c r="D3392" t="s">
        <v>3217</v>
      </c>
      <c r="E3392">
        <v>0</v>
      </c>
      <c r="F3392">
        <v>135.82</v>
      </c>
    </row>
    <row r="3393" spans="1:6" x14ac:dyDescent="0.25">
      <c r="A3393" t="s">
        <v>1485</v>
      </c>
      <c r="B3393" t="s">
        <v>34</v>
      </c>
      <c r="C3393" t="s">
        <v>82</v>
      </c>
      <c r="D3393" t="s">
        <v>3218</v>
      </c>
      <c r="E3393">
        <v>14.89</v>
      </c>
      <c r="F3393">
        <v>135.72</v>
      </c>
    </row>
    <row r="3394" spans="1:6" x14ac:dyDescent="0.25">
      <c r="A3394" t="s">
        <v>1485</v>
      </c>
      <c r="B3394" t="s">
        <v>34</v>
      </c>
      <c r="C3394" t="s">
        <v>82</v>
      </c>
      <c r="D3394" t="s">
        <v>3219</v>
      </c>
      <c r="E3394">
        <v>31.88</v>
      </c>
      <c r="F3394">
        <v>135.18</v>
      </c>
    </row>
    <row r="3395" spans="1:6" x14ac:dyDescent="0.25">
      <c r="A3395" t="s">
        <v>1486</v>
      </c>
      <c r="B3395" t="s">
        <v>34</v>
      </c>
      <c r="C3395" t="s">
        <v>83</v>
      </c>
      <c r="D3395" t="s">
        <v>3217</v>
      </c>
      <c r="E3395">
        <v>0</v>
      </c>
      <c r="F3395">
        <v>135.34</v>
      </c>
    </row>
    <row r="3396" spans="1:6" x14ac:dyDescent="0.25">
      <c r="A3396" t="s">
        <v>1486</v>
      </c>
      <c r="B3396" t="s">
        <v>34</v>
      </c>
      <c r="C3396" t="s">
        <v>83</v>
      </c>
      <c r="D3396" t="s">
        <v>3218</v>
      </c>
      <c r="E3396">
        <v>12.58</v>
      </c>
      <c r="F3396">
        <v>135.63</v>
      </c>
    </row>
    <row r="3397" spans="1:6" x14ac:dyDescent="0.25">
      <c r="A3397" t="s">
        <v>1486</v>
      </c>
      <c r="B3397" t="s">
        <v>34</v>
      </c>
      <c r="C3397" t="s">
        <v>83</v>
      </c>
      <c r="D3397" t="s">
        <v>3219</v>
      </c>
      <c r="E3397">
        <v>28.15</v>
      </c>
      <c r="F3397">
        <v>135.13</v>
      </c>
    </row>
    <row r="3398" spans="1:6" x14ac:dyDescent="0.25">
      <c r="A3398" t="s">
        <v>1487</v>
      </c>
      <c r="B3398" t="s">
        <v>34</v>
      </c>
      <c r="C3398" t="s">
        <v>84</v>
      </c>
      <c r="D3398" t="s">
        <v>3217</v>
      </c>
      <c r="E3398">
        <v>0</v>
      </c>
      <c r="F3398">
        <v>135.36000000000001</v>
      </c>
    </row>
    <row r="3399" spans="1:6" x14ac:dyDescent="0.25">
      <c r="A3399" t="s">
        <v>1487</v>
      </c>
      <c r="B3399" t="s">
        <v>34</v>
      </c>
      <c r="C3399" t="s">
        <v>84</v>
      </c>
      <c r="D3399" t="s">
        <v>3218</v>
      </c>
      <c r="E3399">
        <v>10.56</v>
      </c>
      <c r="F3399">
        <v>135.55000000000001</v>
      </c>
    </row>
    <row r="3400" spans="1:6" x14ac:dyDescent="0.25">
      <c r="A3400" t="s">
        <v>1487</v>
      </c>
      <c r="B3400" t="s">
        <v>34</v>
      </c>
      <c r="C3400" t="s">
        <v>84</v>
      </c>
      <c r="D3400" t="s">
        <v>3219</v>
      </c>
      <c r="E3400">
        <v>25.5</v>
      </c>
      <c r="F3400">
        <v>135.31</v>
      </c>
    </row>
    <row r="3401" spans="1:6" x14ac:dyDescent="0.25">
      <c r="A3401" t="s">
        <v>1488</v>
      </c>
      <c r="B3401" t="s">
        <v>34</v>
      </c>
      <c r="C3401" t="s">
        <v>85</v>
      </c>
      <c r="D3401" t="s">
        <v>3217</v>
      </c>
      <c r="E3401">
        <v>0</v>
      </c>
      <c r="F3401">
        <v>134.97999999999999</v>
      </c>
    </row>
    <row r="3402" spans="1:6" x14ac:dyDescent="0.25">
      <c r="A3402" t="s">
        <v>1488</v>
      </c>
      <c r="B3402" t="s">
        <v>34</v>
      </c>
      <c r="C3402" t="s">
        <v>85</v>
      </c>
      <c r="D3402" t="s">
        <v>3218</v>
      </c>
      <c r="E3402">
        <v>10.119999999999999</v>
      </c>
      <c r="F3402">
        <v>135.29</v>
      </c>
    </row>
    <row r="3403" spans="1:6" x14ac:dyDescent="0.25">
      <c r="A3403" t="s">
        <v>1488</v>
      </c>
      <c r="B3403" t="s">
        <v>34</v>
      </c>
      <c r="C3403" t="s">
        <v>85</v>
      </c>
      <c r="D3403" t="s">
        <v>3219</v>
      </c>
      <c r="E3403">
        <v>24.42</v>
      </c>
      <c r="F3403">
        <v>135.37</v>
      </c>
    </row>
    <row r="3404" spans="1:6" x14ac:dyDescent="0.25">
      <c r="A3404" t="s">
        <v>1489</v>
      </c>
      <c r="B3404" t="s">
        <v>34</v>
      </c>
      <c r="C3404" t="s">
        <v>86</v>
      </c>
      <c r="D3404" t="s">
        <v>3217</v>
      </c>
      <c r="E3404">
        <v>0</v>
      </c>
      <c r="F3404">
        <v>134.81</v>
      </c>
    </row>
    <row r="3405" spans="1:6" x14ac:dyDescent="0.25">
      <c r="A3405" t="s">
        <v>1489</v>
      </c>
      <c r="B3405" t="s">
        <v>34</v>
      </c>
      <c r="C3405" t="s">
        <v>86</v>
      </c>
      <c r="D3405" t="s">
        <v>3218</v>
      </c>
      <c r="E3405">
        <v>11.25</v>
      </c>
      <c r="F3405">
        <v>135.28</v>
      </c>
    </row>
    <row r="3406" spans="1:6" x14ac:dyDescent="0.25">
      <c r="A3406" t="s">
        <v>1489</v>
      </c>
      <c r="B3406" t="s">
        <v>34</v>
      </c>
      <c r="C3406" t="s">
        <v>86</v>
      </c>
      <c r="D3406" t="s">
        <v>3219</v>
      </c>
      <c r="E3406">
        <v>23.23</v>
      </c>
      <c r="F3406">
        <v>135.01</v>
      </c>
    </row>
    <row r="3407" spans="1:6" x14ac:dyDescent="0.25">
      <c r="A3407" t="s">
        <v>1490</v>
      </c>
      <c r="B3407" t="s">
        <v>34</v>
      </c>
      <c r="C3407" t="s">
        <v>87</v>
      </c>
      <c r="D3407" t="s">
        <v>3217</v>
      </c>
      <c r="E3407">
        <v>0</v>
      </c>
      <c r="F3407">
        <v>134.74</v>
      </c>
    </row>
    <row r="3408" spans="1:6" x14ac:dyDescent="0.25">
      <c r="A3408" t="s">
        <v>1490</v>
      </c>
      <c r="B3408" t="s">
        <v>34</v>
      </c>
      <c r="C3408" t="s">
        <v>87</v>
      </c>
      <c r="D3408" t="s">
        <v>3218</v>
      </c>
      <c r="E3408">
        <v>11.76</v>
      </c>
      <c r="F3408">
        <v>135.07</v>
      </c>
    </row>
    <row r="3409" spans="1:6" x14ac:dyDescent="0.25">
      <c r="A3409" t="s">
        <v>1490</v>
      </c>
      <c r="B3409" t="s">
        <v>34</v>
      </c>
      <c r="C3409" t="s">
        <v>87</v>
      </c>
      <c r="D3409" t="s">
        <v>3219</v>
      </c>
      <c r="E3409">
        <v>24.02</v>
      </c>
      <c r="F3409">
        <v>135.13999999999999</v>
      </c>
    </row>
    <row r="3410" spans="1:6" x14ac:dyDescent="0.25">
      <c r="A3410" t="s">
        <v>1491</v>
      </c>
      <c r="B3410" t="s">
        <v>34</v>
      </c>
      <c r="C3410" t="s">
        <v>88</v>
      </c>
      <c r="D3410" t="s">
        <v>3217</v>
      </c>
      <c r="E3410">
        <v>0</v>
      </c>
      <c r="F3410">
        <v>134.85</v>
      </c>
    </row>
    <row r="3411" spans="1:6" x14ac:dyDescent="0.25">
      <c r="A3411" t="s">
        <v>1491</v>
      </c>
      <c r="B3411" t="s">
        <v>34</v>
      </c>
      <c r="C3411" t="s">
        <v>88</v>
      </c>
      <c r="D3411" t="s">
        <v>3218</v>
      </c>
      <c r="E3411">
        <v>12.75</v>
      </c>
      <c r="F3411">
        <v>135.37</v>
      </c>
    </row>
    <row r="3412" spans="1:6" x14ac:dyDescent="0.25">
      <c r="A3412" t="s">
        <v>1491</v>
      </c>
      <c r="B3412" t="s">
        <v>34</v>
      </c>
      <c r="C3412" t="s">
        <v>88</v>
      </c>
      <c r="D3412" t="s">
        <v>3219</v>
      </c>
      <c r="E3412">
        <v>25.42</v>
      </c>
      <c r="F3412">
        <v>135.13999999999999</v>
      </c>
    </row>
    <row r="3413" spans="1:6" x14ac:dyDescent="0.25">
      <c r="A3413" t="s">
        <v>1492</v>
      </c>
      <c r="B3413" t="s">
        <v>34</v>
      </c>
      <c r="C3413" t="s">
        <v>89</v>
      </c>
      <c r="D3413" t="s">
        <v>3217</v>
      </c>
      <c r="E3413">
        <v>0</v>
      </c>
      <c r="F3413">
        <v>134.85</v>
      </c>
    </row>
    <row r="3414" spans="1:6" x14ac:dyDescent="0.25">
      <c r="A3414" t="s">
        <v>1492</v>
      </c>
      <c r="B3414" t="s">
        <v>34</v>
      </c>
      <c r="C3414" t="s">
        <v>89</v>
      </c>
      <c r="D3414" t="s">
        <v>3218</v>
      </c>
      <c r="E3414">
        <v>12.82</v>
      </c>
      <c r="F3414">
        <v>135.38999999999999</v>
      </c>
    </row>
    <row r="3415" spans="1:6" x14ac:dyDescent="0.25">
      <c r="A3415" t="s">
        <v>1492</v>
      </c>
      <c r="B3415" t="s">
        <v>34</v>
      </c>
      <c r="C3415" t="s">
        <v>89</v>
      </c>
      <c r="D3415" t="s">
        <v>3219</v>
      </c>
      <c r="E3415">
        <v>25.63</v>
      </c>
      <c r="F3415">
        <v>135.16999999999999</v>
      </c>
    </row>
    <row r="3416" spans="1:6" x14ac:dyDescent="0.25">
      <c r="A3416" t="s">
        <v>1493</v>
      </c>
      <c r="B3416" t="s">
        <v>34</v>
      </c>
      <c r="C3416" t="s">
        <v>90</v>
      </c>
      <c r="D3416" t="s">
        <v>3217</v>
      </c>
      <c r="E3416">
        <v>0</v>
      </c>
      <c r="F3416">
        <v>135.02000000000001</v>
      </c>
    </row>
    <row r="3417" spans="1:6" x14ac:dyDescent="0.25">
      <c r="A3417" t="s">
        <v>1493</v>
      </c>
      <c r="B3417" t="s">
        <v>34</v>
      </c>
      <c r="C3417" t="s">
        <v>90</v>
      </c>
      <c r="D3417" t="s">
        <v>3218</v>
      </c>
      <c r="E3417">
        <v>13.29</v>
      </c>
      <c r="F3417">
        <v>135.38999999999999</v>
      </c>
    </row>
    <row r="3418" spans="1:6" x14ac:dyDescent="0.25">
      <c r="A3418" t="s">
        <v>1493</v>
      </c>
      <c r="B3418" t="s">
        <v>34</v>
      </c>
      <c r="C3418" t="s">
        <v>90</v>
      </c>
      <c r="D3418" t="s">
        <v>3219</v>
      </c>
      <c r="E3418">
        <v>25.83</v>
      </c>
      <c r="F3418">
        <v>135.1</v>
      </c>
    </row>
    <row r="3419" spans="1:6" x14ac:dyDescent="0.25">
      <c r="A3419" t="s">
        <v>1494</v>
      </c>
      <c r="B3419" t="s">
        <v>34</v>
      </c>
      <c r="C3419" t="s">
        <v>91</v>
      </c>
      <c r="D3419" t="s">
        <v>3217</v>
      </c>
      <c r="E3419">
        <v>0</v>
      </c>
      <c r="F3419">
        <v>135.37</v>
      </c>
    </row>
    <row r="3420" spans="1:6" x14ac:dyDescent="0.25">
      <c r="A3420" t="s">
        <v>1494</v>
      </c>
      <c r="B3420" t="s">
        <v>34</v>
      </c>
      <c r="C3420" t="s">
        <v>91</v>
      </c>
      <c r="D3420" t="s">
        <v>3218</v>
      </c>
      <c r="E3420">
        <v>14.02</v>
      </c>
      <c r="F3420">
        <v>135.5</v>
      </c>
    </row>
    <row r="3421" spans="1:6" x14ac:dyDescent="0.25">
      <c r="A3421" t="s">
        <v>1494</v>
      </c>
      <c r="B3421" t="s">
        <v>34</v>
      </c>
      <c r="C3421" t="s">
        <v>91</v>
      </c>
      <c r="D3421" t="s">
        <v>3219</v>
      </c>
      <c r="E3421">
        <v>27.15</v>
      </c>
      <c r="F3421">
        <v>135.25</v>
      </c>
    </row>
    <row r="3422" spans="1:6" x14ac:dyDescent="0.25">
      <c r="A3422" t="s">
        <v>1495</v>
      </c>
      <c r="B3422" t="s">
        <v>34</v>
      </c>
      <c r="C3422" t="s">
        <v>92</v>
      </c>
      <c r="D3422" t="s">
        <v>3217</v>
      </c>
      <c r="E3422">
        <v>0</v>
      </c>
      <c r="F3422">
        <v>135.86000000000001</v>
      </c>
    </row>
    <row r="3423" spans="1:6" x14ac:dyDescent="0.25">
      <c r="A3423" t="s">
        <v>1495</v>
      </c>
      <c r="B3423" t="s">
        <v>34</v>
      </c>
      <c r="C3423" t="s">
        <v>92</v>
      </c>
      <c r="D3423" t="s">
        <v>3218</v>
      </c>
      <c r="E3423">
        <v>14.37</v>
      </c>
      <c r="F3423">
        <v>135.59</v>
      </c>
    </row>
    <row r="3424" spans="1:6" x14ac:dyDescent="0.25">
      <c r="A3424" t="s">
        <v>1495</v>
      </c>
      <c r="B3424" t="s">
        <v>34</v>
      </c>
      <c r="C3424" t="s">
        <v>92</v>
      </c>
      <c r="D3424" t="s">
        <v>3219</v>
      </c>
      <c r="E3424">
        <v>28.87</v>
      </c>
      <c r="F3424">
        <v>135.32</v>
      </c>
    </row>
    <row r="3425" spans="1:6" x14ac:dyDescent="0.25">
      <c r="A3425" t="s">
        <v>1496</v>
      </c>
      <c r="B3425" t="s">
        <v>34</v>
      </c>
      <c r="C3425" t="s">
        <v>93</v>
      </c>
      <c r="D3425" t="s">
        <v>3217</v>
      </c>
      <c r="E3425">
        <v>0</v>
      </c>
      <c r="F3425">
        <v>136.08000000000001</v>
      </c>
    </row>
    <row r="3426" spans="1:6" x14ac:dyDescent="0.25">
      <c r="A3426" t="s">
        <v>1496</v>
      </c>
      <c r="B3426" t="s">
        <v>34</v>
      </c>
      <c r="C3426" t="s">
        <v>93</v>
      </c>
      <c r="D3426" t="s">
        <v>3218</v>
      </c>
      <c r="E3426">
        <v>15.35</v>
      </c>
      <c r="F3426">
        <v>135.78</v>
      </c>
    </row>
    <row r="3427" spans="1:6" x14ac:dyDescent="0.25">
      <c r="A3427" t="s">
        <v>1496</v>
      </c>
      <c r="B3427" t="s">
        <v>34</v>
      </c>
      <c r="C3427" t="s">
        <v>93</v>
      </c>
      <c r="D3427" t="s">
        <v>3219</v>
      </c>
      <c r="E3427">
        <v>32.78</v>
      </c>
      <c r="F3427">
        <v>135.53</v>
      </c>
    </row>
    <row r="3428" spans="1:6" x14ac:dyDescent="0.25">
      <c r="A3428" t="s">
        <v>1497</v>
      </c>
      <c r="B3428" t="s">
        <v>34</v>
      </c>
      <c r="C3428" t="s">
        <v>94</v>
      </c>
      <c r="D3428" t="s">
        <v>3217</v>
      </c>
      <c r="E3428">
        <v>0</v>
      </c>
      <c r="F3428">
        <v>136.04</v>
      </c>
    </row>
    <row r="3429" spans="1:6" x14ac:dyDescent="0.25">
      <c r="A3429" t="s">
        <v>1497</v>
      </c>
      <c r="B3429" t="s">
        <v>34</v>
      </c>
      <c r="C3429" t="s">
        <v>94</v>
      </c>
      <c r="D3429" t="s">
        <v>3218</v>
      </c>
      <c r="E3429">
        <v>17.54</v>
      </c>
      <c r="F3429">
        <v>135.94</v>
      </c>
    </row>
    <row r="3430" spans="1:6" x14ac:dyDescent="0.25">
      <c r="A3430" t="s">
        <v>1497</v>
      </c>
      <c r="B3430" t="s">
        <v>34</v>
      </c>
      <c r="C3430" t="s">
        <v>94</v>
      </c>
      <c r="D3430" t="s">
        <v>3219</v>
      </c>
      <c r="E3430">
        <v>35.31</v>
      </c>
      <c r="F3430">
        <v>135.55000000000001</v>
      </c>
    </row>
    <row r="3431" spans="1:6" x14ac:dyDescent="0.25">
      <c r="A3431" t="s">
        <v>1498</v>
      </c>
      <c r="B3431" t="s">
        <v>34</v>
      </c>
      <c r="C3431" t="s">
        <v>95</v>
      </c>
      <c r="D3431" t="s">
        <v>3217</v>
      </c>
      <c r="E3431">
        <v>0</v>
      </c>
      <c r="F3431">
        <v>136.24</v>
      </c>
    </row>
    <row r="3432" spans="1:6" x14ac:dyDescent="0.25">
      <c r="A3432" t="s">
        <v>1498</v>
      </c>
      <c r="B3432" t="s">
        <v>34</v>
      </c>
      <c r="C3432" t="s">
        <v>95</v>
      </c>
      <c r="D3432" t="s">
        <v>3218</v>
      </c>
      <c r="E3432">
        <v>17.54</v>
      </c>
      <c r="F3432">
        <v>136.03</v>
      </c>
    </row>
    <row r="3433" spans="1:6" x14ac:dyDescent="0.25">
      <c r="A3433" t="s">
        <v>1498</v>
      </c>
      <c r="B3433" t="s">
        <v>34</v>
      </c>
      <c r="C3433" t="s">
        <v>95</v>
      </c>
      <c r="D3433" t="s">
        <v>3219</v>
      </c>
      <c r="E3433">
        <v>35.31</v>
      </c>
      <c r="F3433">
        <v>135.53</v>
      </c>
    </row>
    <row r="3434" spans="1:6" x14ac:dyDescent="0.25">
      <c r="A3434" t="s">
        <v>1499</v>
      </c>
      <c r="B3434" t="s">
        <v>34</v>
      </c>
      <c r="C3434" t="s">
        <v>96</v>
      </c>
      <c r="D3434" t="s">
        <v>3217</v>
      </c>
      <c r="E3434">
        <v>0</v>
      </c>
      <c r="F3434">
        <v>136.25</v>
      </c>
    </row>
    <row r="3435" spans="1:6" x14ac:dyDescent="0.25">
      <c r="A3435" t="s">
        <v>1499</v>
      </c>
      <c r="B3435" t="s">
        <v>34</v>
      </c>
      <c r="C3435" t="s">
        <v>96</v>
      </c>
      <c r="D3435" t="s">
        <v>3218</v>
      </c>
      <c r="E3435">
        <v>17.54</v>
      </c>
      <c r="F3435">
        <v>136.13</v>
      </c>
    </row>
    <row r="3436" spans="1:6" x14ac:dyDescent="0.25">
      <c r="A3436" t="s">
        <v>1499</v>
      </c>
      <c r="B3436" t="s">
        <v>34</v>
      </c>
      <c r="C3436" t="s">
        <v>96</v>
      </c>
      <c r="D3436" t="s">
        <v>3219</v>
      </c>
      <c r="E3436">
        <v>35.31</v>
      </c>
      <c r="F3436">
        <v>135.74</v>
      </c>
    </row>
    <row r="3437" spans="1:6" x14ac:dyDescent="0.25">
      <c r="A3437" t="s">
        <v>1500</v>
      </c>
      <c r="B3437" t="s">
        <v>34</v>
      </c>
      <c r="C3437" t="s">
        <v>97</v>
      </c>
      <c r="D3437" t="s">
        <v>3217</v>
      </c>
      <c r="E3437">
        <v>0</v>
      </c>
      <c r="F3437">
        <v>136.52000000000001</v>
      </c>
    </row>
    <row r="3438" spans="1:6" x14ac:dyDescent="0.25">
      <c r="A3438" t="s">
        <v>1500</v>
      </c>
      <c r="B3438" t="s">
        <v>34</v>
      </c>
      <c r="C3438" t="s">
        <v>97</v>
      </c>
      <c r="D3438" t="s">
        <v>3218</v>
      </c>
      <c r="E3438">
        <v>13.51</v>
      </c>
      <c r="F3438">
        <v>136.56</v>
      </c>
    </row>
    <row r="3439" spans="1:6" x14ac:dyDescent="0.25">
      <c r="A3439" t="s">
        <v>1500</v>
      </c>
      <c r="B3439" t="s">
        <v>34</v>
      </c>
      <c r="C3439" t="s">
        <v>97</v>
      </c>
      <c r="D3439" t="s">
        <v>3219</v>
      </c>
      <c r="E3439">
        <v>30.11</v>
      </c>
      <c r="F3439">
        <v>136.01</v>
      </c>
    </row>
    <row r="3440" spans="1:6" x14ac:dyDescent="0.25">
      <c r="A3440" t="s">
        <v>1501</v>
      </c>
      <c r="B3440" t="s">
        <v>34</v>
      </c>
      <c r="C3440" t="s">
        <v>98</v>
      </c>
      <c r="D3440" t="s">
        <v>3217</v>
      </c>
      <c r="E3440">
        <v>0</v>
      </c>
      <c r="F3440">
        <v>136.81</v>
      </c>
    </row>
    <row r="3441" spans="1:6" x14ac:dyDescent="0.25">
      <c r="A3441" t="s">
        <v>1501</v>
      </c>
      <c r="B3441" t="s">
        <v>34</v>
      </c>
      <c r="C3441" t="s">
        <v>98</v>
      </c>
      <c r="D3441" t="s">
        <v>3218</v>
      </c>
      <c r="E3441">
        <v>12.22</v>
      </c>
      <c r="F3441">
        <v>136.74</v>
      </c>
    </row>
    <row r="3442" spans="1:6" x14ac:dyDescent="0.25">
      <c r="A3442" t="s">
        <v>1501</v>
      </c>
      <c r="B3442" t="s">
        <v>34</v>
      </c>
      <c r="C3442" t="s">
        <v>98</v>
      </c>
      <c r="D3442" t="s">
        <v>3219</v>
      </c>
      <c r="E3442">
        <v>28.82</v>
      </c>
      <c r="F3442">
        <v>136.44</v>
      </c>
    </row>
    <row r="3443" spans="1:6" x14ac:dyDescent="0.25">
      <c r="A3443" t="s">
        <v>1502</v>
      </c>
      <c r="B3443" t="s">
        <v>34</v>
      </c>
      <c r="C3443" t="s">
        <v>99</v>
      </c>
      <c r="D3443" t="s">
        <v>3217</v>
      </c>
      <c r="E3443">
        <v>0</v>
      </c>
      <c r="F3443">
        <v>137.29</v>
      </c>
    </row>
    <row r="3444" spans="1:6" x14ac:dyDescent="0.25">
      <c r="A3444" t="s">
        <v>1502</v>
      </c>
      <c r="B3444" t="s">
        <v>34</v>
      </c>
      <c r="C3444" t="s">
        <v>99</v>
      </c>
      <c r="D3444" t="s">
        <v>3218</v>
      </c>
      <c r="E3444">
        <v>12.17</v>
      </c>
      <c r="F3444">
        <v>137.30000000000001</v>
      </c>
    </row>
    <row r="3445" spans="1:6" x14ac:dyDescent="0.25">
      <c r="A3445" t="s">
        <v>1502</v>
      </c>
      <c r="B3445" t="s">
        <v>34</v>
      </c>
      <c r="C3445" t="s">
        <v>99</v>
      </c>
      <c r="D3445" t="s">
        <v>3219</v>
      </c>
      <c r="E3445">
        <v>26.52</v>
      </c>
      <c r="F3445">
        <v>136.69999999999999</v>
      </c>
    </row>
    <row r="3446" spans="1:6" x14ac:dyDescent="0.25">
      <c r="A3446" t="s">
        <v>1503</v>
      </c>
      <c r="B3446" t="s">
        <v>34</v>
      </c>
      <c r="C3446" t="s">
        <v>100</v>
      </c>
      <c r="D3446" t="s">
        <v>3217</v>
      </c>
      <c r="E3446">
        <v>0</v>
      </c>
      <c r="F3446">
        <v>137.69999999999999</v>
      </c>
    </row>
    <row r="3447" spans="1:6" x14ac:dyDescent="0.25">
      <c r="A3447" t="s">
        <v>1503</v>
      </c>
      <c r="B3447" t="s">
        <v>34</v>
      </c>
      <c r="C3447" t="s">
        <v>100</v>
      </c>
      <c r="D3447" t="s">
        <v>3218</v>
      </c>
      <c r="E3447">
        <v>11.84</v>
      </c>
      <c r="F3447">
        <v>137.79</v>
      </c>
    </row>
    <row r="3448" spans="1:6" x14ac:dyDescent="0.25">
      <c r="A3448" t="s">
        <v>1503</v>
      </c>
      <c r="B3448" t="s">
        <v>34</v>
      </c>
      <c r="C3448" t="s">
        <v>100</v>
      </c>
      <c r="D3448" t="s">
        <v>3219</v>
      </c>
      <c r="E3448">
        <v>22.66</v>
      </c>
      <c r="F3448">
        <v>137.35</v>
      </c>
    </row>
    <row r="3449" spans="1:6" x14ac:dyDescent="0.25">
      <c r="A3449" t="s">
        <v>1504</v>
      </c>
      <c r="B3449" t="s">
        <v>34</v>
      </c>
      <c r="C3449" t="s">
        <v>101</v>
      </c>
      <c r="D3449" t="s">
        <v>3217</v>
      </c>
      <c r="E3449">
        <v>0</v>
      </c>
      <c r="F3449">
        <v>138.38999999999999</v>
      </c>
    </row>
    <row r="3450" spans="1:6" x14ac:dyDescent="0.25">
      <c r="A3450" t="s">
        <v>1504</v>
      </c>
      <c r="B3450" t="s">
        <v>34</v>
      </c>
      <c r="C3450" t="s">
        <v>101</v>
      </c>
      <c r="D3450" t="s">
        <v>3218</v>
      </c>
      <c r="E3450">
        <v>11.79</v>
      </c>
      <c r="F3450">
        <v>138.57</v>
      </c>
    </row>
    <row r="3451" spans="1:6" x14ac:dyDescent="0.25">
      <c r="A3451" t="s">
        <v>1504</v>
      </c>
      <c r="B3451" t="s">
        <v>34</v>
      </c>
      <c r="C3451" t="s">
        <v>101</v>
      </c>
      <c r="D3451" t="s">
        <v>3219</v>
      </c>
      <c r="E3451">
        <v>21.77</v>
      </c>
      <c r="F3451">
        <v>138.16</v>
      </c>
    </row>
    <row r="3452" spans="1:6" x14ac:dyDescent="0.25">
      <c r="A3452" t="s">
        <v>1505</v>
      </c>
      <c r="B3452" t="s">
        <v>34</v>
      </c>
      <c r="C3452" t="s">
        <v>102</v>
      </c>
      <c r="D3452" t="s">
        <v>3217</v>
      </c>
      <c r="E3452">
        <v>0</v>
      </c>
      <c r="F3452">
        <v>139.03</v>
      </c>
    </row>
    <row r="3453" spans="1:6" x14ac:dyDescent="0.25">
      <c r="A3453" t="s">
        <v>1505</v>
      </c>
      <c r="B3453" t="s">
        <v>34</v>
      </c>
      <c r="C3453" t="s">
        <v>102</v>
      </c>
      <c r="D3453" t="s">
        <v>3218</v>
      </c>
      <c r="E3453">
        <v>11.64</v>
      </c>
      <c r="F3453">
        <v>139.15</v>
      </c>
    </row>
    <row r="3454" spans="1:6" x14ac:dyDescent="0.25">
      <c r="A3454" t="s">
        <v>1505</v>
      </c>
      <c r="B3454" t="s">
        <v>34</v>
      </c>
      <c r="C3454" t="s">
        <v>102</v>
      </c>
      <c r="D3454" t="s">
        <v>3219</v>
      </c>
      <c r="E3454">
        <v>23.78</v>
      </c>
      <c r="F3454">
        <v>138.79</v>
      </c>
    </row>
    <row r="3455" spans="1:6" x14ac:dyDescent="0.25">
      <c r="A3455" t="s">
        <v>1506</v>
      </c>
      <c r="B3455" t="s">
        <v>34</v>
      </c>
      <c r="C3455" t="s">
        <v>103</v>
      </c>
      <c r="D3455" t="s">
        <v>3217</v>
      </c>
      <c r="E3455">
        <v>0</v>
      </c>
      <c r="F3455">
        <v>139.54</v>
      </c>
    </row>
    <row r="3456" spans="1:6" x14ac:dyDescent="0.25">
      <c r="A3456" t="s">
        <v>1506</v>
      </c>
      <c r="B3456" t="s">
        <v>34</v>
      </c>
      <c r="C3456" t="s">
        <v>103</v>
      </c>
      <c r="D3456" t="s">
        <v>3218</v>
      </c>
      <c r="E3456">
        <v>11.7</v>
      </c>
      <c r="F3456">
        <v>139.63999999999999</v>
      </c>
    </row>
    <row r="3457" spans="1:6" x14ac:dyDescent="0.25">
      <c r="A3457" t="s">
        <v>1506</v>
      </c>
      <c r="B3457" t="s">
        <v>34</v>
      </c>
      <c r="C3457" t="s">
        <v>103</v>
      </c>
      <c r="D3457" t="s">
        <v>3219</v>
      </c>
      <c r="E3457">
        <v>23.84</v>
      </c>
      <c r="F3457">
        <v>139.09</v>
      </c>
    </row>
    <row r="3458" spans="1:6" x14ac:dyDescent="0.25">
      <c r="A3458" t="s">
        <v>1507</v>
      </c>
      <c r="B3458" t="s">
        <v>34</v>
      </c>
      <c r="C3458" t="s">
        <v>104</v>
      </c>
      <c r="D3458" t="s">
        <v>3217</v>
      </c>
      <c r="E3458">
        <v>0</v>
      </c>
      <c r="F3458">
        <v>140.22</v>
      </c>
    </row>
    <row r="3459" spans="1:6" x14ac:dyDescent="0.25">
      <c r="A3459" t="s">
        <v>1507</v>
      </c>
      <c r="B3459" t="s">
        <v>34</v>
      </c>
      <c r="C3459" t="s">
        <v>104</v>
      </c>
      <c r="D3459" t="s">
        <v>3218</v>
      </c>
      <c r="E3459">
        <v>12.75</v>
      </c>
      <c r="F3459">
        <v>140.16</v>
      </c>
    </row>
    <row r="3460" spans="1:6" x14ac:dyDescent="0.25">
      <c r="A3460" t="s">
        <v>1507</v>
      </c>
      <c r="B3460" t="s">
        <v>34</v>
      </c>
      <c r="C3460" t="s">
        <v>104</v>
      </c>
      <c r="D3460" t="s">
        <v>3219</v>
      </c>
      <c r="E3460">
        <v>26.79</v>
      </c>
      <c r="F3460">
        <v>139.97999999999999</v>
      </c>
    </row>
    <row r="3461" spans="1:6" x14ac:dyDescent="0.25">
      <c r="A3461" t="s">
        <v>1508</v>
      </c>
      <c r="B3461" t="s">
        <v>34</v>
      </c>
      <c r="C3461" t="s">
        <v>105</v>
      </c>
      <c r="D3461" t="s">
        <v>3217</v>
      </c>
      <c r="E3461">
        <v>0</v>
      </c>
      <c r="F3461">
        <v>141.05000000000001</v>
      </c>
    </row>
    <row r="3462" spans="1:6" x14ac:dyDescent="0.25">
      <c r="A3462" t="s">
        <v>1508</v>
      </c>
      <c r="B3462" t="s">
        <v>34</v>
      </c>
      <c r="C3462" t="s">
        <v>105</v>
      </c>
      <c r="D3462" t="s">
        <v>3218</v>
      </c>
      <c r="E3462">
        <v>13.78</v>
      </c>
      <c r="F3462">
        <v>140.93</v>
      </c>
    </row>
    <row r="3463" spans="1:6" x14ac:dyDescent="0.25">
      <c r="A3463" t="s">
        <v>1508</v>
      </c>
      <c r="B3463" t="s">
        <v>34</v>
      </c>
      <c r="C3463" t="s">
        <v>105</v>
      </c>
      <c r="D3463" t="s">
        <v>3219</v>
      </c>
      <c r="E3463">
        <v>28.4</v>
      </c>
      <c r="F3463">
        <v>140.69999999999999</v>
      </c>
    </row>
    <row r="3464" spans="1:6" x14ac:dyDescent="0.25">
      <c r="A3464" t="s">
        <v>1509</v>
      </c>
      <c r="B3464" t="s">
        <v>34</v>
      </c>
      <c r="C3464" t="s">
        <v>106</v>
      </c>
      <c r="D3464" t="s">
        <v>3217</v>
      </c>
      <c r="E3464">
        <v>0</v>
      </c>
      <c r="F3464">
        <v>141.99</v>
      </c>
    </row>
    <row r="3465" spans="1:6" x14ac:dyDescent="0.25">
      <c r="A3465" t="s">
        <v>1509</v>
      </c>
      <c r="B3465" t="s">
        <v>34</v>
      </c>
      <c r="C3465" t="s">
        <v>106</v>
      </c>
      <c r="D3465" t="s">
        <v>3218</v>
      </c>
      <c r="E3465">
        <v>14.68</v>
      </c>
      <c r="F3465">
        <v>141.94</v>
      </c>
    </row>
    <row r="3466" spans="1:6" x14ac:dyDescent="0.25">
      <c r="A3466" t="s">
        <v>1509</v>
      </c>
      <c r="B3466" t="s">
        <v>34</v>
      </c>
      <c r="C3466" t="s">
        <v>106</v>
      </c>
      <c r="D3466" t="s">
        <v>3219</v>
      </c>
      <c r="E3466">
        <v>28.87</v>
      </c>
      <c r="F3466">
        <v>141.63999999999999</v>
      </c>
    </row>
    <row r="3467" spans="1:6" x14ac:dyDescent="0.25">
      <c r="A3467" t="s">
        <v>1510</v>
      </c>
      <c r="B3467" t="s">
        <v>34</v>
      </c>
      <c r="C3467" t="s">
        <v>108</v>
      </c>
      <c r="D3467" t="s">
        <v>3217</v>
      </c>
      <c r="E3467">
        <v>0</v>
      </c>
      <c r="F3467">
        <v>143.08000000000001</v>
      </c>
    </row>
    <row r="3468" spans="1:6" x14ac:dyDescent="0.25">
      <c r="A3468" t="s">
        <v>1510</v>
      </c>
      <c r="B3468" t="s">
        <v>34</v>
      </c>
      <c r="C3468" t="s">
        <v>108</v>
      </c>
      <c r="D3468" t="s">
        <v>3218</v>
      </c>
      <c r="E3468">
        <v>14.48</v>
      </c>
      <c r="F3468">
        <v>142.99</v>
      </c>
    </row>
    <row r="3469" spans="1:6" x14ac:dyDescent="0.25">
      <c r="A3469" t="s">
        <v>1510</v>
      </c>
      <c r="B3469" t="s">
        <v>34</v>
      </c>
      <c r="C3469" t="s">
        <v>108</v>
      </c>
      <c r="D3469" t="s">
        <v>3219</v>
      </c>
      <c r="E3469">
        <v>29.79</v>
      </c>
      <c r="F3469">
        <v>142.51</v>
      </c>
    </row>
    <row r="3470" spans="1:6" x14ac:dyDescent="0.25">
      <c r="A3470" t="s">
        <v>1511</v>
      </c>
      <c r="B3470" t="s">
        <v>34</v>
      </c>
      <c r="C3470" t="s">
        <v>109</v>
      </c>
      <c r="D3470" t="s">
        <v>3217</v>
      </c>
      <c r="E3470">
        <v>0</v>
      </c>
      <c r="F3470">
        <v>144.27000000000001</v>
      </c>
    </row>
    <row r="3471" spans="1:6" x14ac:dyDescent="0.25">
      <c r="A3471" t="s">
        <v>1511</v>
      </c>
      <c r="B3471" t="s">
        <v>34</v>
      </c>
      <c r="C3471" t="s">
        <v>109</v>
      </c>
      <c r="D3471" t="s">
        <v>3218</v>
      </c>
      <c r="E3471">
        <v>13.84</v>
      </c>
      <c r="F3471">
        <v>144</v>
      </c>
    </row>
    <row r="3472" spans="1:6" x14ac:dyDescent="0.25">
      <c r="A3472" t="s">
        <v>1511</v>
      </c>
      <c r="B3472" t="s">
        <v>34</v>
      </c>
      <c r="C3472" t="s">
        <v>109</v>
      </c>
      <c r="D3472" t="s">
        <v>3219</v>
      </c>
      <c r="E3472">
        <v>30.91</v>
      </c>
      <c r="F3472">
        <v>143.82</v>
      </c>
    </row>
    <row r="3473" spans="1:6" x14ac:dyDescent="0.25">
      <c r="A3473" t="s">
        <v>1512</v>
      </c>
      <c r="B3473" t="s">
        <v>34</v>
      </c>
      <c r="C3473" t="s">
        <v>110</v>
      </c>
      <c r="D3473" t="s">
        <v>3217</v>
      </c>
      <c r="E3473">
        <v>0</v>
      </c>
      <c r="F3473">
        <v>145.46</v>
      </c>
    </row>
    <row r="3474" spans="1:6" x14ac:dyDescent="0.25">
      <c r="A3474" t="s">
        <v>1512</v>
      </c>
      <c r="B3474" t="s">
        <v>34</v>
      </c>
      <c r="C3474" t="s">
        <v>110</v>
      </c>
      <c r="D3474" t="s">
        <v>3218</v>
      </c>
      <c r="E3474">
        <v>14.07</v>
      </c>
      <c r="F3474">
        <v>145.19999999999999</v>
      </c>
    </row>
    <row r="3475" spans="1:6" x14ac:dyDescent="0.25">
      <c r="A3475" t="s">
        <v>1512</v>
      </c>
      <c r="B3475" t="s">
        <v>34</v>
      </c>
      <c r="C3475" t="s">
        <v>110</v>
      </c>
      <c r="D3475" t="s">
        <v>3219</v>
      </c>
      <c r="E3475">
        <v>30.3</v>
      </c>
      <c r="F3475">
        <v>145.07</v>
      </c>
    </row>
    <row r="3476" spans="1:6" x14ac:dyDescent="0.25">
      <c r="A3476" t="s">
        <v>1513</v>
      </c>
      <c r="B3476" t="s">
        <v>34</v>
      </c>
      <c r="C3476" t="s">
        <v>111</v>
      </c>
      <c r="D3476" t="s">
        <v>3217</v>
      </c>
      <c r="E3476">
        <v>0</v>
      </c>
      <c r="F3476">
        <v>146.51</v>
      </c>
    </row>
    <row r="3477" spans="1:6" x14ac:dyDescent="0.25">
      <c r="A3477" t="s">
        <v>1513</v>
      </c>
      <c r="B3477" t="s">
        <v>34</v>
      </c>
      <c r="C3477" t="s">
        <v>111</v>
      </c>
      <c r="D3477" t="s">
        <v>3218</v>
      </c>
      <c r="E3477">
        <v>13.77</v>
      </c>
      <c r="F3477">
        <v>146.36000000000001</v>
      </c>
    </row>
    <row r="3478" spans="1:6" x14ac:dyDescent="0.25">
      <c r="A3478" t="s">
        <v>1513</v>
      </c>
      <c r="B3478" t="s">
        <v>34</v>
      </c>
      <c r="C3478" t="s">
        <v>111</v>
      </c>
      <c r="D3478" t="s">
        <v>3219</v>
      </c>
      <c r="E3478">
        <v>30.57</v>
      </c>
      <c r="F3478">
        <v>146.22999999999999</v>
      </c>
    </row>
    <row r="3479" spans="1:6" x14ac:dyDescent="0.25">
      <c r="A3479" t="s">
        <v>1514</v>
      </c>
      <c r="B3479" t="s">
        <v>34</v>
      </c>
      <c r="C3479" t="s">
        <v>112</v>
      </c>
      <c r="D3479" t="s">
        <v>3217</v>
      </c>
      <c r="E3479">
        <v>0</v>
      </c>
      <c r="F3479">
        <v>147.59</v>
      </c>
    </row>
    <row r="3480" spans="1:6" x14ac:dyDescent="0.25">
      <c r="A3480" t="s">
        <v>1514</v>
      </c>
      <c r="B3480" t="s">
        <v>34</v>
      </c>
      <c r="C3480" t="s">
        <v>112</v>
      </c>
      <c r="D3480" t="s">
        <v>3218</v>
      </c>
      <c r="E3480">
        <v>13.46</v>
      </c>
      <c r="F3480">
        <v>147.35</v>
      </c>
    </row>
    <row r="3481" spans="1:6" x14ac:dyDescent="0.25">
      <c r="A3481" t="s">
        <v>1514</v>
      </c>
      <c r="B3481" t="s">
        <v>34</v>
      </c>
      <c r="C3481" t="s">
        <v>112</v>
      </c>
      <c r="D3481" t="s">
        <v>3219</v>
      </c>
      <c r="E3481">
        <v>28.69</v>
      </c>
      <c r="F3481">
        <v>147.13</v>
      </c>
    </row>
    <row r="3482" spans="1:6" x14ac:dyDescent="0.25">
      <c r="A3482" t="s">
        <v>1515</v>
      </c>
      <c r="B3482" t="s">
        <v>34</v>
      </c>
      <c r="C3482" t="s">
        <v>113</v>
      </c>
      <c r="D3482" t="s">
        <v>3217</v>
      </c>
      <c r="E3482">
        <v>0</v>
      </c>
      <c r="F3482">
        <v>148.54</v>
      </c>
    </row>
    <row r="3483" spans="1:6" x14ac:dyDescent="0.25">
      <c r="A3483" t="s">
        <v>1515</v>
      </c>
      <c r="B3483" t="s">
        <v>34</v>
      </c>
      <c r="C3483" t="s">
        <v>113</v>
      </c>
      <c r="D3483" t="s">
        <v>3218</v>
      </c>
      <c r="E3483">
        <v>12.54</v>
      </c>
      <c r="F3483">
        <v>148.44</v>
      </c>
    </row>
    <row r="3484" spans="1:6" x14ac:dyDescent="0.25">
      <c r="A3484" t="s">
        <v>1515</v>
      </c>
      <c r="B3484" t="s">
        <v>34</v>
      </c>
      <c r="C3484" t="s">
        <v>113</v>
      </c>
      <c r="D3484" t="s">
        <v>3219</v>
      </c>
      <c r="E3484">
        <v>28.29</v>
      </c>
      <c r="F3484">
        <v>148.32</v>
      </c>
    </row>
    <row r="3485" spans="1:6" x14ac:dyDescent="0.25">
      <c r="A3485" t="s">
        <v>1516</v>
      </c>
      <c r="B3485" t="s">
        <v>34</v>
      </c>
      <c r="C3485" t="s">
        <v>114</v>
      </c>
      <c r="D3485" t="s">
        <v>3217</v>
      </c>
      <c r="E3485">
        <v>0</v>
      </c>
      <c r="F3485">
        <v>149.76</v>
      </c>
    </row>
    <row r="3486" spans="1:6" x14ac:dyDescent="0.25">
      <c r="A3486" t="s">
        <v>1516</v>
      </c>
      <c r="B3486" t="s">
        <v>34</v>
      </c>
      <c r="C3486" t="s">
        <v>114</v>
      </c>
      <c r="D3486" t="s">
        <v>3218</v>
      </c>
      <c r="E3486">
        <v>13.78</v>
      </c>
      <c r="F3486">
        <v>149.49</v>
      </c>
    </row>
    <row r="3487" spans="1:6" x14ac:dyDescent="0.25">
      <c r="A3487" t="s">
        <v>1516</v>
      </c>
      <c r="B3487" t="s">
        <v>34</v>
      </c>
      <c r="C3487" t="s">
        <v>114</v>
      </c>
      <c r="D3487" t="s">
        <v>3219</v>
      </c>
      <c r="E3487">
        <v>29.03</v>
      </c>
      <c r="F3487">
        <v>149.30000000000001</v>
      </c>
    </row>
    <row r="3488" spans="1:6" x14ac:dyDescent="0.25">
      <c r="A3488" t="s">
        <v>1517</v>
      </c>
      <c r="B3488" t="s">
        <v>34</v>
      </c>
      <c r="C3488" t="s">
        <v>115</v>
      </c>
      <c r="D3488" t="s">
        <v>3217</v>
      </c>
      <c r="E3488">
        <v>0</v>
      </c>
      <c r="F3488">
        <v>150.66</v>
      </c>
    </row>
    <row r="3489" spans="1:6" x14ac:dyDescent="0.25">
      <c r="A3489" t="s">
        <v>1517</v>
      </c>
      <c r="B3489" t="s">
        <v>34</v>
      </c>
      <c r="C3489" t="s">
        <v>115</v>
      </c>
      <c r="D3489" t="s">
        <v>3218</v>
      </c>
      <c r="E3489">
        <v>14.99</v>
      </c>
      <c r="F3489">
        <v>150.47</v>
      </c>
    </row>
    <row r="3490" spans="1:6" x14ac:dyDescent="0.25">
      <c r="A3490" t="s">
        <v>1517</v>
      </c>
      <c r="B3490" t="s">
        <v>34</v>
      </c>
      <c r="C3490" t="s">
        <v>115</v>
      </c>
      <c r="D3490" t="s">
        <v>3219</v>
      </c>
      <c r="E3490">
        <v>29.25</v>
      </c>
      <c r="F3490">
        <v>150.31</v>
      </c>
    </row>
    <row r="3491" spans="1:6" x14ac:dyDescent="0.25">
      <c r="A3491" t="s">
        <v>1518</v>
      </c>
      <c r="B3491" t="s">
        <v>34</v>
      </c>
      <c r="C3491" t="s">
        <v>116</v>
      </c>
      <c r="D3491" t="s">
        <v>3217</v>
      </c>
      <c r="E3491">
        <v>0</v>
      </c>
      <c r="F3491">
        <v>151.66999999999999</v>
      </c>
    </row>
    <row r="3492" spans="1:6" x14ac:dyDescent="0.25">
      <c r="A3492" t="s">
        <v>1518</v>
      </c>
      <c r="B3492" t="s">
        <v>34</v>
      </c>
      <c r="C3492" t="s">
        <v>116</v>
      </c>
      <c r="D3492" t="s">
        <v>3218</v>
      </c>
      <c r="E3492">
        <v>13.79</v>
      </c>
      <c r="F3492">
        <v>151.6</v>
      </c>
    </row>
    <row r="3493" spans="1:6" x14ac:dyDescent="0.25">
      <c r="A3493" t="s">
        <v>1518</v>
      </c>
      <c r="B3493" t="s">
        <v>34</v>
      </c>
      <c r="C3493" t="s">
        <v>116</v>
      </c>
      <c r="D3493" t="s">
        <v>3219</v>
      </c>
      <c r="E3493">
        <v>28.04</v>
      </c>
      <c r="F3493">
        <v>151.46</v>
      </c>
    </row>
    <row r="3494" spans="1:6" x14ac:dyDescent="0.25">
      <c r="A3494" t="s">
        <v>1519</v>
      </c>
      <c r="B3494" t="s">
        <v>34</v>
      </c>
      <c r="C3494" t="s">
        <v>117</v>
      </c>
      <c r="D3494" t="s">
        <v>3217</v>
      </c>
      <c r="E3494">
        <v>0</v>
      </c>
      <c r="F3494">
        <v>152.63999999999999</v>
      </c>
    </row>
    <row r="3495" spans="1:6" x14ac:dyDescent="0.25">
      <c r="A3495" t="s">
        <v>1519</v>
      </c>
      <c r="B3495" t="s">
        <v>34</v>
      </c>
      <c r="C3495" t="s">
        <v>117</v>
      </c>
      <c r="D3495" t="s">
        <v>3218</v>
      </c>
      <c r="E3495">
        <v>13.74</v>
      </c>
      <c r="F3495">
        <v>153.02000000000001</v>
      </c>
    </row>
    <row r="3496" spans="1:6" x14ac:dyDescent="0.25">
      <c r="A3496" t="s">
        <v>1519</v>
      </c>
      <c r="B3496" t="s">
        <v>34</v>
      </c>
      <c r="C3496" t="s">
        <v>117</v>
      </c>
      <c r="D3496" t="s">
        <v>3219</v>
      </c>
      <c r="E3496">
        <v>28</v>
      </c>
      <c r="F3496">
        <v>152.93</v>
      </c>
    </row>
    <row r="3497" spans="1:6" x14ac:dyDescent="0.25">
      <c r="A3497" t="s">
        <v>1520</v>
      </c>
      <c r="B3497" t="s">
        <v>34</v>
      </c>
      <c r="C3497" t="s">
        <v>118</v>
      </c>
      <c r="D3497" t="s">
        <v>3217</v>
      </c>
      <c r="E3497">
        <v>0</v>
      </c>
      <c r="F3497">
        <v>153.59</v>
      </c>
    </row>
    <row r="3498" spans="1:6" x14ac:dyDescent="0.25">
      <c r="A3498" t="s">
        <v>1520</v>
      </c>
      <c r="B3498" t="s">
        <v>34</v>
      </c>
      <c r="C3498" t="s">
        <v>118</v>
      </c>
      <c r="D3498" t="s">
        <v>3218</v>
      </c>
      <c r="E3498">
        <v>14.32</v>
      </c>
      <c r="F3498">
        <v>154.15</v>
      </c>
    </row>
    <row r="3499" spans="1:6" x14ac:dyDescent="0.25">
      <c r="A3499" t="s">
        <v>1520</v>
      </c>
      <c r="B3499" t="s">
        <v>34</v>
      </c>
      <c r="C3499" t="s">
        <v>118</v>
      </c>
      <c r="D3499" t="s">
        <v>3219</v>
      </c>
      <c r="E3499">
        <v>30.09</v>
      </c>
      <c r="F3499">
        <v>154.12</v>
      </c>
    </row>
    <row r="3500" spans="1:6" x14ac:dyDescent="0.25">
      <c r="A3500" t="s">
        <v>1521</v>
      </c>
      <c r="B3500" t="s">
        <v>34</v>
      </c>
      <c r="C3500" t="s">
        <v>119</v>
      </c>
      <c r="D3500" t="s">
        <v>3217</v>
      </c>
      <c r="E3500">
        <v>0</v>
      </c>
      <c r="F3500">
        <v>154.47</v>
      </c>
    </row>
    <row r="3501" spans="1:6" x14ac:dyDescent="0.25">
      <c r="A3501" t="s">
        <v>1521</v>
      </c>
      <c r="B3501" t="s">
        <v>34</v>
      </c>
      <c r="C3501" t="s">
        <v>119</v>
      </c>
      <c r="D3501" t="s">
        <v>3218</v>
      </c>
      <c r="E3501">
        <v>16.149999999999999</v>
      </c>
      <c r="F3501">
        <v>155.1</v>
      </c>
    </row>
    <row r="3502" spans="1:6" x14ac:dyDescent="0.25">
      <c r="A3502" t="s">
        <v>1521</v>
      </c>
      <c r="B3502" t="s">
        <v>34</v>
      </c>
      <c r="C3502" t="s">
        <v>119</v>
      </c>
      <c r="D3502" t="s">
        <v>3219</v>
      </c>
      <c r="E3502">
        <v>31.92</v>
      </c>
      <c r="F3502">
        <v>155.15</v>
      </c>
    </row>
    <row r="3503" spans="1:6" x14ac:dyDescent="0.25">
      <c r="A3503" t="s">
        <v>1522</v>
      </c>
      <c r="B3503" t="s">
        <v>34</v>
      </c>
      <c r="C3503" t="s">
        <v>120</v>
      </c>
      <c r="D3503" t="s">
        <v>3217</v>
      </c>
      <c r="E3503">
        <v>0</v>
      </c>
      <c r="F3503">
        <v>155.44999999999999</v>
      </c>
    </row>
    <row r="3504" spans="1:6" x14ac:dyDescent="0.25">
      <c r="A3504" t="s">
        <v>1522</v>
      </c>
      <c r="B3504" t="s">
        <v>34</v>
      </c>
      <c r="C3504" t="s">
        <v>120</v>
      </c>
      <c r="D3504" t="s">
        <v>3218</v>
      </c>
      <c r="E3504">
        <v>20</v>
      </c>
      <c r="F3504">
        <v>155.94999999999999</v>
      </c>
    </row>
    <row r="3505" spans="1:6" x14ac:dyDescent="0.25">
      <c r="A3505" t="s">
        <v>1522</v>
      </c>
      <c r="B3505" t="s">
        <v>34</v>
      </c>
      <c r="C3505" t="s">
        <v>120</v>
      </c>
      <c r="D3505" t="s">
        <v>3219</v>
      </c>
      <c r="E3505">
        <v>34</v>
      </c>
      <c r="F3505">
        <v>155.85</v>
      </c>
    </row>
    <row r="3506" spans="1:6" x14ac:dyDescent="0.25">
      <c r="A3506" t="s">
        <v>1523</v>
      </c>
      <c r="B3506" t="s">
        <v>34</v>
      </c>
      <c r="C3506" t="s">
        <v>121</v>
      </c>
      <c r="D3506" t="s">
        <v>3217</v>
      </c>
      <c r="E3506">
        <v>0</v>
      </c>
      <c r="F3506">
        <v>156.1</v>
      </c>
    </row>
    <row r="3507" spans="1:6" x14ac:dyDescent="0.25">
      <c r="A3507" t="s">
        <v>1523</v>
      </c>
      <c r="B3507" t="s">
        <v>34</v>
      </c>
      <c r="C3507" t="s">
        <v>121</v>
      </c>
      <c r="D3507" t="s">
        <v>3218</v>
      </c>
      <c r="E3507">
        <v>20</v>
      </c>
      <c r="F3507">
        <v>156.69</v>
      </c>
    </row>
    <row r="3508" spans="1:6" x14ac:dyDescent="0.25">
      <c r="A3508" t="s">
        <v>1523</v>
      </c>
      <c r="B3508" t="s">
        <v>34</v>
      </c>
      <c r="C3508" t="s">
        <v>121</v>
      </c>
      <c r="D3508" t="s">
        <v>3219</v>
      </c>
      <c r="E3508">
        <v>33.85</v>
      </c>
      <c r="F3508">
        <v>156.5</v>
      </c>
    </row>
    <row r="3509" spans="1:6" x14ac:dyDescent="0.25">
      <c r="A3509" t="s">
        <v>1524</v>
      </c>
      <c r="B3509" t="s">
        <v>34</v>
      </c>
      <c r="C3509" t="s">
        <v>123</v>
      </c>
      <c r="D3509" t="s">
        <v>3217</v>
      </c>
      <c r="E3509">
        <v>0</v>
      </c>
      <c r="F3509">
        <v>157.08000000000001</v>
      </c>
    </row>
    <row r="3510" spans="1:6" x14ac:dyDescent="0.25">
      <c r="A3510" t="s">
        <v>1524</v>
      </c>
      <c r="B3510" t="s">
        <v>34</v>
      </c>
      <c r="C3510" t="s">
        <v>123</v>
      </c>
      <c r="D3510" t="s">
        <v>3218</v>
      </c>
      <c r="E3510">
        <v>20</v>
      </c>
      <c r="F3510">
        <v>157.04</v>
      </c>
    </row>
    <row r="3511" spans="1:6" x14ac:dyDescent="0.25">
      <c r="A3511" t="s">
        <v>1524</v>
      </c>
      <c r="B3511" t="s">
        <v>34</v>
      </c>
      <c r="C3511" t="s">
        <v>123</v>
      </c>
      <c r="D3511" t="s">
        <v>3219</v>
      </c>
      <c r="E3511">
        <v>33.28</v>
      </c>
      <c r="F3511">
        <v>156.75</v>
      </c>
    </row>
    <row r="3512" spans="1:6" x14ac:dyDescent="0.25">
      <c r="A3512" t="s">
        <v>1525</v>
      </c>
      <c r="B3512" t="s">
        <v>34</v>
      </c>
      <c r="C3512" t="s">
        <v>124</v>
      </c>
      <c r="D3512" t="s">
        <v>3217</v>
      </c>
      <c r="E3512">
        <v>0</v>
      </c>
      <c r="F3512">
        <v>156.65</v>
      </c>
    </row>
    <row r="3513" spans="1:6" x14ac:dyDescent="0.25">
      <c r="A3513" t="s">
        <v>1525</v>
      </c>
      <c r="B3513" t="s">
        <v>34</v>
      </c>
      <c r="C3513" t="s">
        <v>124</v>
      </c>
      <c r="D3513" t="s">
        <v>3218</v>
      </c>
      <c r="E3513">
        <v>18.32</v>
      </c>
      <c r="F3513">
        <v>157.33000000000001</v>
      </c>
    </row>
    <row r="3514" spans="1:6" x14ac:dyDescent="0.25">
      <c r="A3514" t="s">
        <v>1525</v>
      </c>
      <c r="B3514" t="s">
        <v>34</v>
      </c>
      <c r="C3514" t="s">
        <v>124</v>
      </c>
      <c r="D3514" t="s">
        <v>3219</v>
      </c>
      <c r="E3514">
        <v>30.94</v>
      </c>
      <c r="F3514">
        <v>157.28</v>
      </c>
    </row>
    <row r="3515" spans="1:6" x14ac:dyDescent="0.25">
      <c r="A3515" t="s">
        <v>1526</v>
      </c>
      <c r="B3515" t="s">
        <v>34</v>
      </c>
      <c r="C3515" t="s">
        <v>125</v>
      </c>
      <c r="D3515" t="s">
        <v>3217</v>
      </c>
      <c r="E3515">
        <v>0</v>
      </c>
      <c r="F3515">
        <v>156.86000000000001</v>
      </c>
    </row>
    <row r="3516" spans="1:6" x14ac:dyDescent="0.25">
      <c r="A3516" t="s">
        <v>1526</v>
      </c>
      <c r="B3516" t="s">
        <v>34</v>
      </c>
      <c r="C3516" t="s">
        <v>125</v>
      </c>
      <c r="D3516" t="s">
        <v>3218</v>
      </c>
      <c r="E3516">
        <v>16.47</v>
      </c>
      <c r="F3516">
        <v>157.55000000000001</v>
      </c>
    </row>
    <row r="3517" spans="1:6" x14ac:dyDescent="0.25">
      <c r="A3517" t="s">
        <v>1526</v>
      </c>
      <c r="B3517" t="s">
        <v>34</v>
      </c>
      <c r="C3517" t="s">
        <v>125</v>
      </c>
      <c r="D3517" t="s">
        <v>3219</v>
      </c>
      <c r="E3517">
        <v>29.98</v>
      </c>
      <c r="F3517">
        <v>157.52000000000001</v>
      </c>
    </row>
    <row r="3518" spans="1:6" x14ac:dyDescent="0.25">
      <c r="A3518" t="s">
        <v>1527</v>
      </c>
      <c r="B3518" t="s">
        <v>34</v>
      </c>
      <c r="C3518" t="s">
        <v>126</v>
      </c>
      <c r="D3518" t="s">
        <v>3217</v>
      </c>
      <c r="E3518">
        <v>0</v>
      </c>
      <c r="F3518">
        <v>156.9</v>
      </c>
    </row>
    <row r="3519" spans="1:6" x14ac:dyDescent="0.25">
      <c r="A3519" t="s">
        <v>1527</v>
      </c>
      <c r="B3519" t="s">
        <v>34</v>
      </c>
      <c r="C3519" t="s">
        <v>126</v>
      </c>
      <c r="D3519" t="s">
        <v>3218</v>
      </c>
      <c r="E3519">
        <v>18.32</v>
      </c>
      <c r="F3519">
        <v>157.78</v>
      </c>
    </row>
    <row r="3520" spans="1:6" x14ac:dyDescent="0.25">
      <c r="A3520" t="s">
        <v>1527</v>
      </c>
      <c r="B3520" t="s">
        <v>34</v>
      </c>
      <c r="C3520" t="s">
        <v>126</v>
      </c>
      <c r="D3520" t="s">
        <v>3219</v>
      </c>
      <c r="E3520">
        <v>30.32</v>
      </c>
      <c r="F3520">
        <v>157.80000000000001</v>
      </c>
    </row>
    <row r="3521" spans="1:6" x14ac:dyDescent="0.25">
      <c r="A3521" t="s">
        <v>1528</v>
      </c>
      <c r="B3521" t="s">
        <v>34</v>
      </c>
      <c r="C3521" t="s">
        <v>127</v>
      </c>
      <c r="D3521" t="s">
        <v>3217</v>
      </c>
      <c r="E3521">
        <v>0</v>
      </c>
      <c r="F3521">
        <v>157.29</v>
      </c>
    </row>
    <row r="3522" spans="1:6" x14ac:dyDescent="0.25">
      <c r="A3522" t="s">
        <v>1528</v>
      </c>
      <c r="B3522" t="s">
        <v>34</v>
      </c>
      <c r="C3522" t="s">
        <v>127</v>
      </c>
      <c r="D3522" t="s">
        <v>3218</v>
      </c>
      <c r="E3522">
        <v>17.77</v>
      </c>
      <c r="F3522">
        <v>158.06</v>
      </c>
    </row>
    <row r="3523" spans="1:6" x14ac:dyDescent="0.25">
      <c r="A3523" t="s">
        <v>1528</v>
      </c>
      <c r="B3523" t="s">
        <v>34</v>
      </c>
      <c r="C3523" t="s">
        <v>127</v>
      </c>
      <c r="D3523" t="s">
        <v>3219</v>
      </c>
      <c r="E3523">
        <v>29.53</v>
      </c>
      <c r="F3523">
        <v>158.05000000000001</v>
      </c>
    </row>
    <row r="3524" spans="1:6" x14ac:dyDescent="0.25">
      <c r="A3524" t="s">
        <v>1529</v>
      </c>
      <c r="B3524" t="s">
        <v>34</v>
      </c>
      <c r="C3524" t="s">
        <v>128</v>
      </c>
      <c r="D3524" t="s">
        <v>3217</v>
      </c>
      <c r="E3524">
        <v>0</v>
      </c>
      <c r="F3524">
        <v>157.65</v>
      </c>
    </row>
    <row r="3525" spans="1:6" x14ac:dyDescent="0.25">
      <c r="A3525" t="s">
        <v>1529</v>
      </c>
      <c r="B3525" t="s">
        <v>34</v>
      </c>
      <c r="C3525" t="s">
        <v>128</v>
      </c>
      <c r="D3525" t="s">
        <v>3218</v>
      </c>
      <c r="E3525">
        <v>17.52</v>
      </c>
      <c r="F3525">
        <v>158.31</v>
      </c>
    </row>
    <row r="3526" spans="1:6" x14ac:dyDescent="0.25">
      <c r="A3526" t="s">
        <v>1529</v>
      </c>
      <c r="B3526" t="s">
        <v>34</v>
      </c>
      <c r="C3526" t="s">
        <v>128</v>
      </c>
      <c r="D3526" t="s">
        <v>3219</v>
      </c>
      <c r="E3526">
        <v>29.13</v>
      </c>
      <c r="F3526">
        <v>158.27000000000001</v>
      </c>
    </row>
    <row r="3527" spans="1:6" x14ac:dyDescent="0.25">
      <c r="A3527" t="s">
        <v>1530</v>
      </c>
      <c r="B3527" t="s">
        <v>34</v>
      </c>
      <c r="C3527" t="s">
        <v>129</v>
      </c>
      <c r="D3527" t="s">
        <v>3217</v>
      </c>
      <c r="E3527">
        <v>0</v>
      </c>
      <c r="F3527">
        <v>157.94</v>
      </c>
    </row>
    <row r="3528" spans="1:6" x14ac:dyDescent="0.25">
      <c r="A3528" t="s">
        <v>1530</v>
      </c>
      <c r="B3528" t="s">
        <v>34</v>
      </c>
      <c r="C3528" t="s">
        <v>129</v>
      </c>
      <c r="D3528" t="s">
        <v>3218</v>
      </c>
      <c r="E3528">
        <v>15.28</v>
      </c>
      <c r="F3528">
        <v>158.54</v>
      </c>
    </row>
    <row r="3529" spans="1:6" x14ac:dyDescent="0.25">
      <c r="A3529" t="s">
        <v>1530</v>
      </c>
      <c r="B3529" t="s">
        <v>34</v>
      </c>
      <c r="C3529" t="s">
        <v>129</v>
      </c>
      <c r="D3529" t="s">
        <v>3219</v>
      </c>
      <c r="E3529">
        <v>27.86</v>
      </c>
      <c r="F3529">
        <v>158.56</v>
      </c>
    </row>
    <row r="3530" spans="1:6" x14ac:dyDescent="0.25">
      <c r="A3530" t="s">
        <v>1531</v>
      </c>
      <c r="B3530" t="s">
        <v>34</v>
      </c>
      <c r="C3530" t="s">
        <v>130</v>
      </c>
      <c r="D3530" t="s">
        <v>3217</v>
      </c>
      <c r="E3530">
        <v>0</v>
      </c>
      <c r="F3530">
        <v>158.28</v>
      </c>
    </row>
    <row r="3531" spans="1:6" x14ac:dyDescent="0.25">
      <c r="A3531" t="s">
        <v>1531</v>
      </c>
      <c r="B3531" t="s">
        <v>34</v>
      </c>
      <c r="C3531" t="s">
        <v>130</v>
      </c>
      <c r="D3531" t="s">
        <v>3218</v>
      </c>
      <c r="E3531">
        <v>13.93</v>
      </c>
      <c r="F3531">
        <v>158.76</v>
      </c>
    </row>
    <row r="3532" spans="1:6" x14ac:dyDescent="0.25">
      <c r="A3532" t="s">
        <v>1531</v>
      </c>
      <c r="B3532" t="s">
        <v>34</v>
      </c>
      <c r="C3532" t="s">
        <v>130</v>
      </c>
      <c r="D3532" t="s">
        <v>3219</v>
      </c>
      <c r="E3532">
        <v>25.44</v>
      </c>
      <c r="F3532">
        <v>158.76</v>
      </c>
    </row>
    <row r="3533" spans="1:6" x14ac:dyDescent="0.25">
      <c r="A3533" t="s">
        <v>1532</v>
      </c>
      <c r="B3533" t="s">
        <v>34</v>
      </c>
      <c r="C3533" t="s">
        <v>131</v>
      </c>
      <c r="D3533" t="s">
        <v>3217</v>
      </c>
      <c r="E3533">
        <v>0</v>
      </c>
      <c r="F3533">
        <v>158.56</v>
      </c>
    </row>
    <row r="3534" spans="1:6" x14ac:dyDescent="0.25">
      <c r="A3534" t="s">
        <v>1532</v>
      </c>
      <c r="B3534" t="s">
        <v>34</v>
      </c>
      <c r="C3534" t="s">
        <v>131</v>
      </c>
      <c r="D3534" t="s">
        <v>3218</v>
      </c>
      <c r="E3534">
        <v>14.65</v>
      </c>
      <c r="F3534">
        <v>158.94</v>
      </c>
    </row>
    <row r="3535" spans="1:6" x14ac:dyDescent="0.25">
      <c r="A3535" t="s">
        <v>1532</v>
      </c>
      <c r="B3535" t="s">
        <v>34</v>
      </c>
      <c r="C3535" t="s">
        <v>131</v>
      </c>
      <c r="D3535" t="s">
        <v>3219</v>
      </c>
      <c r="E3535">
        <v>27.09</v>
      </c>
      <c r="F3535">
        <v>158.93</v>
      </c>
    </row>
    <row r="3536" spans="1:6" x14ac:dyDescent="0.25">
      <c r="A3536" t="s">
        <v>1533</v>
      </c>
      <c r="B3536" t="s">
        <v>34</v>
      </c>
      <c r="C3536" t="s">
        <v>132</v>
      </c>
      <c r="D3536" t="s">
        <v>3217</v>
      </c>
      <c r="E3536">
        <v>0</v>
      </c>
      <c r="F3536">
        <v>158.49</v>
      </c>
    </row>
    <row r="3537" spans="1:6" x14ac:dyDescent="0.25">
      <c r="A3537" t="s">
        <v>1533</v>
      </c>
      <c r="B3537" t="s">
        <v>34</v>
      </c>
      <c r="C3537" t="s">
        <v>132</v>
      </c>
      <c r="D3537" t="s">
        <v>3218</v>
      </c>
      <c r="E3537">
        <v>15.71</v>
      </c>
      <c r="F3537">
        <v>158.97</v>
      </c>
    </row>
    <row r="3538" spans="1:6" x14ac:dyDescent="0.25">
      <c r="A3538" t="s">
        <v>1533</v>
      </c>
      <c r="B3538" t="s">
        <v>34</v>
      </c>
      <c r="C3538" t="s">
        <v>132</v>
      </c>
      <c r="D3538" t="s">
        <v>3219</v>
      </c>
      <c r="E3538">
        <v>29.12</v>
      </c>
      <c r="F3538">
        <v>159.05000000000001</v>
      </c>
    </row>
    <row r="3539" spans="1:6" x14ac:dyDescent="0.25">
      <c r="A3539" t="s">
        <v>1534</v>
      </c>
      <c r="B3539" t="s">
        <v>34</v>
      </c>
      <c r="C3539" t="s">
        <v>133</v>
      </c>
      <c r="D3539" t="s">
        <v>3217</v>
      </c>
      <c r="E3539">
        <v>0</v>
      </c>
      <c r="F3539">
        <v>158.54</v>
      </c>
    </row>
    <row r="3540" spans="1:6" x14ac:dyDescent="0.25">
      <c r="A3540" t="s">
        <v>1534</v>
      </c>
      <c r="B3540" t="s">
        <v>34</v>
      </c>
      <c r="C3540" t="s">
        <v>133</v>
      </c>
      <c r="D3540" t="s">
        <v>3218</v>
      </c>
      <c r="E3540">
        <v>15.95</v>
      </c>
      <c r="F3540">
        <v>158.91999999999999</v>
      </c>
    </row>
    <row r="3541" spans="1:6" x14ac:dyDescent="0.25">
      <c r="A3541" t="s">
        <v>1534</v>
      </c>
      <c r="B3541" t="s">
        <v>34</v>
      </c>
      <c r="C3541" t="s">
        <v>133</v>
      </c>
      <c r="D3541" t="s">
        <v>3219</v>
      </c>
      <c r="E3541">
        <v>28.97</v>
      </c>
      <c r="F3541">
        <v>158.97999999999999</v>
      </c>
    </row>
    <row r="3542" spans="1:6" x14ac:dyDescent="0.25">
      <c r="A3542" t="s">
        <v>1535</v>
      </c>
      <c r="B3542" t="s">
        <v>34</v>
      </c>
      <c r="C3542" t="s">
        <v>134</v>
      </c>
      <c r="D3542" t="s">
        <v>3217</v>
      </c>
      <c r="E3542">
        <v>0</v>
      </c>
      <c r="F3542">
        <v>158.6</v>
      </c>
    </row>
    <row r="3543" spans="1:6" x14ac:dyDescent="0.25">
      <c r="A3543" t="s">
        <v>1535</v>
      </c>
      <c r="B3543" t="s">
        <v>34</v>
      </c>
      <c r="C3543" t="s">
        <v>134</v>
      </c>
      <c r="D3543" t="s">
        <v>3218</v>
      </c>
      <c r="E3543">
        <v>15.91</v>
      </c>
      <c r="F3543">
        <v>158.97</v>
      </c>
    </row>
    <row r="3544" spans="1:6" x14ac:dyDescent="0.25">
      <c r="A3544" t="s">
        <v>1535</v>
      </c>
      <c r="B3544" t="s">
        <v>34</v>
      </c>
      <c r="C3544" t="s">
        <v>134</v>
      </c>
      <c r="D3544" t="s">
        <v>3219</v>
      </c>
      <c r="E3544">
        <v>29.25</v>
      </c>
      <c r="F3544">
        <v>158.93</v>
      </c>
    </row>
    <row r="3545" spans="1:6" x14ac:dyDescent="0.25">
      <c r="A3545" t="s">
        <v>1536</v>
      </c>
      <c r="B3545" t="s">
        <v>34</v>
      </c>
      <c r="C3545" t="s">
        <v>135</v>
      </c>
      <c r="D3545" t="s">
        <v>3217</v>
      </c>
      <c r="E3545">
        <v>0</v>
      </c>
      <c r="F3545">
        <v>158.43</v>
      </c>
    </row>
    <row r="3546" spans="1:6" x14ac:dyDescent="0.25">
      <c r="A3546" t="s">
        <v>1536</v>
      </c>
      <c r="B3546" t="s">
        <v>34</v>
      </c>
      <c r="C3546" t="s">
        <v>135</v>
      </c>
      <c r="D3546" t="s">
        <v>3218</v>
      </c>
      <c r="E3546">
        <v>16.89</v>
      </c>
      <c r="F3546">
        <v>159.02000000000001</v>
      </c>
    </row>
    <row r="3547" spans="1:6" x14ac:dyDescent="0.25">
      <c r="A3547" t="s">
        <v>1536</v>
      </c>
      <c r="B3547" t="s">
        <v>34</v>
      </c>
      <c r="C3547" t="s">
        <v>135</v>
      </c>
      <c r="D3547" t="s">
        <v>3219</v>
      </c>
      <c r="E3547">
        <v>30.36</v>
      </c>
      <c r="F3547">
        <v>159.13999999999999</v>
      </c>
    </row>
    <row r="3548" spans="1:6" x14ac:dyDescent="0.25">
      <c r="A3548" t="s">
        <v>1537</v>
      </c>
      <c r="B3548" t="s">
        <v>34</v>
      </c>
      <c r="C3548" t="s">
        <v>136</v>
      </c>
      <c r="D3548" t="s">
        <v>3217</v>
      </c>
      <c r="E3548">
        <v>0</v>
      </c>
      <c r="F3548">
        <v>158.34</v>
      </c>
    </row>
    <row r="3549" spans="1:6" x14ac:dyDescent="0.25">
      <c r="A3549" t="s">
        <v>1537</v>
      </c>
      <c r="B3549" t="s">
        <v>34</v>
      </c>
      <c r="C3549" t="s">
        <v>136</v>
      </c>
      <c r="D3549" t="s">
        <v>3218</v>
      </c>
      <c r="E3549">
        <v>18.170000000000002</v>
      </c>
      <c r="F3549">
        <v>159.16999999999999</v>
      </c>
    </row>
    <row r="3550" spans="1:6" x14ac:dyDescent="0.25">
      <c r="A3550" t="s">
        <v>1537</v>
      </c>
      <c r="B3550" t="s">
        <v>34</v>
      </c>
      <c r="C3550" t="s">
        <v>136</v>
      </c>
      <c r="D3550" t="s">
        <v>3219</v>
      </c>
      <c r="E3550">
        <v>30.78</v>
      </c>
      <c r="F3550">
        <v>159.33000000000001</v>
      </c>
    </row>
    <row r="3551" spans="1:6" x14ac:dyDescent="0.25">
      <c r="A3551" t="s">
        <v>1538</v>
      </c>
      <c r="B3551" t="s">
        <v>34</v>
      </c>
      <c r="C3551" t="s">
        <v>137</v>
      </c>
      <c r="D3551" t="s">
        <v>3217</v>
      </c>
      <c r="E3551">
        <v>0</v>
      </c>
      <c r="F3551">
        <v>158.52000000000001</v>
      </c>
    </row>
    <row r="3552" spans="1:6" x14ac:dyDescent="0.25">
      <c r="A3552" t="s">
        <v>1538</v>
      </c>
      <c r="B3552" t="s">
        <v>34</v>
      </c>
      <c r="C3552" t="s">
        <v>137</v>
      </c>
      <c r="D3552" t="s">
        <v>3218</v>
      </c>
      <c r="E3552">
        <v>17.559999999999999</v>
      </c>
      <c r="F3552">
        <v>159.31</v>
      </c>
    </row>
    <row r="3553" spans="1:6" x14ac:dyDescent="0.25">
      <c r="A3553" t="s">
        <v>1538</v>
      </c>
      <c r="B3553" t="s">
        <v>34</v>
      </c>
      <c r="C3553" t="s">
        <v>137</v>
      </c>
      <c r="D3553" t="s">
        <v>3219</v>
      </c>
      <c r="E3553">
        <v>30.31</v>
      </c>
      <c r="F3553">
        <v>159.57</v>
      </c>
    </row>
    <row r="3554" spans="1:6" x14ac:dyDescent="0.25">
      <c r="A3554" t="s">
        <v>1539</v>
      </c>
      <c r="B3554" t="s">
        <v>34</v>
      </c>
      <c r="C3554" t="s">
        <v>138</v>
      </c>
      <c r="D3554" t="s">
        <v>3217</v>
      </c>
      <c r="E3554">
        <v>0</v>
      </c>
      <c r="F3554">
        <v>158.66</v>
      </c>
    </row>
    <row r="3555" spans="1:6" x14ac:dyDescent="0.25">
      <c r="A3555" t="s">
        <v>1539</v>
      </c>
      <c r="B3555" t="s">
        <v>34</v>
      </c>
      <c r="C3555" t="s">
        <v>138</v>
      </c>
      <c r="D3555" t="s">
        <v>3218</v>
      </c>
      <c r="E3555">
        <v>17.559999999999999</v>
      </c>
      <c r="F3555">
        <v>159.51</v>
      </c>
    </row>
    <row r="3556" spans="1:6" x14ac:dyDescent="0.25">
      <c r="A3556" t="s">
        <v>1539</v>
      </c>
      <c r="B3556" t="s">
        <v>34</v>
      </c>
      <c r="C3556" t="s">
        <v>138</v>
      </c>
      <c r="D3556" t="s">
        <v>3219</v>
      </c>
      <c r="E3556">
        <v>31.88</v>
      </c>
      <c r="F3556">
        <v>159.80000000000001</v>
      </c>
    </row>
    <row r="3557" spans="1:6" x14ac:dyDescent="0.25">
      <c r="A3557" t="s">
        <v>1540</v>
      </c>
      <c r="B3557" t="s">
        <v>34</v>
      </c>
      <c r="C3557" t="s">
        <v>139</v>
      </c>
      <c r="D3557" t="s">
        <v>3217</v>
      </c>
      <c r="E3557">
        <v>0</v>
      </c>
      <c r="F3557">
        <v>158.97</v>
      </c>
    </row>
    <row r="3558" spans="1:6" x14ac:dyDescent="0.25">
      <c r="A3558" t="s">
        <v>1540</v>
      </c>
      <c r="B3558" t="s">
        <v>34</v>
      </c>
      <c r="C3558" t="s">
        <v>139</v>
      </c>
      <c r="D3558" t="s">
        <v>3218</v>
      </c>
      <c r="E3558">
        <v>16.3</v>
      </c>
      <c r="F3558">
        <v>159.72999999999999</v>
      </c>
    </row>
    <row r="3559" spans="1:6" x14ac:dyDescent="0.25">
      <c r="A3559" t="s">
        <v>1540</v>
      </c>
      <c r="B3559" t="s">
        <v>34</v>
      </c>
      <c r="C3559" t="s">
        <v>139</v>
      </c>
      <c r="D3559" t="s">
        <v>3219</v>
      </c>
      <c r="E3559">
        <v>31.67</v>
      </c>
      <c r="F3559">
        <v>160.12</v>
      </c>
    </row>
    <row r="3560" spans="1:6" x14ac:dyDescent="0.25">
      <c r="A3560" t="s">
        <v>1541</v>
      </c>
      <c r="B3560" t="s">
        <v>34</v>
      </c>
      <c r="C3560" t="s">
        <v>140</v>
      </c>
      <c r="D3560" t="s">
        <v>3217</v>
      </c>
      <c r="E3560">
        <v>0</v>
      </c>
      <c r="F3560">
        <v>159.53</v>
      </c>
    </row>
    <row r="3561" spans="1:6" x14ac:dyDescent="0.25">
      <c r="A3561" t="s">
        <v>1541</v>
      </c>
      <c r="B3561" t="s">
        <v>34</v>
      </c>
      <c r="C3561" t="s">
        <v>140</v>
      </c>
      <c r="D3561" t="s">
        <v>3218</v>
      </c>
      <c r="E3561">
        <v>17.36</v>
      </c>
      <c r="F3561">
        <v>160.15</v>
      </c>
    </row>
    <row r="3562" spans="1:6" x14ac:dyDescent="0.25">
      <c r="A3562" t="s">
        <v>1541</v>
      </c>
      <c r="B3562" t="s">
        <v>34</v>
      </c>
      <c r="C3562" t="s">
        <v>140</v>
      </c>
      <c r="D3562" t="s">
        <v>3219</v>
      </c>
      <c r="E3562">
        <v>33.19</v>
      </c>
      <c r="F3562">
        <v>160.57</v>
      </c>
    </row>
    <row r="3563" spans="1:6" x14ac:dyDescent="0.25">
      <c r="A3563" t="s">
        <v>1542</v>
      </c>
      <c r="B3563" t="s">
        <v>34</v>
      </c>
      <c r="C3563" t="s">
        <v>141</v>
      </c>
      <c r="D3563" t="s">
        <v>3217</v>
      </c>
      <c r="E3563">
        <v>0</v>
      </c>
      <c r="F3563">
        <v>160.13999999999999</v>
      </c>
    </row>
    <row r="3564" spans="1:6" x14ac:dyDescent="0.25">
      <c r="A3564" t="s">
        <v>1542</v>
      </c>
      <c r="B3564" t="s">
        <v>34</v>
      </c>
      <c r="C3564" t="s">
        <v>141</v>
      </c>
      <c r="D3564" t="s">
        <v>3218</v>
      </c>
      <c r="E3564">
        <v>17.100000000000001</v>
      </c>
      <c r="F3564">
        <v>160.69999999999999</v>
      </c>
    </row>
    <row r="3565" spans="1:6" x14ac:dyDescent="0.25">
      <c r="A3565" t="s">
        <v>1542</v>
      </c>
      <c r="B3565" t="s">
        <v>34</v>
      </c>
      <c r="C3565" t="s">
        <v>141</v>
      </c>
      <c r="D3565" t="s">
        <v>3219</v>
      </c>
      <c r="E3565">
        <v>31.43</v>
      </c>
      <c r="F3565">
        <v>160.80000000000001</v>
      </c>
    </row>
    <row r="3566" spans="1:6" x14ac:dyDescent="0.25">
      <c r="A3566" t="s">
        <v>1543</v>
      </c>
      <c r="B3566" t="s">
        <v>34</v>
      </c>
      <c r="C3566" t="s">
        <v>142</v>
      </c>
      <c r="D3566" t="s">
        <v>3217</v>
      </c>
      <c r="E3566">
        <v>0</v>
      </c>
      <c r="F3566">
        <v>160.82</v>
      </c>
    </row>
    <row r="3567" spans="1:6" x14ac:dyDescent="0.25">
      <c r="A3567" t="s">
        <v>1543</v>
      </c>
      <c r="B3567" t="s">
        <v>34</v>
      </c>
      <c r="C3567" t="s">
        <v>142</v>
      </c>
      <c r="D3567" t="s">
        <v>3218</v>
      </c>
      <c r="E3567">
        <v>16.86</v>
      </c>
      <c r="F3567">
        <v>161.27000000000001</v>
      </c>
    </row>
    <row r="3568" spans="1:6" x14ac:dyDescent="0.25">
      <c r="A3568" t="s">
        <v>1543</v>
      </c>
      <c r="B3568" t="s">
        <v>34</v>
      </c>
      <c r="C3568" t="s">
        <v>142</v>
      </c>
      <c r="D3568" t="s">
        <v>3219</v>
      </c>
      <c r="E3568">
        <v>30.34</v>
      </c>
      <c r="F3568">
        <v>161.19999999999999</v>
      </c>
    </row>
    <row r="3569" spans="1:6" x14ac:dyDescent="0.25">
      <c r="A3569" t="s">
        <v>1544</v>
      </c>
      <c r="B3569" t="s">
        <v>34</v>
      </c>
      <c r="C3569" t="s">
        <v>143</v>
      </c>
      <c r="D3569" t="s">
        <v>3217</v>
      </c>
      <c r="E3569">
        <v>0</v>
      </c>
      <c r="F3569">
        <v>161.52000000000001</v>
      </c>
    </row>
    <row r="3570" spans="1:6" x14ac:dyDescent="0.25">
      <c r="A3570" t="s">
        <v>1544</v>
      </c>
      <c r="B3570" t="s">
        <v>34</v>
      </c>
      <c r="C3570" t="s">
        <v>143</v>
      </c>
      <c r="D3570" t="s">
        <v>3218</v>
      </c>
      <c r="E3570">
        <v>14.98</v>
      </c>
      <c r="F3570">
        <v>161.91999999999999</v>
      </c>
    </row>
    <row r="3571" spans="1:6" x14ac:dyDescent="0.25">
      <c r="A3571" t="s">
        <v>1544</v>
      </c>
      <c r="B3571" t="s">
        <v>34</v>
      </c>
      <c r="C3571" t="s">
        <v>143</v>
      </c>
      <c r="D3571" t="s">
        <v>3219</v>
      </c>
      <c r="E3571">
        <v>28.39</v>
      </c>
      <c r="F3571">
        <v>161.94</v>
      </c>
    </row>
    <row r="3572" spans="1:6" x14ac:dyDescent="0.25">
      <c r="A3572" t="s">
        <v>1545</v>
      </c>
      <c r="B3572" t="s">
        <v>34</v>
      </c>
      <c r="C3572" t="s">
        <v>144</v>
      </c>
      <c r="D3572" t="s">
        <v>3217</v>
      </c>
      <c r="E3572">
        <v>0</v>
      </c>
      <c r="F3572">
        <v>162.24</v>
      </c>
    </row>
    <row r="3573" spans="1:6" x14ac:dyDescent="0.25">
      <c r="A3573" t="s">
        <v>1545</v>
      </c>
      <c r="B3573" t="s">
        <v>34</v>
      </c>
      <c r="C3573" t="s">
        <v>144</v>
      </c>
      <c r="D3573" t="s">
        <v>3218</v>
      </c>
      <c r="E3573">
        <v>16.34</v>
      </c>
      <c r="F3573">
        <v>162.69999999999999</v>
      </c>
    </row>
    <row r="3574" spans="1:6" x14ac:dyDescent="0.25">
      <c r="A3574" t="s">
        <v>1545</v>
      </c>
      <c r="B3574" t="s">
        <v>34</v>
      </c>
      <c r="C3574" t="s">
        <v>144</v>
      </c>
      <c r="D3574" t="s">
        <v>3219</v>
      </c>
      <c r="E3574">
        <v>30.12</v>
      </c>
      <c r="F3574">
        <v>162.63999999999999</v>
      </c>
    </row>
    <row r="3575" spans="1:6" x14ac:dyDescent="0.25">
      <c r="A3575" t="s">
        <v>1546</v>
      </c>
      <c r="B3575" t="s">
        <v>34</v>
      </c>
      <c r="C3575" t="s">
        <v>145</v>
      </c>
      <c r="D3575" t="s">
        <v>3217</v>
      </c>
      <c r="E3575">
        <v>0</v>
      </c>
      <c r="F3575">
        <v>162.80000000000001</v>
      </c>
    </row>
    <row r="3576" spans="1:6" x14ac:dyDescent="0.25">
      <c r="A3576" t="s">
        <v>1546</v>
      </c>
      <c r="B3576" t="s">
        <v>34</v>
      </c>
      <c r="C3576" t="s">
        <v>145</v>
      </c>
      <c r="D3576" t="s">
        <v>3218</v>
      </c>
      <c r="E3576">
        <v>16.34</v>
      </c>
      <c r="F3576">
        <v>163.44999999999999</v>
      </c>
    </row>
    <row r="3577" spans="1:6" x14ac:dyDescent="0.25">
      <c r="A3577" t="s">
        <v>1546</v>
      </c>
      <c r="B3577" t="s">
        <v>34</v>
      </c>
      <c r="C3577" t="s">
        <v>145</v>
      </c>
      <c r="D3577" t="s">
        <v>3219</v>
      </c>
      <c r="E3577">
        <v>30.65</v>
      </c>
      <c r="F3577">
        <v>163.46</v>
      </c>
    </row>
    <row r="3578" spans="1:6" x14ac:dyDescent="0.25">
      <c r="A3578" t="s">
        <v>1547</v>
      </c>
      <c r="B3578" t="s">
        <v>34</v>
      </c>
      <c r="C3578" t="s">
        <v>146</v>
      </c>
      <c r="D3578" t="s">
        <v>3217</v>
      </c>
      <c r="E3578">
        <v>0</v>
      </c>
      <c r="F3578">
        <v>163.35</v>
      </c>
    </row>
    <row r="3579" spans="1:6" x14ac:dyDescent="0.25">
      <c r="A3579" t="s">
        <v>1547</v>
      </c>
      <c r="B3579" t="s">
        <v>34</v>
      </c>
      <c r="C3579" t="s">
        <v>146</v>
      </c>
      <c r="D3579" t="s">
        <v>3218</v>
      </c>
      <c r="E3579">
        <v>20</v>
      </c>
      <c r="F3579">
        <v>164.01</v>
      </c>
    </row>
    <row r="3580" spans="1:6" x14ac:dyDescent="0.25">
      <c r="A3580" t="s">
        <v>1547</v>
      </c>
      <c r="B3580" t="s">
        <v>34</v>
      </c>
      <c r="C3580" t="s">
        <v>146</v>
      </c>
      <c r="D3580" t="s">
        <v>3219</v>
      </c>
      <c r="E3580">
        <v>34.32</v>
      </c>
      <c r="F3580">
        <v>164.09</v>
      </c>
    </row>
    <row r="3581" spans="1:6" x14ac:dyDescent="0.25">
      <c r="A3581" t="s">
        <v>1548</v>
      </c>
      <c r="B3581" t="s">
        <v>34</v>
      </c>
      <c r="C3581" t="s">
        <v>147</v>
      </c>
      <c r="D3581" t="s">
        <v>3217</v>
      </c>
      <c r="E3581">
        <v>0</v>
      </c>
      <c r="F3581">
        <v>163.74</v>
      </c>
    </row>
    <row r="3582" spans="1:6" x14ac:dyDescent="0.25">
      <c r="A3582" t="s">
        <v>1548</v>
      </c>
      <c r="B3582" t="s">
        <v>34</v>
      </c>
      <c r="C3582" t="s">
        <v>147</v>
      </c>
      <c r="D3582" t="s">
        <v>3218</v>
      </c>
      <c r="E3582">
        <v>20</v>
      </c>
      <c r="F3582">
        <v>164.48</v>
      </c>
    </row>
    <row r="3583" spans="1:6" x14ac:dyDescent="0.25">
      <c r="A3583" t="s">
        <v>1548</v>
      </c>
      <c r="B3583" t="s">
        <v>34</v>
      </c>
      <c r="C3583" t="s">
        <v>147</v>
      </c>
      <c r="D3583" t="s">
        <v>3219</v>
      </c>
      <c r="E3583">
        <v>34.85</v>
      </c>
      <c r="F3583">
        <v>164.62</v>
      </c>
    </row>
    <row r="3584" spans="1:6" x14ac:dyDescent="0.25">
      <c r="A3584" t="s">
        <v>1549</v>
      </c>
      <c r="B3584" t="s">
        <v>34</v>
      </c>
      <c r="C3584" t="s">
        <v>148</v>
      </c>
      <c r="D3584" t="s">
        <v>3217</v>
      </c>
      <c r="E3584">
        <v>0</v>
      </c>
      <c r="F3584">
        <v>164.29</v>
      </c>
    </row>
    <row r="3585" spans="1:6" x14ac:dyDescent="0.25">
      <c r="A3585" t="s">
        <v>1549</v>
      </c>
      <c r="B3585" t="s">
        <v>34</v>
      </c>
      <c r="C3585" t="s">
        <v>148</v>
      </c>
      <c r="D3585" t="s">
        <v>3218</v>
      </c>
      <c r="E3585">
        <v>20</v>
      </c>
      <c r="F3585">
        <v>165.03</v>
      </c>
    </row>
    <row r="3586" spans="1:6" x14ac:dyDescent="0.25">
      <c r="A3586" t="s">
        <v>1549</v>
      </c>
      <c r="B3586" t="s">
        <v>34</v>
      </c>
      <c r="C3586" t="s">
        <v>148</v>
      </c>
      <c r="D3586" t="s">
        <v>3219</v>
      </c>
      <c r="E3586">
        <v>34.630000000000003</v>
      </c>
      <c r="F3586">
        <v>165.15</v>
      </c>
    </row>
    <row r="3587" spans="1:6" x14ac:dyDescent="0.25">
      <c r="A3587" t="s">
        <v>1550</v>
      </c>
      <c r="B3587" t="s">
        <v>34</v>
      </c>
      <c r="C3587" t="s">
        <v>149</v>
      </c>
      <c r="D3587" t="s">
        <v>3217</v>
      </c>
      <c r="E3587">
        <v>0</v>
      </c>
      <c r="F3587">
        <v>164.8</v>
      </c>
    </row>
    <row r="3588" spans="1:6" x14ac:dyDescent="0.25">
      <c r="A3588" t="s">
        <v>1550</v>
      </c>
      <c r="B3588" t="s">
        <v>34</v>
      </c>
      <c r="C3588" t="s">
        <v>149</v>
      </c>
      <c r="D3588" t="s">
        <v>3218</v>
      </c>
      <c r="E3588">
        <v>20</v>
      </c>
      <c r="F3588">
        <v>165.7</v>
      </c>
    </row>
    <row r="3589" spans="1:6" x14ac:dyDescent="0.25">
      <c r="A3589" t="s">
        <v>1550</v>
      </c>
      <c r="B3589" t="s">
        <v>34</v>
      </c>
      <c r="C3589" t="s">
        <v>149</v>
      </c>
      <c r="D3589" t="s">
        <v>3219</v>
      </c>
      <c r="E3589">
        <v>34.85</v>
      </c>
      <c r="F3589">
        <v>165.79</v>
      </c>
    </row>
    <row r="3590" spans="1:6" x14ac:dyDescent="0.25">
      <c r="A3590" t="s">
        <v>1551</v>
      </c>
      <c r="B3590" t="s">
        <v>34</v>
      </c>
      <c r="C3590" t="s">
        <v>150</v>
      </c>
      <c r="D3590" t="s">
        <v>3217</v>
      </c>
      <c r="E3590">
        <v>0</v>
      </c>
      <c r="F3590">
        <v>165.42</v>
      </c>
    </row>
    <row r="3591" spans="1:6" x14ac:dyDescent="0.25">
      <c r="A3591" t="s">
        <v>1551</v>
      </c>
      <c r="B3591" t="s">
        <v>34</v>
      </c>
      <c r="C3591" t="s">
        <v>150</v>
      </c>
      <c r="D3591" t="s">
        <v>3218</v>
      </c>
      <c r="E3591">
        <v>20</v>
      </c>
      <c r="F3591">
        <v>166.11</v>
      </c>
    </row>
    <row r="3592" spans="1:6" x14ac:dyDescent="0.25">
      <c r="A3592" t="s">
        <v>1551</v>
      </c>
      <c r="B3592" t="s">
        <v>34</v>
      </c>
      <c r="C3592" t="s">
        <v>150</v>
      </c>
      <c r="D3592" t="s">
        <v>3219</v>
      </c>
      <c r="E3592">
        <v>36.130000000000003</v>
      </c>
      <c r="F3592">
        <v>166.21</v>
      </c>
    </row>
    <row r="3593" spans="1:6" x14ac:dyDescent="0.25">
      <c r="A3593" t="s">
        <v>1552</v>
      </c>
      <c r="B3593" t="s">
        <v>34</v>
      </c>
      <c r="C3593" t="s">
        <v>151</v>
      </c>
      <c r="D3593" t="s">
        <v>3217</v>
      </c>
      <c r="E3593">
        <v>0</v>
      </c>
      <c r="F3593">
        <v>165.89</v>
      </c>
    </row>
    <row r="3594" spans="1:6" x14ac:dyDescent="0.25">
      <c r="A3594" t="s">
        <v>1552</v>
      </c>
      <c r="B3594" t="s">
        <v>34</v>
      </c>
      <c r="C3594" t="s">
        <v>151</v>
      </c>
      <c r="D3594" t="s">
        <v>3218</v>
      </c>
      <c r="E3594">
        <v>17.05</v>
      </c>
      <c r="F3594">
        <v>166.41</v>
      </c>
    </row>
    <row r="3595" spans="1:6" x14ac:dyDescent="0.25">
      <c r="A3595" t="s">
        <v>1552</v>
      </c>
      <c r="B3595" t="s">
        <v>34</v>
      </c>
      <c r="C3595" t="s">
        <v>151</v>
      </c>
      <c r="D3595" t="s">
        <v>3219</v>
      </c>
      <c r="E3595">
        <v>33.450000000000003</v>
      </c>
      <c r="F3595">
        <v>166.8</v>
      </c>
    </row>
    <row r="3596" spans="1:6" x14ac:dyDescent="0.25">
      <c r="A3596" t="s">
        <v>1553</v>
      </c>
      <c r="B3596" t="s">
        <v>34</v>
      </c>
      <c r="C3596" t="s">
        <v>152</v>
      </c>
      <c r="D3596" t="s">
        <v>3217</v>
      </c>
      <c r="E3596">
        <v>0</v>
      </c>
      <c r="F3596">
        <v>166.28</v>
      </c>
    </row>
    <row r="3597" spans="1:6" x14ac:dyDescent="0.25">
      <c r="A3597" t="s">
        <v>1553</v>
      </c>
      <c r="B3597" t="s">
        <v>34</v>
      </c>
      <c r="C3597" t="s">
        <v>152</v>
      </c>
      <c r="D3597" t="s">
        <v>3218</v>
      </c>
      <c r="E3597">
        <v>15.88</v>
      </c>
      <c r="F3597">
        <v>166.77</v>
      </c>
    </row>
    <row r="3598" spans="1:6" x14ac:dyDescent="0.25">
      <c r="A3598" t="s">
        <v>1553</v>
      </c>
      <c r="B3598" t="s">
        <v>34</v>
      </c>
      <c r="C3598" t="s">
        <v>152</v>
      </c>
      <c r="D3598" t="s">
        <v>3219</v>
      </c>
      <c r="E3598">
        <v>32.090000000000003</v>
      </c>
      <c r="F3598">
        <v>167.03</v>
      </c>
    </row>
    <row r="3599" spans="1:6" x14ac:dyDescent="0.25">
      <c r="A3599" t="s">
        <v>1554</v>
      </c>
      <c r="B3599" t="s">
        <v>34</v>
      </c>
      <c r="C3599" t="s">
        <v>153</v>
      </c>
      <c r="D3599" t="s">
        <v>3217</v>
      </c>
      <c r="E3599">
        <v>0</v>
      </c>
      <c r="F3599">
        <v>166.6</v>
      </c>
    </row>
    <row r="3600" spans="1:6" x14ac:dyDescent="0.25">
      <c r="A3600" t="s">
        <v>1554</v>
      </c>
      <c r="B3600" t="s">
        <v>34</v>
      </c>
      <c r="C3600" t="s">
        <v>153</v>
      </c>
      <c r="D3600" t="s">
        <v>3218</v>
      </c>
      <c r="E3600">
        <v>14.56</v>
      </c>
      <c r="F3600">
        <v>167.15</v>
      </c>
    </row>
    <row r="3601" spans="1:6" x14ac:dyDescent="0.25">
      <c r="A3601" t="s">
        <v>1554</v>
      </c>
      <c r="B3601" t="s">
        <v>34</v>
      </c>
      <c r="C3601" t="s">
        <v>153</v>
      </c>
      <c r="D3601" t="s">
        <v>3219</v>
      </c>
      <c r="E3601">
        <v>31.36</v>
      </c>
      <c r="F3601">
        <v>167.4</v>
      </c>
    </row>
    <row r="3602" spans="1:6" x14ac:dyDescent="0.25">
      <c r="A3602" t="s">
        <v>1555</v>
      </c>
      <c r="B3602" t="s">
        <v>34</v>
      </c>
      <c r="C3602" t="s">
        <v>154</v>
      </c>
      <c r="D3602" t="s">
        <v>3217</v>
      </c>
      <c r="E3602">
        <v>0</v>
      </c>
      <c r="F3602">
        <v>166.91</v>
      </c>
    </row>
    <row r="3603" spans="1:6" x14ac:dyDescent="0.25">
      <c r="A3603" t="s">
        <v>1555</v>
      </c>
      <c r="B3603" t="s">
        <v>34</v>
      </c>
      <c r="C3603" t="s">
        <v>154</v>
      </c>
      <c r="D3603" t="s">
        <v>3218</v>
      </c>
      <c r="E3603">
        <v>13.5</v>
      </c>
      <c r="F3603">
        <v>167.41</v>
      </c>
    </row>
    <row r="3604" spans="1:6" x14ac:dyDescent="0.25">
      <c r="A3604" t="s">
        <v>1555</v>
      </c>
      <c r="B3604" t="s">
        <v>34</v>
      </c>
      <c r="C3604" t="s">
        <v>154</v>
      </c>
      <c r="D3604" t="s">
        <v>3219</v>
      </c>
      <c r="E3604">
        <v>29.7</v>
      </c>
      <c r="F3604">
        <v>167.35</v>
      </c>
    </row>
    <row r="3605" spans="1:6" x14ac:dyDescent="0.25">
      <c r="A3605" t="s">
        <v>1556</v>
      </c>
      <c r="B3605" t="s">
        <v>34</v>
      </c>
      <c r="C3605" t="s">
        <v>155</v>
      </c>
      <c r="D3605" t="s">
        <v>3217</v>
      </c>
      <c r="E3605">
        <v>0</v>
      </c>
      <c r="F3605">
        <v>167.17</v>
      </c>
    </row>
    <row r="3606" spans="1:6" x14ac:dyDescent="0.25">
      <c r="A3606" t="s">
        <v>1556</v>
      </c>
      <c r="B3606" t="s">
        <v>34</v>
      </c>
      <c r="C3606" t="s">
        <v>155</v>
      </c>
      <c r="D3606" t="s">
        <v>3218</v>
      </c>
      <c r="E3606">
        <v>12.66</v>
      </c>
      <c r="F3606">
        <v>167.62</v>
      </c>
    </row>
    <row r="3607" spans="1:6" x14ac:dyDescent="0.25">
      <c r="A3607" t="s">
        <v>1556</v>
      </c>
      <c r="B3607" t="s">
        <v>34</v>
      </c>
      <c r="C3607" t="s">
        <v>155</v>
      </c>
      <c r="D3607" t="s">
        <v>3219</v>
      </c>
      <c r="E3607">
        <v>30.35</v>
      </c>
      <c r="F3607">
        <v>167.69</v>
      </c>
    </row>
    <row r="3608" spans="1:6" x14ac:dyDescent="0.25">
      <c r="A3608" t="s">
        <v>1557</v>
      </c>
      <c r="B3608" t="s">
        <v>34</v>
      </c>
      <c r="C3608" t="s">
        <v>156</v>
      </c>
      <c r="D3608" t="s">
        <v>3217</v>
      </c>
      <c r="E3608">
        <v>0</v>
      </c>
      <c r="F3608">
        <v>167.53</v>
      </c>
    </row>
    <row r="3609" spans="1:6" x14ac:dyDescent="0.25">
      <c r="A3609" t="s">
        <v>1557</v>
      </c>
      <c r="B3609" t="s">
        <v>34</v>
      </c>
      <c r="C3609" t="s">
        <v>156</v>
      </c>
      <c r="D3609" t="s">
        <v>3218</v>
      </c>
      <c r="E3609">
        <v>12.3</v>
      </c>
      <c r="F3609">
        <v>167.78</v>
      </c>
    </row>
    <row r="3610" spans="1:6" x14ac:dyDescent="0.25">
      <c r="A3610" t="s">
        <v>1557</v>
      </c>
      <c r="B3610" t="s">
        <v>34</v>
      </c>
      <c r="C3610" t="s">
        <v>156</v>
      </c>
      <c r="D3610" t="s">
        <v>3219</v>
      </c>
      <c r="E3610">
        <v>30.67</v>
      </c>
      <c r="F3610">
        <v>167.79</v>
      </c>
    </row>
    <row r="3611" spans="1:6" x14ac:dyDescent="0.25">
      <c r="A3611" t="s">
        <v>1558</v>
      </c>
      <c r="B3611" t="s">
        <v>34</v>
      </c>
      <c r="C3611" t="s">
        <v>157</v>
      </c>
      <c r="D3611" t="s">
        <v>3217</v>
      </c>
      <c r="E3611">
        <v>0</v>
      </c>
      <c r="F3611">
        <v>167.93</v>
      </c>
    </row>
    <row r="3612" spans="1:6" x14ac:dyDescent="0.25">
      <c r="A3612" t="s">
        <v>1558</v>
      </c>
      <c r="B3612" t="s">
        <v>34</v>
      </c>
      <c r="C3612" t="s">
        <v>157</v>
      </c>
      <c r="D3612" t="s">
        <v>3218</v>
      </c>
      <c r="E3612">
        <v>13.67</v>
      </c>
      <c r="F3612">
        <v>167.99</v>
      </c>
    </row>
    <row r="3613" spans="1:6" x14ac:dyDescent="0.25">
      <c r="A3613" t="s">
        <v>1558</v>
      </c>
      <c r="B3613" t="s">
        <v>34</v>
      </c>
      <c r="C3613" t="s">
        <v>157</v>
      </c>
      <c r="D3613" t="s">
        <v>3219</v>
      </c>
      <c r="E3613">
        <v>32.049999999999997</v>
      </c>
      <c r="F3613">
        <v>168.01</v>
      </c>
    </row>
    <row r="3614" spans="1:6" x14ac:dyDescent="0.25">
      <c r="A3614" t="s">
        <v>1559</v>
      </c>
      <c r="B3614" t="s">
        <v>34</v>
      </c>
      <c r="C3614" t="s">
        <v>158</v>
      </c>
      <c r="D3614" t="s">
        <v>3217</v>
      </c>
      <c r="E3614">
        <v>0</v>
      </c>
      <c r="F3614">
        <v>168.14</v>
      </c>
    </row>
    <row r="3615" spans="1:6" x14ac:dyDescent="0.25">
      <c r="A3615" t="s">
        <v>1559</v>
      </c>
      <c r="B3615" t="s">
        <v>34</v>
      </c>
      <c r="C3615" t="s">
        <v>158</v>
      </c>
      <c r="D3615" t="s">
        <v>3218</v>
      </c>
      <c r="E3615">
        <v>14.95</v>
      </c>
      <c r="F3615">
        <v>168.09</v>
      </c>
    </row>
    <row r="3616" spans="1:6" x14ac:dyDescent="0.25">
      <c r="A3616" t="s">
        <v>1559</v>
      </c>
      <c r="B3616" t="s">
        <v>34</v>
      </c>
      <c r="C3616" t="s">
        <v>158</v>
      </c>
      <c r="D3616" t="s">
        <v>3219</v>
      </c>
      <c r="E3616">
        <v>34.950000000000003</v>
      </c>
      <c r="F3616">
        <v>168.34</v>
      </c>
    </row>
    <row r="3617" spans="1:6" x14ac:dyDescent="0.25">
      <c r="A3617" t="s">
        <v>1560</v>
      </c>
      <c r="B3617" t="s">
        <v>34</v>
      </c>
      <c r="C3617" t="s">
        <v>159</v>
      </c>
      <c r="D3617" t="s">
        <v>3217</v>
      </c>
      <c r="E3617">
        <v>0</v>
      </c>
      <c r="F3617">
        <v>168.14</v>
      </c>
    </row>
    <row r="3618" spans="1:6" x14ac:dyDescent="0.25">
      <c r="A3618" t="s">
        <v>1560</v>
      </c>
      <c r="B3618" t="s">
        <v>34</v>
      </c>
      <c r="C3618" t="s">
        <v>159</v>
      </c>
      <c r="D3618" t="s">
        <v>3218</v>
      </c>
      <c r="E3618">
        <v>14</v>
      </c>
      <c r="F3618">
        <v>168.15</v>
      </c>
    </row>
    <row r="3619" spans="1:6" x14ac:dyDescent="0.25">
      <c r="A3619" t="s">
        <v>1560</v>
      </c>
      <c r="B3619" t="s">
        <v>34</v>
      </c>
      <c r="C3619" t="s">
        <v>159</v>
      </c>
      <c r="D3619" t="s">
        <v>3219</v>
      </c>
      <c r="E3619">
        <v>34</v>
      </c>
      <c r="F3619">
        <v>168.54</v>
      </c>
    </row>
    <row r="3620" spans="1:6" x14ac:dyDescent="0.25">
      <c r="A3620" t="s">
        <v>1561</v>
      </c>
      <c r="B3620" t="s">
        <v>34</v>
      </c>
      <c r="C3620" t="s">
        <v>160</v>
      </c>
      <c r="D3620" t="s">
        <v>3217</v>
      </c>
      <c r="E3620">
        <v>0</v>
      </c>
      <c r="F3620">
        <v>168.35</v>
      </c>
    </row>
    <row r="3621" spans="1:6" x14ac:dyDescent="0.25">
      <c r="A3621" t="s">
        <v>1561</v>
      </c>
      <c r="B3621" t="s">
        <v>34</v>
      </c>
      <c r="C3621" t="s">
        <v>160</v>
      </c>
      <c r="D3621" t="s">
        <v>3218</v>
      </c>
      <c r="E3621">
        <v>14.01</v>
      </c>
      <c r="F3621">
        <v>168.59</v>
      </c>
    </row>
    <row r="3622" spans="1:6" x14ac:dyDescent="0.25">
      <c r="A3622" t="s">
        <v>1561</v>
      </c>
      <c r="B3622" t="s">
        <v>34</v>
      </c>
      <c r="C3622" t="s">
        <v>160</v>
      </c>
      <c r="D3622" t="s">
        <v>3219</v>
      </c>
      <c r="E3622">
        <v>34.01</v>
      </c>
      <c r="F3622">
        <v>168.67</v>
      </c>
    </row>
    <row r="3623" spans="1:6" x14ac:dyDescent="0.25">
      <c r="A3623" t="s">
        <v>1562</v>
      </c>
      <c r="B3623" t="s">
        <v>34</v>
      </c>
      <c r="C3623" t="s">
        <v>161</v>
      </c>
      <c r="D3623" t="s">
        <v>3217</v>
      </c>
      <c r="E3623">
        <v>0</v>
      </c>
      <c r="F3623">
        <v>168.75</v>
      </c>
    </row>
    <row r="3624" spans="1:6" x14ac:dyDescent="0.25">
      <c r="A3624" t="s">
        <v>1562</v>
      </c>
      <c r="B3624" t="s">
        <v>34</v>
      </c>
      <c r="C3624" t="s">
        <v>161</v>
      </c>
      <c r="D3624" t="s">
        <v>3218</v>
      </c>
      <c r="E3624">
        <v>13.67</v>
      </c>
      <c r="F3624">
        <v>169.3</v>
      </c>
    </row>
    <row r="3625" spans="1:6" x14ac:dyDescent="0.25">
      <c r="A3625" t="s">
        <v>1562</v>
      </c>
      <c r="B3625" t="s">
        <v>34</v>
      </c>
      <c r="C3625" t="s">
        <v>161</v>
      </c>
      <c r="D3625" t="s">
        <v>3219</v>
      </c>
      <c r="E3625">
        <v>33.67</v>
      </c>
      <c r="F3625">
        <v>169.01</v>
      </c>
    </row>
    <row r="3626" spans="1:6" x14ac:dyDescent="0.25">
      <c r="A3626" t="s">
        <v>1563</v>
      </c>
      <c r="B3626" t="s">
        <v>34</v>
      </c>
      <c r="C3626" t="s">
        <v>162</v>
      </c>
      <c r="D3626" t="s">
        <v>3217</v>
      </c>
      <c r="E3626">
        <v>0</v>
      </c>
      <c r="F3626">
        <v>169.46</v>
      </c>
    </row>
    <row r="3627" spans="1:6" x14ac:dyDescent="0.25">
      <c r="A3627" t="s">
        <v>1563</v>
      </c>
      <c r="B3627" t="s">
        <v>34</v>
      </c>
      <c r="C3627" t="s">
        <v>162</v>
      </c>
      <c r="D3627" t="s">
        <v>3218</v>
      </c>
      <c r="E3627">
        <v>16.09</v>
      </c>
      <c r="F3627">
        <v>170.25</v>
      </c>
    </row>
    <row r="3628" spans="1:6" x14ac:dyDescent="0.25">
      <c r="A3628" t="s">
        <v>1563</v>
      </c>
      <c r="B3628" t="s">
        <v>34</v>
      </c>
      <c r="C3628" t="s">
        <v>162</v>
      </c>
      <c r="D3628" t="s">
        <v>3219</v>
      </c>
      <c r="E3628">
        <v>36.090000000000003</v>
      </c>
      <c r="F3628">
        <v>169.55</v>
      </c>
    </row>
    <row r="3629" spans="1:6" x14ac:dyDescent="0.25">
      <c r="A3629" t="s">
        <v>1564</v>
      </c>
      <c r="B3629" t="s">
        <v>34</v>
      </c>
      <c r="C3629" t="s">
        <v>163</v>
      </c>
      <c r="D3629" t="s">
        <v>3217</v>
      </c>
      <c r="E3629">
        <v>0</v>
      </c>
      <c r="F3629">
        <v>169.8</v>
      </c>
    </row>
    <row r="3630" spans="1:6" x14ac:dyDescent="0.25">
      <c r="A3630" t="s">
        <v>1564</v>
      </c>
      <c r="B3630" t="s">
        <v>34</v>
      </c>
      <c r="C3630" t="s">
        <v>163</v>
      </c>
      <c r="D3630" t="s">
        <v>3218</v>
      </c>
      <c r="E3630">
        <v>20</v>
      </c>
      <c r="F3630">
        <v>170.53</v>
      </c>
    </row>
    <row r="3631" spans="1:6" x14ac:dyDescent="0.25">
      <c r="A3631" t="s">
        <v>1564</v>
      </c>
      <c r="B3631" t="s">
        <v>34</v>
      </c>
      <c r="C3631" t="s">
        <v>163</v>
      </c>
      <c r="D3631" t="s">
        <v>3219</v>
      </c>
      <c r="E3631">
        <v>40</v>
      </c>
      <c r="F3631">
        <v>169.53</v>
      </c>
    </row>
    <row r="3632" spans="1:6" x14ac:dyDescent="0.25">
      <c r="A3632" t="s">
        <v>1565</v>
      </c>
      <c r="B3632" t="s">
        <v>34</v>
      </c>
      <c r="C3632" t="s">
        <v>164</v>
      </c>
      <c r="D3632" t="s">
        <v>3217</v>
      </c>
      <c r="E3632">
        <v>0</v>
      </c>
      <c r="F3632">
        <v>170.05</v>
      </c>
    </row>
    <row r="3633" spans="1:6" x14ac:dyDescent="0.25">
      <c r="A3633" t="s">
        <v>1565</v>
      </c>
      <c r="B3633" t="s">
        <v>34</v>
      </c>
      <c r="C3633" t="s">
        <v>164</v>
      </c>
      <c r="D3633" t="s">
        <v>3218</v>
      </c>
      <c r="E3633">
        <v>20</v>
      </c>
      <c r="F3633">
        <v>170.45</v>
      </c>
    </row>
    <row r="3634" spans="1:6" x14ac:dyDescent="0.25">
      <c r="A3634" t="s">
        <v>1565</v>
      </c>
      <c r="B3634" t="s">
        <v>34</v>
      </c>
      <c r="C3634" t="s">
        <v>164</v>
      </c>
      <c r="D3634" t="s">
        <v>3219</v>
      </c>
      <c r="E3634">
        <v>40</v>
      </c>
      <c r="F3634">
        <v>169.92</v>
      </c>
    </row>
    <row r="3635" spans="1:6" x14ac:dyDescent="0.25">
      <c r="A3635" t="s">
        <v>1566</v>
      </c>
      <c r="B3635" t="s">
        <v>34</v>
      </c>
      <c r="C3635" t="s">
        <v>170</v>
      </c>
      <c r="D3635" t="s">
        <v>3217</v>
      </c>
      <c r="E3635">
        <v>0</v>
      </c>
      <c r="F3635">
        <v>170.17</v>
      </c>
    </row>
    <row r="3636" spans="1:6" x14ac:dyDescent="0.25">
      <c r="A3636" t="s">
        <v>1566</v>
      </c>
      <c r="B3636" t="s">
        <v>34</v>
      </c>
      <c r="C3636" t="s">
        <v>170</v>
      </c>
      <c r="D3636" t="s">
        <v>3218</v>
      </c>
      <c r="E3636">
        <v>20</v>
      </c>
      <c r="F3636">
        <v>170.57</v>
      </c>
    </row>
    <row r="3637" spans="1:6" x14ac:dyDescent="0.25">
      <c r="A3637" t="s">
        <v>1566</v>
      </c>
      <c r="B3637" t="s">
        <v>34</v>
      </c>
      <c r="C3637" t="s">
        <v>170</v>
      </c>
      <c r="D3637" t="s">
        <v>3219</v>
      </c>
      <c r="E3637">
        <v>36.479999999999997</v>
      </c>
      <c r="F3637">
        <v>170.49</v>
      </c>
    </row>
    <row r="3638" spans="1:6" x14ac:dyDescent="0.25">
      <c r="A3638" t="s">
        <v>1567</v>
      </c>
      <c r="B3638" t="s">
        <v>34</v>
      </c>
      <c r="C3638" t="s">
        <v>171</v>
      </c>
      <c r="D3638" t="s">
        <v>3217</v>
      </c>
      <c r="E3638">
        <v>0</v>
      </c>
      <c r="F3638">
        <v>170.33</v>
      </c>
    </row>
    <row r="3639" spans="1:6" x14ac:dyDescent="0.25">
      <c r="A3639" t="s">
        <v>1567</v>
      </c>
      <c r="B3639" t="s">
        <v>34</v>
      </c>
      <c r="C3639" t="s">
        <v>171</v>
      </c>
      <c r="D3639" t="s">
        <v>3218</v>
      </c>
      <c r="E3639">
        <v>20</v>
      </c>
      <c r="F3639">
        <v>170.77</v>
      </c>
    </row>
    <row r="3640" spans="1:6" x14ac:dyDescent="0.25">
      <c r="A3640" t="s">
        <v>1567</v>
      </c>
      <c r="B3640" t="s">
        <v>34</v>
      </c>
      <c r="C3640" t="s">
        <v>171</v>
      </c>
      <c r="D3640" t="s">
        <v>3219</v>
      </c>
      <c r="E3640">
        <v>36.770000000000003</v>
      </c>
      <c r="F3640">
        <v>171.17</v>
      </c>
    </row>
    <row r="3641" spans="1:6" x14ac:dyDescent="0.25">
      <c r="A3641" t="s">
        <v>1568</v>
      </c>
      <c r="B3641" t="s">
        <v>34</v>
      </c>
      <c r="C3641" t="s">
        <v>172</v>
      </c>
      <c r="D3641" t="s">
        <v>3217</v>
      </c>
      <c r="E3641">
        <v>0</v>
      </c>
      <c r="F3641">
        <v>170.52</v>
      </c>
    </row>
    <row r="3642" spans="1:6" x14ac:dyDescent="0.25">
      <c r="A3642" t="s">
        <v>1568</v>
      </c>
      <c r="B3642" t="s">
        <v>34</v>
      </c>
      <c r="C3642" t="s">
        <v>172</v>
      </c>
      <c r="D3642" t="s">
        <v>3218</v>
      </c>
      <c r="E3642">
        <v>20</v>
      </c>
      <c r="F3642">
        <v>171.22</v>
      </c>
    </row>
    <row r="3643" spans="1:6" x14ac:dyDescent="0.25">
      <c r="A3643" t="s">
        <v>1568</v>
      </c>
      <c r="B3643" t="s">
        <v>34</v>
      </c>
      <c r="C3643" t="s">
        <v>172</v>
      </c>
      <c r="D3643" t="s">
        <v>3219</v>
      </c>
      <c r="E3643">
        <v>37.19</v>
      </c>
      <c r="F3643">
        <v>171.43</v>
      </c>
    </row>
    <row r="3644" spans="1:6" x14ac:dyDescent="0.25">
      <c r="A3644" t="s">
        <v>1569</v>
      </c>
      <c r="B3644" t="s">
        <v>34</v>
      </c>
      <c r="C3644" t="s">
        <v>173</v>
      </c>
      <c r="D3644" t="s">
        <v>3217</v>
      </c>
      <c r="E3644">
        <v>0</v>
      </c>
      <c r="F3644">
        <v>170.67</v>
      </c>
    </row>
    <row r="3645" spans="1:6" x14ac:dyDescent="0.25">
      <c r="A3645" t="s">
        <v>1569</v>
      </c>
      <c r="B3645" t="s">
        <v>34</v>
      </c>
      <c r="C3645" t="s">
        <v>173</v>
      </c>
      <c r="D3645" t="s">
        <v>3218</v>
      </c>
      <c r="E3645">
        <v>20</v>
      </c>
      <c r="F3645">
        <v>171.23</v>
      </c>
    </row>
    <row r="3646" spans="1:6" x14ac:dyDescent="0.25">
      <c r="A3646" t="s">
        <v>1569</v>
      </c>
      <c r="B3646" t="s">
        <v>34</v>
      </c>
      <c r="C3646" t="s">
        <v>173</v>
      </c>
      <c r="D3646" t="s">
        <v>3219</v>
      </c>
      <c r="E3646">
        <v>40</v>
      </c>
      <c r="F3646">
        <v>171.61</v>
      </c>
    </row>
    <row r="3647" spans="1:6" x14ac:dyDescent="0.25">
      <c r="A3647" t="s">
        <v>1570</v>
      </c>
      <c r="B3647" t="s">
        <v>34</v>
      </c>
      <c r="C3647" t="s">
        <v>174</v>
      </c>
      <c r="D3647" t="s">
        <v>3217</v>
      </c>
      <c r="E3647">
        <v>0</v>
      </c>
      <c r="F3647">
        <v>170.69</v>
      </c>
    </row>
    <row r="3648" spans="1:6" x14ac:dyDescent="0.25">
      <c r="A3648" t="s">
        <v>1570</v>
      </c>
      <c r="B3648" t="s">
        <v>34</v>
      </c>
      <c r="C3648" t="s">
        <v>174</v>
      </c>
      <c r="D3648" t="s">
        <v>3218</v>
      </c>
      <c r="E3648">
        <v>20</v>
      </c>
      <c r="F3648">
        <v>171.33</v>
      </c>
    </row>
    <row r="3649" spans="1:6" x14ac:dyDescent="0.25">
      <c r="A3649" t="s">
        <v>1570</v>
      </c>
      <c r="B3649" t="s">
        <v>34</v>
      </c>
      <c r="C3649" t="s">
        <v>174</v>
      </c>
      <c r="D3649" t="s">
        <v>3219</v>
      </c>
      <c r="E3649">
        <v>40</v>
      </c>
      <c r="F3649">
        <v>171.54</v>
      </c>
    </row>
    <row r="3650" spans="1:6" x14ac:dyDescent="0.25">
      <c r="A3650" t="s">
        <v>1571</v>
      </c>
      <c r="B3650" t="s">
        <v>34</v>
      </c>
      <c r="C3650" t="s">
        <v>175</v>
      </c>
      <c r="D3650" t="s">
        <v>3217</v>
      </c>
      <c r="E3650">
        <v>0</v>
      </c>
      <c r="F3650">
        <v>170.76</v>
      </c>
    </row>
    <row r="3651" spans="1:6" x14ac:dyDescent="0.25">
      <c r="A3651" t="s">
        <v>1571</v>
      </c>
      <c r="B3651" t="s">
        <v>34</v>
      </c>
      <c r="C3651" t="s">
        <v>175</v>
      </c>
      <c r="D3651" t="s">
        <v>3218</v>
      </c>
      <c r="E3651">
        <v>16.52</v>
      </c>
      <c r="F3651">
        <v>171.43</v>
      </c>
    </row>
    <row r="3652" spans="1:6" x14ac:dyDescent="0.25">
      <c r="A3652" t="s">
        <v>1571</v>
      </c>
      <c r="B3652" t="s">
        <v>34</v>
      </c>
      <c r="C3652" t="s">
        <v>175</v>
      </c>
      <c r="D3652" t="s">
        <v>3219</v>
      </c>
      <c r="E3652">
        <v>36.520000000000003</v>
      </c>
      <c r="F3652">
        <v>171.74</v>
      </c>
    </row>
    <row r="3653" spans="1:6" x14ac:dyDescent="0.25">
      <c r="A3653" t="s">
        <v>1572</v>
      </c>
      <c r="B3653" t="s">
        <v>34</v>
      </c>
      <c r="C3653" t="s">
        <v>176</v>
      </c>
      <c r="D3653" t="s">
        <v>3217</v>
      </c>
      <c r="E3653">
        <v>0</v>
      </c>
      <c r="F3653">
        <v>170.87</v>
      </c>
    </row>
    <row r="3654" spans="1:6" x14ac:dyDescent="0.25">
      <c r="A3654" t="s">
        <v>1572</v>
      </c>
      <c r="B3654" t="s">
        <v>34</v>
      </c>
      <c r="C3654" t="s">
        <v>176</v>
      </c>
      <c r="D3654" t="s">
        <v>3218</v>
      </c>
      <c r="E3654">
        <v>15.87</v>
      </c>
      <c r="F3654">
        <v>171.52</v>
      </c>
    </row>
    <row r="3655" spans="1:6" x14ac:dyDescent="0.25">
      <c r="A3655" t="s">
        <v>1572</v>
      </c>
      <c r="B3655" t="s">
        <v>34</v>
      </c>
      <c r="C3655" t="s">
        <v>176</v>
      </c>
      <c r="D3655" t="s">
        <v>3219</v>
      </c>
      <c r="E3655">
        <v>35.869999999999997</v>
      </c>
      <c r="F3655">
        <v>171.75</v>
      </c>
    </row>
    <row r="3656" spans="1:6" x14ac:dyDescent="0.25">
      <c r="A3656" t="s">
        <v>1573</v>
      </c>
      <c r="B3656" t="s">
        <v>34</v>
      </c>
      <c r="C3656" t="s">
        <v>177</v>
      </c>
      <c r="D3656" t="s">
        <v>3217</v>
      </c>
      <c r="E3656">
        <v>0</v>
      </c>
      <c r="F3656">
        <v>170.84</v>
      </c>
    </row>
    <row r="3657" spans="1:6" x14ac:dyDescent="0.25">
      <c r="A3657" t="s">
        <v>1573</v>
      </c>
      <c r="B3657" t="s">
        <v>34</v>
      </c>
      <c r="C3657" t="s">
        <v>177</v>
      </c>
      <c r="D3657" t="s">
        <v>3218</v>
      </c>
      <c r="E3657">
        <v>16.05</v>
      </c>
      <c r="F3657">
        <v>171.59</v>
      </c>
    </row>
    <row r="3658" spans="1:6" x14ac:dyDescent="0.25">
      <c r="A3658" t="s">
        <v>1573</v>
      </c>
      <c r="B3658" t="s">
        <v>34</v>
      </c>
      <c r="C3658" t="s">
        <v>177</v>
      </c>
      <c r="D3658" t="s">
        <v>3219</v>
      </c>
      <c r="E3658">
        <v>36.049999999999997</v>
      </c>
      <c r="F3658">
        <v>171.96</v>
      </c>
    </row>
    <row r="3659" spans="1:6" x14ac:dyDescent="0.25">
      <c r="A3659" t="s">
        <v>1574</v>
      </c>
      <c r="B3659" t="s">
        <v>34</v>
      </c>
      <c r="C3659" t="s">
        <v>178</v>
      </c>
      <c r="D3659" t="s">
        <v>3217</v>
      </c>
      <c r="E3659">
        <v>0</v>
      </c>
      <c r="F3659">
        <v>170.81</v>
      </c>
    </row>
    <row r="3660" spans="1:6" x14ac:dyDescent="0.25">
      <c r="A3660" t="s">
        <v>1574</v>
      </c>
      <c r="B3660" t="s">
        <v>34</v>
      </c>
      <c r="C3660" t="s">
        <v>178</v>
      </c>
      <c r="D3660" t="s">
        <v>3218</v>
      </c>
      <c r="E3660">
        <v>14.57</v>
      </c>
      <c r="F3660">
        <v>171.49</v>
      </c>
    </row>
    <row r="3661" spans="1:6" x14ac:dyDescent="0.25">
      <c r="A3661" t="s">
        <v>1574</v>
      </c>
      <c r="B3661" t="s">
        <v>34</v>
      </c>
      <c r="C3661" t="s">
        <v>178</v>
      </c>
      <c r="D3661" t="s">
        <v>3219</v>
      </c>
      <c r="E3661">
        <v>31.87</v>
      </c>
      <c r="F3661">
        <v>171.43</v>
      </c>
    </row>
    <row r="3662" spans="1:6" x14ac:dyDescent="0.25">
      <c r="A3662" t="s">
        <v>1575</v>
      </c>
      <c r="B3662" t="s">
        <v>34</v>
      </c>
      <c r="C3662" t="s">
        <v>179</v>
      </c>
      <c r="D3662" t="s">
        <v>3217</v>
      </c>
      <c r="E3662">
        <v>0</v>
      </c>
      <c r="F3662">
        <v>170.54</v>
      </c>
    </row>
    <row r="3663" spans="1:6" x14ac:dyDescent="0.25">
      <c r="A3663" t="s">
        <v>1575</v>
      </c>
      <c r="B3663" t="s">
        <v>34</v>
      </c>
      <c r="C3663" t="s">
        <v>179</v>
      </c>
      <c r="D3663" t="s">
        <v>3218</v>
      </c>
      <c r="E3663">
        <v>14.57</v>
      </c>
      <c r="F3663">
        <v>171.17</v>
      </c>
    </row>
    <row r="3664" spans="1:6" x14ac:dyDescent="0.25">
      <c r="A3664" t="s">
        <v>1575</v>
      </c>
      <c r="B3664" t="s">
        <v>34</v>
      </c>
      <c r="C3664" t="s">
        <v>179</v>
      </c>
      <c r="D3664" t="s">
        <v>3219</v>
      </c>
      <c r="E3664">
        <v>30.07</v>
      </c>
      <c r="F3664">
        <v>171.21</v>
      </c>
    </row>
    <row r="3665" spans="1:6" x14ac:dyDescent="0.25">
      <c r="A3665" t="s">
        <v>1576</v>
      </c>
      <c r="B3665" t="s">
        <v>34</v>
      </c>
      <c r="C3665" t="s">
        <v>180</v>
      </c>
      <c r="D3665" t="s">
        <v>3217</v>
      </c>
      <c r="E3665">
        <v>0</v>
      </c>
      <c r="F3665">
        <v>170.29</v>
      </c>
    </row>
    <row r="3666" spans="1:6" x14ac:dyDescent="0.25">
      <c r="A3666" t="s">
        <v>1576</v>
      </c>
      <c r="B3666" t="s">
        <v>34</v>
      </c>
      <c r="C3666" t="s">
        <v>180</v>
      </c>
      <c r="D3666" t="s">
        <v>3218</v>
      </c>
      <c r="E3666">
        <v>14.45</v>
      </c>
      <c r="F3666">
        <v>170.95</v>
      </c>
    </row>
    <row r="3667" spans="1:6" x14ac:dyDescent="0.25">
      <c r="A3667" t="s">
        <v>1576</v>
      </c>
      <c r="B3667" t="s">
        <v>34</v>
      </c>
      <c r="C3667" t="s">
        <v>180</v>
      </c>
      <c r="D3667" t="s">
        <v>3219</v>
      </c>
      <c r="E3667">
        <v>30.68</v>
      </c>
      <c r="F3667">
        <v>171.05</v>
      </c>
    </row>
    <row r="3668" spans="1:6" x14ac:dyDescent="0.25">
      <c r="A3668" t="s">
        <v>1577</v>
      </c>
      <c r="B3668" t="s">
        <v>34</v>
      </c>
      <c r="C3668" t="s">
        <v>181</v>
      </c>
      <c r="D3668" t="s">
        <v>3217</v>
      </c>
      <c r="E3668">
        <v>0</v>
      </c>
      <c r="F3668">
        <v>169.86</v>
      </c>
    </row>
    <row r="3669" spans="1:6" x14ac:dyDescent="0.25">
      <c r="A3669" t="s">
        <v>1577</v>
      </c>
      <c r="B3669" t="s">
        <v>34</v>
      </c>
      <c r="C3669" t="s">
        <v>181</v>
      </c>
      <c r="D3669" t="s">
        <v>3218</v>
      </c>
      <c r="E3669">
        <v>14.47</v>
      </c>
      <c r="F3669">
        <v>170.64</v>
      </c>
    </row>
    <row r="3670" spans="1:6" x14ac:dyDescent="0.25">
      <c r="A3670" t="s">
        <v>1577</v>
      </c>
      <c r="B3670" t="s">
        <v>34</v>
      </c>
      <c r="C3670" t="s">
        <v>181</v>
      </c>
      <c r="D3670" t="s">
        <v>3219</v>
      </c>
      <c r="E3670">
        <v>27.99</v>
      </c>
      <c r="F3670">
        <v>170.74</v>
      </c>
    </row>
    <row r="3671" spans="1:6" x14ac:dyDescent="0.25">
      <c r="A3671" t="s">
        <v>1578</v>
      </c>
      <c r="B3671" t="s">
        <v>34</v>
      </c>
      <c r="C3671" t="s">
        <v>182</v>
      </c>
      <c r="D3671" t="s">
        <v>3217</v>
      </c>
      <c r="E3671">
        <v>0</v>
      </c>
      <c r="F3671">
        <v>169.68</v>
      </c>
    </row>
    <row r="3672" spans="1:6" x14ac:dyDescent="0.25">
      <c r="A3672" t="s">
        <v>1578</v>
      </c>
      <c r="B3672" t="s">
        <v>34</v>
      </c>
      <c r="C3672" t="s">
        <v>182</v>
      </c>
      <c r="D3672" t="s">
        <v>3218</v>
      </c>
      <c r="E3672">
        <v>13.83</v>
      </c>
      <c r="F3672">
        <v>170.3</v>
      </c>
    </row>
    <row r="3673" spans="1:6" x14ac:dyDescent="0.25">
      <c r="A3673" t="s">
        <v>1578</v>
      </c>
      <c r="B3673" t="s">
        <v>34</v>
      </c>
      <c r="C3673" t="s">
        <v>182</v>
      </c>
      <c r="D3673" t="s">
        <v>3219</v>
      </c>
      <c r="E3673">
        <v>27.11</v>
      </c>
      <c r="F3673">
        <v>170.13</v>
      </c>
    </row>
    <row r="3674" spans="1:6" x14ac:dyDescent="0.25">
      <c r="A3674" t="s">
        <v>1579</v>
      </c>
      <c r="B3674" t="s">
        <v>34</v>
      </c>
      <c r="C3674" t="s">
        <v>183</v>
      </c>
      <c r="D3674" t="s">
        <v>3217</v>
      </c>
      <c r="E3674">
        <v>0</v>
      </c>
      <c r="F3674">
        <v>169.2</v>
      </c>
    </row>
    <row r="3675" spans="1:6" x14ac:dyDescent="0.25">
      <c r="A3675" t="s">
        <v>1579</v>
      </c>
      <c r="B3675" t="s">
        <v>34</v>
      </c>
      <c r="C3675" t="s">
        <v>183</v>
      </c>
      <c r="D3675" t="s">
        <v>3218</v>
      </c>
      <c r="E3675">
        <v>14.93</v>
      </c>
      <c r="F3675">
        <v>169.73</v>
      </c>
    </row>
    <row r="3676" spans="1:6" x14ac:dyDescent="0.25">
      <c r="A3676" t="s">
        <v>1579</v>
      </c>
      <c r="B3676" t="s">
        <v>34</v>
      </c>
      <c r="C3676" t="s">
        <v>183</v>
      </c>
      <c r="D3676" t="s">
        <v>3219</v>
      </c>
      <c r="E3676">
        <v>27.41</v>
      </c>
      <c r="F3676">
        <v>169.64</v>
      </c>
    </row>
    <row r="3677" spans="1:6" x14ac:dyDescent="0.25">
      <c r="A3677" t="s">
        <v>1580</v>
      </c>
      <c r="B3677" t="s">
        <v>34</v>
      </c>
      <c r="C3677" t="s">
        <v>184</v>
      </c>
      <c r="D3677" t="s">
        <v>3217</v>
      </c>
      <c r="E3677">
        <v>0</v>
      </c>
      <c r="F3677">
        <v>168.4</v>
      </c>
    </row>
    <row r="3678" spans="1:6" x14ac:dyDescent="0.25">
      <c r="A3678" t="s">
        <v>1580</v>
      </c>
      <c r="B3678" t="s">
        <v>34</v>
      </c>
      <c r="C3678" t="s">
        <v>184</v>
      </c>
      <c r="D3678" t="s">
        <v>3218</v>
      </c>
      <c r="E3678">
        <v>15.48</v>
      </c>
      <c r="F3678">
        <v>169.02</v>
      </c>
    </row>
    <row r="3679" spans="1:6" x14ac:dyDescent="0.25">
      <c r="A3679" t="s">
        <v>1580</v>
      </c>
      <c r="B3679" t="s">
        <v>34</v>
      </c>
      <c r="C3679" t="s">
        <v>184</v>
      </c>
      <c r="D3679" t="s">
        <v>3219</v>
      </c>
      <c r="E3679">
        <v>28.76</v>
      </c>
      <c r="F3679">
        <v>168.85</v>
      </c>
    </row>
    <row r="3680" spans="1:6" x14ac:dyDescent="0.25">
      <c r="A3680" t="s">
        <v>1581</v>
      </c>
      <c r="B3680" t="s">
        <v>34</v>
      </c>
      <c r="C3680" t="s">
        <v>185</v>
      </c>
      <c r="D3680" t="s">
        <v>3217</v>
      </c>
      <c r="E3680">
        <v>0</v>
      </c>
      <c r="F3680">
        <v>167.4</v>
      </c>
    </row>
    <row r="3681" spans="1:6" x14ac:dyDescent="0.25">
      <c r="A3681" t="s">
        <v>1581</v>
      </c>
      <c r="B3681" t="s">
        <v>34</v>
      </c>
      <c r="C3681" t="s">
        <v>185</v>
      </c>
      <c r="D3681" t="s">
        <v>3218</v>
      </c>
      <c r="E3681">
        <v>15.92</v>
      </c>
      <c r="F3681">
        <v>168.07</v>
      </c>
    </row>
    <row r="3682" spans="1:6" x14ac:dyDescent="0.25">
      <c r="A3682" t="s">
        <v>1581</v>
      </c>
      <c r="B3682" t="s">
        <v>34</v>
      </c>
      <c r="C3682" t="s">
        <v>185</v>
      </c>
      <c r="D3682" t="s">
        <v>3219</v>
      </c>
      <c r="E3682">
        <v>30.76</v>
      </c>
      <c r="F3682">
        <v>167.74</v>
      </c>
    </row>
    <row r="3683" spans="1:6" x14ac:dyDescent="0.25">
      <c r="A3683" t="s">
        <v>1582</v>
      </c>
      <c r="B3683" t="s">
        <v>34</v>
      </c>
      <c r="C3683" t="s">
        <v>186</v>
      </c>
      <c r="D3683" t="s">
        <v>3217</v>
      </c>
      <c r="E3683">
        <v>0</v>
      </c>
      <c r="F3683">
        <v>166.52</v>
      </c>
    </row>
    <row r="3684" spans="1:6" x14ac:dyDescent="0.25">
      <c r="A3684" t="s">
        <v>1582</v>
      </c>
      <c r="B3684" t="s">
        <v>34</v>
      </c>
      <c r="C3684" t="s">
        <v>186</v>
      </c>
      <c r="D3684" t="s">
        <v>3218</v>
      </c>
      <c r="E3684">
        <v>15.92</v>
      </c>
      <c r="F3684">
        <v>166.9</v>
      </c>
    </row>
    <row r="3685" spans="1:6" x14ac:dyDescent="0.25">
      <c r="A3685" t="s">
        <v>1582</v>
      </c>
      <c r="B3685" t="s">
        <v>34</v>
      </c>
      <c r="C3685" t="s">
        <v>186</v>
      </c>
      <c r="D3685" t="s">
        <v>3219</v>
      </c>
      <c r="E3685">
        <v>29.46</v>
      </c>
      <c r="F3685">
        <v>166.56</v>
      </c>
    </row>
    <row r="3686" spans="1:6" x14ac:dyDescent="0.25">
      <c r="A3686" t="s">
        <v>1583</v>
      </c>
      <c r="B3686" t="s">
        <v>34</v>
      </c>
      <c r="C3686" t="s">
        <v>187</v>
      </c>
      <c r="D3686" t="s">
        <v>3217</v>
      </c>
      <c r="E3686">
        <v>0</v>
      </c>
      <c r="F3686">
        <v>165.44</v>
      </c>
    </row>
    <row r="3687" spans="1:6" x14ac:dyDescent="0.25">
      <c r="A3687" t="s">
        <v>1583</v>
      </c>
      <c r="B3687" t="s">
        <v>34</v>
      </c>
      <c r="C3687" t="s">
        <v>187</v>
      </c>
      <c r="D3687" t="s">
        <v>3218</v>
      </c>
      <c r="E3687">
        <v>17.25</v>
      </c>
      <c r="F3687">
        <v>165.86</v>
      </c>
    </row>
    <row r="3688" spans="1:6" x14ac:dyDescent="0.25">
      <c r="A3688" t="s">
        <v>1583</v>
      </c>
      <c r="B3688" t="s">
        <v>34</v>
      </c>
      <c r="C3688" t="s">
        <v>187</v>
      </c>
      <c r="D3688" t="s">
        <v>3219</v>
      </c>
      <c r="E3688">
        <v>34.92</v>
      </c>
      <c r="F3688">
        <v>165.27</v>
      </c>
    </row>
    <row r="3689" spans="1:6" x14ac:dyDescent="0.25">
      <c r="A3689" t="s">
        <v>1584</v>
      </c>
      <c r="B3689" t="s">
        <v>34</v>
      </c>
      <c r="C3689" t="s">
        <v>188</v>
      </c>
      <c r="D3689" t="s">
        <v>3217</v>
      </c>
      <c r="E3689">
        <v>0</v>
      </c>
      <c r="F3689">
        <v>164.5</v>
      </c>
    </row>
    <row r="3690" spans="1:6" x14ac:dyDescent="0.25">
      <c r="A3690" t="s">
        <v>1584</v>
      </c>
      <c r="B3690" t="s">
        <v>34</v>
      </c>
      <c r="C3690" t="s">
        <v>188</v>
      </c>
      <c r="D3690" t="s">
        <v>3218</v>
      </c>
      <c r="E3690">
        <v>17.829999999999998</v>
      </c>
      <c r="F3690">
        <v>164.83</v>
      </c>
    </row>
    <row r="3691" spans="1:6" x14ac:dyDescent="0.25">
      <c r="A3691" t="s">
        <v>1584</v>
      </c>
      <c r="B3691" t="s">
        <v>34</v>
      </c>
      <c r="C3691" t="s">
        <v>188</v>
      </c>
      <c r="D3691" t="s">
        <v>3219</v>
      </c>
      <c r="E3691">
        <v>37.83</v>
      </c>
      <c r="F3691">
        <v>164.22</v>
      </c>
    </row>
    <row r="3692" spans="1:6" x14ac:dyDescent="0.25">
      <c r="A3692" t="s">
        <v>1585</v>
      </c>
      <c r="B3692" t="s">
        <v>34</v>
      </c>
      <c r="C3692" t="s">
        <v>189</v>
      </c>
      <c r="D3692" t="s">
        <v>3217</v>
      </c>
      <c r="E3692">
        <v>0</v>
      </c>
      <c r="F3692">
        <v>163.96</v>
      </c>
    </row>
    <row r="3693" spans="1:6" x14ac:dyDescent="0.25">
      <c r="A3693" t="s">
        <v>1585</v>
      </c>
      <c r="B3693" t="s">
        <v>34</v>
      </c>
      <c r="C3693" t="s">
        <v>189</v>
      </c>
      <c r="D3693" t="s">
        <v>3218</v>
      </c>
      <c r="E3693">
        <v>20</v>
      </c>
      <c r="F3693">
        <v>163.63999999999999</v>
      </c>
    </row>
    <row r="3694" spans="1:6" x14ac:dyDescent="0.25">
      <c r="A3694" t="s">
        <v>1585</v>
      </c>
      <c r="B3694" t="s">
        <v>34</v>
      </c>
      <c r="C3694" t="s">
        <v>189</v>
      </c>
      <c r="D3694" t="s">
        <v>3219</v>
      </c>
      <c r="E3694">
        <v>40</v>
      </c>
      <c r="F3694">
        <v>163.49</v>
      </c>
    </row>
    <row r="3695" spans="1:6" x14ac:dyDescent="0.25">
      <c r="A3695" t="s">
        <v>1586</v>
      </c>
      <c r="B3695" t="s">
        <v>34</v>
      </c>
      <c r="C3695" t="s">
        <v>190</v>
      </c>
      <c r="D3695" t="s">
        <v>3217</v>
      </c>
      <c r="E3695">
        <v>0</v>
      </c>
      <c r="F3695">
        <v>162.97999999999999</v>
      </c>
    </row>
    <row r="3696" spans="1:6" x14ac:dyDescent="0.25">
      <c r="A3696" t="s">
        <v>1586</v>
      </c>
      <c r="B3696" t="s">
        <v>34</v>
      </c>
      <c r="C3696" t="s">
        <v>190</v>
      </c>
      <c r="D3696" t="s">
        <v>3218</v>
      </c>
      <c r="E3696">
        <v>20</v>
      </c>
      <c r="F3696">
        <v>163.18</v>
      </c>
    </row>
    <row r="3697" spans="1:6" x14ac:dyDescent="0.25">
      <c r="A3697" t="s">
        <v>1586</v>
      </c>
      <c r="B3697" t="s">
        <v>34</v>
      </c>
      <c r="C3697" t="s">
        <v>190</v>
      </c>
      <c r="D3697" t="s">
        <v>3219</v>
      </c>
      <c r="E3697">
        <v>40</v>
      </c>
      <c r="F3697">
        <v>162.77000000000001</v>
      </c>
    </row>
    <row r="3698" spans="1:6" x14ac:dyDescent="0.25">
      <c r="A3698" t="s">
        <v>1587</v>
      </c>
      <c r="B3698" t="s">
        <v>34</v>
      </c>
      <c r="C3698" t="s">
        <v>191</v>
      </c>
      <c r="D3698" t="s">
        <v>3217</v>
      </c>
      <c r="E3698">
        <v>0</v>
      </c>
      <c r="F3698">
        <v>162.38999999999999</v>
      </c>
    </row>
    <row r="3699" spans="1:6" x14ac:dyDescent="0.25">
      <c r="A3699" t="s">
        <v>1587</v>
      </c>
      <c r="B3699" t="s">
        <v>34</v>
      </c>
      <c r="C3699" t="s">
        <v>191</v>
      </c>
      <c r="D3699" t="s">
        <v>3218</v>
      </c>
      <c r="E3699">
        <v>20</v>
      </c>
      <c r="F3699">
        <v>162.16999999999999</v>
      </c>
    </row>
    <row r="3700" spans="1:6" x14ac:dyDescent="0.25">
      <c r="A3700" t="s">
        <v>1587</v>
      </c>
      <c r="B3700" t="s">
        <v>34</v>
      </c>
      <c r="C3700" t="s">
        <v>191</v>
      </c>
      <c r="D3700" t="s">
        <v>3219</v>
      </c>
      <c r="E3700">
        <v>40</v>
      </c>
      <c r="F3700">
        <v>161.56</v>
      </c>
    </row>
    <row r="3701" spans="1:6" x14ac:dyDescent="0.25">
      <c r="A3701" t="s">
        <v>1588</v>
      </c>
      <c r="B3701" t="s">
        <v>34</v>
      </c>
      <c r="C3701" t="s">
        <v>192</v>
      </c>
      <c r="D3701" t="s">
        <v>3217</v>
      </c>
      <c r="E3701">
        <v>0</v>
      </c>
      <c r="F3701">
        <v>161.43</v>
      </c>
    </row>
    <row r="3702" spans="1:6" x14ac:dyDescent="0.25">
      <c r="A3702" t="s">
        <v>1588</v>
      </c>
      <c r="B3702" t="s">
        <v>34</v>
      </c>
      <c r="C3702" t="s">
        <v>192</v>
      </c>
      <c r="D3702" t="s">
        <v>3218</v>
      </c>
      <c r="E3702">
        <v>20</v>
      </c>
      <c r="F3702">
        <v>161.03</v>
      </c>
    </row>
    <row r="3703" spans="1:6" x14ac:dyDescent="0.25">
      <c r="A3703" t="s">
        <v>1588</v>
      </c>
      <c r="B3703" t="s">
        <v>34</v>
      </c>
      <c r="C3703" t="s">
        <v>192</v>
      </c>
      <c r="D3703" t="s">
        <v>3219</v>
      </c>
      <c r="E3703">
        <v>40</v>
      </c>
      <c r="F3703">
        <v>160.6</v>
      </c>
    </row>
    <row r="3704" spans="1:6" x14ac:dyDescent="0.25">
      <c r="A3704" t="s">
        <v>1589</v>
      </c>
      <c r="B3704" t="s">
        <v>34</v>
      </c>
      <c r="C3704" t="s">
        <v>193</v>
      </c>
      <c r="D3704" t="s">
        <v>3217</v>
      </c>
      <c r="E3704">
        <v>0</v>
      </c>
      <c r="F3704">
        <v>160.13</v>
      </c>
    </row>
    <row r="3705" spans="1:6" x14ac:dyDescent="0.25">
      <c r="A3705" t="s">
        <v>1589</v>
      </c>
      <c r="B3705" t="s">
        <v>34</v>
      </c>
      <c r="C3705" t="s">
        <v>193</v>
      </c>
      <c r="D3705" t="s">
        <v>3218</v>
      </c>
      <c r="E3705">
        <v>20</v>
      </c>
      <c r="F3705">
        <v>160.13999999999999</v>
      </c>
    </row>
    <row r="3706" spans="1:6" x14ac:dyDescent="0.25">
      <c r="A3706" t="s">
        <v>1589</v>
      </c>
      <c r="B3706" t="s">
        <v>34</v>
      </c>
      <c r="C3706" t="s">
        <v>193</v>
      </c>
      <c r="D3706" t="s">
        <v>3219</v>
      </c>
      <c r="E3706">
        <v>40</v>
      </c>
      <c r="F3706">
        <v>159.66999999999999</v>
      </c>
    </row>
    <row r="3707" spans="1:6" x14ac:dyDescent="0.25">
      <c r="A3707" t="s">
        <v>1590</v>
      </c>
      <c r="B3707" t="s">
        <v>34</v>
      </c>
      <c r="C3707" t="s">
        <v>194</v>
      </c>
      <c r="D3707" t="s">
        <v>3217</v>
      </c>
      <c r="E3707">
        <v>0</v>
      </c>
      <c r="F3707">
        <v>159.15</v>
      </c>
    </row>
    <row r="3708" spans="1:6" x14ac:dyDescent="0.25">
      <c r="A3708" t="s">
        <v>1590</v>
      </c>
      <c r="B3708" t="s">
        <v>34</v>
      </c>
      <c r="C3708" t="s">
        <v>194</v>
      </c>
      <c r="D3708" t="s">
        <v>3218</v>
      </c>
      <c r="E3708">
        <v>20</v>
      </c>
      <c r="F3708">
        <v>159.22</v>
      </c>
    </row>
    <row r="3709" spans="1:6" x14ac:dyDescent="0.25">
      <c r="A3709" t="s">
        <v>1590</v>
      </c>
      <c r="B3709" t="s">
        <v>34</v>
      </c>
      <c r="C3709" t="s">
        <v>194</v>
      </c>
      <c r="D3709" t="s">
        <v>3219</v>
      </c>
      <c r="E3709">
        <v>40</v>
      </c>
      <c r="F3709">
        <v>158.91</v>
      </c>
    </row>
    <row r="3710" spans="1:6" x14ac:dyDescent="0.25">
      <c r="A3710" t="s">
        <v>1591</v>
      </c>
      <c r="B3710" t="s">
        <v>34</v>
      </c>
      <c r="C3710" t="s">
        <v>195</v>
      </c>
      <c r="D3710" t="s">
        <v>3217</v>
      </c>
      <c r="E3710">
        <v>0</v>
      </c>
      <c r="F3710">
        <v>157.94</v>
      </c>
    </row>
    <row r="3711" spans="1:6" x14ac:dyDescent="0.25">
      <c r="A3711" t="s">
        <v>1591</v>
      </c>
      <c r="B3711" t="s">
        <v>34</v>
      </c>
      <c r="C3711" t="s">
        <v>195</v>
      </c>
      <c r="D3711" t="s">
        <v>3218</v>
      </c>
      <c r="E3711">
        <v>20</v>
      </c>
      <c r="F3711">
        <v>158.32</v>
      </c>
    </row>
    <row r="3712" spans="1:6" x14ac:dyDescent="0.25">
      <c r="A3712" t="s">
        <v>1591</v>
      </c>
      <c r="B3712" t="s">
        <v>34</v>
      </c>
      <c r="C3712" t="s">
        <v>195</v>
      </c>
      <c r="D3712" t="s">
        <v>3219</v>
      </c>
      <c r="E3712">
        <v>40</v>
      </c>
      <c r="F3712">
        <v>158.18</v>
      </c>
    </row>
    <row r="3713" spans="1:6" x14ac:dyDescent="0.25">
      <c r="A3713" t="s">
        <v>1592</v>
      </c>
      <c r="B3713" t="s">
        <v>34</v>
      </c>
      <c r="C3713" t="s">
        <v>196</v>
      </c>
      <c r="D3713" t="s">
        <v>3217</v>
      </c>
      <c r="E3713">
        <v>0</v>
      </c>
      <c r="F3713">
        <v>156.94999999999999</v>
      </c>
    </row>
    <row r="3714" spans="1:6" x14ac:dyDescent="0.25">
      <c r="A3714" t="s">
        <v>1592</v>
      </c>
      <c r="B3714" t="s">
        <v>34</v>
      </c>
      <c r="C3714" t="s">
        <v>196</v>
      </c>
      <c r="D3714" t="s">
        <v>3218</v>
      </c>
      <c r="E3714">
        <v>16.78</v>
      </c>
      <c r="F3714">
        <v>157.41999999999999</v>
      </c>
    </row>
    <row r="3715" spans="1:6" x14ac:dyDescent="0.25">
      <c r="A3715" t="s">
        <v>1592</v>
      </c>
      <c r="B3715" t="s">
        <v>34</v>
      </c>
      <c r="C3715" t="s">
        <v>196</v>
      </c>
      <c r="D3715" t="s">
        <v>3219</v>
      </c>
      <c r="E3715">
        <v>36.78</v>
      </c>
      <c r="F3715">
        <v>157.19</v>
      </c>
    </row>
    <row r="3716" spans="1:6" x14ac:dyDescent="0.25">
      <c r="A3716" t="s">
        <v>1593</v>
      </c>
      <c r="B3716" t="s">
        <v>34</v>
      </c>
      <c r="C3716" t="s">
        <v>197</v>
      </c>
      <c r="D3716" t="s">
        <v>3217</v>
      </c>
      <c r="E3716">
        <v>0</v>
      </c>
      <c r="F3716">
        <v>156.06</v>
      </c>
    </row>
    <row r="3717" spans="1:6" x14ac:dyDescent="0.25">
      <c r="A3717" t="s">
        <v>1593</v>
      </c>
      <c r="B3717" t="s">
        <v>34</v>
      </c>
      <c r="C3717" t="s">
        <v>197</v>
      </c>
      <c r="D3717" t="s">
        <v>3218</v>
      </c>
      <c r="E3717">
        <v>16.89</v>
      </c>
      <c r="F3717">
        <v>156.53</v>
      </c>
    </row>
    <row r="3718" spans="1:6" x14ac:dyDescent="0.25">
      <c r="A3718" t="s">
        <v>1593</v>
      </c>
      <c r="B3718" t="s">
        <v>34</v>
      </c>
      <c r="C3718" t="s">
        <v>197</v>
      </c>
      <c r="D3718" t="s">
        <v>3219</v>
      </c>
      <c r="E3718">
        <v>35.4</v>
      </c>
      <c r="F3718">
        <v>156.11000000000001</v>
      </c>
    </row>
    <row r="3719" spans="1:6" x14ac:dyDescent="0.25">
      <c r="A3719" t="s">
        <v>1594</v>
      </c>
      <c r="B3719" t="s">
        <v>34</v>
      </c>
      <c r="C3719" t="s">
        <v>198</v>
      </c>
      <c r="D3719" t="s">
        <v>3217</v>
      </c>
      <c r="E3719">
        <v>0</v>
      </c>
      <c r="F3719">
        <v>155.16</v>
      </c>
    </row>
    <row r="3720" spans="1:6" x14ac:dyDescent="0.25">
      <c r="A3720" t="s">
        <v>1594</v>
      </c>
      <c r="B3720" t="s">
        <v>34</v>
      </c>
      <c r="C3720" t="s">
        <v>198</v>
      </c>
      <c r="D3720" t="s">
        <v>3218</v>
      </c>
      <c r="E3720">
        <v>17.28</v>
      </c>
      <c r="F3720">
        <v>155.55000000000001</v>
      </c>
    </row>
    <row r="3721" spans="1:6" x14ac:dyDescent="0.25">
      <c r="A3721" t="s">
        <v>1594</v>
      </c>
      <c r="B3721" t="s">
        <v>34</v>
      </c>
      <c r="C3721" t="s">
        <v>198</v>
      </c>
      <c r="D3721" t="s">
        <v>3219</v>
      </c>
      <c r="E3721">
        <v>37.28</v>
      </c>
      <c r="F3721">
        <v>155.13999999999999</v>
      </c>
    </row>
    <row r="3722" spans="1:6" x14ac:dyDescent="0.25">
      <c r="A3722" t="s">
        <v>1595</v>
      </c>
      <c r="B3722" t="s">
        <v>34</v>
      </c>
      <c r="C3722" t="s">
        <v>199</v>
      </c>
      <c r="D3722" t="s">
        <v>3217</v>
      </c>
      <c r="E3722">
        <v>0</v>
      </c>
      <c r="F3722">
        <v>154.22999999999999</v>
      </c>
    </row>
    <row r="3723" spans="1:6" x14ac:dyDescent="0.25">
      <c r="A3723" t="s">
        <v>1595</v>
      </c>
      <c r="B3723" t="s">
        <v>34</v>
      </c>
      <c r="C3723" t="s">
        <v>199</v>
      </c>
      <c r="D3723" t="s">
        <v>3218</v>
      </c>
      <c r="E3723">
        <v>17.32</v>
      </c>
      <c r="F3723">
        <v>154.55000000000001</v>
      </c>
    </row>
    <row r="3724" spans="1:6" x14ac:dyDescent="0.25">
      <c r="A3724" t="s">
        <v>1595</v>
      </c>
      <c r="B3724" t="s">
        <v>34</v>
      </c>
      <c r="C3724" t="s">
        <v>199</v>
      </c>
      <c r="D3724" t="s">
        <v>3219</v>
      </c>
      <c r="E3724">
        <v>37.32</v>
      </c>
      <c r="F3724">
        <v>154.38999999999999</v>
      </c>
    </row>
    <row r="3725" spans="1:6" x14ac:dyDescent="0.25">
      <c r="A3725" t="s">
        <v>1596</v>
      </c>
      <c r="B3725" t="s">
        <v>34</v>
      </c>
      <c r="C3725" t="s">
        <v>200</v>
      </c>
      <c r="D3725" t="s">
        <v>3217</v>
      </c>
      <c r="E3725">
        <v>0</v>
      </c>
      <c r="F3725">
        <v>153.35</v>
      </c>
    </row>
    <row r="3726" spans="1:6" x14ac:dyDescent="0.25">
      <c r="A3726" t="s">
        <v>1596</v>
      </c>
      <c r="B3726" t="s">
        <v>34</v>
      </c>
      <c r="C3726" t="s">
        <v>200</v>
      </c>
      <c r="D3726" t="s">
        <v>3218</v>
      </c>
      <c r="E3726">
        <v>16.54</v>
      </c>
      <c r="F3726">
        <v>153.75</v>
      </c>
    </row>
    <row r="3727" spans="1:6" x14ac:dyDescent="0.25">
      <c r="A3727" t="s">
        <v>1596</v>
      </c>
      <c r="B3727" t="s">
        <v>34</v>
      </c>
      <c r="C3727" t="s">
        <v>200</v>
      </c>
      <c r="D3727" t="s">
        <v>3219</v>
      </c>
      <c r="E3727">
        <v>36.54</v>
      </c>
      <c r="F3727">
        <v>153.44</v>
      </c>
    </row>
    <row r="3728" spans="1:6" x14ac:dyDescent="0.25">
      <c r="A3728" t="s">
        <v>1597</v>
      </c>
      <c r="B3728" t="s">
        <v>34</v>
      </c>
      <c r="C3728" t="s">
        <v>201</v>
      </c>
      <c r="D3728" t="s">
        <v>3217</v>
      </c>
      <c r="E3728">
        <v>0</v>
      </c>
      <c r="F3728">
        <v>152.54</v>
      </c>
    </row>
    <row r="3729" spans="1:6" x14ac:dyDescent="0.25">
      <c r="A3729" t="s">
        <v>1597</v>
      </c>
      <c r="B3729" t="s">
        <v>34</v>
      </c>
      <c r="C3729" t="s">
        <v>201</v>
      </c>
      <c r="D3729" t="s">
        <v>3218</v>
      </c>
      <c r="E3729">
        <v>20</v>
      </c>
      <c r="F3729">
        <v>153.05000000000001</v>
      </c>
    </row>
    <row r="3730" spans="1:6" x14ac:dyDescent="0.25">
      <c r="A3730" t="s">
        <v>1597</v>
      </c>
      <c r="B3730" t="s">
        <v>34</v>
      </c>
      <c r="C3730" t="s">
        <v>201</v>
      </c>
      <c r="D3730" t="s">
        <v>3219</v>
      </c>
      <c r="E3730">
        <v>40</v>
      </c>
      <c r="F3730">
        <v>152.68</v>
      </c>
    </row>
    <row r="3731" spans="1:6" x14ac:dyDescent="0.25">
      <c r="A3731" t="s">
        <v>1598</v>
      </c>
      <c r="B3731" t="s">
        <v>34</v>
      </c>
      <c r="C3731" t="s">
        <v>202</v>
      </c>
      <c r="D3731" t="s">
        <v>3217</v>
      </c>
      <c r="E3731">
        <v>0</v>
      </c>
      <c r="F3731">
        <v>151.79</v>
      </c>
    </row>
    <row r="3732" spans="1:6" x14ac:dyDescent="0.25">
      <c r="A3732" t="s">
        <v>1598</v>
      </c>
      <c r="B3732" t="s">
        <v>34</v>
      </c>
      <c r="C3732" t="s">
        <v>202</v>
      </c>
      <c r="D3732" t="s">
        <v>3218</v>
      </c>
      <c r="E3732">
        <v>20</v>
      </c>
      <c r="F3732">
        <v>152.15</v>
      </c>
    </row>
    <row r="3733" spans="1:6" x14ac:dyDescent="0.25">
      <c r="A3733" t="s">
        <v>1598</v>
      </c>
      <c r="B3733" t="s">
        <v>34</v>
      </c>
      <c r="C3733" t="s">
        <v>202</v>
      </c>
      <c r="D3733" t="s">
        <v>3219</v>
      </c>
      <c r="E3733">
        <v>40</v>
      </c>
      <c r="F3733">
        <v>151.72</v>
      </c>
    </row>
    <row r="3734" spans="1:6" x14ac:dyDescent="0.25">
      <c r="A3734" t="s">
        <v>1599</v>
      </c>
      <c r="B3734" t="s">
        <v>34</v>
      </c>
      <c r="C3734" t="s">
        <v>234</v>
      </c>
      <c r="D3734" t="s">
        <v>3217</v>
      </c>
      <c r="E3734">
        <v>0</v>
      </c>
      <c r="F3734">
        <v>151.59</v>
      </c>
    </row>
    <row r="3735" spans="1:6" x14ac:dyDescent="0.25">
      <c r="A3735" t="s">
        <v>1599</v>
      </c>
      <c r="B3735" t="s">
        <v>34</v>
      </c>
      <c r="C3735" t="s">
        <v>234</v>
      </c>
      <c r="D3735" t="s">
        <v>3218</v>
      </c>
      <c r="E3735">
        <v>20</v>
      </c>
      <c r="F3735">
        <v>151.97999999999999</v>
      </c>
    </row>
    <row r="3736" spans="1:6" x14ac:dyDescent="0.25">
      <c r="A3736" t="s">
        <v>1599</v>
      </c>
      <c r="B3736" t="s">
        <v>34</v>
      </c>
      <c r="C3736" t="s">
        <v>234</v>
      </c>
      <c r="D3736" t="s">
        <v>3219</v>
      </c>
      <c r="E3736">
        <v>40</v>
      </c>
      <c r="F3736">
        <v>151.38</v>
      </c>
    </row>
    <row r="3737" spans="1:6" x14ac:dyDescent="0.25">
      <c r="A3737" t="s">
        <v>1600</v>
      </c>
      <c r="B3737" t="s">
        <v>35</v>
      </c>
      <c r="C3737" t="s">
        <v>56</v>
      </c>
      <c r="D3737" t="s">
        <v>3217</v>
      </c>
      <c r="E3737">
        <v>0</v>
      </c>
      <c r="F3737">
        <v>168.63</v>
      </c>
    </row>
    <row r="3738" spans="1:6" x14ac:dyDescent="0.25">
      <c r="A3738" t="s">
        <v>1600</v>
      </c>
      <c r="B3738" t="s">
        <v>35</v>
      </c>
      <c r="C3738" t="s">
        <v>56</v>
      </c>
      <c r="D3738" t="s">
        <v>3218</v>
      </c>
      <c r="E3738">
        <v>20</v>
      </c>
      <c r="F3738">
        <v>168.43</v>
      </c>
    </row>
    <row r="3739" spans="1:6" x14ac:dyDescent="0.25">
      <c r="A3739" t="s">
        <v>1600</v>
      </c>
      <c r="B3739" t="s">
        <v>35</v>
      </c>
      <c r="C3739" t="s">
        <v>56</v>
      </c>
      <c r="D3739" t="s">
        <v>3219</v>
      </c>
      <c r="E3739">
        <v>40</v>
      </c>
      <c r="F3739">
        <v>168.26</v>
      </c>
    </row>
    <row r="3740" spans="1:6" x14ac:dyDescent="0.25">
      <c r="A3740" t="s">
        <v>1601</v>
      </c>
      <c r="B3740" t="s">
        <v>35</v>
      </c>
      <c r="C3740" t="s">
        <v>57</v>
      </c>
      <c r="D3740" t="s">
        <v>3217</v>
      </c>
      <c r="E3740">
        <v>0</v>
      </c>
      <c r="F3740">
        <v>166.25</v>
      </c>
    </row>
    <row r="3741" spans="1:6" x14ac:dyDescent="0.25">
      <c r="A3741" t="s">
        <v>1601</v>
      </c>
      <c r="B3741" t="s">
        <v>35</v>
      </c>
      <c r="C3741" t="s">
        <v>57</v>
      </c>
      <c r="D3741" t="s">
        <v>3218</v>
      </c>
      <c r="E3741">
        <v>11.25</v>
      </c>
      <c r="F3741">
        <v>166.34</v>
      </c>
    </row>
    <row r="3742" spans="1:6" x14ac:dyDescent="0.25">
      <c r="A3742" t="s">
        <v>1601</v>
      </c>
      <c r="B3742" t="s">
        <v>35</v>
      </c>
      <c r="C3742" t="s">
        <v>57</v>
      </c>
      <c r="D3742" t="s">
        <v>3219</v>
      </c>
      <c r="E3742">
        <v>31.25</v>
      </c>
      <c r="F3742">
        <v>166.52</v>
      </c>
    </row>
    <row r="3743" spans="1:6" x14ac:dyDescent="0.25">
      <c r="A3743" t="s">
        <v>1602</v>
      </c>
      <c r="B3743" t="s">
        <v>35</v>
      </c>
      <c r="C3743" t="s">
        <v>58</v>
      </c>
      <c r="D3743" t="s">
        <v>3217</v>
      </c>
      <c r="E3743">
        <v>0</v>
      </c>
      <c r="F3743">
        <v>164.48</v>
      </c>
    </row>
    <row r="3744" spans="1:6" x14ac:dyDescent="0.25">
      <c r="A3744" t="s">
        <v>1602</v>
      </c>
      <c r="B3744" t="s">
        <v>35</v>
      </c>
      <c r="C3744" t="s">
        <v>58</v>
      </c>
      <c r="D3744" t="s">
        <v>3218</v>
      </c>
      <c r="E3744">
        <v>10</v>
      </c>
      <c r="F3744">
        <v>164.3</v>
      </c>
    </row>
    <row r="3745" spans="1:6" x14ac:dyDescent="0.25">
      <c r="A3745" t="s">
        <v>1602</v>
      </c>
      <c r="B3745" t="s">
        <v>35</v>
      </c>
      <c r="C3745" t="s">
        <v>58</v>
      </c>
      <c r="D3745" t="s">
        <v>3219</v>
      </c>
      <c r="E3745">
        <v>30</v>
      </c>
      <c r="F3745">
        <v>165</v>
      </c>
    </row>
    <row r="3746" spans="1:6" x14ac:dyDescent="0.25">
      <c r="A3746" t="s">
        <v>1603</v>
      </c>
      <c r="B3746" t="s">
        <v>35</v>
      </c>
      <c r="C3746" t="s">
        <v>59</v>
      </c>
      <c r="D3746" t="s">
        <v>3217</v>
      </c>
      <c r="E3746">
        <v>0</v>
      </c>
      <c r="F3746">
        <v>162.96</v>
      </c>
    </row>
    <row r="3747" spans="1:6" x14ac:dyDescent="0.25">
      <c r="A3747" t="s">
        <v>1603</v>
      </c>
      <c r="B3747" t="s">
        <v>35</v>
      </c>
      <c r="C3747" t="s">
        <v>59</v>
      </c>
      <c r="D3747" t="s">
        <v>3218</v>
      </c>
      <c r="E3747">
        <v>11.25</v>
      </c>
      <c r="F3747">
        <v>162.99</v>
      </c>
    </row>
    <row r="3748" spans="1:6" x14ac:dyDescent="0.25">
      <c r="A3748" t="s">
        <v>1603</v>
      </c>
      <c r="B3748" t="s">
        <v>35</v>
      </c>
      <c r="C3748" t="s">
        <v>59</v>
      </c>
      <c r="D3748" t="s">
        <v>3219</v>
      </c>
      <c r="E3748">
        <v>26.67</v>
      </c>
      <c r="F3748">
        <v>163.62</v>
      </c>
    </row>
    <row r="3749" spans="1:6" x14ac:dyDescent="0.25">
      <c r="A3749" t="s">
        <v>1604</v>
      </c>
      <c r="B3749" t="s">
        <v>35</v>
      </c>
      <c r="C3749" t="s">
        <v>60</v>
      </c>
      <c r="D3749" t="s">
        <v>3217</v>
      </c>
      <c r="E3749">
        <v>0</v>
      </c>
      <c r="F3749">
        <v>161.80000000000001</v>
      </c>
    </row>
    <row r="3750" spans="1:6" x14ac:dyDescent="0.25">
      <c r="A3750" t="s">
        <v>1604</v>
      </c>
      <c r="B3750" t="s">
        <v>35</v>
      </c>
      <c r="C3750" t="s">
        <v>60</v>
      </c>
      <c r="D3750" t="s">
        <v>3218</v>
      </c>
      <c r="E3750">
        <v>11.46</v>
      </c>
      <c r="F3750">
        <v>162.29</v>
      </c>
    </row>
    <row r="3751" spans="1:6" x14ac:dyDescent="0.25">
      <c r="A3751" t="s">
        <v>1604</v>
      </c>
      <c r="B3751" t="s">
        <v>35</v>
      </c>
      <c r="C3751" t="s">
        <v>60</v>
      </c>
      <c r="D3751" t="s">
        <v>3219</v>
      </c>
      <c r="E3751">
        <v>26.88</v>
      </c>
      <c r="F3751">
        <v>162.16999999999999</v>
      </c>
    </row>
    <row r="3752" spans="1:6" x14ac:dyDescent="0.25">
      <c r="A3752" t="s">
        <v>1605</v>
      </c>
      <c r="B3752" t="s">
        <v>35</v>
      </c>
      <c r="C3752" t="s">
        <v>61</v>
      </c>
      <c r="D3752" t="s">
        <v>3217</v>
      </c>
      <c r="E3752">
        <v>0</v>
      </c>
      <c r="F3752">
        <v>161.01</v>
      </c>
    </row>
    <row r="3753" spans="1:6" x14ac:dyDescent="0.25">
      <c r="A3753" t="s">
        <v>1605</v>
      </c>
      <c r="B3753" t="s">
        <v>35</v>
      </c>
      <c r="C3753" t="s">
        <v>61</v>
      </c>
      <c r="D3753" t="s">
        <v>3218</v>
      </c>
      <c r="E3753">
        <v>12.48</v>
      </c>
      <c r="F3753">
        <v>161.12</v>
      </c>
    </row>
    <row r="3754" spans="1:6" x14ac:dyDescent="0.25">
      <c r="A3754" t="s">
        <v>1605</v>
      </c>
      <c r="B3754" t="s">
        <v>35</v>
      </c>
      <c r="C3754" t="s">
        <v>61</v>
      </c>
      <c r="D3754" t="s">
        <v>3219</v>
      </c>
      <c r="E3754">
        <v>26.7</v>
      </c>
      <c r="F3754">
        <v>160.91999999999999</v>
      </c>
    </row>
    <row r="3755" spans="1:6" x14ac:dyDescent="0.25">
      <c r="A3755" t="s">
        <v>1606</v>
      </c>
      <c r="B3755" t="s">
        <v>35</v>
      </c>
      <c r="C3755" t="s">
        <v>62</v>
      </c>
      <c r="D3755" t="s">
        <v>3217</v>
      </c>
      <c r="E3755">
        <v>0</v>
      </c>
      <c r="F3755">
        <v>159.97999999999999</v>
      </c>
    </row>
    <row r="3756" spans="1:6" x14ac:dyDescent="0.25">
      <c r="A3756" t="s">
        <v>1606</v>
      </c>
      <c r="B3756" t="s">
        <v>35</v>
      </c>
      <c r="C3756" t="s">
        <v>62</v>
      </c>
      <c r="D3756" t="s">
        <v>3218</v>
      </c>
      <c r="E3756">
        <v>16</v>
      </c>
      <c r="F3756">
        <v>160.15</v>
      </c>
    </row>
    <row r="3757" spans="1:6" x14ac:dyDescent="0.25">
      <c r="A3757" t="s">
        <v>1606</v>
      </c>
      <c r="B3757" t="s">
        <v>35</v>
      </c>
      <c r="C3757" t="s">
        <v>62</v>
      </c>
      <c r="D3757" t="s">
        <v>3219</v>
      </c>
      <c r="E3757">
        <v>33.67</v>
      </c>
      <c r="F3757">
        <v>160.08000000000001</v>
      </c>
    </row>
    <row r="3758" spans="1:6" x14ac:dyDescent="0.25">
      <c r="A3758" t="s">
        <v>1607</v>
      </c>
      <c r="B3758" t="s">
        <v>35</v>
      </c>
      <c r="C3758" t="s">
        <v>63</v>
      </c>
      <c r="D3758" t="s">
        <v>3217</v>
      </c>
      <c r="E3758">
        <v>0</v>
      </c>
      <c r="F3758">
        <v>158.84</v>
      </c>
    </row>
    <row r="3759" spans="1:6" x14ac:dyDescent="0.25">
      <c r="A3759" t="s">
        <v>1607</v>
      </c>
      <c r="B3759" t="s">
        <v>35</v>
      </c>
      <c r="C3759" t="s">
        <v>63</v>
      </c>
      <c r="D3759" t="s">
        <v>3218</v>
      </c>
      <c r="E3759">
        <v>16.88</v>
      </c>
      <c r="F3759">
        <v>159.38999999999999</v>
      </c>
    </row>
    <row r="3760" spans="1:6" x14ac:dyDescent="0.25">
      <c r="A3760" t="s">
        <v>1607</v>
      </c>
      <c r="B3760" t="s">
        <v>35</v>
      </c>
      <c r="C3760" t="s">
        <v>63</v>
      </c>
      <c r="D3760" t="s">
        <v>3219</v>
      </c>
      <c r="E3760">
        <v>34.549999999999997</v>
      </c>
      <c r="F3760">
        <v>159.75</v>
      </c>
    </row>
    <row r="3761" spans="1:6" x14ac:dyDescent="0.25">
      <c r="A3761" t="s">
        <v>1608</v>
      </c>
      <c r="B3761" t="s">
        <v>35</v>
      </c>
      <c r="C3761" t="s">
        <v>64</v>
      </c>
      <c r="D3761" t="s">
        <v>3217</v>
      </c>
      <c r="E3761">
        <v>0</v>
      </c>
      <c r="F3761">
        <v>158.57</v>
      </c>
    </row>
    <row r="3762" spans="1:6" x14ac:dyDescent="0.25">
      <c r="A3762" t="s">
        <v>1608</v>
      </c>
      <c r="B3762" t="s">
        <v>35</v>
      </c>
      <c r="C3762" t="s">
        <v>64</v>
      </c>
      <c r="D3762" t="s">
        <v>3218</v>
      </c>
      <c r="E3762">
        <v>16.88</v>
      </c>
      <c r="F3762">
        <v>159.35</v>
      </c>
    </row>
    <row r="3763" spans="1:6" x14ac:dyDescent="0.25">
      <c r="A3763" t="s">
        <v>1608</v>
      </c>
      <c r="B3763" t="s">
        <v>35</v>
      </c>
      <c r="C3763" t="s">
        <v>64</v>
      </c>
      <c r="D3763" t="s">
        <v>3219</v>
      </c>
      <c r="E3763">
        <v>34.549999999999997</v>
      </c>
      <c r="F3763">
        <v>159.66999999999999</v>
      </c>
    </row>
    <row r="3764" spans="1:6" x14ac:dyDescent="0.25">
      <c r="A3764" t="s">
        <v>1609</v>
      </c>
      <c r="B3764" t="s">
        <v>35</v>
      </c>
      <c r="C3764" t="s">
        <v>65</v>
      </c>
      <c r="D3764" t="s">
        <v>3217</v>
      </c>
      <c r="E3764">
        <v>0</v>
      </c>
      <c r="F3764">
        <v>159.01</v>
      </c>
    </row>
    <row r="3765" spans="1:6" x14ac:dyDescent="0.25">
      <c r="A3765" t="s">
        <v>1609</v>
      </c>
      <c r="B3765" t="s">
        <v>35</v>
      </c>
      <c r="C3765" t="s">
        <v>65</v>
      </c>
      <c r="D3765" t="s">
        <v>3218</v>
      </c>
      <c r="E3765">
        <v>16.88</v>
      </c>
      <c r="F3765">
        <v>159.54</v>
      </c>
    </row>
    <row r="3766" spans="1:6" x14ac:dyDescent="0.25">
      <c r="A3766" t="s">
        <v>1609</v>
      </c>
      <c r="B3766" t="s">
        <v>35</v>
      </c>
      <c r="C3766" t="s">
        <v>65</v>
      </c>
      <c r="D3766" t="s">
        <v>3219</v>
      </c>
      <c r="E3766">
        <v>33.950000000000003</v>
      </c>
      <c r="F3766">
        <v>160.05000000000001</v>
      </c>
    </row>
    <row r="3767" spans="1:6" x14ac:dyDescent="0.25">
      <c r="A3767" t="s">
        <v>1610</v>
      </c>
      <c r="B3767" t="s">
        <v>35</v>
      </c>
      <c r="C3767" t="s">
        <v>66</v>
      </c>
      <c r="D3767" t="s">
        <v>3217</v>
      </c>
      <c r="E3767">
        <v>0</v>
      </c>
      <c r="F3767">
        <v>159.94</v>
      </c>
    </row>
    <row r="3768" spans="1:6" x14ac:dyDescent="0.25">
      <c r="A3768" t="s">
        <v>1610</v>
      </c>
      <c r="B3768" t="s">
        <v>35</v>
      </c>
      <c r="C3768" t="s">
        <v>66</v>
      </c>
      <c r="D3768" t="s">
        <v>3218</v>
      </c>
      <c r="E3768">
        <v>16.88</v>
      </c>
      <c r="F3768">
        <v>159.57</v>
      </c>
    </row>
    <row r="3769" spans="1:6" x14ac:dyDescent="0.25">
      <c r="A3769" t="s">
        <v>1610</v>
      </c>
      <c r="B3769" t="s">
        <v>35</v>
      </c>
      <c r="C3769" t="s">
        <v>66</v>
      </c>
      <c r="D3769" t="s">
        <v>3219</v>
      </c>
      <c r="E3769">
        <v>33.06</v>
      </c>
      <c r="F3769">
        <v>160.06</v>
      </c>
    </row>
    <row r="3770" spans="1:6" x14ac:dyDescent="0.25">
      <c r="A3770" t="s">
        <v>1611</v>
      </c>
      <c r="B3770" t="s">
        <v>35</v>
      </c>
      <c r="C3770" t="s">
        <v>67</v>
      </c>
      <c r="D3770" t="s">
        <v>3217</v>
      </c>
      <c r="E3770">
        <v>0</v>
      </c>
      <c r="F3770">
        <v>160.91999999999999</v>
      </c>
    </row>
    <row r="3771" spans="1:6" x14ac:dyDescent="0.25">
      <c r="A3771" t="s">
        <v>1611</v>
      </c>
      <c r="B3771" t="s">
        <v>35</v>
      </c>
      <c r="C3771" t="s">
        <v>67</v>
      </c>
      <c r="D3771" t="s">
        <v>3218</v>
      </c>
      <c r="E3771">
        <v>16.88</v>
      </c>
      <c r="F3771">
        <v>159.97</v>
      </c>
    </row>
    <row r="3772" spans="1:6" x14ac:dyDescent="0.25">
      <c r="A3772" t="s">
        <v>1611</v>
      </c>
      <c r="B3772" t="s">
        <v>35</v>
      </c>
      <c r="C3772" t="s">
        <v>67</v>
      </c>
      <c r="D3772" t="s">
        <v>3219</v>
      </c>
      <c r="E3772">
        <v>31.01</v>
      </c>
      <c r="F3772">
        <v>159.82</v>
      </c>
    </row>
    <row r="3773" spans="1:6" x14ac:dyDescent="0.25">
      <c r="A3773" t="s">
        <v>1612</v>
      </c>
      <c r="B3773" t="s">
        <v>35</v>
      </c>
      <c r="C3773" t="s">
        <v>68</v>
      </c>
      <c r="D3773" t="s">
        <v>3217</v>
      </c>
      <c r="E3773">
        <v>0</v>
      </c>
      <c r="F3773">
        <v>159.41999999999999</v>
      </c>
    </row>
    <row r="3774" spans="1:6" x14ac:dyDescent="0.25">
      <c r="A3774" t="s">
        <v>1612</v>
      </c>
      <c r="B3774" t="s">
        <v>35</v>
      </c>
      <c r="C3774" t="s">
        <v>68</v>
      </c>
      <c r="D3774" t="s">
        <v>3218</v>
      </c>
      <c r="E3774">
        <v>20</v>
      </c>
      <c r="F3774">
        <v>159.99</v>
      </c>
    </row>
    <row r="3775" spans="1:6" x14ac:dyDescent="0.25">
      <c r="A3775" t="s">
        <v>1612</v>
      </c>
      <c r="B3775" t="s">
        <v>35</v>
      </c>
      <c r="C3775" t="s">
        <v>68</v>
      </c>
      <c r="D3775" t="s">
        <v>3219</v>
      </c>
      <c r="E3775">
        <v>34.28</v>
      </c>
      <c r="F3775">
        <v>159.94999999999999</v>
      </c>
    </row>
    <row r="3776" spans="1:6" x14ac:dyDescent="0.25">
      <c r="A3776" t="s">
        <v>1613</v>
      </c>
      <c r="B3776" t="s">
        <v>35</v>
      </c>
      <c r="C3776" t="s">
        <v>69</v>
      </c>
      <c r="D3776" t="s">
        <v>3217</v>
      </c>
      <c r="E3776">
        <v>0</v>
      </c>
      <c r="F3776">
        <v>159.47</v>
      </c>
    </row>
    <row r="3777" spans="1:6" x14ac:dyDescent="0.25">
      <c r="A3777" t="s">
        <v>1613</v>
      </c>
      <c r="B3777" t="s">
        <v>35</v>
      </c>
      <c r="C3777" t="s">
        <v>69</v>
      </c>
      <c r="D3777" t="s">
        <v>3218</v>
      </c>
      <c r="E3777">
        <v>20</v>
      </c>
      <c r="F3777">
        <v>160.16999999999999</v>
      </c>
    </row>
    <row r="3778" spans="1:6" x14ac:dyDescent="0.25">
      <c r="A3778" t="s">
        <v>1613</v>
      </c>
      <c r="B3778" t="s">
        <v>35</v>
      </c>
      <c r="C3778" t="s">
        <v>69</v>
      </c>
      <c r="D3778" t="s">
        <v>3219</v>
      </c>
      <c r="E3778">
        <v>35.79</v>
      </c>
      <c r="F3778">
        <v>160.38</v>
      </c>
    </row>
    <row r="3779" spans="1:6" x14ac:dyDescent="0.25">
      <c r="A3779" t="s">
        <v>1614</v>
      </c>
      <c r="B3779" t="s">
        <v>35</v>
      </c>
      <c r="C3779" t="s">
        <v>70</v>
      </c>
      <c r="D3779" t="s">
        <v>3217</v>
      </c>
      <c r="E3779">
        <v>0</v>
      </c>
      <c r="F3779">
        <v>159.69999999999999</v>
      </c>
    </row>
    <row r="3780" spans="1:6" x14ac:dyDescent="0.25">
      <c r="A3780" t="s">
        <v>1614</v>
      </c>
      <c r="B3780" t="s">
        <v>35</v>
      </c>
      <c r="C3780" t="s">
        <v>70</v>
      </c>
      <c r="D3780" t="s">
        <v>3218</v>
      </c>
      <c r="E3780">
        <v>20</v>
      </c>
      <c r="F3780">
        <v>160.29</v>
      </c>
    </row>
    <row r="3781" spans="1:6" x14ac:dyDescent="0.25">
      <c r="A3781" t="s">
        <v>1614</v>
      </c>
      <c r="B3781" t="s">
        <v>35</v>
      </c>
      <c r="C3781" t="s">
        <v>70</v>
      </c>
      <c r="D3781" t="s">
        <v>3219</v>
      </c>
      <c r="E3781">
        <v>35.79</v>
      </c>
      <c r="F3781">
        <v>159.97</v>
      </c>
    </row>
    <row r="3782" spans="1:6" x14ac:dyDescent="0.25">
      <c r="A3782" t="s">
        <v>1615</v>
      </c>
      <c r="B3782" t="s">
        <v>35</v>
      </c>
      <c r="C3782" t="s">
        <v>71</v>
      </c>
      <c r="D3782" t="s">
        <v>3217</v>
      </c>
      <c r="E3782">
        <v>0</v>
      </c>
      <c r="F3782">
        <v>159.88999999999999</v>
      </c>
    </row>
    <row r="3783" spans="1:6" x14ac:dyDescent="0.25">
      <c r="A3783" t="s">
        <v>1615</v>
      </c>
      <c r="B3783" t="s">
        <v>35</v>
      </c>
      <c r="C3783" t="s">
        <v>71</v>
      </c>
      <c r="D3783" t="s">
        <v>3218</v>
      </c>
      <c r="E3783">
        <v>20</v>
      </c>
      <c r="F3783">
        <v>159.88</v>
      </c>
    </row>
    <row r="3784" spans="1:6" x14ac:dyDescent="0.25">
      <c r="A3784" t="s">
        <v>1615</v>
      </c>
      <c r="B3784" t="s">
        <v>35</v>
      </c>
      <c r="C3784" t="s">
        <v>71</v>
      </c>
      <c r="D3784" t="s">
        <v>3219</v>
      </c>
      <c r="E3784">
        <v>35.79</v>
      </c>
      <c r="F3784">
        <v>159.71</v>
      </c>
    </row>
    <row r="3785" spans="1:6" x14ac:dyDescent="0.25">
      <c r="A3785" t="s">
        <v>1616</v>
      </c>
      <c r="B3785" t="s">
        <v>35</v>
      </c>
      <c r="C3785" t="s">
        <v>72</v>
      </c>
      <c r="D3785" t="s">
        <v>3217</v>
      </c>
      <c r="E3785">
        <v>0</v>
      </c>
      <c r="F3785">
        <v>159.80000000000001</v>
      </c>
    </row>
    <row r="3786" spans="1:6" x14ac:dyDescent="0.25">
      <c r="A3786" t="s">
        <v>1616</v>
      </c>
      <c r="B3786" t="s">
        <v>35</v>
      </c>
      <c r="C3786" t="s">
        <v>72</v>
      </c>
      <c r="D3786" t="s">
        <v>3218</v>
      </c>
      <c r="E3786">
        <v>18.440000000000001</v>
      </c>
      <c r="F3786">
        <v>159.58000000000001</v>
      </c>
    </row>
    <row r="3787" spans="1:6" x14ac:dyDescent="0.25">
      <c r="A3787" t="s">
        <v>1616</v>
      </c>
      <c r="B3787" t="s">
        <v>35</v>
      </c>
      <c r="C3787" t="s">
        <v>72</v>
      </c>
      <c r="D3787" t="s">
        <v>3219</v>
      </c>
      <c r="E3787">
        <v>34.94</v>
      </c>
      <c r="F3787">
        <v>159.47999999999999</v>
      </c>
    </row>
    <row r="3788" spans="1:6" x14ac:dyDescent="0.25">
      <c r="A3788" t="s">
        <v>1617</v>
      </c>
      <c r="B3788" t="s">
        <v>35</v>
      </c>
      <c r="C3788" t="s">
        <v>73</v>
      </c>
      <c r="D3788" t="s">
        <v>3217</v>
      </c>
      <c r="E3788">
        <v>0</v>
      </c>
      <c r="F3788">
        <v>159.79</v>
      </c>
    </row>
    <row r="3789" spans="1:6" x14ac:dyDescent="0.25">
      <c r="A3789" t="s">
        <v>1617</v>
      </c>
      <c r="B3789" t="s">
        <v>35</v>
      </c>
      <c r="C3789" t="s">
        <v>73</v>
      </c>
      <c r="D3789" t="s">
        <v>3218</v>
      </c>
      <c r="E3789">
        <v>17.989999999999998</v>
      </c>
      <c r="F3789">
        <v>159.58000000000001</v>
      </c>
    </row>
    <row r="3790" spans="1:6" x14ac:dyDescent="0.25">
      <c r="A3790" t="s">
        <v>1617</v>
      </c>
      <c r="B3790" t="s">
        <v>35</v>
      </c>
      <c r="C3790" t="s">
        <v>73</v>
      </c>
      <c r="D3790" t="s">
        <v>3219</v>
      </c>
      <c r="E3790">
        <v>35.020000000000003</v>
      </c>
      <c r="F3790">
        <v>159.22</v>
      </c>
    </row>
    <row r="3791" spans="1:6" x14ac:dyDescent="0.25">
      <c r="A3791" t="s">
        <v>1618</v>
      </c>
      <c r="B3791" t="s">
        <v>35</v>
      </c>
      <c r="C3791" t="s">
        <v>74</v>
      </c>
      <c r="D3791" t="s">
        <v>3217</v>
      </c>
      <c r="E3791">
        <v>0</v>
      </c>
      <c r="F3791">
        <v>159.63999999999999</v>
      </c>
    </row>
    <row r="3792" spans="1:6" x14ac:dyDescent="0.25">
      <c r="A3792" t="s">
        <v>1618</v>
      </c>
      <c r="B3792" t="s">
        <v>35</v>
      </c>
      <c r="C3792" t="s">
        <v>74</v>
      </c>
      <c r="D3792" t="s">
        <v>3218</v>
      </c>
      <c r="E3792">
        <v>17.39</v>
      </c>
      <c r="F3792">
        <v>159.31</v>
      </c>
    </row>
    <row r="3793" spans="1:6" x14ac:dyDescent="0.25">
      <c r="A3793" t="s">
        <v>1618</v>
      </c>
      <c r="B3793" t="s">
        <v>35</v>
      </c>
      <c r="C3793" t="s">
        <v>74</v>
      </c>
      <c r="D3793" t="s">
        <v>3219</v>
      </c>
      <c r="E3793">
        <v>35.130000000000003</v>
      </c>
      <c r="F3793">
        <v>158.94</v>
      </c>
    </row>
    <row r="3794" spans="1:6" x14ac:dyDescent="0.25">
      <c r="A3794" t="s">
        <v>1619</v>
      </c>
      <c r="B3794" t="s">
        <v>35</v>
      </c>
      <c r="C3794" t="s">
        <v>75</v>
      </c>
      <c r="D3794" t="s">
        <v>3217</v>
      </c>
      <c r="E3794">
        <v>0</v>
      </c>
      <c r="F3794">
        <v>159.4</v>
      </c>
    </row>
    <row r="3795" spans="1:6" x14ac:dyDescent="0.25">
      <c r="A3795" t="s">
        <v>1619</v>
      </c>
      <c r="B3795" t="s">
        <v>35</v>
      </c>
      <c r="C3795" t="s">
        <v>75</v>
      </c>
      <c r="D3795" t="s">
        <v>3218</v>
      </c>
      <c r="E3795">
        <v>17.420000000000002</v>
      </c>
      <c r="F3795">
        <v>158.94999999999999</v>
      </c>
    </row>
    <row r="3796" spans="1:6" x14ac:dyDescent="0.25">
      <c r="A3796" t="s">
        <v>1619</v>
      </c>
      <c r="B3796" t="s">
        <v>35</v>
      </c>
      <c r="C3796" t="s">
        <v>75</v>
      </c>
      <c r="D3796" t="s">
        <v>3219</v>
      </c>
      <c r="E3796">
        <v>33.26</v>
      </c>
      <c r="F3796">
        <v>158.55000000000001</v>
      </c>
    </row>
    <row r="3797" spans="1:6" x14ac:dyDescent="0.25">
      <c r="A3797" t="s">
        <v>1620</v>
      </c>
      <c r="B3797" t="s">
        <v>35</v>
      </c>
      <c r="C3797" t="s">
        <v>76</v>
      </c>
      <c r="D3797" t="s">
        <v>3217</v>
      </c>
      <c r="E3797">
        <v>0</v>
      </c>
      <c r="F3797">
        <v>159.22999999999999</v>
      </c>
    </row>
    <row r="3798" spans="1:6" x14ac:dyDescent="0.25">
      <c r="A3798" t="s">
        <v>1620</v>
      </c>
      <c r="B3798" t="s">
        <v>35</v>
      </c>
      <c r="C3798" t="s">
        <v>76</v>
      </c>
      <c r="D3798" t="s">
        <v>3218</v>
      </c>
      <c r="E3798">
        <v>16.96</v>
      </c>
      <c r="F3798">
        <v>158.66999999999999</v>
      </c>
    </row>
    <row r="3799" spans="1:6" x14ac:dyDescent="0.25">
      <c r="A3799" t="s">
        <v>1620</v>
      </c>
      <c r="B3799" t="s">
        <v>35</v>
      </c>
      <c r="C3799" t="s">
        <v>76</v>
      </c>
      <c r="D3799" t="s">
        <v>3219</v>
      </c>
      <c r="E3799">
        <v>32.340000000000003</v>
      </c>
      <c r="F3799">
        <v>158.34</v>
      </c>
    </row>
    <row r="3800" spans="1:6" x14ac:dyDescent="0.25">
      <c r="A3800" t="s">
        <v>1621</v>
      </c>
      <c r="B3800" t="s">
        <v>35</v>
      </c>
      <c r="C3800" t="s">
        <v>77</v>
      </c>
      <c r="D3800" t="s">
        <v>3217</v>
      </c>
      <c r="E3800">
        <v>0</v>
      </c>
      <c r="F3800">
        <v>158.88999999999999</v>
      </c>
    </row>
    <row r="3801" spans="1:6" x14ac:dyDescent="0.25">
      <c r="A3801" t="s">
        <v>1621</v>
      </c>
      <c r="B3801" t="s">
        <v>35</v>
      </c>
      <c r="C3801" t="s">
        <v>77</v>
      </c>
      <c r="D3801" t="s">
        <v>3218</v>
      </c>
      <c r="E3801">
        <v>16.27</v>
      </c>
      <c r="F3801">
        <v>158.38999999999999</v>
      </c>
    </row>
    <row r="3802" spans="1:6" x14ac:dyDescent="0.25">
      <c r="A3802" t="s">
        <v>1621</v>
      </c>
      <c r="B3802" t="s">
        <v>35</v>
      </c>
      <c r="C3802" t="s">
        <v>77</v>
      </c>
      <c r="D3802" t="s">
        <v>3219</v>
      </c>
      <c r="E3802">
        <v>30.65</v>
      </c>
      <c r="F3802">
        <v>158.04</v>
      </c>
    </row>
    <row r="3803" spans="1:6" x14ac:dyDescent="0.25">
      <c r="A3803" t="s">
        <v>1622</v>
      </c>
      <c r="B3803" t="s">
        <v>35</v>
      </c>
      <c r="C3803" t="s">
        <v>78</v>
      </c>
      <c r="D3803" t="s">
        <v>3217</v>
      </c>
      <c r="E3803">
        <v>0</v>
      </c>
      <c r="F3803">
        <v>158.47</v>
      </c>
    </row>
    <row r="3804" spans="1:6" x14ac:dyDescent="0.25">
      <c r="A3804" t="s">
        <v>1622</v>
      </c>
      <c r="B3804" t="s">
        <v>35</v>
      </c>
      <c r="C3804" t="s">
        <v>78</v>
      </c>
      <c r="D3804" t="s">
        <v>3218</v>
      </c>
      <c r="E3804">
        <v>15.66</v>
      </c>
      <c r="F3804">
        <v>157.94</v>
      </c>
    </row>
    <row r="3805" spans="1:6" x14ac:dyDescent="0.25">
      <c r="A3805" t="s">
        <v>1622</v>
      </c>
      <c r="B3805" t="s">
        <v>35</v>
      </c>
      <c r="C3805" t="s">
        <v>78</v>
      </c>
      <c r="D3805" t="s">
        <v>3219</v>
      </c>
      <c r="E3805">
        <v>31.03</v>
      </c>
      <c r="F3805">
        <v>157.55000000000001</v>
      </c>
    </row>
    <row r="3806" spans="1:6" x14ac:dyDescent="0.25">
      <c r="A3806" t="s">
        <v>1623</v>
      </c>
      <c r="B3806" t="s">
        <v>35</v>
      </c>
      <c r="C3806" t="s">
        <v>79</v>
      </c>
      <c r="D3806" t="s">
        <v>3217</v>
      </c>
      <c r="E3806">
        <v>0</v>
      </c>
      <c r="F3806">
        <v>157.62</v>
      </c>
    </row>
    <row r="3807" spans="1:6" x14ac:dyDescent="0.25">
      <c r="A3807" t="s">
        <v>1623</v>
      </c>
      <c r="B3807" t="s">
        <v>35</v>
      </c>
      <c r="C3807" t="s">
        <v>79</v>
      </c>
      <c r="D3807" t="s">
        <v>3218</v>
      </c>
      <c r="E3807">
        <v>15.69</v>
      </c>
      <c r="F3807">
        <v>157.36000000000001</v>
      </c>
    </row>
    <row r="3808" spans="1:6" x14ac:dyDescent="0.25">
      <c r="A3808" t="s">
        <v>1623</v>
      </c>
      <c r="B3808" t="s">
        <v>35</v>
      </c>
      <c r="C3808" t="s">
        <v>79</v>
      </c>
      <c r="D3808" t="s">
        <v>3219</v>
      </c>
      <c r="E3808">
        <v>30.73</v>
      </c>
      <c r="F3808">
        <v>156.91</v>
      </c>
    </row>
    <row r="3809" spans="1:6" x14ac:dyDescent="0.25">
      <c r="A3809" t="s">
        <v>1624</v>
      </c>
      <c r="B3809" t="s">
        <v>35</v>
      </c>
      <c r="C3809" t="s">
        <v>80</v>
      </c>
      <c r="D3809" t="s">
        <v>3217</v>
      </c>
      <c r="E3809">
        <v>0</v>
      </c>
      <c r="F3809">
        <v>156.41</v>
      </c>
    </row>
    <row r="3810" spans="1:6" x14ac:dyDescent="0.25">
      <c r="A3810" t="s">
        <v>1624</v>
      </c>
      <c r="B3810" t="s">
        <v>35</v>
      </c>
      <c r="C3810" t="s">
        <v>80</v>
      </c>
      <c r="D3810" t="s">
        <v>3218</v>
      </c>
      <c r="E3810">
        <v>15.69</v>
      </c>
      <c r="F3810">
        <v>156.18</v>
      </c>
    </row>
    <row r="3811" spans="1:6" x14ac:dyDescent="0.25">
      <c r="A3811" t="s">
        <v>1624</v>
      </c>
      <c r="B3811" t="s">
        <v>35</v>
      </c>
      <c r="C3811" t="s">
        <v>80</v>
      </c>
      <c r="D3811" t="s">
        <v>3219</v>
      </c>
      <c r="E3811">
        <v>31.37</v>
      </c>
      <c r="F3811">
        <v>155.87</v>
      </c>
    </row>
    <row r="3812" spans="1:6" x14ac:dyDescent="0.25">
      <c r="A3812" t="s">
        <v>1625</v>
      </c>
      <c r="B3812" t="s">
        <v>35</v>
      </c>
      <c r="C3812" t="s">
        <v>81</v>
      </c>
      <c r="D3812" t="s">
        <v>3217</v>
      </c>
      <c r="E3812">
        <v>0</v>
      </c>
      <c r="F3812">
        <v>155.11000000000001</v>
      </c>
    </row>
    <row r="3813" spans="1:6" x14ac:dyDescent="0.25">
      <c r="A3813" t="s">
        <v>1625</v>
      </c>
      <c r="B3813" t="s">
        <v>35</v>
      </c>
      <c r="C3813" t="s">
        <v>81</v>
      </c>
      <c r="D3813" t="s">
        <v>3218</v>
      </c>
      <c r="E3813">
        <v>15.25</v>
      </c>
      <c r="F3813">
        <v>154.94999999999999</v>
      </c>
    </row>
    <row r="3814" spans="1:6" x14ac:dyDescent="0.25">
      <c r="A3814" t="s">
        <v>1625</v>
      </c>
      <c r="B3814" t="s">
        <v>35</v>
      </c>
      <c r="C3814" t="s">
        <v>81</v>
      </c>
      <c r="D3814" t="s">
        <v>3219</v>
      </c>
      <c r="E3814">
        <v>30.58</v>
      </c>
      <c r="F3814">
        <v>154.75</v>
      </c>
    </row>
    <row r="3815" spans="1:6" x14ac:dyDescent="0.25">
      <c r="A3815" t="s">
        <v>1626</v>
      </c>
      <c r="B3815" t="s">
        <v>35</v>
      </c>
      <c r="C3815" t="s">
        <v>82</v>
      </c>
      <c r="D3815" t="s">
        <v>3217</v>
      </c>
      <c r="E3815">
        <v>0</v>
      </c>
      <c r="F3815">
        <v>153.69</v>
      </c>
    </row>
    <row r="3816" spans="1:6" x14ac:dyDescent="0.25">
      <c r="A3816" t="s">
        <v>1626</v>
      </c>
      <c r="B3816" t="s">
        <v>35</v>
      </c>
      <c r="C3816" t="s">
        <v>82</v>
      </c>
      <c r="D3816" t="s">
        <v>3218</v>
      </c>
      <c r="E3816">
        <v>16.059999999999999</v>
      </c>
      <c r="F3816">
        <v>153.6</v>
      </c>
    </row>
    <row r="3817" spans="1:6" x14ac:dyDescent="0.25">
      <c r="A3817" t="s">
        <v>1626</v>
      </c>
      <c r="B3817" t="s">
        <v>35</v>
      </c>
      <c r="C3817" t="s">
        <v>82</v>
      </c>
      <c r="D3817" t="s">
        <v>3219</v>
      </c>
      <c r="E3817">
        <v>31.39</v>
      </c>
      <c r="F3817">
        <v>153.53</v>
      </c>
    </row>
    <row r="3818" spans="1:6" x14ac:dyDescent="0.25">
      <c r="A3818" t="s">
        <v>1627</v>
      </c>
      <c r="B3818" t="s">
        <v>35</v>
      </c>
      <c r="C3818" t="s">
        <v>83</v>
      </c>
      <c r="D3818" t="s">
        <v>3217</v>
      </c>
      <c r="E3818">
        <v>0</v>
      </c>
      <c r="F3818">
        <v>152.46</v>
      </c>
    </row>
    <row r="3819" spans="1:6" x14ac:dyDescent="0.25">
      <c r="A3819" t="s">
        <v>1627</v>
      </c>
      <c r="B3819" t="s">
        <v>35</v>
      </c>
      <c r="C3819" t="s">
        <v>83</v>
      </c>
      <c r="D3819" t="s">
        <v>3218</v>
      </c>
      <c r="E3819">
        <v>15.89</v>
      </c>
      <c r="F3819">
        <v>152.34</v>
      </c>
    </row>
    <row r="3820" spans="1:6" x14ac:dyDescent="0.25">
      <c r="A3820" t="s">
        <v>1627</v>
      </c>
      <c r="B3820" t="s">
        <v>35</v>
      </c>
      <c r="C3820" t="s">
        <v>83</v>
      </c>
      <c r="D3820" t="s">
        <v>3219</v>
      </c>
      <c r="E3820">
        <v>30.88</v>
      </c>
      <c r="F3820">
        <v>152.13999999999999</v>
      </c>
    </row>
    <row r="3821" spans="1:6" x14ac:dyDescent="0.25">
      <c r="A3821" t="s">
        <v>1628</v>
      </c>
      <c r="B3821" t="s">
        <v>35</v>
      </c>
      <c r="C3821" t="s">
        <v>84</v>
      </c>
      <c r="D3821" t="s">
        <v>3217</v>
      </c>
      <c r="E3821">
        <v>0</v>
      </c>
      <c r="F3821">
        <v>150.91999999999999</v>
      </c>
    </row>
    <row r="3822" spans="1:6" x14ac:dyDescent="0.25">
      <c r="A3822" t="s">
        <v>1628</v>
      </c>
      <c r="B3822" t="s">
        <v>35</v>
      </c>
      <c r="C3822" t="s">
        <v>84</v>
      </c>
      <c r="D3822" t="s">
        <v>3218</v>
      </c>
      <c r="E3822">
        <v>14.51</v>
      </c>
      <c r="F3822">
        <v>150.9</v>
      </c>
    </row>
    <row r="3823" spans="1:6" x14ac:dyDescent="0.25">
      <c r="A3823" t="s">
        <v>1628</v>
      </c>
      <c r="B3823" t="s">
        <v>35</v>
      </c>
      <c r="C3823" t="s">
        <v>84</v>
      </c>
      <c r="D3823" t="s">
        <v>3219</v>
      </c>
      <c r="E3823">
        <v>30.56</v>
      </c>
      <c r="F3823">
        <v>150.82</v>
      </c>
    </row>
    <row r="3824" spans="1:6" x14ac:dyDescent="0.25">
      <c r="A3824" t="s">
        <v>1629</v>
      </c>
      <c r="B3824" t="s">
        <v>35</v>
      </c>
      <c r="C3824" t="s">
        <v>85</v>
      </c>
      <c r="D3824" t="s">
        <v>3217</v>
      </c>
      <c r="E3824">
        <v>0</v>
      </c>
      <c r="F3824">
        <v>149.30000000000001</v>
      </c>
    </row>
    <row r="3825" spans="1:6" x14ac:dyDescent="0.25">
      <c r="A3825" t="s">
        <v>1629</v>
      </c>
      <c r="B3825" t="s">
        <v>35</v>
      </c>
      <c r="C3825" t="s">
        <v>85</v>
      </c>
      <c r="D3825" t="s">
        <v>3218</v>
      </c>
      <c r="E3825">
        <v>14.25</v>
      </c>
      <c r="F3825">
        <v>149.34</v>
      </c>
    </row>
    <row r="3826" spans="1:6" x14ac:dyDescent="0.25">
      <c r="A3826" t="s">
        <v>1629</v>
      </c>
      <c r="B3826" t="s">
        <v>35</v>
      </c>
      <c r="C3826" t="s">
        <v>85</v>
      </c>
      <c r="D3826" t="s">
        <v>3219</v>
      </c>
      <c r="E3826">
        <v>31.42</v>
      </c>
      <c r="F3826">
        <v>149.41</v>
      </c>
    </row>
    <row r="3827" spans="1:6" x14ac:dyDescent="0.25">
      <c r="A3827" t="s">
        <v>1630</v>
      </c>
      <c r="B3827" t="s">
        <v>35</v>
      </c>
      <c r="C3827" t="s">
        <v>86</v>
      </c>
      <c r="D3827" t="s">
        <v>3217</v>
      </c>
      <c r="E3827">
        <v>0</v>
      </c>
      <c r="F3827">
        <v>147.81</v>
      </c>
    </row>
    <row r="3828" spans="1:6" x14ac:dyDescent="0.25">
      <c r="A3828" t="s">
        <v>1630</v>
      </c>
      <c r="B3828" t="s">
        <v>35</v>
      </c>
      <c r="C3828" t="s">
        <v>86</v>
      </c>
      <c r="D3828" t="s">
        <v>3218</v>
      </c>
      <c r="E3828">
        <v>14.87</v>
      </c>
      <c r="F3828">
        <v>148.05000000000001</v>
      </c>
    </row>
    <row r="3829" spans="1:6" x14ac:dyDescent="0.25">
      <c r="A3829" t="s">
        <v>1630</v>
      </c>
      <c r="B3829" t="s">
        <v>35</v>
      </c>
      <c r="C3829" t="s">
        <v>86</v>
      </c>
      <c r="D3829" t="s">
        <v>3219</v>
      </c>
      <c r="E3829">
        <v>32.22</v>
      </c>
      <c r="F3829">
        <v>148.25</v>
      </c>
    </row>
    <row r="3830" spans="1:6" x14ac:dyDescent="0.25">
      <c r="A3830" t="s">
        <v>1631</v>
      </c>
      <c r="B3830" t="s">
        <v>35</v>
      </c>
      <c r="C3830" t="s">
        <v>87</v>
      </c>
      <c r="D3830" t="s">
        <v>3217</v>
      </c>
      <c r="E3830">
        <v>0</v>
      </c>
      <c r="F3830">
        <v>146.54</v>
      </c>
    </row>
    <row r="3831" spans="1:6" x14ac:dyDescent="0.25">
      <c r="A3831" t="s">
        <v>1631</v>
      </c>
      <c r="B3831" t="s">
        <v>35</v>
      </c>
      <c r="C3831" t="s">
        <v>87</v>
      </c>
      <c r="D3831" t="s">
        <v>3218</v>
      </c>
      <c r="E3831">
        <v>14.87</v>
      </c>
      <c r="F3831">
        <v>146.75</v>
      </c>
    </row>
    <row r="3832" spans="1:6" x14ac:dyDescent="0.25">
      <c r="A3832" t="s">
        <v>1631</v>
      </c>
      <c r="B3832" t="s">
        <v>35</v>
      </c>
      <c r="C3832" t="s">
        <v>87</v>
      </c>
      <c r="D3832" t="s">
        <v>3219</v>
      </c>
      <c r="E3832">
        <v>32.86</v>
      </c>
      <c r="F3832">
        <v>146.80000000000001</v>
      </c>
    </row>
    <row r="3833" spans="1:6" x14ac:dyDescent="0.25">
      <c r="A3833" t="s">
        <v>1632</v>
      </c>
      <c r="B3833" t="s">
        <v>35</v>
      </c>
      <c r="C3833" t="s">
        <v>88</v>
      </c>
      <c r="D3833" t="s">
        <v>3217</v>
      </c>
      <c r="E3833">
        <v>0</v>
      </c>
      <c r="F3833">
        <v>145.44</v>
      </c>
    </row>
    <row r="3834" spans="1:6" x14ac:dyDescent="0.25">
      <c r="A3834" t="s">
        <v>1632</v>
      </c>
      <c r="B3834" t="s">
        <v>35</v>
      </c>
      <c r="C3834" t="s">
        <v>88</v>
      </c>
      <c r="D3834" t="s">
        <v>3218</v>
      </c>
      <c r="E3834">
        <v>15.25</v>
      </c>
      <c r="F3834">
        <v>145.37</v>
      </c>
    </row>
    <row r="3835" spans="1:6" x14ac:dyDescent="0.25">
      <c r="A3835" t="s">
        <v>1632</v>
      </c>
      <c r="B3835" t="s">
        <v>35</v>
      </c>
      <c r="C3835" t="s">
        <v>88</v>
      </c>
      <c r="D3835" t="s">
        <v>3219</v>
      </c>
      <c r="E3835">
        <v>33.06</v>
      </c>
      <c r="F3835">
        <v>145.35</v>
      </c>
    </row>
    <row r="3836" spans="1:6" x14ac:dyDescent="0.25">
      <c r="A3836" t="s">
        <v>1633</v>
      </c>
      <c r="B3836" t="s">
        <v>35</v>
      </c>
      <c r="C3836" t="s">
        <v>89</v>
      </c>
      <c r="D3836" t="s">
        <v>3217</v>
      </c>
      <c r="E3836">
        <v>0</v>
      </c>
      <c r="F3836">
        <v>144.32</v>
      </c>
    </row>
    <row r="3837" spans="1:6" x14ac:dyDescent="0.25">
      <c r="A3837" t="s">
        <v>1633</v>
      </c>
      <c r="B3837" t="s">
        <v>35</v>
      </c>
      <c r="C3837" t="s">
        <v>89</v>
      </c>
      <c r="D3837" t="s">
        <v>3218</v>
      </c>
      <c r="E3837">
        <v>16.13</v>
      </c>
      <c r="F3837">
        <v>144.15</v>
      </c>
    </row>
    <row r="3838" spans="1:6" x14ac:dyDescent="0.25">
      <c r="A3838" t="s">
        <v>1633</v>
      </c>
      <c r="B3838" t="s">
        <v>35</v>
      </c>
      <c r="C3838" t="s">
        <v>89</v>
      </c>
      <c r="D3838" t="s">
        <v>3219</v>
      </c>
      <c r="E3838">
        <v>32.590000000000003</v>
      </c>
      <c r="F3838">
        <v>144.03</v>
      </c>
    </row>
    <row r="3839" spans="1:6" x14ac:dyDescent="0.25">
      <c r="A3839" t="s">
        <v>1634</v>
      </c>
      <c r="B3839" t="s">
        <v>35</v>
      </c>
      <c r="C3839" t="s">
        <v>90</v>
      </c>
      <c r="D3839" t="s">
        <v>3217</v>
      </c>
      <c r="E3839">
        <v>0</v>
      </c>
      <c r="F3839">
        <v>143.06</v>
      </c>
    </row>
    <row r="3840" spans="1:6" x14ac:dyDescent="0.25">
      <c r="A3840" t="s">
        <v>1634</v>
      </c>
      <c r="B3840" t="s">
        <v>35</v>
      </c>
      <c r="C3840" t="s">
        <v>90</v>
      </c>
      <c r="D3840" t="s">
        <v>3218</v>
      </c>
      <c r="E3840">
        <v>15.66</v>
      </c>
      <c r="F3840">
        <v>143.03</v>
      </c>
    </row>
    <row r="3841" spans="1:6" x14ac:dyDescent="0.25">
      <c r="A3841" t="s">
        <v>1634</v>
      </c>
      <c r="B3841" t="s">
        <v>35</v>
      </c>
      <c r="C3841" t="s">
        <v>90</v>
      </c>
      <c r="D3841" t="s">
        <v>3219</v>
      </c>
      <c r="E3841">
        <v>30.52</v>
      </c>
      <c r="F3841">
        <v>142.94</v>
      </c>
    </row>
    <row r="3842" spans="1:6" x14ac:dyDescent="0.25">
      <c r="A3842" t="s">
        <v>1635</v>
      </c>
      <c r="B3842" t="s">
        <v>35</v>
      </c>
      <c r="C3842" t="s">
        <v>91</v>
      </c>
      <c r="D3842" t="s">
        <v>3217</v>
      </c>
      <c r="E3842">
        <v>0</v>
      </c>
      <c r="F3842">
        <v>141.94999999999999</v>
      </c>
    </row>
    <row r="3843" spans="1:6" x14ac:dyDescent="0.25">
      <c r="A3843" t="s">
        <v>1635</v>
      </c>
      <c r="B3843" t="s">
        <v>35</v>
      </c>
      <c r="C3843" t="s">
        <v>91</v>
      </c>
      <c r="D3843" t="s">
        <v>3218</v>
      </c>
      <c r="E3843">
        <v>14.98</v>
      </c>
      <c r="F3843">
        <v>142.1</v>
      </c>
    </row>
    <row r="3844" spans="1:6" x14ac:dyDescent="0.25">
      <c r="A3844" t="s">
        <v>1635</v>
      </c>
      <c r="B3844" t="s">
        <v>35</v>
      </c>
      <c r="C3844" t="s">
        <v>91</v>
      </c>
      <c r="D3844" t="s">
        <v>3219</v>
      </c>
      <c r="E3844">
        <v>27.7</v>
      </c>
      <c r="F3844">
        <v>141.94</v>
      </c>
    </row>
    <row r="3845" spans="1:6" x14ac:dyDescent="0.25">
      <c r="A3845" t="s">
        <v>1636</v>
      </c>
      <c r="B3845" t="s">
        <v>35</v>
      </c>
      <c r="C3845" t="s">
        <v>92</v>
      </c>
      <c r="D3845" t="s">
        <v>3217</v>
      </c>
      <c r="E3845">
        <v>0</v>
      </c>
      <c r="F3845">
        <v>141.27000000000001</v>
      </c>
    </row>
    <row r="3846" spans="1:6" x14ac:dyDescent="0.25">
      <c r="A3846" t="s">
        <v>1636</v>
      </c>
      <c r="B3846" t="s">
        <v>35</v>
      </c>
      <c r="C3846" t="s">
        <v>92</v>
      </c>
      <c r="D3846" t="s">
        <v>3218</v>
      </c>
      <c r="E3846">
        <v>14.37</v>
      </c>
      <c r="F3846">
        <v>141.37</v>
      </c>
    </row>
    <row r="3847" spans="1:6" x14ac:dyDescent="0.25">
      <c r="A3847" t="s">
        <v>1636</v>
      </c>
      <c r="B3847" t="s">
        <v>35</v>
      </c>
      <c r="C3847" t="s">
        <v>92</v>
      </c>
      <c r="D3847" t="s">
        <v>3219</v>
      </c>
      <c r="E3847">
        <v>26.33</v>
      </c>
      <c r="F3847">
        <v>141.01</v>
      </c>
    </row>
    <row r="3848" spans="1:6" x14ac:dyDescent="0.25">
      <c r="A3848" t="s">
        <v>1637</v>
      </c>
      <c r="B3848" t="s">
        <v>35</v>
      </c>
      <c r="C3848" t="s">
        <v>93</v>
      </c>
      <c r="D3848" t="s">
        <v>3217</v>
      </c>
      <c r="E3848">
        <v>0</v>
      </c>
      <c r="F3848">
        <v>140.47</v>
      </c>
    </row>
    <row r="3849" spans="1:6" x14ac:dyDescent="0.25">
      <c r="A3849" t="s">
        <v>1637</v>
      </c>
      <c r="B3849" t="s">
        <v>35</v>
      </c>
      <c r="C3849" t="s">
        <v>93</v>
      </c>
      <c r="D3849" t="s">
        <v>3218</v>
      </c>
      <c r="E3849">
        <v>14.24</v>
      </c>
      <c r="F3849">
        <v>140.59</v>
      </c>
    </row>
    <row r="3850" spans="1:6" x14ac:dyDescent="0.25">
      <c r="A3850" t="s">
        <v>1637</v>
      </c>
      <c r="B3850" t="s">
        <v>35</v>
      </c>
      <c r="C3850" t="s">
        <v>93</v>
      </c>
      <c r="D3850" t="s">
        <v>3219</v>
      </c>
      <c r="E3850">
        <v>26.12</v>
      </c>
      <c r="F3850">
        <v>140.1</v>
      </c>
    </row>
    <row r="3851" spans="1:6" x14ac:dyDescent="0.25">
      <c r="A3851" t="s">
        <v>1638</v>
      </c>
      <c r="B3851" t="s">
        <v>35</v>
      </c>
      <c r="C3851" t="s">
        <v>94</v>
      </c>
      <c r="D3851" t="s">
        <v>3217</v>
      </c>
      <c r="E3851">
        <v>0</v>
      </c>
      <c r="F3851">
        <v>139.91</v>
      </c>
    </row>
    <row r="3852" spans="1:6" x14ac:dyDescent="0.25">
      <c r="A3852" t="s">
        <v>1638</v>
      </c>
      <c r="B3852" t="s">
        <v>35</v>
      </c>
      <c r="C3852" t="s">
        <v>94</v>
      </c>
      <c r="D3852" t="s">
        <v>3218</v>
      </c>
      <c r="E3852">
        <v>12.35</v>
      </c>
      <c r="F3852">
        <v>140.09</v>
      </c>
    </row>
    <row r="3853" spans="1:6" x14ac:dyDescent="0.25">
      <c r="A3853" t="s">
        <v>1638</v>
      </c>
      <c r="B3853" t="s">
        <v>35</v>
      </c>
      <c r="C3853" t="s">
        <v>94</v>
      </c>
      <c r="D3853" t="s">
        <v>3219</v>
      </c>
      <c r="E3853">
        <v>24.46</v>
      </c>
      <c r="F3853">
        <v>139.6</v>
      </c>
    </row>
    <row r="3854" spans="1:6" x14ac:dyDescent="0.25">
      <c r="A3854" t="s">
        <v>1639</v>
      </c>
      <c r="B3854" t="s">
        <v>35</v>
      </c>
      <c r="C3854" t="s">
        <v>95</v>
      </c>
      <c r="D3854" t="s">
        <v>3217</v>
      </c>
      <c r="E3854">
        <v>0</v>
      </c>
      <c r="F3854">
        <v>139.43</v>
      </c>
    </row>
    <row r="3855" spans="1:6" x14ac:dyDescent="0.25">
      <c r="A3855" t="s">
        <v>1639</v>
      </c>
      <c r="B3855" t="s">
        <v>35</v>
      </c>
      <c r="C3855" t="s">
        <v>95</v>
      </c>
      <c r="D3855" t="s">
        <v>3218</v>
      </c>
      <c r="E3855">
        <v>12.63</v>
      </c>
      <c r="F3855">
        <v>139.44</v>
      </c>
    </row>
    <row r="3856" spans="1:6" x14ac:dyDescent="0.25">
      <c r="A3856" t="s">
        <v>1639</v>
      </c>
      <c r="B3856" t="s">
        <v>35</v>
      </c>
      <c r="C3856" t="s">
        <v>95</v>
      </c>
      <c r="D3856" t="s">
        <v>3219</v>
      </c>
      <c r="E3856">
        <v>25.03</v>
      </c>
      <c r="F3856">
        <v>138.97</v>
      </c>
    </row>
    <row r="3857" spans="1:6" x14ac:dyDescent="0.25">
      <c r="A3857" t="s">
        <v>1640</v>
      </c>
      <c r="B3857" t="s">
        <v>35</v>
      </c>
      <c r="C3857" t="s">
        <v>96</v>
      </c>
      <c r="D3857" t="s">
        <v>3217</v>
      </c>
      <c r="E3857">
        <v>0</v>
      </c>
      <c r="F3857">
        <v>138.74</v>
      </c>
    </row>
    <row r="3858" spans="1:6" x14ac:dyDescent="0.25">
      <c r="A3858" t="s">
        <v>1640</v>
      </c>
      <c r="B3858" t="s">
        <v>35</v>
      </c>
      <c r="C3858" t="s">
        <v>96</v>
      </c>
      <c r="D3858" t="s">
        <v>3218</v>
      </c>
      <c r="E3858">
        <v>13.68</v>
      </c>
      <c r="F3858">
        <v>138.82</v>
      </c>
    </row>
    <row r="3859" spans="1:6" x14ac:dyDescent="0.25">
      <c r="A3859" t="s">
        <v>1640</v>
      </c>
      <c r="B3859" t="s">
        <v>35</v>
      </c>
      <c r="C3859" t="s">
        <v>96</v>
      </c>
      <c r="D3859" t="s">
        <v>3219</v>
      </c>
      <c r="E3859">
        <v>24.94</v>
      </c>
      <c r="F3859">
        <v>138.66999999999999</v>
      </c>
    </row>
    <row r="3860" spans="1:6" x14ac:dyDescent="0.25">
      <c r="A3860" t="s">
        <v>1641</v>
      </c>
      <c r="B3860" t="s">
        <v>35</v>
      </c>
      <c r="C3860" t="s">
        <v>97</v>
      </c>
      <c r="D3860" t="s">
        <v>3217</v>
      </c>
      <c r="E3860">
        <v>0</v>
      </c>
      <c r="F3860">
        <v>138.41</v>
      </c>
    </row>
    <row r="3861" spans="1:6" x14ac:dyDescent="0.25">
      <c r="A3861" t="s">
        <v>1641</v>
      </c>
      <c r="B3861" t="s">
        <v>35</v>
      </c>
      <c r="C3861" t="s">
        <v>97</v>
      </c>
      <c r="D3861" t="s">
        <v>3218</v>
      </c>
      <c r="E3861">
        <v>17.84</v>
      </c>
      <c r="F3861">
        <v>138.44999999999999</v>
      </c>
    </row>
    <row r="3862" spans="1:6" x14ac:dyDescent="0.25">
      <c r="A3862" t="s">
        <v>1641</v>
      </c>
      <c r="B3862" t="s">
        <v>35</v>
      </c>
      <c r="C3862" t="s">
        <v>97</v>
      </c>
      <c r="D3862" t="s">
        <v>3219</v>
      </c>
      <c r="E3862">
        <v>30.06</v>
      </c>
      <c r="F3862">
        <v>138.38</v>
      </c>
    </row>
    <row r="3863" spans="1:6" x14ac:dyDescent="0.25">
      <c r="A3863" t="s">
        <v>1642</v>
      </c>
      <c r="B3863" t="s">
        <v>35</v>
      </c>
      <c r="C3863" t="s">
        <v>98</v>
      </c>
      <c r="D3863" t="s">
        <v>3217</v>
      </c>
      <c r="E3863">
        <v>0</v>
      </c>
      <c r="F3863">
        <v>138.21</v>
      </c>
    </row>
    <row r="3864" spans="1:6" x14ac:dyDescent="0.25">
      <c r="A3864" t="s">
        <v>1642</v>
      </c>
      <c r="B3864" t="s">
        <v>35</v>
      </c>
      <c r="C3864" t="s">
        <v>98</v>
      </c>
      <c r="D3864" t="s">
        <v>3218</v>
      </c>
      <c r="E3864">
        <v>20</v>
      </c>
      <c r="F3864">
        <v>138.35</v>
      </c>
    </row>
    <row r="3865" spans="1:6" x14ac:dyDescent="0.25">
      <c r="A3865" t="s">
        <v>1642</v>
      </c>
      <c r="B3865" t="s">
        <v>35</v>
      </c>
      <c r="C3865" t="s">
        <v>98</v>
      </c>
      <c r="D3865" t="s">
        <v>3219</v>
      </c>
      <c r="E3865">
        <v>33.93</v>
      </c>
      <c r="F3865">
        <v>138.31</v>
      </c>
    </row>
    <row r="3866" spans="1:6" x14ac:dyDescent="0.25">
      <c r="A3866" t="s">
        <v>1643</v>
      </c>
      <c r="B3866" t="s">
        <v>35</v>
      </c>
      <c r="C3866" t="s">
        <v>99</v>
      </c>
      <c r="D3866" t="s">
        <v>3217</v>
      </c>
      <c r="E3866">
        <v>0</v>
      </c>
      <c r="F3866">
        <v>137.77000000000001</v>
      </c>
    </row>
    <row r="3867" spans="1:6" x14ac:dyDescent="0.25">
      <c r="A3867" t="s">
        <v>1643</v>
      </c>
      <c r="B3867" t="s">
        <v>35</v>
      </c>
      <c r="C3867" t="s">
        <v>99</v>
      </c>
      <c r="D3867" t="s">
        <v>3218</v>
      </c>
      <c r="E3867">
        <v>20</v>
      </c>
      <c r="F3867">
        <v>138.13</v>
      </c>
    </row>
    <row r="3868" spans="1:6" x14ac:dyDescent="0.25">
      <c r="A3868" t="s">
        <v>1643</v>
      </c>
      <c r="B3868" t="s">
        <v>35</v>
      </c>
      <c r="C3868" t="s">
        <v>99</v>
      </c>
      <c r="D3868" t="s">
        <v>3219</v>
      </c>
      <c r="E3868">
        <v>36.5</v>
      </c>
      <c r="F3868">
        <v>138.07</v>
      </c>
    </row>
    <row r="3869" spans="1:6" x14ac:dyDescent="0.25">
      <c r="A3869" t="s">
        <v>1644</v>
      </c>
      <c r="B3869" t="s">
        <v>35</v>
      </c>
      <c r="C3869" t="s">
        <v>235</v>
      </c>
      <c r="D3869" t="s">
        <v>3217</v>
      </c>
      <c r="E3869">
        <v>0</v>
      </c>
      <c r="F3869">
        <v>137.91999999999999</v>
      </c>
    </row>
    <row r="3870" spans="1:6" x14ac:dyDescent="0.25">
      <c r="A3870" t="s">
        <v>1644</v>
      </c>
      <c r="B3870" t="s">
        <v>35</v>
      </c>
      <c r="C3870" t="s">
        <v>235</v>
      </c>
      <c r="D3870" t="s">
        <v>3218</v>
      </c>
      <c r="E3870">
        <v>20</v>
      </c>
      <c r="F3870">
        <v>138.01</v>
      </c>
    </row>
    <row r="3871" spans="1:6" x14ac:dyDescent="0.25">
      <c r="A3871" t="s">
        <v>1644</v>
      </c>
      <c r="B3871" t="s">
        <v>35</v>
      </c>
      <c r="C3871" t="s">
        <v>235</v>
      </c>
      <c r="D3871" t="s">
        <v>3219</v>
      </c>
      <c r="E3871">
        <v>37.590000000000003</v>
      </c>
      <c r="F3871">
        <v>138.09</v>
      </c>
    </row>
    <row r="3872" spans="1:6" x14ac:dyDescent="0.25">
      <c r="A3872" t="s">
        <v>1645</v>
      </c>
      <c r="B3872" t="s">
        <v>36</v>
      </c>
      <c r="C3872" t="s">
        <v>56</v>
      </c>
      <c r="D3872" t="s">
        <v>3217</v>
      </c>
      <c r="E3872">
        <v>0</v>
      </c>
      <c r="F3872">
        <v>138.13999999999999</v>
      </c>
    </row>
    <row r="3873" spans="1:6" x14ac:dyDescent="0.25">
      <c r="A3873" t="s">
        <v>1645</v>
      </c>
      <c r="B3873" t="s">
        <v>36</v>
      </c>
      <c r="C3873" t="s">
        <v>56</v>
      </c>
      <c r="D3873" t="s">
        <v>3218</v>
      </c>
      <c r="E3873">
        <v>20</v>
      </c>
      <c r="F3873">
        <v>137.93</v>
      </c>
    </row>
    <row r="3874" spans="1:6" x14ac:dyDescent="0.25">
      <c r="A3874" t="s">
        <v>1645</v>
      </c>
      <c r="B3874" t="s">
        <v>36</v>
      </c>
      <c r="C3874" t="s">
        <v>56</v>
      </c>
      <c r="D3874" t="s">
        <v>3219</v>
      </c>
      <c r="E3874">
        <v>37.590000000000003</v>
      </c>
      <c r="F3874">
        <v>137.69</v>
      </c>
    </row>
    <row r="3875" spans="1:6" x14ac:dyDescent="0.25">
      <c r="A3875" t="s">
        <v>1646</v>
      </c>
      <c r="B3875" t="s">
        <v>36</v>
      </c>
      <c r="C3875" t="s">
        <v>57</v>
      </c>
      <c r="D3875" t="s">
        <v>3217</v>
      </c>
      <c r="E3875">
        <v>0</v>
      </c>
      <c r="F3875">
        <v>138.6</v>
      </c>
    </row>
    <row r="3876" spans="1:6" x14ac:dyDescent="0.25">
      <c r="A3876" t="s">
        <v>1646</v>
      </c>
      <c r="B3876" t="s">
        <v>36</v>
      </c>
      <c r="C3876" t="s">
        <v>57</v>
      </c>
      <c r="D3876" t="s">
        <v>3218</v>
      </c>
      <c r="E3876">
        <v>20</v>
      </c>
      <c r="F3876">
        <v>137.97</v>
      </c>
    </row>
    <row r="3877" spans="1:6" x14ac:dyDescent="0.25">
      <c r="A3877" t="s">
        <v>1646</v>
      </c>
      <c r="B3877" t="s">
        <v>36</v>
      </c>
      <c r="C3877" t="s">
        <v>57</v>
      </c>
      <c r="D3877" t="s">
        <v>3219</v>
      </c>
      <c r="E3877">
        <v>37.590000000000003</v>
      </c>
      <c r="F3877">
        <v>137.75</v>
      </c>
    </row>
    <row r="3878" spans="1:6" x14ac:dyDescent="0.25">
      <c r="A3878" t="s">
        <v>1647</v>
      </c>
      <c r="B3878" t="s">
        <v>36</v>
      </c>
      <c r="C3878" t="s">
        <v>58</v>
      </c>
      <c r="D3878" t="s">
        <v>3217</v>
      </c>
      <c r="E3878">
        <v>0</v>
      </c>
      <c r="F3878">
        <v>138.26</v>
      </c>
    </row>
    <row r="3879" spans="1:6" x14ac:dyDescent="0.25">
      <c r="A3879" t="s">
        <v>1647</v>
      </c>
      <c r="B3879" t="s">
        <v>36</v>
      </c>
      <c r="C3879" t="s">
        <v>58</v>
      </c>
      <c r="D3879" t="s">
        <v>3218</v>
      </c>
      <c r="E3879">
        <v>20</v>
      </c>
      <c r="F3879">
        <v>138.11000000000001</v>
      </c>
    </row>
    <row r="3880" spans="1:6" x14ac:dyDescent="0.25">
      <c r="A3880" t="s">
        <v>1647</v>
      </c>
      <c r="B3880" t="s">
        <v>36</v>
      </c>
      <c r="C3880" t="s">
        <v>58</v>
      </c>
      <c r="D3880" t="s">
        <v>3219</v>
      </c>
      <c r="E3880">
        <v>36.72</v>
      </c>
      <c r="F3880">
        <v>137.91999999999999</v>
      </c>
    </row>
    <row r="3881" spans="1:6" x14ac:dyDescent="0.25">
      <c r="A3881" t="s">
        <v>1648</v>
      </c>
      <c r="B3881" t="s">
        <v>36</v>
      </c>
      <c r="C3881" t="s">
        <v>59</v>
      </c>
      <c r="D3881" t="s">
        <v>3217</v>
      </c>
      <c r="E3881">
        <v>0</v>
      </c>
      <c r="F3881">
        <v>137.88999999999999</v>
      </c>
    </row>
    <row r="3882" spans="1:6" x14ac:dyDescent="0.25">
      <c r="A3882" t="s">
        <v>1648</v>
      </c>
      <c r="B3882" t="s">
        <v>36</v>
      </c>
      <c r="C3882" t="s">
        <v>59</v>
      </c>
      <c r="D3882" t="s">
        <v>3218</v>
      </c>
      <c r="E3882">
        <v>20</v>
      </c>
      <c r="F3882">
        <v>137.88</v>
      </c>
    </row>
    <row r="3883" spans="1:6" x14ac:dyDescent="0.25">
      <c r="A3883" t="s">
        <v>1648</v>
      </c>
      <c r="B3883" t="s">
        <v>36</v>
      </c>
      <c r="C3883" t="s">
        <v>59</v>
      </c>
      <c r="D3883" t="s">
        <v>3219</v>
      </c>
      <c r="E3883">
        <v>36.83</v>
      </c>
      <c r="F3883">
        <v>137.78</v>
      </c>
    </row>
    <row r="3884" spans="1:6" x14ac:dyDescent="0.25">
      <c r="A3884" t="s">
        <v>1649</v>
      </c>
      <c r="B3884" t="s">
        <v>36</v>
      </c>
      <c r="C3884" t="s">
        <v>60</v>
      </c>
      <c r="D3884" t="s">
        <v>3217</v>
      </c>
      <c r="E3884">
        <v>0</v>
      </c>
      <c r="F3884">
        <v>137.36000000000001</v>
      </c>
    </row>
    <row r="3885" spans="1:6" x14ac:dyDescent="0.25">
      <c r="A3885" t="s">
        <v>1649</v>
      </c>
      <c r="B3885" t="s">
        <v>36</v>
      </c>
      <c r="C3885" t="s">
        <v>60</v>
      </c>
      <c r="D3885" t="s">
        <v>3218</v>
      </c>
      <c r="E3885">
        <v>20</v>
      </c>
      <c r="F3885">
        <v>137.51</v>
      </c>
    </row>
    <row r="3886" spans="1:6" x14ac:dyDescent="0.25">
      <c r="A3886" t="s">
        <v>1649</v>
      </c>
      <c r="B3886" t="s">
        <v>36</v>
      </c>
      <c r="C3886" t="s">
        <v>60</v>
      </c>
      <c r="D3886" t="s">
        <v>3219</v>
      </c>
      <c r="E3886">
        <v>36.979999999999997</v>
      </c>
      <c r="F3886">
        <v>137.59</v>
      </c>
    </row>
    <row r="3887" spans="1:6" x14ac:dyDescent="0.25">
      <c r="A3887" t="s">
        <v>1650</v>
      </c>
      <c r="B3887" t="s">
        <v>36</v>
      </c>
      <c r="C3887" t="s">
        <v>61</v>
      </c>
      <c r="D3887" t="s">
        <v>3217</v>
      </c>
      <c r="E3887">
        <v>0</v>
      </c>
      <c r="F3887">
        <v>137.41</v>
      </c>
    </row>
    <row r="3888" spans="1:6" x14ac:dyDescent="0.25">
      <c r="A3888" t="s">
        <v>1650</v>
      </c>
      <c r="B3888" t="s">
        <v>36</v>
      </c>
      <c r="C3888" t="s">
        <v>61</v>
      </c>
      <c r="D3888" t="s">
        <v>3218</v>
      </c>
      <c r="E3888">
        <v>20</v>
      </c>
      <c r="F3888">
        <v>137.4</v>
      </c>
    </row>
    <row r="3889" spans="1:6" x14ac:dyDescent="0.25">
      <c r="A3889" t="s">
        <v>1650</v>
      </c>
      <c r="B3889" t="s">
        <v>36</v>
      </c>
      <c r="C3889" t="s">
        <v>61</v>
      </c>
      <c r="D3889" t="s">
        <v>3219</v>
      </c>
      <c r="E3889">
        <v>37.020000000000003</v>
      </c>
      <c r="F3889">
        <v>137.49</v>
      </c>
    </row>
    <row r="3890" spans="1:6" x14ac:dyDescent="0.25">
      <c r="A3890" t="s">
        <v>1651</v>
      </c>
      <c r="B3890" t="s">
        <v>36</v>
      </c>
      <c r="C3890" t="s">
        <v>62</v>
      </c>
      <c r="D3890" t="s">
        <v>3217</v>
      </c>
      <c r="E3890">
        <v>0</v>
      </c>
      <c r="F3890">
        <v>137.28</v>
      </c>
    </row>
    <row r="3891" spans="1:6" x14ac:dyDescent="0.25">
      <c r="A3891" t="s">
        <v>1651</v>
      </c>
      <c r="B3891" t="s">
        <v>36</v>
      </c>
      <c r="C3891" t="s">
        <v>62</v>
      </c>
      <c r="D3891" t="s">
        <v>3218</v>
      </c>
      <c r="E3891">
        <v>20</v>
      </c>
      <c r="F3891">
        <v>137.37</v>
      </c>
    </row>
    <row r="3892" spans="1:6" x14ac:dyDescent="0.25">
      <c r="A3892" t="s">
        <v>1651</v>
      </c>
      <c r="B3892" t="s">
        <v>36</v>
      </c>
      <c r="C3892" t="s">
        <v>62</v>
      </c>
      <c r="D3892" t="s">
        <v>3219</v>
      </c>
      <c r="E3892">
        <v>36.979999999999997</v>
      </c>
      <c r="F3892">
        <v>137.26</v>
      </c>
    </row>
    <row r="3893" spans="1:6" x14ac:dyDescent="0.25">
      <c r="A3893" t="s">
        <v>1652</v>
      </c>
      <c r="B3893" t="s">
        <v>36</v>
      </c>
      <c r="C3893" t="s">
        <v>63</v>
      </c>
      <c r="D3893" t="s">
        <v>3217</v>
      </c>
      <c r="E3893">
        <v>0</v>
      </c>
      <c r="F3893">
        <v>137.24</v>
      </c>
    </row>
    <row r="3894" spans="1:6" x14ac:dyDescent="0.25">
      <c r="A3894" t="s">
        <v>1652</v>
      </c>
      <c r="B3894" t="s">
        <v>36</v>
      </c>
      <c r="C3894" t="s">
        <v>63</v>
      </c>
      <c r="D3894" t="s">
        <v>3218</v>
      </c>
      <c r="E3894">
        <v>20</v>
      </c>
      <c r="F3894">
        <v>137.09</v>
      </c>
    </row>
    <row r="3895" spans="1:6" x14ac:dyDescent="0.25">
      <c r="A3895" t="s">
        <v>1652</v>
      </c>
      <c r="B3895" t="s">
        <v>36</v>
      </c>
      <c r="C3895" t="s">
        <v>63</v>
      </c>
      <c r="D3895" t="s">
        <v>3219</v>
      </c>
      <c r="E3895">
        <v>37.11</v>
      </c>
      <c r="F3895">
        <v>137.22</v>
      </c>
    </row>
    <row r="3896" spans="1:6" x14ac:dyDescent="0.25">
      <c r="A3896" t="s">
        <v>1653</v>
      </c>
      <c r="B3896" t="s">
        <v>36</v>
      </c>
      <c r="C3896" t="s">
        <v>64</v>
      </c>
      <c r="D3896" t="s">
        <v>3217</v>
      </c>
      <c r="E3896">
        <v>0</v>
      </c>
      <c r="F3896">
        <v>137.53</v>
      </c>
    </row>
    <row r="3897" spans="1:6" x14ac:dyDescent="0.25">
      <c r="A3897" t="s">
        <v>1653</v>
      </c>
      <c r="B3897" t="s">
        <v>36</v>
      </c>
      <c r="C3897" t="s">
        <v>64</v>
      </c>
      <c r="D3897" t="s">
        <v>3218</v>
      </c>
      <c r="E3897">
        <v>20</v>
      </c>
      <c r="F3897">
        <v>137.44999999999999</v>
      </c>
    </row>
    <row r="3898" spans="1:6" x14ac:dyDescent="0.25">
      <c r="A3898" t="s">
        <v>1653</v>
      </c>
      <c r="B3898" t="s">
        <v>36</v>
      </c>
      <c r="C3898" t="s">
        <v>64</v>
      </c>
      <c r="D3898" t="s">
        <v>3219</v>
      </c>
      <c r="E3898">
        <v>40</v>
      </c>
      <c r="F3898">
        <v>137.37</v>
      </c>
    </row>
    <row r="3899" spans="1:6" x14ac:dyDescent="0.25">
      <c r="A3899" t="s">
        <v>1654</v>
      </c>
      <c r="B3899" t="s">
        <v>36</v>
      </c>
      <c r="C3899" t="s">
        <v>65</v>
      </c>
      <c r="D3899" t="s">
        <v>3217</v>
      </c>
      <c r="E3899">
        <v>0</v>
      </c>
      <c r="F3899">
        <v>137.79</v>
      </c>
    </row>
    <row r="3900" spans="1:6" x14ac:dyDescent="0.25">
      <c r="A3900" t="s">
        <v>1654</v>
      </c>
      <c r="B3900" t="s">
        <v>36</v>
      </c>
      <c r="C3900" t="s">
        <v>65</v>
      </c>
      <c r="D3900" t="s">
        <v>3218</v>
      </c>
      <c r="E3900">
        <v>18.260000000000002</v>
      </c>
      <c r="F3900">
        <v>137.65</v>
      </c>
    </row>
    <row r="3901" spans="1:6" x14ac:dyDescent="0.25">
      <c r="A3901" t="s">
        <v>1654</v>
      </c>
      <c r="B3901" t="s">
        <v>36</v>
      </c>
      <c r="C3901" t="s">
        <v>65</v>
      </c>
      <c r="D3901" t="s">
        <v>3219</v>
      </c>
      <c r="E3901">
        <v>38.26</v>
      </c>
      <c r="F3901">
        <v>137.6</v>
      </c>
    </row>
    <row r="3902" spans="1:6" x14ac:dyDescent="0.25">
      <c r="A3902" t="s">
        <v>1655</v>
      </c>
      <c r="B3902" t="s">
        <v>36</v>
      </c>
      <c r="C3902" t="s">
        <v>66</v>
      </c>
      <c r="D3902" t="s">
        <v>3217</v>
      </c>
      <c r="E3902">
        <v>0</v>
      </c>
      <c r="F3902">
        <v>137.88999999999999</v>
      </c>
    </row>
    <row r="3903" spans="1:6" x14ac:dyDescent="0.25">
      <c r="A3903" t="s">
        <v>1655</v>
      </c>
      <c r="B3903" t="s">
        <v>36</v>
      </c>
      <c r="C3903" t="s">
        <v>66</v>
      </c>
      <c r="D3903" t="s">
        <v>3218</v>
      </c>
      <c r="E3903">
        <v>17.73</v>
      </c>
      <c r="F3903">
        <v>137.94</v>
      </c>
    </row>
    <row r="3904" spans="1:6" x14ac:dyDescent="0.25">
      <c r="A3904" t="s">
        <v>1655</v>
      </c>
      <c r="B3904" t="s">
        <v>36</v>
      </c>
      <c r="C3904" t="s">
        <v>66</v>
      </c>
      <c r="D3904" t="s">
        <v>3219</v>
      </c>
      <c r="E3904">
        <v>37.729999999999997</v>
      </c>
      <c r="F3904">
        <v>137.78</v>
      </c>
    </row>
    <row r="3905" spans="1:6" x14ac:dyDescent="0.25">
      <c r="A3905" t="s">
        <v>1656</v>
      </c>
      <c r="B3905" t="s">
        <v>36</v>
      </c>
      <c r="C3905" t="s">
        <v>67</v>
      </c>
      <c r="D3905" t="s">
        <v>3217</v>
      </c>
      <c r="E3905">
        <v>0</v>
      </c>
      <c r="F3905">
        <v>137.38999999999999</v>
      </c>
    </row>
    <row r="3906" spans="1:6" x14ac:dyDescent="0.25">
      <c r="A3906" t="s">
        <v>1656</v>
      </c>
      <c r="B3906" t="s">
        <v>36</v>
      </c>
      <c r="C3906" t="s">
        <v>67</v>
      </c>
      <c r="D3906" t="s">
        <v>3218</v>
      </c>
      <c r="E3906">
        <v>13.54</v>
      </c>
      <c r="F3906">
        <v>137.51</v>
      </c>
    </row>
    <row r="3907" spans="1:6" x14ac:dyDescent="0.25">
      <c r="A3907" t="s">
        <v>1656</v>
      </c>
      <c r="B3907" t="s">
        <v>36</v>
      </c>
      <c r="C3907" t="s">
        <v>67</v>
      </c>
      <c r="D3907" t="s">
        <v>3219</v>
      </c>
      <c r="E3907">
        <v>33.54</v>
      </c>
      <c r="F3907">
        <v>137.9</v>
      </c>
    </row>
    <row r="3908" spans="1:6" x14ac:dyDescent="0.25">
      <c r="A3908" t="s">
        <v>1657</v>
      </c>
      <c r="B3908" t="s">
        <v>36</v>
      </c>
      <c r="C3908" t="s">
        <v>68</v>
      </c>
      <c r="D3908" t="s">
        <v>3217</v>
      </c>
      <c r="E3908">
        <v>0</v>
      </c>
      <c r="F3908">
        <v>137.16999999999999</v>
      </c>
    </row>
    <row r="3909" spans="1:6" x14ac:dyDescent="0.25">
      <c r="A3909" t="s">
        <v>1657</v>
      </c>
      <c r="B3909" t="s">
        <v>36</v>
      </c>
      <c r="C3909" t="s">
        <v>68</v>
      </c>
      <c r="D3909" t="s">
        <v>3218</v>
      </c>
      <c r="E3909">
        <v>13.29</v>
      </c>
      <c r="F3909">
        <v>137.22999999999999</v>
      </c>
    </row>
    <row r="3910" spans="1:6" x14ac:dyDescent="0.25">
      <c r="A3910" t="s">
        <v>1657</v>
      </c>
      <c r="B3910" t="s">
        <v>36</v>
      </c>
      <c r="C3910" t="s">
        <v>68</v>
      </c>
      <c r="D3910" t="s">
        <v>3219</v>
      </c>
      <c r="E3910">
        <v>33.29</v>
      </c>
      <c r="F3910">
        <v>137.79</v>
      </c>
    </row>
    <row r="3911" spans="1:6" x14ac:dyDescent="0.25">
      <c r="A3911" t="s">
        <v>1658</v>
      </c>
      <c r="B3911" t="s">
        <v>36</v>
      </c>
      <c r="C3911" t="s">
        <v>69</v>
      </c>
      <c r="D3911" t="s">
        <v>3217</v>
      </c>
      <c r="E3911">
        <v>0</v>
      </c>
      <c r="F3911">
        <v>136.97</v>
      </c>
    </row>
    <row r="3912" spans="1:6" x14ac:dyDescent="0.25">
      <c r="A3912" t="s">
        <v>1658</v>
      </c>
      <c r="B3912" t="s">
        <v>36</v>
      </c>
      <c r="C3912" t="s">
        <v>69</v>
      </c>
      <c r="D3912" t="s">
        <v>3218</v>
      </c>
      <c r="E3912">
        <v>13.65</v>
      </c>
      <c r="F3912">
        <v>137</v>
      </c>
    </row>
    <row r="3913" spans="1:6" x14ac:dyDescent="0.25">
      <c r="A3913" t="s">
        <v>1658</v>
      </c>
      <c r="B3913" t="s">
        <v>36</v>
      </c>
      <c r="C3913" t="s">
        <v>69</v>
      </c>
      <c r="D3913" t="s">
        <v>3219</v>
      </c>
      <c r="E3913">
        <v>33.65</v>
      </c>
      <c r="F3913">
        <v>137.69999999999999</v>
      </c>
    </row>
    <row r="3914" spans="1:6" x14ac:dyDescent="0.25">
      <c r="A3914" t="s">
        <v>1659</v>
      </c>
      <c r="B3914" t="s">
        <v>36</v>
      </c>
      <c r="C3914" t="s">
        <v>70</v>
      </c>
      <c r="D3914" t="s">
        <v>3217</v>
      </c>
      <c r="E3914">
        <v>0</v>
      </c>
      <c r="F3914">
        <v>136.74</v>
      </c>
    </row>
    <row r="3915" spans="1:6" x14ac:dyDescent="0.25">
      <c r="A3915" t="s">
        <v>1659</v>
      </c>
      <c r="B3915" t="s">
        <v>36</v>
      </c>
      <c r="C3915" t="s">
        <v>70</v>
      </c>
      <c r="D3915" t="s">
        <v>3218</v>
      </c>
      <c r="E3915">
        <v>14.69</v>
      </c>
      <c r="F3915">
        <v>136.86000000000001</v>
      </c>
    </row>
    <row r="3916" spans="1:6" x14ac:dyDescent="0.25">
      <c r="A3916" t="s">
        <v>1659</v>
      </c>
      <c r="B3916" t="s">
        <v>36</v>
      </c>
      <c r="C3916" t="s">
        <v>70</v>
      </c>
      <c r="D3916" t="s">
        <v>3219</v>
      </c>
      <c r="E3916">
        <v>34.69</v>
      </c>
      <c r="F3916">
        <v>137.41999999999999</v>
      </c>
    </row>
    <row r="3917" spans="1:6" x14ac:dyDescent="0.25">
      <c r="A3917" t="s">
        <v>1660</v>
      </c>
      <c r="B3917" t="s">
        <v>36</v>
      </c>
      <c r="C3917" t="s">
        <v>236</v>
      </c>
      <c r="D3917" t="s">
        <v>3217</v>
      </c>
      <c r="E3917">
        <v>0</v>
      </c>
      <c r="F3917">
        <v>136.75</v>
      </c>
    </row>
    <row r="3918" spans="1:6" x14ac:dyDescent="0.25">
      <c r="A3918" t="s">
        <v>1660</v>
      </c>
      <c r="B3918" t="s">
        <v>36</v>
      </c>
      <c r="C3918" t="s">
        <v>236</v>
      </c>
      <c r="D3918" t="s">
        <v>3218</v>
      </c>
      <c r="E3918">
        <v>15.56</v>
      </c>
      <c r="F3918">
        <v>136.99</v>
      </c>
    </row>
    <row r="3919" spans="1:6" x14ac:dyDescent="0.25">
      <c r="A3919" t="s">
        <v>1660</v>
      </c>
      <c r="B3919" t="s">
        <v>36</v>
      </c>
      <c r="C3919" t="s">
        <v>236</v>
      </c>
      <c r="D3919" t="s">
        <v>3219</v>
      </c>
      <c r="E3919">
        <v>35.56</v>
      </c>
      <c r="F3919">
        <v>138.72999999999999</v>
      </c>
    </row>
    <row r="3920" spans="1:6" x14ac:dyDescent="0.25">
      <c r="A3920" t="s">
        <v>1661</v>
      </c>
      <c r="B3920" t="s">
        <v>37</v>
      </c>
      <c r="C3920" t="s">
        <v>56</v>
      </c>
      <c r="D3920" t="s">
        <v>3217</v>
      </c>
      <c r="E3920">
        <v>0</v>
      </c>
      <c r="F3920">
        <v>156.69</v>
      </c>
    </row>
    <row r="3921" spans="1:6" x14ac:dyDescent="0.25">
      <c r="A3921" t="s">
        <v>1661</v>
      </c>
      <c r="B3921" t="s">
        <v>37</v>
      </c>
      <c r="C3921" t="s">
        <v>56</v>
      </c>
      <c r="D3921" t="s">
        <v>3218</v>
      </c>
      <c r="E3921">
        <v>14.69</v>
      </c>
      <c r="F3921">
        <v>156.91</v>
      </c>
    </row>
    <row r="3922" spans="1:6" x14ac:dyDescent="0.25">
      <c r="A3922" t="s">
        <v>1661</v>
      </c>
      <c r="B3922" t="s">
        <v>37</v>
      </c>
      <c r="C3922" t="s">
        <v>56</v>
      </c>
      <c r="D3922" t="s">
        <v>3219</v>
      </c>
      <c r="E3922">
        <v>29.57</v>
      </c>
      <c r="F3922">
        <v>157.30000000000001</v>
      </c>
    </row>
    <row r="3923" spans="1:6" x14ac:dyDescent="0.25">
      <c r="A3923" t="s">
        <v>1662</v>
      </c>
      <c r="B3923" t="s">
        <v>37</v>
      </c>
      <c r="C3923" t="s">
        <v>57</v>
      </c>
      <c r="D3923" t="s">
        <v>3217</v>
      </c>
      <c r="E3923">
        <v>0</v>
      </c>
      <c r="F3923">
        <v>155.22</v>
      </c>
    </row>
    <row r="3924" spans="1:6" x14ac:dyDescent="0.25">
      <c r="A3924" t="s">
        <v>1662</v>
      </c>
      <c r="B3924" t="s">
        <v>37</v>
      </c>
      <c r="C3924" t="s">
        <v>57</v>
      </c>
      <c r="D3924" t="s">
        <v>3218</v>
      </c>
      <c r="E3924">
        <v>14.67</v>
      </c>
      <c r="F3924">
        <v>155.22</v>
      </c>
    </row>
    <row r="3925" spans="1:6" x14ac:dyDescent="0.25">
      <c r="A3925" t="s">
        <v>1662</v>
      </c>
      <c r="B3925" t="s">
        <v>37</v>
      </c>
      <c r="C3925" t="s">
        <v>57</v>
      </c>
      <c r="D3925" t="s">
        <v>3219</v>
      </c>
      <c r="E3925">
        <v>29.55</v>
      </c>
      <c r="F3925">
        <v>155.16999999999999</v>
      </c>
    </row>
    <row r="3926" spans="1:6" x14ac:dyDescent="0.25">
      <c r="A3926" t="s">
        <v>1663</v>
      </c>
      <c r="B3926" t="s">
        <v>37</v>
      </c>
      <c r="C3926" t="s">
        <v>58</v>
      </c>
      <c r="D3926" t="s">
        <v>3217</v>
      </c>
      <c r="E3926">
        <v>0</v>
      </c>
      <c r="F3926">
        <v>153.55000000000001</v>
      </c>
    </row>
    <row r="3927" spans="1:6" x14ac:dyDescent="0.25">
      <c r="A3927" t="s">
        <v>1663</v>
      </c>
      <c r="B3927" t="s">
        <v>37</v>
      </c>
      <c r="C3927" t="s">
        <v>58</v>
      </c>
      <c r="D3927" t="s">
        <v>3218</v>
      </c>
      <c r="E3927">
        <v>11.63</v>
      </c>
      <c r="F3927">
        <v>153.80000000000001</v>
      </c>
    </row>
    <row r="3928" spans="1:6" x14ac:dyDescent="0.25">
      <c r="A3928" t="s">
        <v>1663</v>
      </c>
      <c r="B3928" t="s">
        <v>37</v>
      </c>
      <c r="C3928" t="s">
        <v>58</v>
      </c>
      <c r="D3928" t="s">
        <v>3219</v>
      </c>
      <c r="E3928">
        <v>25.05</v>
      </c>
      <c r="F3928">
        <v>153.83000000000001</v>
      </c>
    </row>
    <row r="3929" spans="1:6" x14ac:dyDescent="0.25">
      <c r="A3929" t="s">
        <v>1664</v>
      </c>
      <c r="B3929" t="s">
        <v>37</v>
      </c>
      <c r="C3929" t="s">
        <v>59</v>
      </c>
      <c r="D3929" t="s">
        <v>3217</v>
      </c>
      <c r="E3929">
        <v>0</v>
      </c>
      <c r="F3929">
        <v>152.04</v>
      </c>
    </row>
    <row r="3930" spans="1:6" x14ac:dyDescent="0.25">
      <c r="A3930" t="s">
        <v>1664</v>
      </c>
      <c r="B3930" t="s">
        <v>37</v>
      </c>
      <c r="C3930" t="s">
        <v>59</v>
      </c>
      <c r="D3930" t="s">
        <v>3218</v>
      </c>
      <c r="E3930">
        <v>12.36</v>
      </c>
      <c r="F3930">
        <v>152.47999999999999</v>
      </c>
    </row>
    <row r="3931" spans="1:6" x14ac:dyDescent="0.25">
      <c r="A3931" t="s">
        <v>1664</v>
      </c>
      <c r="B3931" t="s">
        <v>37</v>
      </c>
      <c r="C3931" t="s">
        <v>59</v>
      </c>
      <c r="D3931" t="s">
        <v>3219</v>
      </c>
      <c r="E3931">
        <v>25.78</v>
      </c>
      <c r="F3931">
        <v>152.55000000000001</v>
      </c>
    </row>
    <row r="3932" spans="1:6" x14ac:dyDescent="0.25">
      <c r="A3932" t="s">
        <v>1665</v>
      </c>
      <c r="B3932" t="s">
        <v>37</v>
      </c>
      <c r="C3932" t="s">
        <v>60</v>
      </c>
      <c r="D3932" t="s">
        <v>3217</v>
      </c>
      <c r="E3932">
        <v>0</v>
      </c>
      <c r="F3932">
        <v>150.58000000000001</v>
      </c>
    </row>
    <row r="3933" spans="1:6" x14ac:dyDescent="0.25">
      <c r="A3933" t="s">
        <v>1665</v>
      </c>
      <c r="B3933" t="s">
        <v>37</v>
      </c>
      <c r="C3933" t="s">
        <v>60</v>
      </c>
      <c r="D3933" t="s">
        <v>3218</v>
      </c>
      <c r="E3933">
        <v>12.91</v>
      </c>
      <c r="F3933">
        <v>151.04</v>
      </c>
    </row>
    <row r="3934" spans="1:6" x14ac:dyDescent="0.25">
      <c r="A3934" t="s">
        <v>1665</v>
      </c>
      <c r="B3934" t="s">
        <v>37</v>
      </c>
      <c r="C3934" t="s">
        <v>60</v>
      </c>
      <c r="D3934" t="s">
        <v>3219</v>
      </c>
      <c r="E3934">
        <v>25.61</v>
      </c>
      <c r="F3934">
        <v>150.72</v>
      </c>
    </row>
    <row r="3935" spans="1:6" x14ac:dyDescent="0.25">
      <c r="A3935" t="s">
        <v>1666</v>
      </c>
      <c r="B3935" t="s">
        <v>37</v>
      </c>
      <c r="C3935" t="s">
        <v>61</v>
      </c>
      <c r="D3935" t="s">
        <v>3217</v>
      </c>
      <c r="E3935">
        <v>0</v>
      </c>
      <c r="F3935">
        <v>149.18</v>
      </c>
    </row>
    <row r="3936" spans="1:6" x14ac:dyDescent="0.25">
      <c r="A3936" t="s">
        <v>1666</v>
      </c>
      <c r="B3936" t="s">
        <v>37</v>
      </c>
      <c r="C3936" t="s">
        <v>61</v>
      </c>
      <c r="D3936" t="s">
        <v>3218</v>
      </c>
      <c r="E3936">
        <v>13.4</v>
      </c>
      <c r="F3936">
        <v>149.49</v>
      </c>
    </row>
    <row r="3937" spans="1:6" x14ac:dyDescent="0.25">
      <c r="A3937" t="s">
        <v>1666</v>
      </c>
      <c r="B3937" t="s">
        <v>37</v>
      </c>
      <c r="C3937" t="s">
        <v>61</v>
      </c>
      <c r="D3937" t="s">
        <v>3219</v>
      </c>
      <c r="E3937">
        <v>28.28</v>
      </c>
      <c r="F3937">
        <v>149.21</v>
      </c>
    </row>
    <row r="3938" spans="1:6" x14ac:dyDescent="0.25">
      <c r="A3938" t="s">
        <v>1667</v>
      </c>
      <c r="B3938" t="s">
        <v>37</v>
      </c>
      <c r="C3938" t="s">
        <v>62</v>
      </c>
      <c r="D3938" t="s">
        <v>3217</v>
      </c>
      <c r="E3938">
        <v>0</v>
      </c>
      <c r="F3938">
        <v>147.61000000000001</v>
      </c>
    </row>
    <row r="3939" spans="1:6" x14ac:dyDescent="0.25">
      <c r="A3939" t="s">
        <v>1667</v>
      </c>
      <c r="B3939" t="s">
        <v>37</v>
      </c>
      <c r="C3939" t="s">
        <v>62</v>
      </c>
      <c r="D3939" t="s">
        <v>3218</v>
      </c>
      <c r="E3939">
        <v>14.38</v>
      </c>
      <c r="F3939">
        <v>147.94999999999999</v>
      </c>
    </row>
    <row r="3940" spans="1:6" x14ac:dyDescent="0.25">
      <c r="A3940" t="s">
        <v>1667</v>
      </c>
      <c r="B3940" t="s">
        <v>37</v>
      </c>
      <c r="C3940" t="s">
        <v>62</v>
      </c>
      <c r="D3940" t="s">
        <v>3219</v>
      </c>
      <c r="E3940">
        <v>31.03</v>
      </c>
      <c r="F3940">
        <v>147.86000000000001</v>
      </c>
    </row>
    <row r="3941" spans="1:6" x14ac:dyDescent="0.25">
      <c r="A3941" t="s">
        <v>1668</v>
      </c>
      <c r="B3941" t="s">
        <v>37</v>
      </c>
      <c r="C3941" t="s">
        <v>63</v>
      </c>
      <c r="D3941" t="s">
        <v>3217</v>
      </c>
      <c r="E3941">
        <v>0</v>
      </c>
      <c r="F3941">
        <v>146.15</v>
      </c>
    </row>
    <row r="3942" spans="1:6" x14ac:dyDescent="0.25">
      <c r="A3942" t="s">
        <v>1668</v>
      </c>
      <c r="B3942" t="s">
        <v>37</v>
      </c>
      <c r="C3942" t="s">
        <v>63</v>
      </c>
      <c r="D3942" t="s">
        <v>3218</v>
      </c>
      <c r="E3942">
        <v>13.47</v>
      </c>
      <c r="F3942">
        <v>146.58000000000001</v>
      </c>
    </row>
    <row r="3943" spans="1:6" x14ac:dyDescent="0.25">
      <c r="A3943" t="s">
        <v>1668</v>
      </c>
      <c r="B3943" t="s">
        <v>37</v>
      </c>
      <c r="C3943" t="s">
        <v>63</v>
      </c>
      <c r="D3943" t="s">
        <v>3219</v>
      </c>
      <c r="E3943">
        <v>29.45</v>
      </c>
      <c r="F3943">
        <v>146.72</v>
      </c>
    </row>
    <row r="3944" spans="1:6" x14ac:dyDescent="0.25">
      <c r="A3944" t="s">
        <v>1669</v>
      </c>
      <c r="B3944" t="s">
        <v>37</v>
      </c>
      <c r="C3944" t="s">
        <v>64</v>
      </c>
      <c r="D3944" t="s">
        <v>3217</v>
      </c>
      <c r="E3944">
        <v>0</v>
      </c>
      <c r="F3944">
        <v>145.04</v>
      </c>
    </row>
    <row r="3945" spans="1:6" x14ac:dyDescent="0.25">
      <c r="A3945" t="s">
        <v>1669</v>
      </c>
      <c r="B3945" t="s">
        <v>37</v>
      </c>
      <c r="C3945" t="s">
        <v>64</v>
      </c>
      <c r="D3945" t="s">
        <v>3218</v>
      </c>
      <c r="E3945">
        <v>13.26</v>
      </c>
      <c r="F3945">
        <v>145.4</v>
      </c>
    </row>
    <row r="3946" spans="1:6" x14ac:dyDescent="0.25">
      <c r="A3946" t="s">
        <v>1669</v>
      </c>
      <c r="B3946" t="s">
        <v>37</v>
      </c>
      <c r="C3946" t="s">
        <v>64</v>
      </c>
      <c r="D3946" t="s">
        <v>3219</v>
      </c>
      <c r="E3946">
        <v>29.24</v>
      </c>
      <c r="F3946">
        <v>145.30000000000001</v>
      </c>
    </row>
    <row r="3947" spans="1:6" x14ac:dyDescent="0.25">
      <c r="A3947" t="s">
        <v>1670</v>
      </c>
      <c r="B3947" t="s">
        <v>37</v>
      </c>
      <c r="C3947" t="s">
        <v>65</v>
      </c>
      <c r="D3947" t="s">
        <v>3217</v>
      </c>
      <c r="E3947">
        <v>0</v>
      </c>
      <c r="F3947">
        <v>143.96</v>
      </c>
    </row>
    <row r="3948" spans="1:6" x14ac:dyDescent="0.25">
      <c r="A3948" t="s">
        <v>1670</v>
      </c>
      <c r="B3948" t="s">
        <v>37</v>
      </c>
      <c r="C3948" t="s">
        <v>65</v>
      </c>
      <c r="D3948" t="s">
        <v>3218</v>
      </c>
      <c r="E3948">
        <v>12.83</v>
      </c>
      <c r="F3948">
        <v>144.21</v>
      </c>
    </row>
    <row r="3949" spans="1:6" x14ac:dyDescent="0.25">
      <c r="A3949" t="s">
        <v>1670</v>
      </c>
      <c r="B3949" t="s">
        <v>37</v>
      </c>
      <c r="C3949" t="s">
        <v>65</v>
      </c>
      <c r="D3949" t="s">
        <v>3219</v>
      </c>
      <c r="E3949">
        <v>27.34</v>
      </c>
      <c r="F3949">
        <v>144.02000000000001</v>
      </c>
    </row>
    <row r="3950" spans="1:6" x14ac:dyDescent="0.25">
      <c r="A3950" t="s">
        <v>1671</v>
      </c>
      <c r="B3950" t="s">
        <v>37</v>
      </c>
      <c r="C3950" t="s">
        <v>66</v>
      </c>
      <c r="D3950" t="s">
        <v>3217</v>
      </c>
      <c r="E3950">
        <v>0</v>
      </c>
      <c r="F3950">
        <v>142.86000000000001</v>
      </c>
    </row>
    <row r="3951" spans="1:6" x14ac:dyDescent="0.25">
      <c r="A3951" t="s">
        <v>1671</v>
      </c>
      <c r="B3951" t="s">
        <v>37</v>
      </c>
      <c r="C3951" t="s">
        <v>66</v>
      </c>
      <c r="D3951" t="s">
        <v>3218</v>
      </c>
      <c r="E3951">
        <v>13.27</v>
      </c>
      <c r="F3951">
        <v>143.22999999999999</v>
      </c>
    </row>
    <row r="3952" spans="1:6" x14ac:dyDescent="0.25">
      <c r="A3952" t="s">
        <v>1671</v>
      </c>
      <c r="B3952" t="s">
        <v>37</v>
      </c>
      <c r="C3952" t="s">
        <v>66</v>
      </c>
      <c r="D3952" t="s">
        <v>3219</v>
      </c>
      <c r="E3952">
        <v>27.87</v>
      </c>
      <c r="F3952">
        <v>142.88</v>
      </c>
    </row>
    <row r="3953" spans="1:6" x14ac:dyDescent="0.25">
      <c r="A3953" t="s">
        <v>1672</v>
      </c>
      <c r="B3953" t="s">
        <v>37</v>
      </c>
      <c r="C3953" t="s">
        <v>67</v>
      </c>
      <c r="D3953" t="s">
        <v>3217</v>
      </c>
      <c r="E3953">
        <v>0</v>
      </c>
      <c r="F3953">
        <v>142.13</v>
      </c>
    </row>
    <row r="3954" spans="1:6" x14ac:dyDescent="0.25">
      <c r="A3954" t="s">
        <v>1672</v>
      </c>
      <c r="B3954" t="s">
        <v>37</v>
      </c>
      <c r="C3954" t="s">
        <v>67</v>
      </c>
      <c r="D3954" t="s">
        <v>3218</v>
      </c>
      <c r="E3954">
        <v>13.95</v>
      </c>
      <c r="F3954">
        <v>142.24</v>
      </c>
    </row>
    <row r="3955" spans="1:6" x14ac:dyDescent="0.25">
      <c r="A3955" t="s">
        <v>1672</v>
      </c>
      <c r="B3955" t="s">
        <v>37</v>
      </c>
      <c r="C3955" t="s">
        <v>67</v>
      </c>
      <c r="D3955" t="s">
        <v>3219</v>
      </c>
      <c r="E3955">
        <v>28.85</v>
      </c>
      <c r="F3955">
        <v>141.81</v>
      </c>
    </row>
    <row r="3956" spans="1:6" x14ac:dyDescent="0.25">
      <c r="A3956" t="s">
        <v>1673</v>
      </c>
      <c r="B3956" t="s">
        <v>37</v>
      </c>
      <c r="C3956" t="s">
        <v>68</v>
      </c>
      <c r="D3956" t="s">
        <v>3217</v>
      </c>
      <c r="E3956">
        <v>0</v>
      </c>
      <c r="F3956">
        <v>141.65</v>
      </c>
    </row>
    <row r="3957" spans="1:6" x14ac:dyDescent="0.25">
      <c r="A3957" t="s">
        <v>1673</v>
      </c>
      <c r="B3957" t="s">
        <v>37</v>
      </c>
      <c r="C3957" t="s">
        <v>68</v>
      </c>
      <c r="D3957" t="s">
        <v>3218</v>
      </c>
      <c r="E3957">
        <v>12.73</v>
      </c>
      <c r="F3957">
        <v>141.63</v>
      </c>
    </row>
    <row r="3958" spans="1:6" x14ac:dyDescent="0.25">
      <c r="A3958" t="s">
        <v>1673</v>
      </c>
      <c r="B3958" t="s">
        <v>37</v>
      </c>
      <c r="C3958" t="s">
        <v>68</v>
      </c>
      <c r="D3958" t="s">
        <v>3219</v>
      </c>
      <c r="E3958">
        <v>27.8</v>
      </c>
      <c r="F3958">
        <v>141.22</v>
      </c>
    </row>
    <row r="3959" spans="1:6" x14ac:dyDescent="0.25">
      <c r="A3959" t="s">
        <v>1674</v>
      </c>
      <c r="B3959" t="s">
        <v>37</v>
      </c>
      <c r="C3959" t="s">
        <v>69</v>
      </c>
      <c r="D3959" t="s">
        <v>3217</v>
      </c>
      <c r="E3959">
        <v>0</v>
      </c>
      <c r="F3959">
        <v>140.79</v>
      </c>
    </row>
    <row r="3960" spans="1:6" x14ac:dyDescent="0.25">
      <c r="A3960" t="s">
        <v>1674</v>
      </c>
      <c r="B3960" t="s">
        <v>37</v>
      </c>
      <c r="C3960" t="s">
        <v>69</v>
      </c>
      <c r="D3960" t="s">
        <v>3218</v>
      </c>
      <c r="E3960">
        <v>11.06</v>
      </c>
      <c r="F3960">
        <v>141.22999999999999</v>
      </c>
    </row>
    <row r="3961" spans="1:6" x14ac:dyDescent="0.25">
      <c r="A3961" t="s">
        <v>1674</v>
      </c>
      <c r="B3961" t="s">
        <v>37</v>
      </c>
      <c r="C3961" t="s">
        <v>69</v>
      </c>
      <c r="D3961" t="s">
        <v>3219</v>
      </c>
      <c r="E3961">
        <v>26.61</v>
      </c>
      <c r="F3961">
        <v>140.88</v>
      </c>
    </row>
    <row r="3962" spans="1:6" x14ac:dyDescent="0.25">
      <c r="A3962" t="s">
        <v>1675</v>
      </c>
      <c r="B3962" t="s">
        <v>37</v>
      </c>
      <c r="C3962" t="s">
        <v>70</v>
      </c>
      <c r="D3962" t="s">
        <v>3217</v>
      </c>
      <c r="E3962">
        <v>0</v>
      </c>
      <c r="F3962">
        <v>139.94</v>
      </c>
    </row>
    <row r="3963" spans="1:6" x14ac:dyDescent="0.25">
      <c r="A3963" t="s">
        <v>1675</v>
      </c>
      <c r="B3963" t="s">
        <v>37</v>
      </c>
      <c r="C3963" t="s">
        <v>70</v>
      </c>
      <c r="D3963" t="s">
        <v>3218</v>
      </c>
      <c r="E3963">
        <v>11.67</v>
      </c>
      <c r="F3963">
        <v>140.38999999999999</v>
      </c>
    </row>
    <row r="3964" spans="1:6" x14ac:dyDescent="0.25">
      <c r="A3964" t="s">
        <v>1675</v>
      </c>
      <c r="B3964" t="s">
        <v>37</v>
      </c>
      <c r="C3964" t="s">
        <v>70</v>
      </c>
      <c r="D3964" t="s">
        <v>3219</v>
      </c>
      <c r="E3964">
        <v>27.62</v>
      </c>
      <c r="F3964">
        <v>140.21</v>
      </c>
    </row>
    <row r="3965" spans="1:6" x14ac:dyDescent="0.25">
      <c r="A3965" t="s">
        <v>1676</v>
      </c>
      <c r="B3965" t="s">
        <v>37</v>
      </c>
      <c r="C3965" t="s">
        <v>71</v>
      </c>
      <c r="D3965" t="s">
        <v>3217</v>
      </c>
      <c r="E3965">
        <v>0</v>
      </c>
      <c r="F3965">
        <v>139.02000000000001</v>
      </c>
    </row>
    <row r="3966" spans="1:6" x14ac:dyDescent="0.25">
      <c r="A3966" t="s">
        <v>1676</v>
      </c>
      <c r="B3966" t="s">
        <v>37</v>
      </c>
      <c r="C3966" t="s">
        <v>71</v>
      </c>
      <c r="D3966" t="s">
        <v>3218</v>
      </c>
      <c r="E3966">
        <v>11.61</v>
      </c>
      <c r="F3966">
        <v>139.56</v>
      </c>
    </row>
    <row r="3967" spans="1:6" x14ac:dyDescent="0.25">
      <c r="A3967" t="s">
        <v>1676</v>
      </c>
      <c r="B3967" t="s">
        <v>37</v>
      </c>
      <c r="C3967" t="s">
        <v>71</v>
      </c>
      <c r="D3967" t="s">
        <v>3219</v>
      </c>
      <c r="E3967">
        <v>26.55</v>
      </c>
      <c r="F3967">
        <v>139.47</v>
      </c>
    </row>
    <row r="3968" spans="1:6" x14ac:dyDescent="0.25">
      <c r="A3968" t="s">
        <v>1677</v>
      </c>
      <c r="B3968" t="s">
        <v>37</v>
      </c>
      <c r="C3968" t="s">
        <v>72</v>
      </c>
      <c r="D3968" t="s">
        <v>3217</v>
      </c>
      <c r="E3968">
        <v>0</v>
      </c>
      <c r="F3968">
        <v>138.41999999999999</v>
      </c>
    </row>
    <row r="3969" spans="1:6" x14ac:dyDescent="0.25">
      <c r="A3969" t="s">
        <v>1677</v>
      </c>
      <c r="B3969" t="s">
        <v>37</v>
      </c>
      <c r="C3969" t="s">
        <v>72</v>
      </c>
      <c r="D3969" t="s">
        <v>3218</v>
      </c>
      <c r="E3969">
        <v>11.24</v>
      </c>
      <c r="F3969">
        <v>138.80000000000001</v>
      </c>
    </row>
    <row r="3970" spans="1:6" x14ac:dyDescent="0.25">
      <c r="A3970" t="s">
        <v>1677</v>
      </c>
      <c r="B3970" t="s">
        <v>37</v>
      </c>
      <c r="C3970" t="s">
        <v>72</v>
      </c>
      <c r="D3970" t="s">
        <v>3219</v>
      </c>
      <c r="E3970">
        <v>25.22</v>
      </c>
      <c r="F3970">
        <v>138.6</v>
      </c>
    </row>
    <row r="3971" spans="1:6" x14ac:dyDescent="0.25">
      <c r="A3971" t="s">
        <v>1678</v>
      </c>
      <c r="B3971" t="s">
        <v>37</v>
      </c>
      <c r="C3971" t="s">
        <v>73</v>
      </c>
      <c r="D3971" t="s">
        <v>3217</v>
      </c>
      <c r="E3971">
        <v>0</v>
      </c>
      <c r="F3971">
        <v>137.63</v>
      </c>
    </row>
    <row r="3972" spans="1:6" x14ac:dyDescent="0.25">
      <c r="A3972" t="s">
        <v>1678</v>
      </c>
      <c r="B3972" t="s">
        <v>37</v>
      </c>
      <c r="C3972" t="s">
        <v>73</v>
      </c>
      <c r="D3972" t="s">
        <v>3218</v>
      </c>
      <c r="E3972">
        <v>10.81</v>
      </c>
      <c r="F3972">
        <v>138</v>
      </c>
    </row>
    <row r="3973" spans="1:6" x14ac:dyDescent="0.25">
      <c r="A3973" t="s">
        <v>1678</v>
      </c>
      <c r="B3973" t="s">
        <v>37</v>
      </c>
      <c r="C3973" t="s">
        <v>73</v>
      </c>
      <c r="D3973" t="s">
        <v>3219</v>
      </c>
      <c r="E3973">
        <v>24.78</v>
      </c>
      <c r="F3973">
        <v>137.6</v>
      </c>
    </row>
    <row r="3974" spans="1:6" x14ac:dyDescent="0.25">
      <c r="A3974" t="s">
        <v>1679</v>
      </c>
      <c r="B3974" t="s">
        <v>37</v>
      </c>
      <c r="C3974" t="s">
        <v>74</v>
      </c>
      <c r="D3974" t="s">
        <v>3217</v>
      </c>
      <c r="E3974">
        <v>0</v>
      </c>
      <c r="F3974">
        <v>136.78</v>
      </c>
    </row>
    <row r="3975" spans="1:6" x14ac:dyDescent="0.25">
      <c r="A3975" t="s">
        <v>1679</v>
      </c>
      <c r="B3975" t="s">
        <v>37</v>
      </c>
      <c r="C3975" t="s">
        <v>74</v>
      </c>
      <c r="D3975" t="s">
        <v>3218</v>
      </c>
      <c r="E3975">
        <v>11.5</v>
      </c>
      <c r="F3975">
        <v>137.22999999999999</v>
      </c>
    </row>
    <row r="3976" spans="1:6" x14ac:dyDescent="0.25">
      <c r="A3976" t="s">
        <v>1679</v>
      </c>
      <c r="B3976" t="s">
        <v>37</v>
      </c>
      <c r="C3976" t="s">
        <v>74</v>
      </c>
      <c r="D3976" t="s">
        <v>3219</v>
      </c>
      <c r="E3976">
        <v>24.32</v>
      </c>
      <c r="F3976">
        <v>136.91999999999999</v>
      </c>
    </row>
    <row r="3977" spans="1:6" x14ac:dyDescent="0.25">
      <c r="A3977" t="s">
        <v>1680</v>
      </c>
      <c r="B3977" t="s">
        <v>37</v>
      </c>
      <c r="C3977" t="s">
        <v>75</v>
      </c>
      <c r="D3977" t="s">
        <v>3217</v>
      </c>
      <c r="E3977">
        <v>0</v>
      </c>
      <c r="F3977">
        <v>136.01</v>
      </c>
    </row>
    <row r="3978" spans="1:6" x14ac:dyDescent="0.25">
      <c r="A3978" t="s">
        <v>1680</v>
      </c>
      <c r="B3978" t="s">
        <v>37</v>
      </c>
      <c r="C3978" t="s">
        <v>75</v>
      </c>
      <c r="D3978" t="s">
        <v>3218</v>
      </c>
      <c r="E3978">
        <v>10.73</v>
      </c>
      <c r="F3978">
        <v>136.47</v>
      </c>
    </row>
    <row r="3979" spans="1:6" x14ac:dyDescent="0.25">
      <c r="A3979" t="s">
        <v>1680</v>
      </c>
      <c r="B3979" t="s">
        <v>37</v>
      </c>
      <c r="C3979" t="s">
        <v>75</v>
      </c>
      <c r="D3979" t="s">
        <v>3219</v>
      </c>
      <c r="E3979">
        <v>23.48</v>
      </c>
      <c r="F3979">
        <v>136.32</v>
      </c>
    </row>
    <row r="3980" spans="1:6" x14ac:dyDescent="0.25">
      <c r="A3980" t="s">
        <v>1681</v>
      </c>
      <c r="B3980" t="s">
        <v>37</v>
      </c>
      <c r="C3980" t="s">
        <v>76</v>
      </c>
      <c r="D3980" t="s">
        <v>3217</v>
      </c>
      <c r="E3980">
        <v>0</v>
      </c>
      <c r="F3980">
        <v>135.38999999999999</v>
      </c>
    </row>
    <row r="3981" spans="1:6" x14ac:dyDescent="0.25">
      <c r="A3981" t="s">
        <v>1681</v>
      </c>
      <c r="B3981" t="s">
        <v>37</v>
      </c>
      <c r="C3981" t="s">
        <v>76</v>
      </c>
      <c r="D3981" t="s">
        <v>3218</v>
      </c>
      <c r="E3981">
        <v>10.79</v>
      </c>
      <c r="F3981">
        <v>135.86000000000001</v>
      </c>
    </row>
    <row r="3982" spans="1:6" x14ac:dyDescent="0.25">
      <c r="A3982" t="s">
        <v>1681</v>
      </c>
      <c r="B3982" t="s">
        <v>37</v>
      </c>
      <c r="C3982" t="s">
        <v>76</v>
      </c>
      <c r="D3982" t="s">
        <v>3219</v>
      </c>
      <c r="E3982">
        <v>23.6</v>
      </c>
      <c r="F3982">
        <v>135.86000000000001</v>
      </c>
    </row>
    <row r="3983" spans="1:6" x14ac:dyDescent="0.25">
      <c r="A3983" t="s">
        <v>1682</v>
      </c>
      <c r="B3983" t="s">
        <v>37</v>
      </c>
      <c r="C3983" t="s">
        <v>77</v>
      </c>
      <c r="D3983" t="s">
        <v>3217</v>
      </c>
      <c r="E3983">
        <v>0</v>
      </c>
      <c r="F3983">
        <v>134.86000000000001</v>
      </c>
    </row>
    <row r="3984" spans="1:6" x14ac:dyDescent="0.25">
      <c r="A3984" t="s">
        <v>1682</v>
      </c>
      <c r="B3984" t="s">
        <v>37</v>
      </c>
      <c r="C3984" t="s">
        <v>77</v>
      </c>
      <c r="D3984" t="s">
        <v>3218</v>
      </c>
      <c r="E3984">
        <v>11.69</v>
      </c>
      <c r="F3984">
        <v>135.43</v>
      </c>
    </row>
    <row r="3985" spans="1:6" x14ac:dyDescent="0.25">
      <c r="A3985" t="s">
        <v>1682</v>
      </c>
      <c r="B3985" t="s">
        <v>37</v>
      </c>
      <c r="C3985" t="s">
        <v>77</v>
      </c>
      <c r="D3985" t="s">
        <v>3219</v>
      </c>
      <c r="E3985">
        <v>24.81</v>
      </c>
      <c r="F3985">
        <v>135.41999999999999</v>
      </c>
    </row>
    <row r="3986" spans="1:6" x14ac:dyDescent="0.25">
      <c r="A3986" t="s">
        <v>1683</v>
      </c>
      <c r="B3986" t="s">
        <v>37</v>
      </c>
      <c r="C3986" t="s">
        <v>78</v>
      </c>
      <c r="D3986" t="s">
        <v>3217</v>
      </c>
      <c r="E3986">
        <v>0</v>
      </c>
      <c r="F3986">
        <v>134.41</v>
      </c>
    </row>
    <row r="3987" spans="1:6" x14ac:dyDescent="0.25">
      <c r="A3987" t="s">
        <v>1683</v>
      </c>
      <c r="B3987" t="s">
        <v>37</v>
      </c>
      <c r="C3987" t="s">
        <v>78</v>
      </c>
      <c r="D3987" t="s">
        <v>3218</v>
      </c>
      <c r="E3987">
        <v>12.04</v>
      </c>
      <c r="F3987">
        <v>134.68</v>
      </c>
    </row>
    <row r="3988" spans="1:6" x14ac:dyDescent="0.25">
      <c r="A3988" t="s">
        <v>1683</v>
      </c>
      <c r="B3988" t="s">
        <v>37</v>
      </c>
      <c r="C3988" t="s">
        <v>78</v>
      </c>
      <c r="D3988" t="s">
        <v>3219</v>
      </c>
      <c r="E3988">
        <v>24.43</v>
      </c>
      <c r="F3988">
        <v>134.84</v>
      </c>
    </row>
    <row r="3989" spans="1:6" x14ac:dyDescent="0.25">
      <c r="A3989" t="s">
        <v>1684</v>
      </c>
      <c r="B3989" t="s">
        <v>37</v>
      </c>
      <c r="C3989" t="s">
        <v>79</v>
      </c>
      <c r="D3989" t="s">
        <v>3217</v>
      </c>
      <c r="E3989">
        <v>0</v>
      </c>
      <c r="F3989">
        <v>134.01</v>
      </c>
    </row>
    <row r="3990" spans="1:6" x14ac:dyDescent="0.25">
      <c r="A3990" t="s">
        <v>1684</v>
      </c>
      <c r="B3990" t="s">
        <v>37</v>
      </c>
      <c r="C3990" t="s">
        <v>79</v>
      </c>
      <c r="D3990" t="s">
        <v>3218</v>
      </c>
      <c r="E3990">
        <v>12.76</v>
      </c>
      <c r="F3990">
        <v>134.13</v>
      </c>
    </row>
    <row r="3991" spans="1:6" x14ac:dyDescent="0.25">
      <c r="A3991" t="s">
        <v>1684</v>
      </c>
      <c r="B3991" t="s">
        <v>37</v>
      </c>
      <c r="C3991" t="s">
        <v>79</v>
      </c>
      <c r="D3991" t="s">
        <v>3219</v>
      </c>
      <c r="E3991">
        <v>25.32</v>
      </c>
      <c r="F3991">
        <v>134.12</v>
      </c>
    </row>
    <row r="3992" spans="1:6" x14ac:dyDescent="0.25">
      <c r="A3992" t="s">
        <v>1685</v>
      </c>
      <c r="B3992" t="s">
        <v>37</v>
      </c>
      <c r="C3992" t="s">
        <v>80</v>
      </c>
      <c r="D3992" t="s">
        <v>3217</v>
      </c>
      <c r="E3992">
        <v>0</v>
      </c>
      <c r="F3992">
        <v>133.59</v>
      </c>
    </row>
    <row r="3993" spans="1:6" x14ac:dyDescent="0.25">
      <c r="A3993" t="s">
        <v>1685</v>
      </c>
      <c r="B3993" t="s">
        <v>37</v>
      </c>
      <c r="C3993" t="s">
        <v>80</v>
      </c>
      <c r="D3993" t="s">
        <v>3218</v>
      </c>
      <c r="E3993">
        <v>12.77</v>
      </c>
      <c r="F3993">
        <v>133.85</v>
      </c>
    </row>
    <row r="3994" spans="1:6" x14ac:dyDescent="0.25">
      <c r="A3994" t="s">
        <v>1685</v>
      </c>
      <c r="B3994" t="s">
        <v>37</v>
      </c>
      <c r="C3994" t="s">
        <v>80</v>
      </c>
      <c r="D3994" t="s">
        <v>3219</v>
      </c>
      <c r="E3994">
        <v>23.92</v>
      </c>
      <c r="F3994">
        <v>133.72</v>
      </c>
    </row>
    <row r="3995" spans="1:6" x14ac:dyDescent="0.25">
      <c r="A3995" t="s">
        <v>1686</v>
      </c>
      <c r="B3995" t="s">
        <v>37</v>
      </c>
      <c r="C3995" t="s">
        <v>81</v>
      </c>
      <c r="D3995" t="s">
        <v>3217</v>
      </c>
      <c r="E3995">
        <v>0</v>
      </c>
      <c r="F3995">
        <v>133.22</v>
      </c>
    </row>
    <row r="3996" spans="1:6" x14ac:dyDescent="0.25">
      <c r="A3996" t="s">
        <v>1686</v>
      </c>
      <c r="B3996" t="s">
        <v>37</v>
      </c>
      <c r="C3996" t="s">
        <v>81</v>
      </c>
      <c r="D3996" t="s">
        <v>3218</v>
      </c>
      <c r="E3996">
        <v>12.77</v>
      </c>
      <c r="F3996">
        <v>133.59</v>
      </c>
    </row>
    <row r="3997" spans="1:6" x14ac:dyDescent="0.25">
      <c r="A3997" t="s">
        <v>1686</v>
      </c>
      <c r="B3997" t="s">
        <v>37</v>
      </c>
      <c r="C3997" t="s">
        <v>81</v>
      </c>
      <c r="D3997" t="s">
        <v>3219</v>
      </c>
      <c r="E3997">
        <v>25.33</v>
      </c>
      <c r="F3997">
        <v>133.47</v>
      </c>
    </row>
    <row r="3998" spans="1:6" x14ac:dyDescent="0.25">
      <c r="A3998" t="s">
        <v>1687</v>
      </c>
      <c r="B3998" t="s">
        <v>37</v>
      </c>
      <c r="C3998" t="s">
        <v>82</v>
      </c>
      <c r="D3998" t="s">
        <v>3217</v>
      </c>
      <c r="E3998">
        <v>0</v>
      </c>
      <c r="F3998">
        <v>133.36000000000001</v>
      </c>
    </row>
    <row r="3999" spans="1:6" x14ac:dyDescent="0.25">
      <c r="A3999" t="s">
        <v>1687</v>
      </c>
      <c r="B3999" t="s">
        <v>37</v>
      </c>
      <c r="C3999" t="s">
        <v>82</v>
      </c>
      <c r="D3999" t="s">
        <v>3218</v>
      </c>
      <c r="E3999">
        <v>12.77</v>
      </c>
      <c r="F3999">
        <v>133.57</v>
      </c>
    </row>
    <row r="4000" spans="1:6" x14ac:dyDescent="0.25">
      <c r="A4000" t="s">
        <v>1687</v>
      </c>
      <c r="B4000" t="s">
        <v>37</v>
      </c>
      <c r="C4000" t="s">
        <v>82</v>
      </c>
      <c r="D4000" t="s">
        <v>3219</v>
      </c>
      <c r="E4000">
        <v>24.89</v>
      </c>
      <c r="F4000">
        <v>133.87</v>
      </c>
    </row>
    <row r="4001" spans="1:6" x14ac:dyDescent="0.25">
      <c r="A4001" t="s">
        <v>1688</v>
      </c>
      <c r="B4001" t="s">
        <v>37</v>
      </c>
      <c r="C4001" t="s">
        <v>83</v>
      </c>
      <c r="D4001" t="s">
        <v>3217</v>
      </c>
      <c r="E4001">
        <v>0</v>
      </c>
      <c r="F4001">
        <v>133.63999999999999</v>
      </c>
    </row>
    <row r="4002" spans="1:6" x14ac:dyDescent="0.25">
      <c r="A4002" t="s">
        <v>1688</v>
      </c>
      <c r="B4002" t="s">
        <v>37</v>
      </c>
      <c r="C4002" t="s">
        <v>83</v>
      </c>
      <c r="D4002" t="s">
        <v>3218</v>
      </c>
      <c r="E4002">
        <v>11.68</v>
      </c>
      <c r="F4002">
        <v>134.1</v>
      </c>
    </row>
    <row r="4003" spans="1:6" x14ac:dyDescent="0.25">
      <c r="A4003" t="s">
        <v>1688</v>
      </c>
      <c r="B4003" t="s">
        <v>37</v>
      </c>
      <c r="C4003" t="s">
        <v>83</v>
      </c>
      <c r="D4003" t="s">
        <v>3219</v>
      </c>
      <c r="E4003">
        <v>24.57</v>
      </c>
      <c r="F4003">
        <v>134.24</v>
      </c>
    </row>
    <row r="4004" spans="1:6" x14ac:dyDescent="0.25">
      <c r="A4004" t="s">
        <v>1689</v>
      </c>
      <c r="B4004" t="s">
        <v>37</v>
      </c>
      <c r="C4004" t="s">
        <v>84</v>
      </c>
      <c r="D4004" t="s">
        <v>3217</v>
      </c>
      <c r="E4004">
        <v>0</v>
      </c>
      <c r="F4004">
        <v>134.11000000000001</v>
      </c>
    </row>
    <row r="4005" spans="1:6" x14ac:dyDescent="0.25">
      <c r="A4005" t="s">
        <v>1689</v>
      </c>
      <c r="B4005" t="s">
        <v>37</v>
      </c>
      <c r="C4005" t="s">
        <v>84</v>
      </c>
      <c r="D4005" t="s">
        <v>3218</v>
      </c>
      <c r="E4005">
        <v>13</v>
      </c>
      <c r="F4005">
        <v>134.6</v>
      </c>
    </row>
    <row r="4006" spans="1:6" x14ac:dyDescent="0.25">
      <c r="A4006" t="s">
        <v>1689</v>
      </c>
      <c r="B4006" t="s">
        <v>37</v>
      </c>
      <c r="C4006" t="s">
        <v>84</v>
      </c>
      <c r="D4006" t="s">
        <v>3219</v>
      </c>
      <c r="E4006">
        <v>24.89</v>
      </c>
      <c r="F4006">
        <v>134.5</v>
      </c>
    </row>
    <row r="4007" spans="1:6" x14ac:dyDescent="0.25">
      <c r="A4007" t="s">
        <v>1690</v>
      </c>
      <c r="B4007" t="s">
        <v>37</v>
      </c>
      <c r="C4007" t="s">
        <v>85</v>
      </c>
      <c r="D4007" t="s">
        <v>3217</v>
      </c>
      <c r="E4007">
        <v>0</v>
      </c>
      <c r="F4007">
        <v>134.63999999999999</v>
      </c>
    </row>
    <row r="4008" spans="1:6" x14ac:dyDescent="0.25">
      <c r="A4008" t="s">
        <v>1690</v>
      </c>
      <c r="B4008" t="s">
        <v>37</v>
      </c>
      <c r="C4008" t="s">
        <v>85</v>
      </c>
      <c r="D4008" t="s">
        <v>3218</v>
      </c>
      <c r="E4008">
        <v>12.93</v>
      </c>
      <c r="F4008">
        <v>135.16999999999999</v>
      </c>
    </row>
    <row r="4009" spans="1:6" x14ac:dyDescent="0.25">
      <c r="A4009" t="s">
        <v>1690</v>
      </c>
      <c r="B4009" t="s">
        <v>37</v>
      </c>
      <c r="C4009" t="s">
        <v>85</v>
      </c>
      <c r="D4009" t="s">
        <v>3219</v>
      </c>
      <c r="E4009">
        <v>23.83</v>
      </c>
      <c r="F4009">
        <v>135.19</v>
      </c>
    </row>
    <row r="4010" spans="1:6" x14ac:dyDescent="0.25">
      <c r="A4010" t="s">
        <v>1691</v>
      </c>
      <c r="B4010" t="s">
        <v>37</v>
      </c>
      <c r="C4010" t="s">
        <v>86</v>
      </c>
      <c r="D4010" t="s">
        <v>3217</v>
      </c>
      <c r="E4010">
        <v>0</v>
      </c>
      <c r="F4010">
        <v>135.34</v>
      </c>
    </row>
    <row r="4011" spans="1:6" x14ac:dyDescent="0.25">
      <c r="A4011" t="s">
        <v>1691</v>
      </c>
      <c r="B4011" t="s">
        <v>37</v>
      </c>
      <c r="C4011" t="s">
        <v>86</v>
      </c>
      <c r="D4011" t="s">
        <v>3218</v>
      </c>
      <c r="E4011">
        <v>12.97</v>
      </c>
      <c r="F4011">
        <v>135.72999999999999</v>
      </c>
    </row>
    <row r="4012" spans="1:6" x14ac:dyDescent="0.25">
      <c r="A4012" t="s">
        <v>1691</v>
      </c>
      <c r="B4012" t="s">
        <v>37</v>
      </c>
      <c r="C4012" t="s">
        <v>86</v>
      </c>
      <c r="D4012" t="s">
        <v>3219</v>
      </c>
      <c r="E4012">
        <v>23.31</v>
      </c>
      <c r="F4012">
        <v>135.63999999999999</v>
      </c>
    </row>
    <row r="4013" spans="1:6" x14ac:dyDescent="0.25">
      <c r="A4013" t="s">
        <v>1692</v>
      </c>
      <c r="B4013" t="s">
        <v>37</v>
      </c>
      <c r="C4013" t="s">
        <v>87</v>
      </c>
      <c r="D4013" t="s">
        <v>3217</v>
      </c>
      <c r="E4013">
        <v>0</v>
      </c>
      <c r="F4013">
        <v>135.82</v>
      </c>
    </row>
    <row r="4014" spans="1:6" x14ac:dyDescent="0.25">
      <c r="A4014" t="s">
        <v>1692</v>
      </c>
      <c r="B4014" t="s">
        <v>37</v>
      </c>
      <c r="C4014" t="s">
        <v>87</v>
      </c>
      <c r="D4014" t="s">
        <v>3218</v>
      </c>
      <c r="E4014">
        <v>11.74</v>
      </c>
      <c r="F4014">
        <v>136.19</v>
      </c>
    </row>
    <row r="4015" spans="1:6" x14ac:dyDescent="0.25">
      <c r="A4015" t="s">
        <v>1692</v>
      </c>
      <c r="B4015" t="s">
        <v>37</v>
      </c>
      <c r="C4015" t="s">
        <v>87</v>
      </c>
      <c r="D4015" t="s">
        <v>3219</v>
      </c>
      <c r="E4015">
        <v>21.95</v>
      </c>
      <c r="F4015">
        <v>135.97</v>
      </c>
    </row>
    <row r="4016" spans="1:6" x14ac:dyDescent="0.25">
      <c r="A4016" t="s">
        <v>1693</v>
      </c>
      <c r="B4016" t="s">
        <v>37</v>
      </c>
      <c r="C4016" t="s">
        <v>88</v>
      </c>
      <c r="D4016" t="s">
        <v>3217</v>
      </c>
      <c r="E4016">
        <v>0</v>
      </c>
      <c r="F4016">
        <v>136.31</v>
      </c>
    </row>
    <row r="4017" spans="1:6" x14ac:dyDescent="0.25">
      <c r="A4017" t="s">
        <v>1693</v>
      </c>
      <c r="B4017" t="s">
        <v>37</v>
      </c>
      <c r="C4017" t="s">
        <v>88</v>
      </c>
      <c r="D4017" t="s">
        <v>3218</v>
      </c>
      <c r="E4017">
        <v>12.07</v>
      </c>
      <c r="F4017">
        <v>136.63999999999999</v>
      </c>
    </row>
    <row r="4018" spans="1:6" x14ac:dyDescent="0.25">
      <c r="A4018" t="s">
        <v>1693</v>
      </c>
      <c r="B4018" t="s">
        <v>37</v>
      </c>
      <c r="C4018" t="s">
        <v>88</v>
      </c>
      <c r="D4018" t="s">
        <v>3219</v>
      </c>
      <c r="E4018">
        <v>22.5</v>
      </c>
      <c r="F4018">
        <v>136.61000000000001</v>
      </c>
    </row>
    <row r="4019" spans="1:6" x14ac:dyDescent="0.25">
      <c r="A4019" t="s">
        <v>1694</v>
      </c>
      <c r="B4019" t="s">
        <v>37</v>
      </c>
      <c r="C4019" t="s">
        <v>89</v>
      </c>
      <c r="D4019" t="s">
        <v>3217</v>
      </c>
      <c r="E4019">
        <v>0</v>
      </c>
      <c r="F4019">
        <v>136.66</v>
      </c>
    </row>
    <row r="4020" spans="1:6" x14ac:dyDescent="0.25">
      <c r="A4020" t="s">
        <v>1694</v>
      </c>
      <c r="B4020" t="s">
        <v>37</v>
      </c>
      <c r="C4020" t="s">
        <v>89</v>
      </c>
      <c r="D4020" t="s">
        <v>3218</v>
      </c>
      <c r="E4020">
        <v>12.43</v>
      </c>
      <c r="F4020">
        <v>137.22</v>
      </c>
    </row>
    <row r="4021" spans="1:6" x14ac:dyDescent="0.25">
      <c r="A4021" t="s">
        <v>1694</v>
      </c>
      <c r="B4021" t="s">
        <v>37</v>
      </c>
      <c r="C4021" t="s">
        <v>89</v>
      </c>
      <c r="D4021" t="s">
        <v>3219</v>
      </c>
      <c r="E4021">
        <v>25.01</v>
      </c>
      <c r="F4021">
        <v>137.41</v>
      </c>
    </row>
    <row r="4022" spans="1:6" x14ac:dyDescent="0.25">
      <c r="A4022" t="s">
        <v>1695</v>
      </c>
      <c r="B4022" t="s">
        <v>37</v>
      </c>
      <c r="C4022" t="s">
        <v>90</v>
      </c>
      <c r="D4022" t="s">
        <v>3217</v>
      </c>
      <c r="E4022">
        <v>0</v>
      </c>
      <c r="F4022">
        <v>137.29</v>
      </c>
    </row>
    <row r="4023" spans="1:6" x14ac:dyDescent="0.25">
      <c r="A4023" t="s">
        <v>1695</v>
      </c>
      <c r="B4023" t="s">
        <v>37</v>
      </c>
      <c r="C4023" t="s">
        <v>90</v>
      </c>
      <c r="D4023" t="s">
        <v>3218</v>
      </c>
      <c r="E4023">
        <v>12.4</v>
      </c>
      <c r="F4023">
        <v>137.88</v>
      </c>
    </row>
    <row r="4024" spans="1:6" x14ac:dyDescent="0.25">
      <c r="A4024" t="s">
        <v>1695</v>
      </c>
      <c r="B4024" t="s">
        <v>37</v>
      </c>
      <c r="C4024" t="s">
        <v>90</v>
      </c>
      <c r="D4024" t="s">
        <v>3219</v>
      </c>
      <c r="E4024">
        <v>26.53</v>
      </c>
      <c r="F4024">
        <v>138.05000000000001</v>
      </c>
    </row>
    <row r="4025" spans="1:6" x14ac:dyDescent="0.25">
      <c r="A4025" t="s">
        <v>1696</v>
      </c>
      <c r="B4025" t="s">
        <v>37</v>
      </c>
      <c r="C4025" t="s">
        <v>91</v>
      </c>
      <c r="D4025" t="s">
        <v>3217</v>
      </c>
      <c r="E4025">
        <v>0</v>
      </c>
      <c r="F4025">
        <v>138.08000000000001</v>
      </c>
    </row>
    <row r="4026" spans="1:6" x14ac:dyDescent="0.25">
      <c r="A4026" t="s">
        <v>1696</v>
      </c>
      <c r="B4026" t="s">
        <v>37</v>
      </c>
      <c r="C4026" t="s">
        <v>91</v>
      </c>
      <c r="D4026" t="s">
        <v>3218</v>
      </c>
      <c r="E4026">
        <v>13.62</v>
      </c>
      <c r="F4026">
        <v>138.54</v>
      </c>
    </row>
    <row r="4027" spans="1:6" x14ac:dyDescent="0.25">
      <c r="A4027" t="s">
        <v>1696</v>
      </c>
      <c r="B4027" t="s">
        <v>37</v>
      </c>
      <c r="C4027" t="s">
        <v>91</v>
      </c>
      <c r="D4027" t="s">
        <v>3219</v>
      </c>
      <c r="E4027">
        <v>28.07</v>
      </c>
      <c r="F4027">
        <v>138.44</v>
      </c>
    </row>
    <row r="4028" spans="1:6" x14ac:dyDescent="0.25">
      <c r="A4028" t="s">
        <v>1697</v>
      </c>
      <c r="B4028" t="s">
        <v>37</v>
      </c>
      <c r="C4028" t="s">
        <v>92</v>
      </c>
      <c r="D4028" t="s">
        <v>3217</v>
      </c>
      <c r="E4028">
        <v>0</v>
      </c>
      <c r="F4028">
        <v>138.9</v>
      </c>
    </row>
    <row r="4029" spans="1:6" x14ac:dyDescent="0.25">
      <c r="A4029" t="s">
        <v>1697</v>
      </c>
      <c r="B4029" t="s">
        <v>37</v>
      </c>
      <c r="C4029" t="s">
        <v>92</v>
      </c>
      <c r="D4029" t="s">
        <v>3218</v>
      </c>
      <c r="E4029">
        <v>13.64</v>
      </c>
      <c r="F4029">
        <v>139.41</v>
      </c>
    </row>
    <row r="4030" spans="1:6" x14ac:dyDescent="0.25">
      <c r="A4030" t="s">
        <v>1697</v>
      </c>
      <c r="B4030" t="s">
        <v>37</v>
      </c>
      <c r="C4030" t="s">
        <v>92</v>
      </c>
      <c r="D4030" t="s">
        <v>3219</v>
      </c>
      <c r="E4030">
        <v>27.97</v>
      </c>
      <c r="F4030">
        <v>139.31</v>
      </c>
    </row>
    <row r="4031" spans="1:6" x14ac:dyDescent="0.25">
      <c r="A4031" t="s">
        <v>1698</v>
      </c>
      <c r="B4031" t="s">
        <v>37</v>
      </c>
      <c r="C4031" t="s">
        <v>93</v>
      </c>
      <c r="D4031" t="s">
        <v>3217</v>
      </c>
      <c r="E4031">
        <v>0</v>
      </c>
      <c r="F4031">
        <v>139.32</v>
      </c>
    </row>
    <row r="4032" spans="1:6" x14ac:dyDescent="0.25">
      <c r="A4032" t="s">
        <v>1698</v>
      </c>
      <c r="B4032" t="s">
        <v>37</v>
      </c>
      <c r="C4032" t="s">
        <v>93</v>
      </c>
      <c r="D4032" t="s">
        <v>3218</v>
      </c>
      <c r="E4032">
        <v>16.25</v>
      </c>
      <c r="F4032">
        <v>140.06</v>
      </c>
    </row>
    <row r="4033" spans="1:6" x14ac:dyDescent="0.25">
      <c r="A4033" t="s">
        <v>1698</v>
      </c>
      <c r="B4033" t="s">
        <v>37</v>
      </c>
      <c r="C4033" t="s">
        <v>93</v>
      </c>
      <c r="D4033" t="s">
        <v>3219</v>
      </c>
      <c r="E4033">
        <v>30.57</v>
      </c>
      <c r="F4033">
        <v>139.97</v>
      </c>
    </row>
    <row r="4034" spans="1:6" x14ac:dyDescent="0.25">
      <c r="A4034" t="s">
        <v>1699</v>
      </c>
      <c r="B4034" t="s">
        <v>37</v>
      </c>
      <c r="C4034" t="s">
        <v>94</v>
      </c>
      <c r="D4034" t="s">
        <v>3217</v>
      </c>
      <c r="E4034">
        <v>0</v>
      </c>
      <c r="F4034">
        <v>139.66</v>
      </c>
    </row>
    <row r="4035" spans="1:6" x14ac:dyDescent="0.25">
      <c r="A4035" t="s">
        <v>1699</v>
      </c>
      <c r="B4035" t="s">
        <v>37</v>
      </c>
      <c r="C4035" t="s">
        <v>94</v>
      </c>
      <c r="D4035" t="s">
        <v>3218</v>
      </c>
      <c r="E4035">
        <v>14.89</v>
      </c>
      <c r="F4035">
        <v>140.34</v>
      </c>
    </row>
    <row r="4036" spans="1:6" x14ac:dyDescent="0.25">
      <c r="A4036" t="s">
        <v>1699</v>
      </c>
      <c r="B4036" t="s">
        <v>37</v>
      </c>
      <c r="C4036" t="s">
        <v>94</v>
      </c>
      <c r="D4036" t="s">
        <v>3219</v>
      </c>
      <c r="E4036">
        <v>27.78</v>
      </c>
      <c r="F4036">
        <v>140.35</v>
      </c>
    </row>
    <row r="4037" spans="1:6" x14ac:dyDescent="0.25">
      <c r="A4037" t="s">
        <v>1700</v>
      </c>
      <c r="B4037" t="s">
        <v>37</v>
      </c>
      <c r="C4037" t="s">
        <v>95</v>
      </c>
      <c r="D4037" t="s">
        <v>3217</v>
      </c>
      <c r="E4037">
        <v>0</v>
      </c>
      <c r="F4037">
        <v>140.08000000000001</v>
      </c>
    </row>
    <row r="4038" spans="1:6" x14ac:dyDescent="0.25">
      <c r="A4038" t="s">
        <v>1700</v>
      </c>
      <c r="B4038" t="s">
        <v>37</v>
      </c>
      <c r="C4038" t="s">
        <v>95</v>
      </c>
      <c r="D4038" t="s">
        <v>3218</v>
      </c>
      <c r="E4038">
        <v>14.89</v>
      </c>
      <c r="F4038">
        <v>140.69</v>
      </c>
    </row>
    <row r="4039" spans="1:6" x14ac:dyDescent="0.25">
      <c r="A4039" t="s">
        <v>1700</v>
      </c>
      <c r="B4039" t="s">
        <v>37</v>
      </c>
      <c r="C4039" t="s">
        <v>95</v>
      </c>
      <c r="D4039" t="s">
        <v>3219</v>
      </c>
      <c r="E4039">
        <v>28.58</v>
      </c>
      <c r="F4039">
        <v>140.74</v>
      </c>
    </row>
    <row r="4040" spans="1:6" x14ac:dyDescent="0.25">
      <c r="A4040" t="s">
        <v>1701</v>
      </c>
      <c r="B4040" t="s">
        <v>37</v>
      </c>
      <c r="C4040" t="s">
        <v>96</v>
      </c>
      <c r="D4040" t="s">
        <v>3217</v>
      </c>
      <c r="E4040">
        <v>0</v>
      </c>
      <c r="F4040">
        <v>140.24</v>
      </c>
    </row>
    <row r="4041" spans="1:6" x14ac:dyDescent="0.25">
      <c r="A4041" t="s">
        <v>1701</v>
      </c>
      <c r="B4041" t="s">
        <v>37</v>
      </c>
      <c r="C4041" t="s">
        <v>96</v>
      </c>
      <c r="D4041" t="s">
        <v>3218</v>
      </c>
      <c r="E4041">
        <v>13.92</v>
      </c>
      <c r="F4041">
        <v>140.88999999999999</v>
      </c>
    </row>
    <row r="4042" spans="1:6" x14ac:dyDescent="0.25">
      <c r="A4042" t="s">
        <v>1701</v>
      </c>
      <c r="B4042" t="s">
        <v>37</v>
      </c>
      <c r="C4042" t="s">
        <v>96</v>
      </c>
      <c r="D4042" t="s">
        <v>3219</v>
      </c>
      <c r="E4042">
        <v>28.22</v>
      </c>
      <c r="F4042">
        <v>141.03</v>
      </c>
    </row>
    <row r="4043" spans="1:6" x14ac:dyDescent="0.25">
      <c r="A4043" t="s">
        <v>1702</v>
      </c>
      <c r="B4043" t="s">
        <v>37</v>
      </c>
      <c r="C4043" t="s">
        <v>97</v>
      </c>
      <c r="D4043" t="s">
        <v>3217</v>
      </c>
      <c r="E4043">
        <v>0</v>
      </c>
      <c r="F4043">
        <v>140.35</v>
      </c>
    </row>
    <row r="4044" spans="1:6" x14ac:dyDescent="0.25">
      <c r="A4044" t="s">
        <v>1702</v>
      </c>
      <c r="B4044" t="s">
        <v>37</v>
      </c>
      <c r="C4044" t="s">
        <v>97</v>
      </c>
      <c r="D4044" t="s">
        <v>3218</v>
      </c>
      <c r="E4044">
        <v>13.92</v>
      </c>
      <c r="F4044">
        <v>141.1</v>
      </c>
    </row>
    <row r="4045" spans="1:6" x14ac:dyDescent="0.25">
      <c r="A4045" t="s">
        <v>1702</v>
      </c>
      <c r="B4045" t="s">
        <v>37</v>
      </c>
      <c r="C4045" t="s">
        <v>97</v>
      </c>
      <c r="D4045" t="s">
        <v>3219</v>
      </c>
      <c r="E4045">
        <v>28.24</v>
      </c>
      <c r="F4045">
        <v>141.37</v>
      </c>
    </row>
    <row r="4046" spans="1:6" x14ac:dyDescent="0.25">
      <c r="A4046" t="s">
        <v>1703</v>
      </c>
      <c r="B4046" t="s">
        <v>37</v>
      </c>
      <c r="C4046" t="s">
        <v>98</v>
      </c>
      <c r="D4046" t="s">
        <v>3217</v>
      </c>
      <c r="E4046">
        <v>0</v>
      </c>
      <c r="F4046">
        <v>140.47999999999999</v>
      </c>
    </row>
    <row r="4047" spans="1:6" x14ac:dyDescent="0.25">
      <c r="A4047" t="s">
        <v>1703</v>
      </c>
      <c r="B4047" t="s">
        <v>37</v>
      </c>
      <c r="C4047" t="s">
        <v>98</v>
      </c>
      <c r="D4047" t="s">
        <v>3218</v>
      </c>
      <c r="E4047">
        <v>13.42</v>
      </c>
      <c r="F4047">
        <v>141.15</v>
      </c>
    </row>
    <row r="4048" spans="1:6" x14ac:dyDescent="0.25">
      <c r="A4048" t="s">
        <v>1703</v>
      </c>
      <c r="B4048" t="s">
        <v>37</v>
      </c>
      <c r="C4048" t="s">
        <v>98</v>
      </c>
      <c r="D4048" t="s">
        <v>3219</v>
      </c>
      <c r="E4048">
        <v>27.77</v>
      </c>
      <c r="F4048">
        <v>141.38</v>
      </c>
    </row>
    <row r="4049" spans="1:6" x14ac:dyDescent="0.25">
      <c r="A4049" t="s">
        <v>1704</v>
      </c>
      <c r="B4049" t="s">
        <v>37</v>
      </c>
      <c r="C4049" t="s">
        <v>99</v>
      </c>
      <c r="D4049" t="s">
        <v>3217</v>
      </c>
      <c r="E4049">
        <v>0</v>
      </c>
      <c r="F4049">
        <v>140.66</v>
      </c>
    </row>
    <row r="4050" spans="1:6" x14ac:dyDescent="0.25">
      <c r="A4050" t="s">
        <v>1704</v>
      </c>
      <c r="B4050" t="s">
        <v>37</v>
      </c>
      <c r="C4050" t="s">
        <v>99</v>
      </c>
      <c r="D4050" t="s">
        <v>3218</v>
      </c>
      <c r="E4050">
        <v>12.62</v>
      </c>
      <c r="F4050">
        <v>141.26</v>
      </c>
    </row>
    <row r="4051" spans="1:6" x14ac:dyDescent="0.25">
      <c r="A4051" t="s">
        <v>1704</v>
      </c>
      <c r="B4051" t="s">
        <v>37</v>
      </c>
      <c r="C4051" t="s">
        <v>99</v>
      </c>
      <c r="D4051" t="s">
        <v>3219</v>
      </c>
      <c r="E4051">
        <v>27.37</v>
      </c>
      <c r="F4051">
        <v>141.44999999999999</v>
      </c>
    </row>
    <row r="4052" spans="1:6" x14ac:dyDescent="0.25">
      <c r="A4052" t="s">
        <v>1705</v>
      </c>
      <c r="B4052" t="s">
        <v>37</v>
      </c>
      <c r="C4052" t="s">
        <v>100</v>
      </c>
      <c r="D4052" t="s">
        <v>3217</v>
      </c>
      <c r="E4052">
        <v>0</v>
      </c>
      <c r="F4052">
        <v>140.86000000000001</v>
      </c>
    </row>
    <row r="4053" spans="1:6" x14ac:dyDescent="0.25">
      <c r="A4053" t="s">
        <v>1705</v>
      </c>
      <c r="B4053" t="s">
        <v>37</v>
      </c>
      <c r="C4053" t="s">
        <v>100</v>
      </c>
      <c r="D4053" t="s">
        <v>3218</v>
      </c>
      <c r="E4053">
        <v>13.42</v>
      </c>
      <c r="F4053">
        <v>141.34</v>
      </c>
    </row>
    <row r="4054" spans="1:6" x14ac:dyDescent="0.25">
      <c r="A4054" t="s">
        <v>1705</v>
      </c>
      <c r="B4054" t="s">
        <v>37</v>
      </c>
      <c r="C4054" t="s">
        <v>100</v>
      </c>
      <c r="D4054" t="s">
        <v>3219</v>
      </c>
      <c r="E4054">
        <v>28.91</v>
      </c>
      <c r="F4054">
        <v>141.41999999999999</v>
      </c>
    </row>
    <row r="4055" spans="1:6" x14ac:dyDescent="0.25">
      <c r="A4055" t="s">
        <v>1706</v>
      </c>
      <c r="B4055" t="s">
        <v>37</v>
      </c>
      <c r="C4055" t="s">
        <v>101</v>
      </c>
      <c r="D4055" t="s">
        <v>3217</v>
      </c>
      <c r="E4055">
        <v>0</v>
      </c>
      <c r="F4055">
        <v>140.84</v>
      </c>
    </row>
    <row r="4056" spans="1:6" x14ac:dyDescent="0.25">
      <c r="A4056" t="s">
        <v>1706</v>
      </c>
      <c r="B4056" t="s">
        <v>37</v>
      </c>
      <c r="C4056" t="s">
        <v>101</v>
      </c>
      <c r="D4056" t="s">
        <v>3218</v>
      </c>
      <c r="E4056">
        <v>13.42</v>
      </c>
      <c r="F4056">
        <v>141.43</v>
      </c>
    </row>
    <row r="4057" spans="1:6" x14ac:dyDescent="0.25">
      <c r="A4057" t="s">
        <v>1706</v>
      </c>
      <c r="B4057" t="s">
        <v>37</v>
      </c>
      <c r="C4057" t="s">
        <v>101</v>
      </c>
      <c r="D4057" t="s">
        <v>3219</v>
      </c>
      <c r="E4057">
        <v>27.98</v>
      </c>
      <c r="F4057">
        <v>141.51</v>
      </c>
    </row>
    <row r="4058" spans="1:6" x14ac:dyDescent="0.25">
      <c r="A4058" t="s">
        <v>1707</v>
      </c>
      <c r="B4058" t="s">
        <v>37</v>
      </c>
      <c r="C4058" t="s">
        <v>102</v>
      </c>
      <c r="D4058" t="s">
        <v>3217</v>
      </c>
      <c r="E4058">
        <v>0</v>
      </c>
      <c r="F4058">
        <v>140.84</v>
      </c>
    </row>
    <row r="4059" spans="1:6" x14ac:dyDescent="0.25">
      <c r="A4059" t="s">
        <v>1707</v>
      </c>
      <c r="B4059" t="s">
        <v>37</v>
      </c>
      <c r="C4059" t="s">
        <v>102</v>
      </c>
      <c r="D4059" t="s">
        <v>3218</v>
      </c>
      <c r="E4059">
        <v>13.71</v>
      </c>
      <c r="F4059">
        <v>141.32</v>
      </c>
    </row>
    <row r="4060" spans="1:6" x14ac:dyDescent="0.25">
      <c r="A4060" t="s">
        <v>1707</v>
      </c>
      <c r="B4060" t="s">
        <v>37</v>
      </c>
      <c r="C4060" t="s">
        <v>102</v>
      </c>
      <c r="D4060" t="s">
        <v>3219</v>
      </c>
      <c r="E4060">
        <v>27.66</v>
      </c>
      <c r="F4060">
        <v>141.69999999999999</v>
      </c>
    </row>
    <row r="4061" spans="1:6" x14ac:dyDescent="0.25">
      <c r="A4061" t="s">
        <v>1708</v>
      </c>
      <c r="B4061" t="s">
        <v>37</v>
      </c>
      <c r="C4061" t="s">
        <v>103</v>
      </c>
      <c r="D4061" t="s">
        <v>3217</v>
      </c>
      <c r="E4061">
        <v>0</v>
      </c>
      <c r="F4061">
        <v>140.80000000000001</v>
      </c>
    </row>
    <row r="4062" spans="1:6" x14ac:dyDescent="0.25">
      <c r="A4062" t="s">
        <v>1708</v>
      </c>
      <c r="B4062" t="s">
        <v>37</v>
      </c>
      <c r="C4062" t="s">
        <v>103</v>
      </c>
      <c r="D4062" t="s">
        <v>3218</v>
      </c>
      <c r="E4062">
        <v>12.95</v>
      </c>
      <c r="F4062">
        <v>141.31</v>
      </c>
    </row>
    <row r="4063" spans="1:6" x14ac:dyDescent="0.25">
      <c r="A4063" t="s">
        <v>1708</v>
      </c>
      <c r="B4063" t="s">
        <v>37</v>
      </c>
      <c r="C4063" t="s">
        <v>103</v>
      </c>
      <c r="D4063" t="s">
        <v>3219</v>
      </c>
      <c r="E4063">
        <v>26.68</v>
      </c>
      <c r="F4063">
        <v>141.63999999999999</v>
      </c>
    </row>
    <row r="4064" spans="1:6" x14ac:dyDescent="0.25">
      <c r="A4064" t="s">
        <v>1709</v>
      </c>
      <c r="B4064" t="s">
        <v>37</v>
      </c>
      <c r="C4064" t="s">
        <v>104</v>
      </c>
      <c r="D4064" t="s">
        <v>3217</v>
      </c>
      <c r="E4064">
        <v>0</v>
      </c>
      <c r="F4064">
        <v>140.82</v>
      </c>
    </row>
    <row r="4065" spans="1:6" x14ac:dyDescent="0.25">
      <c r="A4065" t="s">
        <v>1709</v>
      </c>
      <c r="B4065" t="s">
        <v>37</v>
      </c>
      <c r="C4065" t="s">
        <v>104</v>
      </c>
      <c r="D4065" t="s">
        <v>3218</v>
      </c>
      <c r="E4065">
        <v>12.4</v>
      </c>
      <c r="F4065">
        <v>141.22999999999999</v>
      </c>
    </row>
    <row r="4066" spans="1:6" x14ac:dyDescent="0.25">
      <c r="A4066" t="s">
        <v>1709</v>
      </c>
      <c r="B4066" t="s">
        <v>37</v>
      </c>
      <c r="C4066" t="s">
        <v>104</v>
      </c>
      <c r="D4066" t="s">
        <v>3219</v>
      </c>
      <c r="E4066">
        <v>25.92</v>
      </c>
      <c r="F4066">
        <v>141.41999999999999</v>
      </c>
    </row>
    <row r="4067" spans="1:6" x14ac:dyDescent="0.25">
      <c r="A4067" t="s">
        <v>1710</v>
      </c>
      <c r="B4067" t="s">
        <v>37</v>
      </c>
      <c r="C4067" t="s">
        <v>105</v>
      </c>
      <c r="D4067" t="s">
        <v>3217</v>
      </c>
      <c r="E4067">
        <v>0</v>
      </c>
      <c r="F4067">
        <v>140.54</v>
      </c>
    </row>
    <row r="4068" spans="1:6" x14ac:dyDescent="0.25">
      <c r="A4068" t="s">
        <v>1710</v>
      </c>
      <c r="B4068" t="s">
        <v>37</v>
      </c>
      <c r="C4068" t="s">
        <v>105</v>
      </c>
      <c r="D4068" t="s">
        <v>3218</v>
      </c>
      <c r="E4068">
        <v>14.43</v>
      </c>
      <c r="F4068">
        <v>141.15</v>
      </c>
    </row>
    <row r="4069" spans="1:6" x14ac:dyDescent="0.25">
      <c r="A4069" t="s">
        <v>1710</v>
      </c>
      <c r="B4069" t="s">
        <v>37</v>
      </c>
      <c r="C4069" t="s">
        <v>105</v>
      </c>
      <c r="D4069" t="s">
        <v>3219</v>
      </c>
      <c r="E4069">
        <v>28.5</v>
      </c>
      <c r="F4069">
        <v>141.22999999999999</v>
      </c>
    </row>
    <row r="4070" spans="1:6" x14ac:dyDescent="0.25">
      <c r="A4070" t="s">
        <v>1711</v>
      </c>
      <c r="B4070" t="s">
        <v>37</v>
      </c>
      <c r="C4070" t="s">
        <v>106</v>
      </c>
      <c r="D4070" t="s">
        <v>3217</v>
      </c>
      <c r="E4070">
        <v>0</v>
      </c>
      <c r="F4070">
        <v>140.41999999999999</v>
      </c>
    </row>
    <row r="4071" spans="1:6" x14ac:dyDescent="0.25">
      <c r="A4071" t="s">
        <v>1711</v>
      </c>
      <c r="B4071" t="s">
        <v>37</v>
      </c>
      <c r="C4071" t="s">
        <v>106</v>
      </c>
      <c r="D4071" t="s">
        <v>3218</v>
      </c>
      <c r="E4071">
        <v>14.43</v>
      </c>
      <c r="F4071">
        <v>141.18</v>
      </c>
    </row>
    <row r="4072" spans="1:6" x14ac:dyDescent="0.25">
      <c r="A4072" t="s">
        <v>1711</v>
      </c>
      <c r="B4072" t="s">
        <v>37</v>
      </c>
      <c r="C4072" t="s">
        <v>106</v>
      </c>
      <c r="D4072" t="s">
        <v>3219</v>
      </c>
      <c r="E4072">
        <v>27.73</v>
      </c>
      <c r="F4072">
        <v>141.26</v>
      </c>
    </row>
    <row r="4073" spans="1:6" x14ac:dyDescent="0.25">
      <c r="A4073" t="s">
        <v>1712</v>
      </c>
      <c r="B4073" t="s">
        <v>37</v>
      </c>
      <c r="C4073" t="s">
        <v>108</v>
      </c>
      <c r="D4073" t="s">
        <v>3217</v>
      </c>
      <c r="E4073">
        <v>0</v>
      </c>
      <c r="F4073">
        <v>140.22999999999999</v>
      </c>
    </row>
    <row r="4074" spans="1:6" x14ac:dyDescent="0.25">
      <c r="A4074" t="s">
        <v>1712</v>
      </c>
      <c r="B4074" t="s">
        <v>37</v>
      </c>
      <c r="C4074" t="s">
        <v>108</v>
      </c>
      <c r="D4074" t="s">
        <v>3218</v>
      </c>
      <c r="E4074">
        <v>14.57</v>
      </c>
      <c r="F4074">
        <v>140.91999999999999</v>
      </c>
    </row>
    <row r="4075" spans="1:6" x14ac:dyDescent="0.25">
      <c r="A4075" t="s">
        <v>1712</v>
      </c>
      <c r="B4075" t="s">
        <v>37</v>
      </c>
      <c r="C4075" t="s">
        <v>108</v>
      </c>
      <c r="D4075" t="s">
        <v>3219</v>
      </c>
      <c r="E4075">
        <v>29.07</v>
      </c>
      <c r="F4075">
        <v>141.16999999999999</v>
      </c>
    </row>
    <row r="4076" spans="1:6" x14ac:dyDescent="0.25">
      <c r="A4076" t="s">
        <v>1713</v>
      </c>
      <c r="B4076" t="s">
        <v>37</v>
      </c>
      <c r="C4076" t="s">
        <v>109</v>
      </c>
      <c r="D4076" t="s">
        <v>3217</v>
      </c>
      <c r="E4076">
        <v>0</v>
      </c>
      <c r="F4076">
        <v>140.16</v>
      </c>
    </row>
    <row r="4077" spans="1:6" x14ac:dyDescent="0.25">
      <c r="A4077" t="s">
        <v>1713</v>
      </c>
      <c r="B4077" t="s">
        <v>37</v>
      </c>
      <c r="C4077" t="s">
        <v>109</v>
      </c>
      <c r="D4077" t="s">
        <v>3218</v>
      </c>
      <c r="E4077">
        <v>14.21</v>
      </c>
      <c r="F4077">
        <v>140.94999999999999</v>
      </c>
    </row>
    <row r="4078" spans="1:6" x14ac:dyDescent="0.25">
      <c r="A4078" t="s">
        <v>1713</v>
      </c>
      <c r="B4078" t="s">
        <v>37</v>
      </c>
      <c r="C4078" t="s">
        <v>109</v>
      </c>
      <c r="D4078" t="s">
        <v>3219</v>
      </c>
      <c r="E4078">
        <v>28.71</v>
      </c>
      <c r="F4078">
        <v>141.04</v>
      </c>
    </row>
    <row r="4079" spans="1:6" x14ac:dyDescent="0.25">
      <c r="A4079" t="s">
        <v>1714</v>
      </c>
      <c r="B4079" t="s">
        <v>37</v>
      </c>
      <c r="C4079" t="s">
        <v>110</v>
      </c>
      <c r="D4079" t="s">
        <v>3217</v>
      </c>
      <c r="E4079">
        <v>0</v>
      </c>
      <c r="F4079">
        <v>139.81</v>
      </c>
    </row>
    <row r="4080" spans="1:6" x14ac:dyDescent="0.25">
      <c r="A4080" t="s">
        <v>1714</v>
      </c>
      <c r="B4080" t="s">
        <v>37</v>
      </c>
      <c r="C4080" t="s">
        <v>110</v>
      </c>
      <c r="D4080" t="s">
        <v>3218</v>
      </c>
      <c r="E4080">
        <v>14.18</v>
      </c>
      <c r="F4080">
        <v>140.15</v>
      </c>
    </row>
    <row r="4081" spans="1:6" x14ac:dyDescent="0.25">
      <c r="A4081" t="s">
        <v>1714</v>
      </c>
      <c r="B4081" t="s">
        <v>37</v>
      </c>
      <c r="C4081" t="s">
        <v>110</v>
      </c>
      <c r="D4081" t="s">
        <v>3219</v>
      </c>
      <c r="E4081">
        <v>28.69</v>
      </c>
      <c r="F4081">
        <v>140.19</v>
      </c>
    </row>
    <row r="4082" spans="1:6" x14ac:dyDescent="0.25">
      <c r="A4082" t="s">
        <v>1715</v>
      </c>
      <c r="B4082" t="s">
        <v>37</v>
      </c>
      <c r="C4082" t="s">
        <v>111</v>
      </c>
      <c r="D4082" t="s">
        <v>3217</v>
      </c>
      <c r="E4082">
        <v>0</v>
      </c>
      <c r="F4082">
        <v>138.79</v>
      </c>
    </row>
    <row r="4083" spans="1:6" x14ac:dyDescent="0.25">
      <c r="A4083" t="s">
        <v>1715</v>
      </c>
      <c r="B4083" t="s">
        <v>37</v>
      </c>
      <c r="C4083" t="s">
        <v>111</v>
      </c>
      <c r="D4083" t="s">
        <v>3218</v>
      </c>
      <c r="E4083">
        <v>14.48</v>
      </c>
      <c r="F4083">
        <v>139.03</v>
      </c>
    </row>
    <row r="4084" spans="1:6" x14ac:dyDescent="0.25">
      <c r="A4084" t="s">
        <v>1715</v>
      </c>
      <c r="B4084" t="s">
        <v>37</v>
      </c>
      <c r="C4084" t="s">
        <v>111</v>
      </c>
      <c r="D4084" t="s">
        <v>3219</v>
      </c>
      <c r="E4084">
        <v>28.93</v>
      </c>
      <c r="F4084">
        <v>139.07</v>
      </c>
    </row>
    <row r="4085" spans="1:6" x14ac:dyDescent="0.25">
      <c r="A4085" t="s">
        <v>1716</v>
      </c>
      <c r="B4085" t="s">
        <v>37</v>
      </c>
      <c r="C4085" t="s">
        <v>112</v>
      </c>
      <c r="D4085" t="s">
        <v>3217</v>
      </c>
      <c r="E4085">
        <v>0</v>
      </c>
      <c r="F4085">
        <v>137.6</v>
      </c>
    </row>
    <row r="4086" spans="1:6" x14ac:dyDescent="0.25">
      <c r="A4086" t="s">
        <v>1716</v>
      </c>
      <c r="B4086" t="s">
        <v>37</v>
      </c>
      <c r="C4086" t="s">
        <v>112</v>
      </c>
      <c r="D4086" t="s">
        <v>3218</v>
      </c>
      <c r="E4086">
        <v>15.89</v>
      </c>
      <c r="F4086">
        <v>137.83000000000001</v>
      </c>
    </row>
    <row r="4087" spans="1:6" x14ac:dyDescent="0.25">
      <c r="A4087" t="s">
        <v>1716</v>
      </c>
      <c r="B4087" t="s">
        <v>37</v>
      </c>
      <c r="C4087" t="s">
        <v>112</v>
      </c>
      <c r="D4087" t="s">
        <v>3219</v>
      </c>
      <c r="E4087">
        <v>29.96</v>
      </c>
      <c r="F4087">
        <v>137.85</v>
      </c>
    </row>
    <row r="4088" spans="1:6" x14ac:dyDescent="0.25">
      <c r="A4088" t="s">
        <v>1717</v>
      </c>
      <c r="B4088" t="s">
        <v>37</v>
      </c>
      <c r="C4088" t="s">
        <v>113</v>
      </c>
      <c r="D4088" t="s">
        <v>3217</v>
      </c>
      <c r="E4088">
        <v>0</v>
      </c>
      <c r="F4088">
        <v>136.35</v>
      </c>
    </row>
    <row r="4089" spans="1:6" x14ac:dyDescent="0.25">
      <c r="A4089" t="s">
        <v>1717</v>
      </c>
      <c r="B4089" t="s">
        <v>37</v>
      </c>
      <c r="C4089" t="s">
        <v>113</v>
      </c>
      <c r="D4089" t="s">
        <v>3218</v>
      </c>
      <c r="E4089">
        <v>16.190000000000001</v>
      </c>
      <c r="F4089">
        <v>136.55000000000001</v>
      </c>
    </row>
    <row r="4090" spans="1:6" x14ac:dyDescent="0.25">
      <c r="A4090" t="s">
        <v>1717</v>
      </c>
      <c r="B4090" t="s">
        <v>37</v>
      </c>
      <c r="C4090" t="s">
        <v>113</v>
      </c>
      <c r="D4090" t="s">
        <v>3219</v>
      </c>
      <c r="E4090">
        <v>30.95</v>
      </c>
      <c r="F4090">
        <v>136.41</v>
      </c>
    </row>
    <row r="4091" spans="1:6" x14ac:dyDescent="0.25">
      <c r="A4091" t="s">
        <v>1718</v>
      </c>
      <c r="B4091" t="s">
        <v>37</v>
      </c>
      <c r="C4091" t="s">
        <v>114</v>
      </c>
      <c r="D4091" t="s">
        <v>3217</v>
      </c>
      <c r="E4091">
        <v>0</v>
      </c>
      <c r="F4091">
        <v>134.91999999999999</v>
      </c>
    </row>
    <row r="4092" spans="1:6" x14ac:dyDescent="0.25">
      <c r="A4092" t="s">
        <v>1718</v>
      </c>
      <c r="B4092" t="s">
        <v>37</v>
      </c>
      <c r="C4092" t="s">
        <v>114</v>
      </c>
      <c r="D4092" t="s">
        <v>3218</v>
      </c>
      <c r="E4092">
        <v>14.67</v>
      </c>
      <c r="F4092">
        <v>135.05000000000001</v>
      </c>
    </row>
    <row r="4093" spans="1:6" x14ac:dyDescent="0.25">
      <c r="A4093" t="s">
        <v>1718</v>
      </c>
      <c r="B4093" t="s">
        <v>37</v>
      </c>
      <c r="C4093" t="s">
        <v>114</v>
      </c>
      <c r="D4093" t="s">
        <v>3219</v>
      </c>
      <c r="E4093">
        <v>28.97</v>
      </c>
      <c r="F4093">
        <v>134.91</v>
      </c>
    </row>
    <row r="4094" spans="1:6" x14ac:dyDescent="0.25">
      <c r="A4094" t="s">
        <v>1719</v>
      </c>
      <c r="B4094" t="s">
        <v>37</v>
      </c>
      <c r="C4094" t="s">
        <v>115</v>
      </c>
      <c r="D4094" t="s">
        <v>3217</v>
      </c>
      <c r="E4094">
        <v>0</v>
      </c>
      <c r="F4094">
        <v>133.46</v>
      </c>
    </row>
    <row r="4095" spans="1:6" x14ac:dyDescent="0.25">
      <c r="A4095" t="s">
        <v>1719</v>
      </c>
      <c r="B4095" t="s">
        <v>37</v>
      </c>
      <c r="C4095" t="s">
        <v>115</v>
      </c>
      <c r="D4095" t="s">
        <v>3218</v>
      </c>
      <c r="E4095">
        <v>15.23</v>
      </c>
      <c r="F4095">
        <v>133.57</v>
      </c>
    </row>
    <row r="4096" spans="1:6" x14ac:dyDescent="0.25">
      <c r="A4096" t="s">
        <v>1719</v>
      </c>
      <c r="B4096" t="s">
        <v>37</v>
      </c>
      <c r="C4096" t="s">
        <v>115</v>
      </c>
      <c r="D4096" t="s">
        <v>3219</v>
      </c>
      <c r="E4096">
        <v>30.15</v>
      </c>
      <c r="F4096">
        <v>133.38999999999999</v>
      </c>
    </row>
    <row r="4097" spans="1:6" x14ac:dyDescent="0.25">
      <c r="A4097" t="s">
        <v>1720</v>
      </c>
      <c r="B4097" t="s">
        <v>37</v>
      </c>
      <c r="C4097" t="s">
        <v>116</v>
      </c>
      <c r="D4097" t="s">
        <v>3217</v>
      </c>
      <c r="E4097">
        <v>0</v>
      </c>
      <c r="F4097">
        <v>132.24</v>
      </c>
    </row>
    <row r="4098" spans="1:6" x14ac:dyDescent="0.25">
      <c r="A4098" t="s">
        <v>1720</v>
      </c>
      <c r="B4098" t="s">
        <v>37</v>
      </c>
      <c r="C4098" t="s">
        <v>116</v>
      </c>
      <c r="D4098" t="s">
        <v>3218</v>
      </c>
      <c r="E4098">
        <v>13.65</v>
      </c>
      <c r="F4098">
        <v>132.1</v>
      </c>
    </row>
    <row r="4099" spans="1:6" x14ac:dyDescent="0.25">
      <c r="A4099" t="s">
        <v>1720</v>
      </c>
      <c r="B4099" t="s">
        <v>37</v>
      </c>
      <c r="C4099" t="s">
        <v>116</v>
      </c>
      <c r="D4099" t="s">
        <v>3219</v>
      </c>
      <c r="E4099">
        <v>29.45</v>
      </c>
      <c r="F4099">
        <v>131.97999999999999</v>
      </c>
    </row>
    <row r="4100" spans="1:6" x14ac:dyDescent="0.25">
      <c r="A4100" t="s">
        <v>1721</v>
      </c>
      <c r="B4100" t="s">
        <v>37</v>
      </c>
      <c r="C4100" t="s">
        <v>117</v>
      </c>
      <c r="D4100" t="s">
        <v>3217</v>
      </c>
      <c r="E4100">
        <v>0</v>
      </c>
      <c r="F4100">
        <v>130.6</v>
      </c>
    </row>
    <row r="4101" spans="1:6" x14ac:dyDescent="0.25">
      <c r="A4101" t="s">
        <v>1721</v>
      </c>
      <c r="B4101" t="s">
        <v>37</v>
      </c>
      <c r="C4101" t="s">
        <v>117</v>
      </c>
      <c r="D4101" t="s">
        <v>3218</v>
      </c>
      <c r="E4101">
        <v>12.2</v>
      </c>
      <c r="F4101">
        <v>130.61000000000001</v>
      </c>
    </row>
    <row r="4102" spans="1:6" x14ac:dyDescent="0.25">
      <c r="A4102" t="s">
        <v>1721</v>
      </c>
      <c r="B4102" t="s">
        <v>37</v>
      </c>
      <c r="C4102" t="s">
        <v>117</v>
      </c>
      <c r="D4102" t="s">
        <v>3219</v>
      </c>
      <c r="E4102">
        <v>28.68</v>
      </c>
      <c r="F4102">
        <v>130.43</v>
      </c>
    </row>
    <row r="4103" spans="1:6" x14ac:dyDescent="0.25">
      <c r="A4103" t="s">
        <v>1722</v>
      </c>
      <c r="B4103" t="s">
        <v>37</v>
      </c>
      <c r="C4103" t="s">
        <v>118</v>
      </c>
      <c r="D4103" t="s">
        <v>3217</v>
      </c>
      <c r="E4103">
        <v>0</v>
      </c>
      <c r="F4103">
        <v>129.01</v>
      </c>
    </row>
    <row r="4104" spans="1:6" x14ac:dyDescent="0.25">
      <c r="A4104" t="s">
        <v>1722</v>
      </c>
      <c r="B4104" t="s">
        <v>37</v>
      </c>
      <c r="C4104" t="s">
        <v>118</v>
      </c>
      <c r="D4104" t="s">
        <v>3218</v>
      </c>
      <c r="E4104">
        <v>11.66</v>
      </c>
      <c r="F4104">
        <v>129.21</v>
      </c>
    </row>
    <row r="4105" spans="1:6" x14ac:dyDescent="0.25">
      <c r="A4105" t="s">
        <v>1722</v>
      </c>
      <c r="B4105" t="s">
        <v>37</v>
      </c>
      <c r="C4105" t="s">
        <v>118</v>
      </c>
      <c r="D4105" t="s">
        <v>3219</v>
      </c>
      <c r="E4105">
        <v>27.57</v>
      </c>
      <c r="F4105">
        <v>128.97999999999999</v>
      </c>
    </row>
    <row r="4106" spans="1:6" x14ac:dyDescent="0.25">
      <c r="A4106" t="s">
        <v>1723</v>
      </c>
      <c r="B4106" t="s">
        <v>37</v>
      </c>
      <c r="C4106" t="s">
        <v>119</v>
      </c>
      <c r="D4106" t="s">
        <v>3217</v>
      </c>
      <c r="E4106">
        <v>0</v>
      </c>
      <c r="F4106">
        <v>127.9</v>
      </c>
    </row>
    <row r="4107" spans="1:6" x14ac:dyDescent="0.25">
      <c r="A4107" t="s">
        <v>1723</v>
      </c>
      <c r="B4107" t="s">
        <v>37</v>
      </c>
      <c r="C4107" t="s">
        <v>119</v>
      </c>
      <c r="D4107" t="s">
        <v>3218</v>
      </c>
      <c r="E4107">
        <v>12.57</v>
      </c>
      <c r="F4107">
        <v>127.9</v>
      </c>
    </row>
    <row r="4108" spans="1:6" x14ac:dyDescent="0.25">
      <c r="A4108" t="s">
        <v>1723</v>
      </c>
      <c r="B4108" t="s">
        <v>37</v>
      </c>
      <c r="C4108" t="s">
        <v>119</v>
      </c>
      <c r="D4108" t="s">
        <v>3219</v>
      </c>
      <c r="E4108">
        <v>28.07</v>
      </c>
      <c r="F4108">
        <v>127.34</v>
      </c>
    </row>
    <row r="4109" spans="1:6" x14ac:dyDescent="0.25">
      <c r="A4109" t="s">
        <v>1724</v>
      </c>
      <c r="B4109" t="s">
        <v>37</v>
      </c>
      <c r="C4109" t="s">
        <v>120</v>
      </c>
      <c r="D4109" t="s">
        <v>3217</v>
      </c>
      <c r="E4109">
        <v>0</v>
      </c>
      <c r="F4109">
        <v>126.55</v>
      </c>
    </row>
    <row r="4110" spans="1:6" x14ac:dyDescent="0.25">
      <c r="A4110" t="s">
        <v>1724</v>
      </c>
      <c r="B4110" t="s">
        <v>37</v>
      </c>
      <c r="C4110" t="s">
        <v>120</v>
      </c>
      <c r="D4110" t="s">
        <v>3218</v>
      </c>
      <c r="E4110">
        <v>13.63</v>
      </c>
      <c r="F4110">
        <v>126.7</v>
      </c>
    </row>
    <row r="4111" spans="1:6" x14ac:dyDescent="0.25">
      <c r="A4111" t="s">
        <v>1724</v>
      </c>
      <c r="B4111" t="s">
        <v>37</v>
      </c>
      <c r="C4111" t="s">
        <v>120</v>
      </c>
      <c r="D4111" t="s">
        <v>3219</v>
      </c>
      <c r="E4111">
        <v>29.49</v>
      </c>
      <c r="F4111">
        <v>125.89</v>
      </c>
    </row>
    <row r="4112" spans="1:6" x14ac:dyDescent="0.25">
      <c r="A4112" t="s">
        <v>1725</v>
      </c>
      <c r="B4112" t="s">
        <v>37</v>
      </c>
      <c r="C4112" t="s">
        <v>121</v>
      </c>
      <c r="D4112" t="s">
        <v>3217</v>
      </c>
      <c r="E4112">
        <v>0</v>
      </c>
      <c r="F4112">
        <v>125.14</v>
      </c>
    </row>
    <row r="4113" spans="1:6" x14ac:dyDescent="0.25">
      <c r="A4113" t="s">
        <v>1725</v>
      </c>
      <c r="B4113" t="s">
        <v>37</v>
      </c>
      <c r="C4113" t="s">
        <v>121</v>
      </c>
      <c r="D4113" t="s">
        <v>3218</v>
      </c>
      <c r="E4113">
        <v>17.149999999999999</v>
      </c>
      <c r="F4113">
        <v>125.29</v>
      </c>
    </row>
    <row r="4114" spans="1:6" x14ac:dyDescent="0.25">
      <c r="A4114" t="s">
        <v>1725</v>
      </c>
      <c r="B4114" t="s">
        <v>37</v>
      </c>
      <c r="C4114" t="s">
        <v>121</v>
      </c>
      <c r="D4114" t="s">
        <v>3219</v>
      </c>
      <c r="E4114">
        <v>32.01</v>
      </c>
      <c r="F4114">
        <v>124.24</v>
      </c>
    </row>
    <row r="4115" spans="1:6" x14ac:dyDescent="0.25">
      <c r="A4115" t="s">
        <v>1726</v>
      </c>
      <c r="B4115" t="s">
        <v>37</v>
      </c>
      <c r="C4115" t="s">
        <v>123</v>
      </c>
      <c r="D4115" t="s">
        <v>3217</v>
      </c>
      <c r="E4115">
        <v>0</v>
      </c>
      <c r="F4115">
        <v>123.44</v>
      </c>
    </row>
    <row r="4116" spans="1:6" x14ac:dyDescent="0.25">
      <c r="A4116" t="s">
        <v>1726</v>
      </c>
      <c r="B4116" t="s">
        <v>37</v>
      </c>
      <c r="C4116" t="s">
        <v>123</v>
      </c>
      <c r="D4116" t="s">
        <v>3218</v>
      </c>
      <c r="E4116">
        <v>17.350000000000001</v>
      </c>
      <c r="F4116">
        <v>123.61</v>
      </c>
    </row>
    <row r="4117" spans="1:6" x14ac:dyDescent="0.25">
      <c r="A4117" t="s">
        <v>1726</v>
      </c>
      <c r="B4117" t="s">
        <v>37</v>
      </c>
      <c r="C4117" t="s">
        <v>123</v>
      </c>
      <c r="D4117" t="s">
        <v>3219</v>
      </c>
      <c r="E4117">
        <v>32.21</v>
      </c>
      <c r="F4117">
        <v>123.06</v>
      </c>
    </row>
    <row r="4118" spans="1:6" x14ac:dyDescent="0.25">
      <c r="A4118" t="s">
        <v>1727</v>
      </c>
      <c r="B4118" t="s">
        <v>37</v>
      </c>
      <c r="C4118" t="s">
        <v>124</v>
      </c>
      <c r="D4118" t="s">
        <v>3217</v>
      </c>
      <c r="E4118">
        <v>0</v>
      </c>
      <c r="F4118">
        <v>122.06</v>
      </c>
    </row>
    <row r="4119" spans="1:6" x14ac:dyDescent="0.25">
      <c r="A4119" t="s">
        <v>1727</v>
      </c>
      <c r="B4119" t="s">
        <v>37</v>
      </c>
      <c r="C4119" t="s">
        <v>124</v>
      </c>
      <c r="D4119" t="s">
        <v>3218</v>
      </c>
      <c r="E4119">
        <v>17.7</v>
      </c>
      <c r="F4119">
        <v>122.07</v>
      </c>
    </row>
    <row r="4120" spans="1:6" x14ac:dyDescent="0.25">
      <c r="A4120" t="s">
        <v>1727</v>
      </c>
      <c r="B4120" t="s">
        <v>37</v>
      </c>
      <c r="C4120" t="s">
        <v>124</v>
      </c>
      <c r="D4120" t="s">
        <v>3219</v>
      </c>
      <c r="E4120">
        <v>33.15</v>
      </c>
      <c r="F4120">
        <v>121.77</v>
      </c>
    </row>
    <row r="4121" spans="1:6" x14ac:dyDescent="0.25">
      <c r="A4121" t="s">
        <v>1728</v>
      </c>
      <c r="B4121" t="s">
        <v>37</v>
      </c>
      <c r="C4121" t="s">
        <v>125</v>
      </c>
      <c r="D4121" t="s">
        <v>3217</v>
      </c>
      <c r="E4121">
        <v>0</v>
      </c>
      <c r="F4121">
        <v>120.59</v>
      </c>
    </row>
    <row r="4122" spans="1:6" x14ac:dyDescent="0.25">
      <c r="A4122" t="s">
        <v>1728</v>
      </c>
      <c r="B4122" t="s">
        <v>37</v>
      </c>
      <c r="C4122" t="s">
        <v>125</v>
      </c>
      <c r="D4122" t="s">
        <v>3218</v>
      </c>
      <c r="E4122">
        <v>16.89</v>
      </c>
      <c r="F4122">
        <v>120.76</v>
      </c>
    </row>
    <row r="4123" spans="1:6" x14ac:dyDescent="0.25">
      <c r="A4123" t="s">
        <v>1728</v>
      </c>
      <c r="B4123" t="s">
        <v>37</v>
      </c>
      <c r="C4123" t="s">
        <v>125</v>
      </c>
      <c r="D4123" t="s">
        <v>3219</v>
      </c>
      <c r="E4123">
        <v>32.69</v>
      </c>
      <c r="F4123">
        <v>120.48</v>
      </c>
    </row>
    <row r="4124" spans="1:6" x14ac:dyDescent="0.25">
      <c r="A4124" t="s">
        <v>1729</v>
      </c>
      <c r="B4124" t="s">
        <v>37</v>
      </c>
      <c r="C4124" t="s">
        <v>126</v>
      </c>
      <c r="D4124" t="s">
        <v>3217</v>
      </c>
      <c r="E4124">
        <v>0</v>
      </c>
      <c r="F4124">
        <v>119.07</v>
      </c>
    </row>
    <row r="4125" spans="1:6" x14ac:dyDescent="0.25">
      <c r="A4125" t="s">
        <v>1729</v>
      </c>
      <c r="B4125" t="s">
        <v>37</v>
      </c>
      <c r="C4125" t="s">
        <v>126</v>
      </c>
      <c r="D4125" t="s">
        <v>3218</v>
      </c>
      <c r="E4125">
        <v>16.89</v>
      </c>
      <c r="F4125">
        <v>119.18</v>
      </c>
    </row>
    <row r="4126" spans="1:6" x14ac:dyDescent="0.25">
      <c r="A4126" t="s">
        <v>1729</v>
      </c>
      <c r="B4126" t="s">
        <v>37</v>
      </c>
      <c r="C4126" t="s">
        <v>126</v>
      </c>
      <c r="D4126" t="s">
        <v>3219</v>
      </c>
      <c r="E4126">
        <v>31.6</v>
      </c>
      <c r="F4126">
        <v>119.2</v>
      </c>
    </row>
    <row r="4127" spans="1:6" x14ac:dyDescent="0.25">
      <c r="A4127" t="s">
        <v>1730</v>
      </c>
      <c r="B4127" t="s">
        <v>37</v>
      </c>
      <c r="C4127" t="s">
        <v>127</v>
      </c>
      <c r="D4127" t="s">
        <v>3217</v>
      </c>
      <c r="E4127">
        <v>0</v>
      </c>
      <c r="F4127">
        <v>117.98</v>
      </c>
    </row>
    <row r="4128" spans="1:6" x14ac:dyDescent="0.25">
      <c r="A4128" t="s">
        <v>1730</v>
      </c>
      <c r="B4128" t="s">
        <v>37</v>
      </c>
      <c r="C4128" t="s">
        <v>127</v>
      </c>
      <c r="D4128" t="s">
        <v>3218</v>
      </c>
      <c r="E4128">
        <v>15.2</v>
      </c>
      <c r="F4128">
        <v>117.92</v>
      </c>
    </row>
    <row r="4129" spans="1:6" x14ac:dyDescent="0.25">
      <c r="A4129" t="s">
        <v>1730</v>
      </c>
      <c r="B4129" t="s">
        <v>37</v>
      </c>
      <c r="C4129" t="s">
        <v>127</v>
      </c>
      <c r="D4129" t="s">
        <v>3219</v>
      </c>
      <c r="E4129">
        <v>31.25</v>
      </c>
      <c r="F4129">
        <v>117.83</v>
      </c>
    </row>
    <row r="4130" spans="1:6" x14ac:dyDescent="0.25">
      <c r="A4130" t="s">
        <v>1731</v>
      </c>
      <c r="B4130" t="s">
        <v>37</v>
      </c>
      <c r="C4130" t="s">
        <v>128</v>
      </c>
      <c r="D4130" t="s">
        <v>3217</v>
      </c>
      <c r="E4130">
        <v>0</v>
      </c>
      <c r="F4130">
        <v>116.5</v>
      </c>
    </row>
    <row r="4131" spans="1:6" x14ac:dyDescent="0.25">
      <c r="A4131" t="s">
        <v>1731</v>
      </c>
      <c r="B4131" t="s">
        <v>37</v>
      </c>
      <c r="C4131" t="s">
        <v>128</v>
      </c>
      <c r="D4131" t="s">
        <v>3218</v>
      </c>
      <c r="E4131">
        <v>15.58</v>
      </c>
      <c r="F4131">
        <v>116.64</v>
      </c>
    </row>
    <row r="4132" spans="1:6" x14ac:dyDescent="0.25">
      <c r="A4132" t="s">
        <v>1731</v>
      </c>
      <c r="B4132" t="s">
        <v>37</v>
      </c>
      <c r="C4132" t="s">
        <v>128</v>
      </c>
      <c r="D4132" t="s">
        <v>3219</v>
      </c>
      <c r="E4132">
        <v>30.87</v>
      </c>
      <c r="F4132">
        <v>116.67</v>
      </c>
    </row>
    <row r="4133" spans="1:6" x14ac:dyDescent="0.25">
      <c r="A4133" t="s">
        <v>1732</v>
      </c>
      <c r="B4133" t="s">
        <v>37</v>
      </c>
      <c r="C4133" t="s">
        <v>129</v>
      </c>
      <c r="D4133" t="s">
        <v>3217</v>
      </c>
      <c r="E4133">
        <v>0</v>
      </c>
      <c r="F4133">
        <v>115.34</v>
      </c>
    </row>
    <row r="4134" spans="1:6" x14ac:dyDescent="0.25">
      <c r="A4134" t="s">
        <v>1732</v>
      </c>
      <c r="B4134" t="s">
        <v>37</v>
      </c>
      <c r="C4134" t="s">
        <v>129</v>
      </c>
      <c r="D4134" t="s">
        <v>3218</v>
      </c>
      <c r="E4134">
        <v>16.73</v>
      </c>
      <c r="F4134">
        <v>115.51</v>
      </c>
    </row>
    <row r="4135" spans="1:6" x14ac:dyDescent="0.25">
      <c r="A4135" t="s">
        <v>1732</v>
      </c>
      <c r="B4135" t="s">
        <v>37</v>
      </c>
      <c r="C4135" t="s">
        <v>129</v>
      </c>
      <c r="D4135" t="s">
        <v>3219</v>
      </c>
      <c r="E4135">
        <v>29.98</v>
      </c>
      <c r="F4135">
        <v>115.48</v>
      </c>
    </row>
    <row r="4136" spans="1:6" x14ac:dyDescent="0.25">
      <c r="A4136" t="s">
        <v>1733</v>
      </c>
      <c r="B4136" t="s">
        <v>37</v>
      </c>
      <c r="C4136" t="s">
        <v>130</v>
      </c>
      <c r="D4136" t="s">
        <v>3217</v>
      </c>
      <c r="E4136">
        <v>0</v>
      </c>
      <c r="F4136">
        <v>114.64</v>
      </c>
    </row>
    <row r="4137" spans="1:6" x14ac:dyDescent="0.25">
      <c r="A4137" t="s">
        <v>1733</v>
      </c>
      <c r="B4137" t="s">
        <v>37</v>
      </c>
      <c r="C4137" t="s">
        <v>130</v>
      </c>
      <c r="D4137" t="s">
        <v>3218</v>
      </c>
      <c r="E4137">
        <v>16.670000000000002</v>
      </c>
      <c r="F4137">
        <v>114.64</v>
      </c>
    </row>
    <row r="4138" spans="1:6" x14ac:dyDescent="0.25">
      <c r="A4138" t="s">
        <v>1733</v>
      </c>
      <c r="B4138" t="s">
        <v>37</v>
      </c>
      <c r="C4138" t="s">
        <v>130</v>
      </c>
      <c r="D4138" t="s">
        <v>3219</v>
      </c>
      <c r="E4138">
        <v>30.08</v>
      </c>
      <c r="F4138">
        <v>114.56</v>
      </c>
    </row>
    <row r="4139" spans="1:6" x14ac:dyDescent="0.25">
      <c r="A4139" t="s">
        <v>1734</v>
      </c>
      <c r="B4139" t="s">
        <v>37</v>
      </c>
      <c r="C4139" t="s">
        <v>131</v>
      </c>
      <c r="D4139" t="s">
        <v>3217</v>
      </c>
      <c r="E4139">
        <v>0</v>
      </c>
      <c r="F4139">
        <v>113.81</v>
      </c>
    </row>
    <row r="4140" spans="1:6" x14ac:dyDescent="0.25">
      <c r="A4140" t="s">
        <v>1734</v>
      </c>
      <c r="B4140" t="s">
        <v>37</v>
      </c>
      <c r="C4140" t="s">
        <v>131</v>
      </c>
      <c r="D4140" t="s">
        <v>3218</v>
      </c>
      <c r="E4140">
        <v>15.61</v>
      </c>
      <c r="F4140">
        <v>113.81</v>
      </c>
    </row>
    <row r="4141" spans="1:6" x14ac:dyDescent="0.25">
      <c r="A4141" t="s">
        <v>1734</v>
      </c>
      <c r="B4141" t="s">
        <v>37</v>
      </c>
      <c r="C4141" t="s">
        <v>131</v>
      </c>
      <c r="D4141" t="s">
        <v>3219</v>
      </c>
      <c r="E4141">
        <v>28.93</v>
      </c>
      <c r="F4141">
        <v>113.75</v>
      </c>
    </row>
    <row r="4142" spans="1:6" x14ac:dyDescent="0.25">
      <c r="A4142" t="s">
        <v>1735</v>
      </c>
      <c r="B4142" t="s">
        <v>37</v>
      </c>
      <c r="C4142" t="s">
        <v>132</v>
      </c>
      <c r="D4142" t="s">
        <v>3217</v>
      </c>
      <c r="E4142">
        <v>0</v>
      </c>
      <c r="F4142">
        <v>112.84</v>
      </c>
    </row>
    <row r="4143" spans="1:6" x14ac:dyDescent="0.25">
      <c r="A4143" t="s">
        <v>1735</v>
      </c>
      <c r="B4143" t="s">
        <v>37</v>
      </c>
      <c r="C4143" t="s">
        <v>132</v>
      </c>
      <c r="D4143" t="s">
        <v>3218</v>
      </c>
      <c r="E4143">
        <v>16.12</v>
      </c>
      <c r="F4143">
        <v>112.89</v>
      </c>
    </row>
    <row r="4144" spans="1:6" x14ac:dyDescent="0.25">
      <c r="A4144" t="s">
        <v>1735</v>
      </c>
      <c r="B4144" t="s">
        <v>37</v>
      </c>
      <c r="C4144" t="s">
        <v>132</v>
      </c>
      <c r="D4144" t="s">
        <v>3219</v>
      </c>
      <c r="E4144">
        <v>29.8</v>
      </c>
      <c r="F4144">
        <v>112.79</v>
      </c>
    </row>
    <row r="4145" spans="1:6" x14ac:dyDescent="0.25">
      <c r="A4145" t="s">
        <v>1736</v>
      </c>
      <c r="B4145" t="s">
        <v>37</v>
      </c>
      <c r="C4145" t="s">
        <v>133</v>
      </c>
      <c r="D4145" t="s">
        <v>3217</v>
      </c>
      <c r="E4145">
        <v>0</v>
      </c>
      <c r="F4145">
        <v>111.72</v>
      </c>
    </row>
    <row r="4146" spans="1:6" x14ac:dyDescent="0.25">
      <c r="A4146" t="s">
        <v>1736</v>
      </c>
      <c r="B4146" t="s">
        <v>37</v>
      </c>
      <c r="C4146" t="s">
        <v>133</v>
      </c>
      <c r="D4146" t="s">
        <v>3218</v>
      </c>
      <c r="E4146">
        <v>14.75</v>
      </c>
      <c r="F4146">
        <v>111.92</v>
      </c>
    </row>
    <row r="4147" spans="1:6" x14ac:dyDescent="0.25">
      <c r="A4147" t="s">
        <v>1736</v>
      </c>
      <c r="B4147" t="s">
        <v>37</v>
      </c>
      <c r="C4147" t="s">
        <v>133</v>
      </c>
      <c r="D4147" t="s">
        <v>3219</v>
      </c>
      <c r="E4147">
        <v>26.57</v>
      </c>
      <c r="F4147">
        <v>111.79</v>
      </c>
    </row>
    <row r="4148" spans="1:6" x14ac:dyDescent="0.25">
      <c r="A4148" t="s">
        <v>1737</v>
      </c>
      <c r="B4148" t="s">
        <v>37</v>
      </c>
      <c r="C4148" t="s">
        <v>134</v>
      </c>
      <c r="D4148" t="s">
        <v>3217</v>
      </c>
      <c r="E4148">
        <v>0</v>
      </c>
      <c r="F4148">
        <v>110.56</v>
      </c>
    </row>
    <row r="4149" spans="1:6" x14ac:dyDescent="0.25">
      <c r="A4149" t="s">
        <v>1737</v>
      </c>
      <c r="B4149" t="s">
        <v>37</v>
      </c>
      <c r="C4149" t="s">
        <v>134</v>
      </c>
      <c r="D4149" t="s">
        <v>3218</v>
      </c>
      <c r="E4149">
        <v>16.760000000000002</v>
      </c>
      <c r="F4149">
        <v>110.52</v>
      </c>
    </row>
    <row r="4150" spans="1:6" x14ac:dyDescent="0.25">
      <c r="A4150" t="s">
        <v>1737</v>
      </c>
      <c r="B4150" t="s">
        <v>37</v>
      </c>
      <c r="C4150" t="s">
        <v>134</v>
      </c>
      <c r="D4150" t="s">
        <v>3219</v>
      </c>
      <c r="E4150">
        <v>27.3</v>
      </c>
      <c r="F4150">
        <v>110.43</v>
      </c>
    </row>
    <row r="4151" spans="1:6" x14ac:dyDescent="0.25">
      <c r="A4151" t="s">
        <v>1738</v>
      </c>
      <c r="B4151" t="s">
        <v>37</v>
      </c>
      <c r="C4151" t="s">
        <v>135</v>
      </c>
      <c r="D4151" t="s">
        <v>3217</v>
      </c>
      <c r="E4151">
        <v>0</v>
      </c>
      <c r="F4151">
        <v>108.94</v>
      </c>
    </row>
    <row r="4152" spans="1:6" x14ac:dyDescent="0.25">
      <c r="A4152" t="s">
        <v>1738</v>
      </c>
      <c r="B4152" t="s">
        <v>37</v>
      </c>
      <c r="C4152" t="s">
        <v>135</v>
      </c>
      <c r="D4152" t="s">
        <v>3218</v>
      </c>
      <c r="E4152">
        <v>17.43</v>
      </c>
      <c r="F4152">
        <v>109.13</v>
      </c>
    </row>
    <row r="4153" spans="1:6" x14ac:dyDescent="0.25">
      <c r="A4153" t="s">
        <v>1738</v>
      </c>
      <c r="B4153" t="s">
        <v>37</v>
      </c>
      <c r="C4153" t="s">
        <v>135</v>
      </c>
      <c r="D4153" t="s">
        <v>3219</v>
      </c>
      <c r="E4153">
        <v>28.33</v>
      </c>
      <c r="F4153">
        <v>108.95</v>
      </c>
    </row>
    <row r="4154" spans="1:6" x14ac:dyDescent="0.25">
      <c r="A4154" t="s">
        <v>1739</v>
      </c>
      <c r="B4154" t="s">
        <v>37</v>
      </c>
      <c r="C4154" t="s">
        <v>136</v>
      </c>
      <c r="D4154" t="s">
        <v>3217</v>
      </c>
      <c r="E4154">
        <v>0</v>
      </c>
      <c r="F4154">
        <v>107.55</v>
      </c>
    </row>
    <row r="4155" spans="1:6" x14ac:dyDescent="0.25">
      <c r="A4155" t="s">
        <v>1739</v>
      </c>
      <c r="B4155" t="s">
        <v>37</v>
      </c>
      <c r="C4155" t="s">
        <v>136</v>
      </c>
      <c r="D4155" t="s">
        <v>3218</v>
      </c>
      <c r="E4155">
        <v>16.91</v>
      </c>
      <c r="F4155">
        <v>107.75</v>
      </c>
    </row>
    <row r="4156" spans="1:6" x14ac:dyDescent="0.25">
      <c r="A4156" t="s">
        <v>1739</v>
      </c>
      <c r="B4156" t="s">
        <v>37</v>
      </c>
      <c r="C4156" t="s">
        <v>136</v>
      </c>
      <c r="D4156" t="s">
        <v>3219</v>
      </c>
      <c r="E4156">
        <v>27.68</v>
      </c>
      <c r="F4156">
        <v>107.54</v>
      </c>
    </row>
    <row r="4157" spans="1:6" x14ac:dyDescent="0.25">
      <c r="A4157" t="s">
        <v>1740</v>
      </c>
      <c r="B4157" t="s">
        <v>37</v>
      </c>
      <c r="C4157" t="s">
        <v>137</v>
      </c>
      <c r="D4157" t="s">
        <v>3217</v>
      </c>
      <c r="E4157">
        <v>0</v>
      </c>
      <c r="F4157">
        <v>106.23</v>
      </c>
    </row>
    <row r="4158" spans="1:6" x14ac:dyDescent="0.25">
      <c r="A4158" t="s">
        <v>1740</v>
      </c>
      <c r="B4158" t="s">
        <v>37</v>
      </c>
      <c r="C4158" t="s">
        <v>137</v>
      </c>
      <c r="D4158" t="s">
        <v>3218</v>
      </c>
      <c r="E4158">
        <v>16.62</v>
      </c>
      <c r="F4158">
        <v>106.48</v>
      </c>
    </row>
    <row r="4159" spans="1:6" x14ac:dyDescent="0.25">
      <c r="A4159" t="s">
        <v>1740</v>
      </c>
      <c r="B4159" t="s">
        <v>37</v>
      </c>
      <c r="C4159" t="s">
        <v>137</v>
      </c>
      <c r="D4159" t="s">
        <v>3219</v>
      </c>
      <c r="E4159">
        <v>25.96</v>
      </c>
      <c r="F4159">
        <v>106.36</v>
      </c>
    </row>
    <row r="4160" spans="1:6" x14ac:dyDescent="0.25">
      <c r="A4160" t="s">
        <v>1741</v>
      </c>
      <c r="B4160" t="s">
        <v>37</v>
      </c>
      <c r="C4160" t="s">
        <v>138</v>
      </c>
      <c r="D4160" t="s">
        <v>3217</v>
      </c>
      <c r="E4160">
        <v>0</v>
      </c>
      <c r="F4160">
        <v>104.93</v>
      </c>
    </row>
    <row r="4161" spans="1:6" x14ac:dyDescent="0.25">
      <c r="A4161" t="s">
        <v>1741</v>
      </c>
      <c r="B4161" t="s">
        <v>37</v>
      </c>
      <c r="C4161" t="s">
        <v>138</v>
      </c>
      <c r="D4161" t="s">
        <v>3218</v>
      </c>
      <c r="E4161">
        <v>17.38</v>
      </c>
      <c r="F4161">
        <v>105.12</v>
      </c>
    </row>
    <row r="4162" spans="1:6" x14ac:dyDescent="0.25">
      <c r="A4162" t="s">
        <v>1741</v>
      </c>
      <c r="B4162" t="s">
        <v>37</v>
      </c>
      <c r="C4162" t="s">
        <v>138</v>
      </c>
      <c r="D4162" t="s">
        <v>3219</v>
      </c>
      <c r="E4162">
        <v>26.12</v>
      </c>
      <c r="F4162">
        <v>104.97</v>
      </c>
    </row>
    <row r="4163" spans="1:6" x14ac:dyDescent="0.25">
      <c r="A4163" t="s">
        <v>1742</v>
      </c>
      <c r="B4163" t="s">
        <v>37</v>
      </c>
      <c r="C4163" t="s">
        <v>139</v>
      </c>
      <c r="D4163" t="s">
        <v>3217</v>
      </c>
      <c r="E4163">
        <v>0</v>
      </c>
      <c r="F4163">
        <v>103.63</v>
      </c>
    </row>
    <row r="4164" spans="1:6" x14ac:dyDescent="0.25">
      <c r="A4164" t="s">
        <v>1742</v>
      </c>
      <c r="B4164" t="s">
        <v>37</v>
      </c>
      <c r="C4164" t="s">
        <v>139</v>
      </c>
      <c r="D4164" t="s">
        <v>3218</v>
      </c>
      <c r="E4164">
        <v>18.34</v>
      </c>
      <c r="F4164">
        <v>103.65</v>
      </c>
    </row>
    <row r="4165" spans="1:6" x14ac:dyDescent="0.25">
      <c r="A4165" t="s">
        <v>1742</v>
      </c>
      <c r="B4165" t="s">
        <v>37</v>
      </c>
      <c r="C4165" t="s">
        <v>139</v>
      </c>
      <c r="D4165" t="s">
        <v>3219</v>
      </c>
      <c r="E4165">
        <v>27.93</v>
      </c>
      <c r="F4165">
        <v>103.36</v>
      </c>
    </row>
    <row r="4166" spans="1:6" x14ac:dyDescent="0.25">
      <c r="A4166" t="s">
        <v>1743</v>
      </c>
      <c r="B4166" t="s">
        <v>37</v>
      </c>
      <c r="C4166" t="s">
        <v>140</v>
      </c>
      <c r="D4166" t="s">
        <v>3217</v>
      </c>
      <c r="E4166">
        <v>0</v>
      </c>
      <c r="F4166">
        <v>102.22</v>
      </c>
    </row>
    <row r="4167" spans="1:6" x14ac:dyDescent="0.25">
      <c r="A4167" t="s">
        <v>1743</v>
      </c>
      <c r="B4167" t="s">
        <v>37</v>
      </c>
      <c r="C4167" t="s">
        <v>140</v>
      </c>
      <c r="D4167" t="s">
        <v>3218</v>
      </c>
      <c r="E4167">
        <v>18.309999999999999</v>
      </c>
      <c r="F4167">
        <v>102.2</v>
      </c>
    </row>
    <row r="4168" spans="1:6" x14ac:dyDescent="0.25">
      <c r="A4168" t="s">
        <v>1743</v>
      </c>
      <c r="B4168" t="s">
        <v>37</v>
      </c>
      <c r="C4168" t="s">
        <v>140</v>
      </c>
      <c r="D4168" t="s">
        <v>3219</v>
      </c>
      <c r="E4168">
        <v>28.71</v>
      </c>
      <c r="F4168">
        <v>101.89</v>
      </c>
    </row>
    <row r="4169" spans="1:6" x14ac:dyDescent="0.25">
      <c r="A4169" t="s">
        <v>1744</v>
      </c>
      <c r="B4169" t="s">
        <v>37</v>
      </c>
      <c r="C4169" t="s">
        <v>141</v>
      </c>
      <c r="D4169" t="s">
        <v>3217</v>
      </c>
      <c r="E4169">
        <v>0</v>
      </c>
      <c r="F4169">
        <v>100.82</v>
      </c>
    </row>
    <row r="4170" spans="1:6" x14ac:dyDescent="0.25">
      <c r="A4170" t="s">
        <v>1744</v>
      </c>
      <c r="B4170" t="s">
        <v>37</v>
      </c>
      <c r="C4170" t="s">
        <v>141</v>
      </c>
      <c r="D4170" t="s">
        <v>3218</v>
      </c>
      <c r="E4170">
        <v>18.309999999999999</v>
      </c>
      <c r="F4170">
        <v>100.85</v>
      </c>
    </row>
    <row r="4171" spans="1:6" x14ac:dyDescent="0.25">
      <c r="A4171" t="s">
        <v>1744</v>
      </c>
      <c r="B4171" t="s">
        <v>37</v>
      </c>
      <c r="C4171" t="s">
        <v>141</v>
      </c>
      <c r="D4171" t="s">
        <v>3219</v>
      </c>
      <c r="E4171">
        <v>29.25</v>
      </c>
      <c r="F4171">
        <v>100.76</v>
      </c>
    </row>
    <row r="4172" spans="1:6" x14ac:dyDescent="0.25">
      <c r="A4172" t="s">
        <v>1745</v>
      </c>
      <c r="B4172" t="s">
        <v>37</v>
      </c>
      <c r="C4172" t="s">
        <v>142</v>
      </c>
      <c r="D4172" t="s">
        <v>3217</v>
      </c>
      <c r="E4172">
        <v>0</v>
      </c>
      <c r="F4172">
        <v>99.32</v>
      </c>
    </row>
    <row r="4173" spans="1:6" x14ac:dyDescent="0.25">
      <c r="A4173" t="s">
        <v>1745</v>
      </c>
      <c r="B4173" t="s">
        <v>37</v>
      </c>
      <c r="C4173" t="s">
        <v>142</v>
      </c>
      <c r="D4173" t="s">
        <v>3218</v>
      </c>
      <c r="E4173">
        <v>17.350000000000001</v>
      </c>
      <c r="F4173">
        <v>99.36</v>
      </c>
    </row>
    <row r="4174" spans="1:6" x14ac:dyDescent="0.25">
      <c r="A4174" t="s">
        <v>1745</v>
      </c>
      <c r="B4174" t="s">
        <v>37</v>
      </c>
      <c r="C4174" t="s">
        <v>142</v>
      </c>
      <c r="D4174" t="s">
        <v>3219</v>
      </c>
      <c r="E4174">
        <v>28.29</v>
      </c>
      <c r="F4174">
        <v>99.26</v>
      </c>
    </row>
    <row r="4175" spans="1:6" x14ac:dyDescent="0.25">
      <c r="A4175" t="s">
        <v>1746</v>
      </c>
      <c r="B4175" t="s">
        <v>37</v>
      </c>
      <c r="C4175" t="s">
        <v>143</v>
      </c>
      <c r="D4175" t="s">
        <v>3217</v>
      </c>
      <c r="E4175">
        <v>0</v>
      </c>
      <c r="F4175">
        <v>97.78</v>
      </c>
    </row>
    <row r="4176" spans="1:6" x14ac:dyDescent="0.25">
      <c r="A4176" t="s">
        <v>1746</v>
      </c>
      <c r="B4176" t="s">
        <v>37</v>
      </c>
      <c r="C4176" t="s">
        <v>143</v>
      </c>
      <c r="D4176" t="s">
        <v>3218</v>
      </c>
      <c r="E4176">
        <v>17.36</v>
      </c>
      <c r="F4176">
        <v>97.86</v>
      </c>
    </row>
    <row r="4177" spans="1:6" x14ac:dyDescent="0.25">
      <c r="A4177" t="s">
        <v>1746</v>
      </c>
      <c r="B4177" t="s">
        <v>37</v>
      </c>
      <c r="C4177" t="s">
        <v>143</v>
      </c>
      <c r="D4177" t="s">
        <v>3219</v>
      </c>
      <c r="E4177">
        <v>27.14</v>
      </c>
      <c r="F4177">
        <v>97.56</v>
      </c>
    </row>
    <row r="4178" spans="1:6" x14ac:dyDescent="0.25">
      <c r="A4178" t="s">
        <v>1747</v>
      </c>
      <c r="B4178" t="s">
        <v>37</v>
      </c>
      <c r="C4178" t="s">
        <v>144</v>
      </c>
      <c r="D4178" t="s">
        <v>3217</v>
      </c>
      <c r="E4178">
        <v>0</v>
      </c>
      <c r="F4178">
        <v>96.27</v>
      </c>
    </row>
    <row r="4179" spans="1:6" x14ac:dyDescent="0.25">
      <c r="A4179" t="s">
        <v>1747</v>
      </c>
      <c r="B4179" t="s">
        <v>37</v>
      </c>
      <c r="C4179" t="s">
        <v>144</v>
      </c>
      <c r="D4179" t="s">
        <v>3218</v>
      </c>
      <c r="E4179">
        <v>16.29</v>
      </c>
      <c r="F4179">
        <v>96.26</v>
      </c>
    </row>
    <row r="4180" spans="1:6" x14ac:dyDescent="0.25">
      <c r="A4180" t="s">
        <v>1747</v>
      </c>
      <c r="B4180" t="s">
        <v>37</v>
      </c>
      <c r="C4180" t="s">
        <v>144</v>
      </c>
      <c r="D4180" t="s">
        <v>3219</v>
      </c>
      <c r="E4180">
        <v>27.2</v>
      </c>
      <c r="F4180">
        <v>95.95</v>
      </c>
    </row>
    <row r="4181" spans="1:6" x14ac:dyDescent="0.25">
      <c r="A4181" t="s">
        <v>1748</v>
      </c>
      <c r="B4181" t="s">
        <v>37</v>
      </c>
      <c r="C4181" t="s">
        <v>145</v>
      </c>
      <c r="D4181" t="s">
        <v>3217</v>
      </c>
      <c r="E4181">
        <v>0</v>
      </c>
      <c r="F4181">
        <v>94.7</v>
      </c>
    </row>
    <row r="4182" spans="1:6" x14ac:dyDescent="0.25">
      <c r="A4182" t="s">
        <v>1748</v>
      </c>
      <c r="B4182" t="s">
        <v>37</v>
      </c>
      <c r="C4182" t="s">
        <v>145</v>
      </c>
      <c r="D4182" t="s">
        <v>3218</v>
      </c>
      <c r="E4182">
        <v>16.86</v>
      </c>
      <c r="F4182">
        <v>94.82</v>
      </c>
    </row>
    <row r="4183" spans="1:6" x14ac:dyDescent="0.25">
      <c r="A4183" t="s">
        <v>1748</v>
      </c>
      <c r="B4183" t="s">
        <v>37</v>
      </c>
      <c r="C4183" t="s">
        <v>145</v>
      </c>
      <c r="D4183" t="s">
        <v>3219</v>
      </c>
      <c r="E4183">
        <v>27.82</v>
      </c>
      <c r="F4183">
        <v>94.46</v>
      </c>
    </row>
    <row r="4184" spans="1:6" x14ac:dyDescent="0.25">
      <c r="A4184" t="s">
        <v>1749</v>
      </c>
      <c r="B4184" t="s">
        <v>37</v>
      </c>
      <c r="C4184" t="s">
        <v>146</v>
      </c>
      <c r="D4184" t="s">
        <v>3217</v>
      </c>
      <c r="E4184">
        <v>0</v>
      </c>
      <c r="F4184">
        <v>92.94</v>
      </c>
    </row>
    <row r="4185" spans="1:6" x14ac:dyDescent="0.25">
      <c r="A4185" t="s">
        <v>1749</v>
      </c>
      <c r="B4185" t="s">
        <v>37</v>
      </c>
      <c r="C4185" t="s">
        <v>146</v>
      </c>
      <c r="D4185" t="s">
        <v>3218</v>
      </c>
      <c r="E4185">
        <v>16.440000000000001</v>
      </c>
      <c r="F4185">
        <v>93.26</v>
      </c>
    </row>
    <row r="4186" spans="1:6" x14ac:dyDescent="0.25">
      <c r="A4186" t="s">
        <v>1749</v>
      </c>
      <c r="B4186" t="s">
        <v>37</v>
      </c>
      <c r="C4186" t="s">
        <v>146</v>
      </c>
      <c r="D4186" t="s">
        <v>3219</v>
      </c>
      <c r="E4186">
        <v>28.15</v>
      </c>
      <c r="F4186">
        <v>93</v>
      </c>
    </row>
    <row r="4187" spans="1:6" x14ac:dyDescent="0.25">
      <c r="A4187" t="s">
        <v>1750</v>
      </c>
      <c r="B4187" t="s">
        <v>37</v>
      </c>
      <c r="C4187" t="s">
        <v>147</v>
      </c>
      <c r="D4187" t="s">
        <v>3217</v>
      </c>
      <c r="E4187">
        <v>0</v>
      </c>
      <c r="F4187">
        <v>91.37</v>
      </c>
    </row>
    <row r="4188" spans="1:6" x14ac:dyDescent="0.25">
      <c r="A4188" t="s">
        <v>1750</v>
      </c>
      <c r="B4188" t="s">
        <v>37</v>
      </c>
      <c r="C4188" t="s">
        <v>147</v>
      </c>
      <c r="D4188" t="s">
        <v>3218</v>
      </c>
      <c r="E4188">
        <v>16.3</v>
      </c>
      <c r="F4188">
        <v>91.65</v>
      </c>
    </row>
    <row r="4189" spans="1:6" x14ac:dyDescent="0.25">
      <c r="A4189" t="s">
        <v>1750</v>
      </c>
      <c r="B4189" t="s">
        <v>37</v>
      </c>
      <c r="C4189" t="s">
        <v>147</v>
      </c>
      <c r="D4189" t="s">
        <v>3219</v>
      </c>
      <c r="E4189">
        <v>28.85</v>
      </c>
      <c r="F4189">
        <v>91.44</v>
      </c>
    </row>
    <row r="4190" spans="1:6" x14ac:dyDescent="0.25">
      <c r="A4190" t="s">
        <v>1751</v>
      </c>
      <c r="B4190" t="s">
        <v>37</v>
      </c>
      <c r="C4190" t="s">
        <v>148</v>
      </c>
      <c r="D4190" t="s">
        <v>3217</v>
      </c>
      <c r="E4190">
        <v>0</v>
      </c>
      <c r="F4190">
        <v>89.87</v>
      </c>
    </row>
    <row r="4191" spans="1:6" x14ac:dyDescent="0.25">
      <c r="A4191" t="s">
        <v>1751</v>
      </c>
      <c r="B4191" t="s">
        <v>37</v>
      </c>
      <c r="C4191" t="s">
        <v>148</v>
      </c>
      <c r="D4191" t="s">
        <v>3218</v>
      </c>
      <c r="E4191">
        <v>17.18</v>
      </c>
      <c r="F4191">
        <v>89.94</v>
      </c>
    </row>
    <row r="4192" spans="1:6" x14ac:dyDescent="0.25">
      <c r="A4192" t="s">
        <v>1751</v>
      </c>
      <c r="B4192" t="s">
        <v>37</v>
      </c>
      <c r="C4192" t="s">
        <v>148</v>
      </c>
      <c r="D4192" t="s">
        <v>3219</v>
      </c>
      <c r="E4192">
        <v>30.96</v>
      </c>
      <c r="F4192">
        <v>89.77</v>
      </c>
    </row>
    <row r="4193" spans="1:6" x14ac:dyDescent="0.25">
      <c r="A4193" t="s">
        <v>1752</v>
      </c>
      <c r="B4193" t="s">
        <v>37</v>
      </c>
      <c r="C4193" t="s">
        <v>149</v>
      </c>
      <c r="D4193" t="s">
        <v>3217</v>
      </c>
      <c r="E4193">
        <v>0</v>
      </c>
      <c r="F4193">
        <v>88.21</v>
      </c>
    </row>
    <row r="4194" spans="1:6" x14ac:dyDescent="0.25">
      <c r="A4194" t="s">
        <v>1752</v>
      </c>
      <c r="B4194" t="s">
        <v>37</v>
      </c>
      <c r="C4194" t="s">
        <v>149</v>
      </c>
      <c r="D4194" t="s">
        <v>3218</v>
      </c>
      <c r="E4194">
        <v>16.95</v>
      </c>
      <c r="F4194">
        <v>88.39</v>
      </c>
    </row>
    <row r="4195" spans="1:6" x14ac:dyDescent="0.25">
      <c r="A4195" t="s">
        <v>1752</v>
      </c>
      <c r="B4195" t="s">
        <v>37</v>
      </c>
      <c r="C4195" t="s">
        <v>149</v>
      </c>
      <c r="D4195" t="s">
        <v>3219</v>
      </c>
      <c r="E4195">
        <v>30.72</v>
      </c>
      <c r="F4195">
        <v>88.41</v>
      </c>
    </row>
    <row r="4196" spans="1:6" x14ac:dyDescent="0.25">
      <c r="A4196" t="s">
        <v>1753</v>
      </c>
      <c r="B4196" t="s">
        <v>37</v>
      </c>
      <c r="C4196" t="s">
        <v>150</v>
      </c>
      <c r="D4196" t="s">
        <v>3217</v>
      </c>
      <c r="E4196">
        <v>0</v>
      </c>
      <c r="F4196">
        <v>86.76</v>
      </c>
    </row>
    <row r="4197" spans="1:6" x14ac:dyDescent="0.25">
      <c r="A4197" t="s">
        <v>1753</v>
      </c>
      <c r="B4197" t="s">
        <v>37</v>
      </c>
      <c r="C4197" t="s">
        <v>150</v>
      </c>
      <c r="D4197" t="s">
        <v>3218</v>
      </c>
      <c r="E4197">
        <v>17.399999999999999</v>
      </c>
      <c r="F4197">
        <v>87.01</v>
      </c>
    </row>
    <row r="4198" spans="1:6" x14ac:dyDescent="0.25">
      <c r="A4198" t="s">
        <v>1753</v>
      </c>
      <c r="B4198" t="s">
        <v>37</v>
      </c>
      <c r="C4198" t="s">
        <v>150</v>
      </c>
      <c r="D4198" t="s">
        <v>3219</v>
      </c>
      <c r="E4198">
        <v>30.55</v>
      </c>
      <c r="F4198">
        <v>86.91</v>
      </c>
    </row>
    <row r="4199" spans="1:6" x14ac:dyDescent="0.25">
      <c r="A4199" t="s">
        <v>1754</v>
      </c>
      <c r="B4199" t="s">
        <v>37</v>
      </c>
      <c r="C4199" t="s">
        <v>151</v>
      </c>
      <c r="D4199" t="s">
        <v>3217</v>
      </c>
      <c r="E4199">
        <v>0</v>
      </c>
      <c r="F4199">
        <v>85.24</v>
      </c>
    </row>
    <row r="4200" spans="1:6" x14ac:dyDescent="0.25">
      <c r="A4200" t="s">
        <v>1754</v>
      </c>
      <c r="B4200" t="s">
        <v>37</v>
      </c>
      <c r="C4200" t="s">
        <v>151</v>
      </c>
      <c r="D4200" t="s">
        <v>3218</v>
      </c>
      <c r="E4200">
        <v>16.850000000000001</v>
      </c>
      <c r="F4200">
        <v>85.46</v>
      </c>
    </row>
    <row r="4201" spans="1:6" x14ac:dyDescent="0.25">
      <c r="A4201" t="s">
        <v>1754</v>
      </c>
      <c r="B4201" t="s">
        <v>37</v>
      </c>
      <c r="C4201" t="s">
        <v>151</v>
      </c>
      <c r="D4201" t="s">
        <v>3219</v>
      </c>
      <c r="E4201">
        <v>29.27</v>
      </c>
      <c r="F4201">
        <v>85.36</v>
      </c>
    </row>
    <row r="4202" spans="1:6" x14ac:dyDescent="0.25">
      <c r="A4202" t="s">
        <v>1755</v>
      </c>
      <c r="B4202" t="s">
        <v>37</v>
      </c>
      <c r="C4202" t="s">
        <v>152</v>
      </c>
      <c r="D4202" t="s">
        <v>3217</v>
      </c>
      <c r="E4202">
        <v>0</v>
      </c>
      <c r="F4202">
        <v>83.8</v>
      </c>
    </row>
    <row r="4203" spans="1:6" x14ac:dyDescent="0.25">
      <c r="A4203" t="s">
        <v>1755</v>
      </c>
      <c r="B4203" t="s">
        <v>37</v>
      </c>
      <c r="C4203" t="s">
        <v>152</v>
      </c>
      <c r="D4203" t="s">
        <v>3218</v>
      </c>
      <c r="E4203">
        <v>17.420000000000002</v>
      </c>
      <c r="F4203">
        <v>84.03</v>
      </c>
    </row>
    <row r="4204" spans="1:6" x14ac:dyDescent="0.25">
      <c r="A4204" t="s">
        <v>1755</v>
      </c>
      <c r="B4204" t="s">
        <v>37</v>
      </c>
      <c r="C4204" t="s">
        <v>152</v>
      </c>
      <c r="D4204" t="s">
        <v>3219</v>
      </c>
      <c r="E4204">
        <v>29.29</v>
      </c>
      <c r="F4204">
        <v>83.7</v>
      </c>
    </row>
    <row r="4205" spans="1:6" x14ac:dyDescent="0.25">
      <c r="A4205" t="s">
        <v>1756</v>
      </c>
      <c r="B4205" t="s">
        <v>37</v>
      </c>
      <c r="C4205" t="s">
        <v>153</v>
      </c>
      <c r="D4205" t="s">
        <v>3217</v>
      </c>
      <c r="E4205">
        <v>0</v>
      </c>
      <c r="F4205">
        <v>82.32</v>
      </c>
    </row>
    <row r="4206" spans="1:6" x14ac:dyDescent="0.25">
      <c r="A4206" t="s">
        <v>1756</v>
      </c>
      <c r="B4206" t="s">
        <v>37</v>
      </c>
      <c r="C4206" t="s">
        <v>153</v>
      </c>
      <c r="D4206" t="s">
        <v>3218</v>
      </c>
      <c r="E4206">
        <v>18.21</v>
      </c>
      <c r="F4206">
        <v>82.45</v>
      </c>
    </row>
    <row r="4207" spans="1:6" x14ac:dyDescent="0.25">
      <c r="A4207" t="s">
        <v>1756</v>
      </c>
      <c r="B4207" t="s">
        <v>37</v>
      </c>
      <c r="C4207" t="s">
        <v>153</v>
      </c>
      <c r="D4207" t="s">
        <v>3219</v>
      </c>
      <c r="E4207">
        <v>29.26</v>
      </c>
      <c r="F4207">
        <v>82.19</v>
      </c>
    </row>
    <row r="4208" spans="1:6" x14ac:dyDescent="0.25">
      <c r="A4208" t="s">
        <v>1757</v>
      </c>
      <c r="B4208" t="s">
        <v>37</v>
      </c>
      <c r="C4208" t="s">
        <v>154</v>
      </c>
      <c r="D4208" t="s">
        <v>3217</v>
      </c>
      <c r="E4208">
        <v>0</v>
      </c>
      <c r="F4208">
        <v>80.819999999999993</v>
      </c>
    </row>
    <row r="4209" spans="1:6" x14ac:dyDescent="0.25">
      <c r="A4209" t="s">
        <v>1757</v>
      </c>
      <c r="B4209" t="s">
        <v>37</v>
      </c>
      <c r="C4209" t="s">
        <v>154</v>
      </c>
      <c r="D4209" t="s">
        <v>3218</v>
      </c>
      <c r="E4209">
        <v>18.190000000000001</v>
      </c>
      <c r="F4209">
        <v>80.849999999999994</v>
      </c>
    </row>
    <row r="4210" spans="1:6" x14ac:dyDescent="0.25">
      <c r="A4210" t="s">
        <v>1757</v>
      </c>
      <c r="B4210" t="s">
        <v>37</v>
      </c>
      <c r="C4210" t="s">
        <v>154</v>
      </c>
      <c r="D4210" t="s">
        <v>3219</v>
      </c>
      <c r="E4210">
        <v>28.44</v>
      </c>
      <c r="F4210">
        <v>80.66</v>
      </c>
    </row>
    <row r="4211" spans="1:6" x14ac:dyDescent="0.25">
      <c r="A4211" t="s">
        <v>1758</v>
      </c>
      <c r="B4211" t="s">
        <v>37</v>
      </c>
      <c r="C4211" t="s">
        <v>155</v>
      </c>
      <c r="D4211" t="s">
        <v>3217</v>
      </c>
      <c r="E4211">
        <v>0</v>
      </c>
      <c r="F4211">
        <v>79.349999999999994</v>
      </c>
    </row>
    <row r="4212" spans="1:6" x14ac:dyDescent="0.25">
      <c r="A4212" t="s">
        <v>1758</v>
      </c>
      <c r="B4212" t="s">
        <v>37</v>
      </c>
      <c r="C4212" t="s">
        <v>155</v>
      </c>
      <c r="D4212" t="s">
        <v>3218</v>
      </c>
      <c r="E4212">
        <v>18.22</v>
      </c>
      <c r="F4212">
        <v>79.41</v>
      </c>
    </row>
    <row r="4213" spans="1:6" x14ac:dyDescent="0.25">
      <c r="A4213" t="s">
        <v>1758</v>
      </c>
      <c r="B4213" t="s">
        <v>37</v>
      </c>
      <c r="C4213" t="s">
        <v>155</v>
      </c>
      <c r="D4213" t="s">
        <v>3219</v>
      </c>
      <c r="E4213">
        <v>28.26</v>
      </c>
      <c r="F4213">
        <v>79.19</v>
      </c>
    </row>
    <row r="4214" spans="1:6" x14ac:dyDescent="0.25">
      <c r="A4214" t="s">
        <v>1759</v>
      </c>
      <c r="B4214" t="s">
        <v>37</v>
      </c>
      <c r="C4214" t="s">
        <v>156</v>
      </c>
      <c r="D4214" t="s">
        <v>3217</v>
      </c>
      <c r="E4214">
        <v>0</v>
      </c>
      <c r="F4214">
        <v>77.959999999999994</v>
      </c>
    </row>
    <row r="4215" spans="1:6" x14ac:dyDescent="0.25">
      <c r="A4215" t="s">
        <v>1759</v>
      </c>
      <c r="B4215" t="s">
        <v>37</v>
      </c>
      <c r="C4215" t="s">
        <v>156</v>
      </c>
      <c r="D4215" t="s">
        <v>3218</v>
      </c>
      <c r="E4215">
        <v>18.079999999999998</v>
      </c>
      <c r="F4215">
        <v>77.790000000000006</v>
      </c>
    </row>
    <row r="4216" spans="1:6" x14ac:dyDescent="0.25">
      <c r="A4216" t="s">
        <v>1759</v>
      </c>
      <c r="B4216" t="s">
        <v>37</v>
      </c>
      <c r="C4216" t="s">
        <v>156</v>
      </c>
      <c r="D4216" t="s">
        <v>3219</v>
      </c>
      <c r="E4216">
        <v>28.27</v>
      </c>
      <c r="F4216">
        <v>77.47</v>
      </c>
    </row>
    <row r="4217" spans="1:6" x14ac:dyDescent="0.25">
      <c r="A4217" t="s">
        <v>1760</v>
      </c>
      <c r="B4217" t="s">
        <v>37</v>
      </c>
      <c r="C4217" t="s">
        <v>157</v>
      </c>
      <c r="D4217" t="s">
        <v>3217</v>
      </c>
      <c r="E4217">
        <v>0</v>
      </c>
      <c r="F4217">
        <v>76.349999999999994</v>
      </c>
    </row>
    <row r="4218" spans="1:6" x14ac:dyDescent="0.25">
      <c r="A4218" t="s">
        <v>1760</v>
      </c>
      <c r="B4218" t="s">
        <v>37</v>
      </c>
      <c r="C4218" t="s">
        <v>157</v>
      </c>
      <c r="D4218" t="s">
        <v>3218</v>
      </c>
      <c r="E4218">
        <v>17.78</v>
      </c>
      <c r="F4218">
        <v>76.19</v>
      </c>
    </row>
    <row r="4219" spans="1:6" x14ac:dyDescent="0.25">
      <c r="A4219" t="s">
        <v>1760</v>
      </c>
      <c r="B4219" t="s">
        <v>37</v>
      </c>
      <c r="C4219" t="s">
        <v>157</v>
      </c>
      <c r="D4219" t="s">
        <v>3219</v>
      </c>
      <c r="E4219">
        <v>27.68</v>
      </c>
      <c r="F4219">
        <v>75.92</v>
      </c>
    </row>
    <row r="4220" spans="1:6" x14ac:dyDescent="0.25">
      <c r="A4220" t="s">
        <v>1761</v>
      </c>
      <c r="B4220" t="s">
        <v>37</v>
      </c>
      <c r="C4220" t="s">
        <v>158</v>
      </c>
      <c r="D4220" t="s">
        <v>3217</v>
      </c>
      <c r="E4220">
        <v>0</v>
      </c>
      <c r="F4220">
        <v>74.739999999999995</v>
      </c>
    </row>
    <row r="4221" spans="1:6" x14ac:dyDescent="0.25">
      <c r="A4221" t="s">
        <v>1761</v>
      </c>
      <c r="B4221" t="s">
        <v>37</v>
      </c>
      <c r="C4221" t="s">
        <v>158</v>
      </c>
      <c r="D4221" t="s">
        <v>3218</v>
      </c>
      <c r="E4221">
        <v>17.39</v>
      </c>
      <c r="F4221">
        <v>74.67</v>
      </c>
    </row>
    <row r="4222" spans="1:6" x14ac:dyDescent="0.25">
      <c r="A4222" t="s">
        <v>1761</v>
      </c>
      <c r="B4222" t="s">
        <v>37</v>
      </c>
      <c r="C4222" t="s">
        <v>158</v>
      </c>
      <c r="D4222" t="s">
        <v>3219</v>
      </c>
      <c r="E4222">
        <v>26.85</v>
      </c>
      <c r="F4222">
        <v>74.37</v>
      </c>
    </row>
    <row r="4223" spans="1:6" x14ac:dyDescent="0.25">
      <c r="A4223" t="s">
        <v>1762</v>
      </c>
      <c r="B4223" t="s">
        <v>37</v>
      </c>
      <c r="C4223" t="s">
        <v>159</v>
      </c>
      <c r="D4223" t="s">
        <v>3217</v>
      </c>
      <c r="E4223">
        <v>0</v>
      </c>
      <c r="F4223">
        <v>73.239999999999995</v>
      </c>
    </row>
    <row r="4224" spans="1:6" x14ac:dyDescent="0.25">
      <c r="A4224" t="s">
        <v>1762</v>
      </c>
      <c r="B4224" t="s">
        <v>37</v>
      </c>
      <c r="C4224" t="s">
        <v>159</v>
      </c>
      <c r="D4224" t="s">
        <v>3218</v>
      </c>
      <c r="E4224">
        <v>20</v>
      </c>
      <c r="F4224">
        <v>73.08</v>
      </c>
    </row>
    <row r="4225" spans="1:6" x14ac:dyDescent="0.25">
      <c r="A4225" t="s">
        <v>1762</v>
      </c>
      <c r="B4225" t="s">
        <v>37</v>
      </c>
      <c r="C4225" t="s">
        <v>159</v>
      </c>
      <c r="D4225" t="s">
        <v>3219</v>
      </c>
      <c r="E4225">
        <v>29.79</v>
      </c>
      <c r="F4225">
        <v>72.84</v>
      </c>
    </row>
    <row r="4226" spans="1:6" x14ac:dyDescent="0.25">
      <c r="A4226" t="s">
        <v>1763</v>
      </c>
      <c r="B4226" t="s">
        <v>37</v>
      </c>
      <c r="C4226" t="s">
        <v>160</v>
      </c>
      <c r="D4226" t="s">
        <v>3217</v>
      </c>
      <c r="E4226">
        <v>0</v>
      </c>
      <c r="F4226">
        <v>71.84</v>
      </c>
    </row>
    <row r="4227" spans="1:6" x14ac:dyDescent="0.25">
      <c r="A4227" t="s">
        <v>1763</v>
      </c>
      <c r="B4227" t="s">
        <v>37</v>
      </c>
      <c r="C4227" t="s">
        <v>160</v>
      </c>
      <c r="D4227" t="s">
        <v>3218</v>
      </c>
      <c r="E4227">
        <v>20</v>
      </c>
      <c r="F4227">
        <v>71.59</v>
      </c>
    </row>
    <row r="4228" spans="1:6" x14ac:dyDescent="0.25">
      <c r="A4228" t="s">
        <v>1763</v>
      </c>
      <c r="B4228" t="s">
        <v>37</v>
      </c>
      <c r="C4228" t="s">
        <v>160</v>
      </c>
      <c r="D4228" t="s">
        <v>3219</v>
      </c>
      <c r="E4228">
        <v>30.15</v>
      </c>
      <c r="F4228">
        <v>71.31</v>
      </c>
    </row>
    <row r="4229" spans="1:6" x14ac:dyDescent="0.25">
      <c r="A4229" t="s">
        <v>1764</v>
      </c>
      <c r="B4229" t="s">
        <v>37</v>
      </c>
      <c r="C4229" t="s">
        <v>161</v>
      </c>
      <c r="D4229" t="s">
        <v>3217</v>
      </c>
      <c r="E4229">
        <v>0</v>
      </c>
      <c r="F4229">
        <v>70.34</v>
      </c>
    </row>
    <row r="4230" spans="1:6" x14ac:dyDescent="0.25">
      <c r="A4230" t="s">
        <v>1764</v>
      </c>
      <c r="B4230" t="s">
        <v>37</v>
      </c>
      <c r="C4230" t="s">
        <v>161</v>
      </c>
      <c r="D4230" t="s">
        <v>3218</v>
      </c>
      <c r="E4230">
        <v>20</v>
      </c>
      <c r="F4230">
        <v>70.180000000000007</v>
      </c>
    </row>
    <row r="4231" spans="1:6" x14ac:dyDescent="0.25">
      <c r="A4231" t="s">
        <v>1764</v>
      </c>
      <c r="B4231" t="s">
        <v>37</v>
      </c>
      <c r="C4231" t="s">
        <v>161</v>
      </c>
      <c r="D4231" t="s">
        <v>3219</v>
      </c>
      <c r="E4231">
        <v>30.54</v>
      </c>
      <c r="F4231">
        <v>70.06</v>
      </c>
    </row>
    <row r="4232" spans="1:6" x14ac:dyDescent="0.25">
      <c r="A4232" t="s">
        <v>1765</v>
      </c>
      <c r="B4232" t="s">
        <v>37</v>
      </c>
      <c r="C4232" t="s">
        <v>162</v>
      </c>
      <c r="D4232" t="s">
        <v>3217</v>
      </c>
      <c r="E4232">
        <v>0</v>
      </c>
      <c r="F4232">
        <v>69.2</v>
      </c>
    </row>
    <row r="4233" spans="1:6" x14ac:dyDescent="0.25">
      <c r="A4233" t="s">
        <v>1765</v>
      </c>
      <c r="B4233" t="s">
        <v>37</v>
      </c>
      <c r="C4233" t="s">
        <v>162</v>
      </c>
      <c r="D4233" t="s">
        <v>3218</v>
      </c>
      <c r="E4233">
        <v>20</v>
      </c>
      <c r="F4233">
        <v>69.09</v>
      </c>
    </row>
    <row r="4234" spans="1:6" x14ac:dyDescent="0.25">
      <c r="A4234" t="s">
        <v>1765</v>
      </c>
      <c r="B4234" t="s">
        <v>37</v>
      </c>
      <c r="C4234" t="s">
        <v>162</v>
      </c>
      <c r="D4234" t="s">
        <v>3219</v>
      </c>
      <c r="E4234">
        <v>30.83</v>
      </c>
      <c r="F4234">
        <v>68.849999999999994</v>
      </c>
    </row>
    <row r="4235" spans="1:6" x14ac:dyDescent="0.25">
      <c r="A4235" t="s">
        <v>1766</v>
      </c>
      <c r="B4235" t="s">
        <v>37</v>
      </c>
      <c r="C4235" t="s">
        <v>163</v>
      </c>
      <c r="D4235" t="s">
        <v>3217</v>
      </c>
      <c r="E4235">
        <v>0</v>
      </c>
      <c r="F4235">
        <v>67.69</v>
      </c>
    </row>
    <row r="4236" spans="1:6" x14ac:dyDescent="0.25">
      <c r="A4236" t="s">
        <v>1766</v>
      </c>
      <c r="B4236" t="s">
        <v>37</v>
      </c>
      <c r="C4236" t="s">
        <v>163</v>
      </c>
      <c r="D4236" t="s">
        <v>3218</v>
      </c>
      <c r="E4236">
        <v>17.03</v>
      </c>
      <c r="F4236">
        <v>67.94</v>
      </c>
    </row>
    <row r="4237" spans="1:6" x14ac:dyDescent="0.25">
      <c r="A4237" t="s">
        <v>1766</v>
      </c>
      <c r="B4237" t="s">
        <v>37</v>
      </c>
      <c r="C4237" t="s">
        <v>163</v>
      </c>
      <c r="D4237" t="s">
        <v>3219</v>
      </c>
      <c r="E4237">
        <v>28.34</v>
      </c>
      <c r="F4237">
        <v>67.77</v>
      </c>
    </row>
    <row r="4238" spans="1:6" x14ac:dyDescent="0.25">
      <c r="A4238" t="s">
        <v>1767</v>
      </c>
      <c r="B4238" t="s">
        <v>37</v>
      </c>
      <c r="C4238" t="s">
        <v>164</v>
      </c>
      <c r="D4238" t="s">
        <v>3217</v>
      </c>
      <c r="E4238">
        <v>0</v>
      </c>
      <c r="F4238">
        <v>66.569999999999993</v>
      </c>
    </row>
    <row r="4239" spans="1:6" x14ac:dyDescent="0.25">
      <c r="A4239" t="s">
        <v>1767</v>
      </c>
      <c r="B4239" t="s">
        <v>37</v>
      </c>
      <c r="C4239" t="s">
        <v>164</v>
      </c>
      <c r="D4239" t="s">
        <v>3218</v>
      </c>
      <c r="E4239">
        <v>17.010000000000002</v>
      </c>
      <c r="F4239">
        <v>66.91</v>
      </c>
    </row>
    <row r="4240" spans="1:6" x14ac:dyDescent="0.25">
      <c r="A4240" t="s">
        <v>1767</v>
      </c>
      <c r="B4240" t="s">
        <v>37</v>
      </c>
      <c r="C4240" t="s">
        <v>164</v>
      </c>
      <c r="D4240" t="s">
        <v>3219</v>
      </c>
      <c r="E4240">
        <v>29.04</v>
      </c>
      <c r="F4240">
        <v>66.959999999999994</v>
      </c>
    </row>
    <row r="4241" spans="1:6" x14ac:dyDescent="0.25">
      <c r="A4241" t="s">
        <v>1768</v>
      </c>
      <c r="B4241" t="s">
        <v>37</v>
      </c>
      <c r="C4241" t="s">
        <v>170</v>
      </c>
      <c r="D4241" t="s">
        <v>3217</v>
      </c>
      <c r="E4241">
        <v>0</v>
      </c>
      <c r="F4241">
        <v>65.63</v>
      </c>
    </row>
    <row r="4242" spans="1:6" x14ac:dyDescent="0.25">
      <c r="A4242" t="s">
        <v>1768</v>
      </c>
      <c r="B4242" t="s">
        <v>37</v>
      </c>
      <c r="C4242" t="s">
        <v>170</v>
      </c>
      <c r="D4242" t="s">
        <v>3218</v>
      </c>
      <c r="E4242">
        <v>16.899999999999999</v>
      </c>
      <c r="F4242">
        <v>65.87</v>
      </c>
    </row>
    <row r="4243" spans="1:6" x14ac:dyDescent="0.25">
      <c r="A4243" t="s">
        <v>1768</v>
      </c>
      <c r="B4243" t="s">
        <v>37</v>
      </c>
      <c r="C4243" t="s">
        <v>170</v>
      </c>
      <c r="D4243" t="s">
        <v>3219</v>
      </c>
      <c r="E4243">
        <v>29.13</v>
      </c>
      <c r="F4243">
        <v>65.84</v>
      </c>
    </row>
    <row r="4244" spans="1:6" x14ac:dyDescent="0.25">
      <c r="A4244" t="s">
        <v>1769</v>
      </c>
      <c r="B4244" t="s">
        <v>37</v>
      </c>
      <c r="C4244" t="s">
        <v>171</v>
      </c>
      <c r="D4244" t="s">
        <v>3217</v>
      </c>
      <c r="E4244">
        <v>0</v>
      </c>
      <c r="F4244">
        <v>64.62</v>
      </c>
    </row>
    <row r="4245" spans="1:6" x14ac:dyDescent="0.25">
      <c r="A4245" t="s">
        <v>1769</v>
      </c>
      <c r="B4245" t="s">
        <v>37</v>
      </c>
      <c r="C4245" t="s">
        <v>171</v>
      </c>
      <c r="D4245" t="s">
        <v>3218</v>
      </c>
      <c r="E4245">
        <v>17.29</v>
      </c>
      <c r="F4245">
        <v>64.97</v>
      </c>
    </row>
    <row r="4246" spans="1:6" x14ac:dyDescent="0.25">
      <c r="A4246" t="s">
        <v>1769</v>
      </c>
      <c r="B4246" t="s">
        <v>37</v>
      </c>
      <c r="C4246" t="s">
        <v>171</v>
      </c>
      <c r="D4246" t="s">
        <v>3219</v>
      </c>
      <c r="E4246">
        <v>30.32</v>
      </c>
      <c r="F4246">
        <v>65.16</v>
      </c>
    </row>
    <row r="4247" spans="1:6" x14ac:dyDescent="0.25">
      <c r="A4247" t="s">
        <v>1770</v>
      </c>
      <c r="B4247" t="s">
        <v>37</v>
      </c>
      <c r="C4247" t="s">
        <v>172</v>
      </c>
      <c r="D4247" t="s">
        <v>3217</v>
      </c>
      <c r="E4247">
        <v>0</v>
      </c>
      <c r="F4247">
        <v>63.56</v>
      </c>
    </row>
    <row r="4248" spans="1:6" x14ac:dyDescent="0.25">
      <c r="A4248" t="s">
        <v>1770</v>
      </c>
      <c r="B4248" t="s">
        <v>37</v>
      </c>
      <c r="C4248" t="s">
        <v>172</v>
      </c>
      <c r="D4248" t="s">
        <v>3218</v>
      </c>
      <c r="E4248">
        <v>17.600000000000001</v>
      </c>
      <c r="F4248">
        <v>63.82</v>
      </c>
    </row>
    <row r="4249" spans="1:6" x14ac:dyDescent="0.25">
      <c r="A4249" t="s">
        <v>1770</v>
      </c>
      <c r="B4249" t="s">
        <v>37</v>
      </c>
      <c r="C4249" t="s">
        <v>172</v>
      </c>
      <c r="D4249" t="s">
        <v>3219</v>
      </c>
      <c r="E4249">
        <v>32.119999999999997</v>
      </c>
      <c r="F4249">
        <v>63.73</v>
      </c>
    </row>
    <row r="4250" spans="1:6" x14ac:dyDescent="0.25">
      <c r="A4250" t="s">
        <v>1771</v>
      </c>
      <c r="B4250" t="s">
        <v>37</v>
      </c>
      <c r="C4250" t="s">
        <v>173</v>
      </c>
      <c r="D4250" t="s">
        <v>3217</v>
      </c>
      <c r="E4250">
        <v>0</v>
      </c>
      <c r="F4250">
        <v>62.51</v>
      </c>
    </row>
    <row r="4251" spans="1:6" x14ac:dyDescent="0.25">
      <c r="A4251" t="s">
        <v>1771</v>
      </c>
      <c r="B4251" t="s">
        <v>37</v>
      </c>
      <c r="C4251" t="s">
        <v>173</v>
      </c>
      <c r="D4251" t="s">
        <v>3218</v>
      </c>
      <c r="E4251">
        <v>17</v>
      </c>
      <c r="F4251">
        <v>62.81</v>
      </c>
    </row>
    <row r="4252" spans="1:6" x14ac:dyDescent="0.25">
      <c r="A4252" t="s">
        <v>1771</v>
      </c>
      <c r="B4252" t="s">
        <v>37</v>
      </c>
      <c r="C4252" t="s">
        <v>173</v>
      </c>
      <c r="D4252" t="s">
        <v>3219</v>
      </c>
      <c r="E4252">
        <v>32.47</v>
      </c>
      <c r="F4252">
        <v>62.78</v>
      </c>
    </row>
    <row r="4253" spans="1:6" x14ac:dyDescent="0.25">
      <c r="A4253" t="s">
        <v>1772</v>
      </c>
      <c r="B4253" t="s">
        <v>37</v>
      </c>
      <c r="C4253" t="s">
        <v>174</v>
      </c>
      <c r="D4253" t="s">
        <v>3217</v>
      </c>
      <c r="E4253">
        <v>0</v>
      </c>
      <c r="F4253">
        <v>61.32</v>
      </c>
    </row>
    <row r="4254" spans="1:6" x14ac:dyDescent="0.25">
      <c r="A4254" t="s">
        <v>1772</v>
      </c>
      <c r="B4254" t="s">
        <v>37</v>
      </c>
      <c r="C4254" t="s">
        <v>174</v>
      </c>
      <c r="D4254" t="s">
        <v>3218</v>
      </c>
      <c r="E4254">
        <v>15.77</v>
      </c>
      <c r="F4254">
        <v>61.68</v>
      </c>
    </row>
    <row r="4255" spans="1:6" x14ac:dyDescent="0.25">
      <c r="A4255" t="s">
        <v>1772</v>
      </c>
      <c r="B4255" t="s">
        <v>37</v>
      </c>
      <c r="C4255" t="s">
        <v>174</v>
      </c>
      <c r="D4255" t="s">
        <v>3219</v>
      </c>
      <c r="E4255">
        <v>31.19</v>
      </c>
      <c r="F4255">
        <v>61.66</v>
      </c>
    </row>
    <row r="4256" spans="1:6" x14ac:dyDescent="0.25">
      <c r="A4256" t="s">
        <v>1773</v>
      </c>
      <c r="B4256" t="s">
        <v>37</v>
      </c>
      <c r="C4256" t="s">
        <v>175</v>
      </c>
      <c r="D4256" t="s">
        <v>3217</v>
      </c>
      <c r="E4256">
        <v>0</v>
      </c>
      <c r="F4256">
        <v>59.92</v>
      </c>
    </row>
    <row r="4257" spans="1:6" x14ac:dyDescent="0.25">
      <c r="A4257" t="s">
        <v>1773</v>
      </c>
      <c r="B4257" t="s">
        <v>37</v>
      </c>
      <c r="C4257" t="s">
        <v>175</v>
      </c>
      <c r="D4257" t="s">
        <v>3218</v>
      </c>
      <c r="E4257">
        <v>15.5</v>
      </c>
      <c r="F4257">
        <v>60.32</v>
      </c>
    </row>
    <row r="4258" spans="1:6" x14ac:dyDescent="0.25">
      <c r="A4258" t="s">
        <v>1773</v>
      </c>
      <c r="B4258" t="s">
        <v>37</v>
      </c>
      <c r="C4258" t="s">
        <v>175</v>
      </c>
      <c r="D4258" t="s">
        <v>3219</v>
      </c>
      <c r="E4258">
        <v>30.68</v>
      </c>
      <c r="F4258">
        <v>60.14</v>
      </c>
    </row>
    <row r="4259" spans="1:6" x14ac:dyDescent="0.25">
      <c r="A4259" t="s">
        <v>1774</v>
      </c>
      <c r="B4259" t="s">
        <v>37</v>
      </c>
      <c r="C4259" t="s">
        <v>176</v>
      </c>
      <c r="D4259" t="s">
        <v>3217</v>
      </c>
      <c r="E4259">
        <v>0</v>
      </c>
      <c r="F4259">
        <v>58.51</v>
      </c>
    </row>
    <row r="4260" spans="1:6" x14ac:dyDescent="0.25">
      <c r="A4260" t="s">
        <v>1774</v>
      </c>
      <c r="B4260" t="s">
        <v>37</v>
      </c>
      <c r="C4260" t="s">
        <v>176</v>
      </c>
      <c r="D4260" t="s">
        <v>3218</v>
      </c>
      <c r="E4260">
        <v>14.61</v>
      </c>
      <c r="F4260">
        <v>58.77</v>
      </c>
    </row>
    <row r="4261" spans="1:6" x14ac:dyDescent="0.25">
      <c r="A4261" t="s">
        <v>1774</v>
      </c>
      <c r="B4261" t="s">
        <v>37</v>
      </c>
      <c r="C4261" t="s">
        <v>176</v>
      </c>
      <c r="D4261" t="s">
        <v>3219</v>
      </c>
      <c r="E4261">
        <v>27.36</v>
      </c>
      <c r="F4261">
        <v>58.53</v>
      </c>
    </row>
    <row r="4262" spans="1:6" x14ac:dyDescent="0.25">
      <c r="A4262" t="s">
        <v>1775</v>
      </c>
      <c r="B4262" t="s">
        <v>37</v>
      </c>
      <c r="C4262" t="s">
        <v>177</v>
      </c>
      <c r="D4262" t="s">
        <v>3217</v>
      </c>
      <c r="E4262">
        <v>0</v>
      </c>
      <c r="F4262">
        <v>57.07</v>
      </c>
    </row>
    <row r="4263" spans="1:6" x14ac:dyDescent="0.25">
      <c r="A4263" t="s">
        <v>1775</v>
      </c>
      <c r="B4263" t="s">
        <v>37</v>
      </c>
      <c r="C4263" t="s">
        <v>177</v>
      </c>
      <c r="D4263" t="s">
        <v>3218</v>
      </c>
      <c r="E4263">
        <v>14.8</v>
      </c>
      <c r="F4263">
        <v>57.1</v>
      </c>
    </row>
    <row r="4264" spans="1:6" x14ac:dyDescent="0.25">
      <c r="A4264" t="s">
        <v>1775</v>
      </c>
      <c r="B4264" t="s">
        <v>37</v>
      </c>
      <c r="C4264" t="s">
        <v>177</v>
      </c>
      <c r="D4264" t="s">
        <v>3219</v>
      </c>
      <c r="E4264">
        <v>27.55</v>
      </c>
      <c r="F4264">
        <v>56.66</v>
      </c>
    </row>
    <row r="4265" spans="1:6" x14ac:dyDescent="0.25">
      <c r="A4265" t="s">
        <v>1776</v>
      </c>
      <c r="B4265" t="s">
        <v>37</v>
      </c>
      <c r="C4265" t="s">
        <v>178</v>
      </c>
      <c r="D4265" t="s">
        <v>3217</v>
      </c>
      <c r="E4265">
        <v>0</v>
      </c>
      <c r="F4265">
        <v>55.76</v>
      </c>
    </row>
    <row r="4266" spans="1:6" x14ac:dyDescent="0.25">
      <c r="A4266" t="s">
        <v>1776</v>
      </c>
      <c r="B4266" t="s">
        <v>37</v>
      </c>
      <c r="C4266" t="s">
        <v>178</v>
      </c>
      <c r="D4266" t="s">
        <v>3218</v>
      </c>
      <c r="E4266">
        <v>16.32</v>
      </c>
      <c r="F4266">
        <v>55.34</v>
      </c>
    </row>
    <row r="4267" spans="1:6" x14ac:dyDescent="0.25">
      <c r="A4267" t="s">
        <v>1776</v>
      </c>
      <c r="B4267" t="s">
        <v>37</v>
      </c>
      <c r="C4267" t="s">
        <v>178</v>
      </c>
      <c r="D4267" t="s">
        <v>3219</v>
      </c>
      <c r="E4267">
        <v>27.99</v>
      </c>
      <c r="F4267">
        <v>54.89</v>
      </c>
    </row>
    <row r="4268" spans="1:6" x14ac:dyDescent="0.25">
      <c r="A4268" t="s">
        <v>1777</v>
      </c>
      <c r="B4268" t="s">
        <v>37</v>
      </c>
      <c r="C4268" t="s">
        <v>179</v>
      </c>
      <c r="D4268" t="s">
        <v>3217</v>
      </c>
      <c r="E4268">
        <v>0</v>
      </c>
      <c r="F4268">
        <v>54.12</v>
      </c>
    </row>
    <row r="4269" spans="1:6" x14ac:dyDescent="0.25">
      <c r="A4269" t="s">
        <v>1777</v>
      </c>
      <c r="B4269" t="s">
        <v>37</v>
      </c>
      <c r="C4269" t="s">
        <v>179</v>
      </c>
      <c r="D4269" t="s">
        <v>3218</v>
      </c>
      <c r="E4269">
        <v>16.78</v>
      </c>
      <c r="F4269">
        <v>53.74</v>
      </c>
    </row>
    <row r="4270" spans="1:6" x14ac:dyDescent="0.25">
      <c r="A4270" t="s">
        <v>1777</v>
      </c>
      <c r="B4270" t="s">
        <v>37</v>
      </c>
      <c r="C4270" t="s">
        <v>179</v>
      </c>
      <c r="D4270" t="s">
        <v>3219</v>
      </c>
      <c r="E4270">
        <v>28.28</v>
      </c>
      <c r="F4270">
        <v>53.34</v>
      </c>
    </row>
    <row r="4271" spans="1:6" x14ac:dyDescent="0.25">
      <c r="A4271" t="s">
        <v>1778</v>
      </c>
      <c r="B4271" t="s">
        <v>37</v>
      </c>
      <c r="C4271" t="s">
        <v>180</v>
      </c>
      <c r="D4271" t="s">
        <v>3217</v>
      </c>
      <c r="E4271">
        <v>0</v>
      </c>
      <c r="F4271">
        <v>52.32</v>
      </c>
    </row>
    <row r="4272" spans="1:6" x14ac:dyDescent="0.25">
      <c r="A4272" t="s">
        <v>1778</v>
      </c>
      <c r="B4272" t="s">
        <v>37</v>
      </c>
      <c r="C4272" t="s">
        <v>180</v>
      </c>
      <c r="D4272" t="s">
        <v>3218</v>
      </c>
      <c r="E4272">
        <v>16.79</v>
      </c>
      <c r="F4272">
        <v>52.16</v>
      </c>
    </row>
    <row r="4273" spans="1:6" x14ac:dyDescent="0.25">
      <c r="A4273" t="s">
        <v>1778</v>
      </c>
      <c r="B4273" t="s">
        <v>37</v>
      </c>
      <c r="C4273" t="s">
        <v>180</v>
      </c>
      <c r="D4273" t="s">
        <v>3219</v>
      </c>
      <c r="E4273">
        <v>28.17</v>
      </c>
      <c r="F4273">
        <v>51.76</v>
      </c>
    </row>
    <row r="4274" spans="1:6" x14ac:dyDescent="0.25">
      <c r="A4274" t="s">
        <v>1779</v>
      </c>
      <c r="B4274" t="s">
        <v>37</v>
      </c>
      <c r="C4274" t="s">
        <v>181</v>
      </c>
      <c r="D4274" t="s">
        <v>3217</v>
      </c>
      <c r="E4274">
        <v>0</v>
      </c>
      <c r="F4274">
        <v>50.85</v>
      </c>
    </row>
    <row r="4275" spans="1:6" x14ac:dyDescent="0.25">
      <c r="A4275" t="s">
        <v>1779</v>
      </c>
      <c r="B4275" t="s">
        <v>37</v>
      </c>
      <c r="C4275" t="s">
        <v>181</v>
      </c>
      <c r="D4275" t="s">
        <v>3218</v>
      </c>
      <c r="E4275">
        <v>17.350000000000001</v>
      </c>
      <c r="F4275">
        <v>50.65</v>
      </c>
    </row>
    <row r="4276" spans="1:6" x14ac:dyDescent="0.25">
      <c r="A4276" t="s">
        <v>1779</v>
      </c>
      <c r="B4276" t="s">
        <v>37</v>
      </c>
      <c r="C4276" t="s">
        <v>181</v>
      </c>
      <c r="D4276" t="s">
        <v>3219</v>
      </c>
      <c r="E4276">
        <v>28.85</v>
      </c>
      <c r="F4276">
        <v>50.25</v>
      </c>
    </row>
    <row r="4277" spans="1:6" x14ac:dyDescent="0.25">
      <c r="A4277" t="s">
        <v>1780</v>
      </c>
      <c r="B4277" t="s">
        <v>37</v>
      </c>
      <c r="C4277" t="s">
        <v>182</v>
      </c>
      <c r="D4277" t="s">
        <v>3217</v>
      </c>
      <c r="E4277">
        <v>0</v>
      </c>
      <c r="F4277">
        <v>49.32</v>
      </c>
    </row>
    <row r="4278" spans="1:6" x14ac:dyDescent="0.25">
      <c r="A4278" t="s">
        <v>1780</v>
      </c>
      <c r="B4278" t="s">
        <v>37</v>
      </c>
      <c r="C4278" t="s">
        <v>182</v>
      </c>
      <c r="D4278" t="s">
        <v>3218</v>
      </c>
      <c r="E4278">
        <v>17.7</v>
      </c>
      <c r="F4278">
        <v>49.22</v>
      </c>
    </row>
    <row r="4279" spans="1:6" x14ac:dyDescent="0.25">
      <c r="A4279" t="s">
        <v>1780</v>
      </c>
      <c r="B4279" t="s">
        <v>37</v>
      </c>
      <c r="C4279" t="s">
        <v>182</v>
      </c>
      <c r="D4279" t="s">
        <v>3219</v>
      </c>
      <c r="E4279">
        <v>29.05</v>
      </c>
      <c r="F4279">
        <v>49.02</v>
      </c>
    </row>
    <row r="4280" spans="1:6" x14ac:dyDescent="0.25">
      <c r="A4280" t="s">
        <v>1781</v>
      </c>
      <c r="B4280" t="s">
        <v>37</v>
      </c>
      <c r="C4280" t="s">
        <v>183</v>
      </c>
      <c r="D4280" t="s">
        <v>3217</v>
      </c>
      <c r="E4280">
        <v>0</v>
      </c>
      <c r="F4280">
        <v>47.73</v>
      </c>
    </row>
    <row r="4281" spans="1:6" x14ac:dyDescent="0.25">
      <c r="A4281" t="s">
        <v>1781</v>
      </c>
      <c r="B4281" t="s">
        <v>37</v>
      </c>
      <c r="C4281" t="s">
        <v>183</v>
      </c>
      <c r="D4281" t="s">
        <v>3218</v>
      </c>
      <c r="E4281">
        <v>18.239999999999998</v>
      </c>
      <c r="F4281">
        <v>47.64</v>
      </c>
    </row>
    <row r="4282" spans="1:6" x14ac:dyDescent="0.25">
      <c r="A4282" t="s">
        <v>1781</v>
      </c>
      <c r="B4282" t="s">
        <v>37</v>
      </c>
      <c r="C4282" t="s">
        <v>183</v>
      </c>
      <c r="D4282" t="s">
        <v>3219</v>
      </c>
      <c r="E4282">
        <v>28.5</v>
      </c>
      <c r="F4282">
        <v>47.48</v>
      </c>
    </row>
    <row r="4283" spans="1:6" x14ac:dyDescent="0.25">
      <c r="A4283" t="s">
        <v>1782</v>
      </c>
      <c r="B4283" t="s">
        <v>37</v>
      </c>
      <c r="C4283" t="s">
        <v>184</v>
      </c>
      <c r="D4283" t="s">
        <v>3217</v>
      </c>
      <c r="E4283">
        <v>0</v>
      </c>
      <c r="F4283">
        <v>46.29</v>
      </c>
    </row>
    <row r="4284" spans="1:6" x14ac:dyDescent="0.25">
      <c r="A4284" t="s">
        <v>1782</v>
      </c>
      <c r="B4284" t="s">
        <v>37</v>
      </c>
      <c r="C4284" t="s">
        <v>184</v>
      </c>
      <c r="D4284" t="s">
        <v>3218</v>
      </c>
      <c r="E4284">
        <v>20</v>
      </c>
      <c r="F4284">
        <v>46.15</v>
      </c>
    </row>
    <row r="4285" spans="1:6" x14ac:dyDescent="0.25">
      <c r="A4285" t="s">
        <v>1782</v>
      </c>
      <c r="B4285" t="s">
        <v>37</v>
      </c>
      <c r="C4285" t="s">
        <v>184</v>
      </c>
      <c r="D4285" t="s">
        <v>3219</v>
      </c>
      <c r="E4285">
        <v>29.69</v>
      </c>
      <c r="F4285">
        <v>45.96</v>
      </c>
    </row>
    <row r="4286" spans="1:6" x14ac:dyDescent="0.25">
      <c r="A4286" t="s">
        <v>1783</v>
      </c>
      <c r="B4286" t="s">
        <v>37</v>
      </c>
      <c r="C4286" t="s">
        <v>185</v>
      </c>
      <c r="D4286" t="s">
        <v>3217</v>
      </c>
      <c r="E4286">
        <v>0</v>
      </c>
      <c r="F4286">
        <v>44.79</v>
      </c>
    </row>
    <row r="4287" spans="1:6" x14ac:dyDescent="0.25">
      <c r="A4287" t="s">
        <v>1783</v>
      </c>
      <c r="B4287" t="s">
        <v>37</v>
      </c>
      <c r="C4287" t="s">
        <v>185</v>
      </c>
      <c r="D4287" t="s">
        <v>3218</v>
      </c>
      <c r="E4287">
        <v>20</v>
      </c>
      <c r="F4287">
        <v>44.7</v>
      </c>
    </row>
    <row r="4288" spans="1:6" x14ac:dyDescent="0.25">
      <c r="A4288" t="s">
        <v>1783</v>
      </c>
      <c r="B4288" t="s">
        <v>37</v>
      </c>
      <c r="C4288" t="s">
        <v>185</v>
      </c>
      <c r="D4288" t="s">
        <v>3219</v>
      </c>
      <c r="E4288">
        <v>30.98</v>
      </c>
      <c r="F4288">
        <v>44.43</v>
      </c>
    </row>
    <row r="4289" spans="1:6" x14ac:dyDescent="0.25">
      <c r="A4289" t="s">
        <v>1784</v>
      </c>
      <c r="B4289" t="s">
        <v>37</v>
      </c>
      <c r="C4289" t="s">
        <v>186</v>
      </c>
      <c r="D4289" t="s">
        <v>3217</v>
      </c>
      <c r="E4289">
        <v>0</v>
      </c>
      <c r="F4289">
        <v>43.44</v>
      </c>
    </row>
    <row r="4290" spans="1:6" x14ac:dyDescent="0.25">
      <c r="A4290" t="s">
        <v>1784</v>
      </c>
      <c r="B4290" t="s">
        <v>37</v>
      </c>
      <c r="C4290" t="s">
        <v>186</v>
      </c>
      <c r="D4290" t="s">
        <v>3218</v>
      </c>
      <c r="E4290">
        <v>20</v>
      </c>
      <c r="F4290">
        <v>43.31</v>
      </c>
    </row>
    <row r="4291" spans="1:6" x14ac:dyDescent="0.25">
      <c r="A4291" t="s">
        <v>1784</v>
      </c>
      <c r="B4291" t="s">
        <v>37</v>
      </c>
      <c r="C4291" t="s">
        <v>186</v>
      </c>
      <c r="D4291" t="s">
        <v>3219</v>
      </c>
      <c r="E4291">
        <v>31.38</v>
      </c>
      <c r="F4291">
        <v>43.27</v>
      </c>
    </row>
    <row r="4292" spans="1:6" x14ac:dyDescent="0.25">
      <c r="A4292" t="s">
        <v>1785</v>
      </c>
      <c r="B4292" t="s">
        <v>37</v>
      </c>
      <c r="C4292" t="s">
        <v>187</v>
      </c>
      <c r="D4292" t="s">
        <v>3217</v>
      </c>
      <c r="E4292">
        <v>0</v>
      </c>
      <c r="F4292">
        <v>42.11</v>
      </c>
    </row>
    <row r="4293" spans="1:6" x14ac:dyDescent="0.25">
      <c r="A4293" t="s">
        <v>1785</v>
      </c>
      <c r="B4293" t="s">
        <v>37</v>
      </c>
      <c r="C4293" t="s">
        <v>187</v>
      </c>
      <c r="D4293" t="s">
        <v>3218</v>
      </c>
      <c r="E4293">
        <v>20</v>
      </c>
      <c r="F4293">
        <v>41.96</v>
      </c>
    </row>
    <row r="4294" spans="1:6" x14ac:dyDescent="0.25">
      <c r="A4294" t="s">
        <v>1785</v>
      </c>
      <c r="B4294" t="s">
        <v>37</v>
      </c>
      <c r="C4294" t="s">
        <v>187</v>
      </c>
      <c r="D4294" t="s">
        <v>3219</v>
      </c>
      <c r="E4294">
        <v>29.67</v>
      </c>
      <c r="F4294">
        <v>41.9</v>
      </c>
    </row>
    <row r="4295" spans="1:6" x14ac:dyDescent="0.25">
      <c r="A4295" t="s">
        <v>1786</v>
      </c>
      <c r="B4295" t="s">
        <v>37</v>
      </c>
      <c r="C4295" t="s">
        <v>188</v>
      </c>
      <c r="D4295" t="s">
        <v>3217</v>
      </c>
      <c r="E4295">
        <v>0</v>
      </c>
      <c r="F4295">
        <v>40.92</v>
      </c>
    </row>
    <row r="4296" spans="1:6" x14ac:dyDescent="0.25">
      <c r="A4296" t="s">
        <v>1786</v>
      </c>
      <c r="B4296" t="s">
        <v>37</v>
      </c>
      <c r="C4296" t="s">
        <v>188</v>
      </c>
      <c r="D4296" t="s">
        <v>3218</v>
      </c>
      <c r="E4296">
        <v>20</v>
      </c>
      <c r="F4296">
        <v>40.79</v>
      </c>
    </row>
    <row r="4297" spans="1:6" x14ac:dyDescent="0.25">
      <c r="A4297" t="s">
        <v>1786</v>
      </c>
      <c r="B4297" t="s">
        <v>37</v>
      </c>
      <c r="C4297" t="s">
        <v>188</v>
      </c>
      <c r="D4297" t="s">
        <v>3219</v>
      </c>
      <c r="E4297">
        <v>30.18</v>
      </c>
      <c r="F4297">
        <v>40.53</v>
      </c>
    </row>
    <row r="4298" spans="1:6" x14ac:dyDescent="0.25">
      <c r="A4298" t="s">
        <v>1787</v>
      </c>
      <c r="B4298" t="s">
        <v>37</v>
      </c>
      <c r="C4298" t="s">
        <v>189</v>
      </c>
      <c r="D4298" t="s">
        <v>3217</v>
      </c>
      <c r="E4298">
        <v>0</v>
      </c>
      <c r="F4298">
        <v>39.94</v>
      </c>
    </row>
    <row r="4299" spans="1:6" x14ac:dyDescent="0.25">
      <c r="A4299" t="s">
        <v>1787</v>
      </c>
      <c r="B4299" t="s">
        <v>37</v>
      </c>
      <c r="C4299" t="s">
        <v>189</v>
      </c>
      <c r="D4299" t="s">
        <v>3218</v>
      </c>
      <c r="E4299">
        <v>20</v>
      </c>
      <c r="F4299">
        <v>39.67</v>
      </c>
    </row>
    <row r="4300" spans="1:6" x14ac:dyDescent="0.25">
      <c r="A4300" t="s">
        <v>1787</v>
      </c>
      <c r="B4300" t="s">
        <v>37</v>
      </c>
      <c r="C4300" t="s">
        <v>189</v>
      </c>
      <c r="D4300" t="s">
        <v>3219</v>
      </c>
      <c r="E4300">
        <v>29.95</v>
      </c>
      <c r="F4300">
        <v>39.53</v>
      </c>
    </row>
    <row r="4301" spans="1:6" x14ac:dyDescent="0.25">
      <c r="A4301" t="s">
        <v>1788</v>
      </c>
      <c r="B4301" t="s">
        <v>37</v>
      </c>
      <c r="C4301" t="s">
        <v>190</v>
      </c>
      <c r="D4301" t="s">
        <v>3217</v>
      </c>
      <c r="E4301">
        <v>0</v>
      </c>
      <c r="F4301">
        <v>38.880000000000003</v>
      </c>
    </row>
    <row r="4302" spans="1:6" x14ac:dyDescent="0.25">
      <c r="A4302" t="s">
        <v>1788</v>
      </c>
      <c r="B4302" t="s">
        <v>37</v>
      </c>
      <c r="C4302" t="s">
        <v>190</v>
      </c>
      <c r="D4302" t="s">
        <v>3218</v>
      </c>
      <c r="E4302">
        <v>20</v>
      </c>
      <c r="F4302">
        <v>38.85</v>
      </c>
    </row>
    <row r="4303" spans="1:6" x14ac:dyDescent="0.25">
      <c r="A4303" t="s">
        <v>1788</v>
      </c>
      <c r="B4303" t="s">
        <v>37</v>
      </c>
      <c r="C4303" t="s">
        <v>190</v>
      </c>
      <c r="D4303" t="s">
        <v>3219</v>
      </c>
      <c r="E4303">
        <v>30.34</v>
      </c>
      <c r="F4303">
        <v>38.659999999999997</v>
      </c>
    </row>
    <row r="4304" spans="1:6" x14ac:dyDescent="0.25">
      <c r="A4304" t="s">
        <v>1789</v>
      </c>
      <c r="B4304" t="s">
        <v>37</v>
      </c>
      <c r="C4304" t="s">
        <v>191</v>
      </c>
      <c r="D4304" t="s">
        <v>3217</v>
      </c>
      <c r="E4304">
        <v>0</v>
      </c>
      <c r="F4304">
        <v>38</v>
      </c>
    </row>
    <row r="4305" spans="1:6" x14ac:dyDescent="0.25">
      <c r="A4305" t="s">
        <v>1789</v>
      </c>
      <c r="B4305" t="s">
        <v>37</v>
      </c>
      <c r="C4305" t="s">
        <v>191</v>
      </c>
      <c r="D4305" t="s">
        <v>3218</v>
      </c>
      <c r="E4305">
        <v>20</v>
      </c>
      <c r="F4305">
        <v>37.97</v>
      </c>
    </row>
    <row r="4306" spans="1:6" x14ac:dyDescent="0.25">
      <c r="A4306" t="s">
        <v>1789</v>
      </c>
      <c r="B4306" t="s">
        <v>37</v>
      </c>
      <c r="C4306" t="s">
        <v>191</v>
      </c>
      <c r="D4306" t="s">
        <v>3219</v>
      </c>
      <c r="E4306">
        <v>30.37</v>
      </c>
      <c r="F4306">
        <v>37.78</v>
      </c>
    </row>
    <row r="4307" spans="1:6" x14ac:dyDescent="0.25">
      <c r="A4307" t="s">
        <v>1790</v>
      </c>
      <c r="B4307" t="s">
        <v>37</v>
      </c>
      <c r="C4307" t="s">
        <v>192</v>
      </c>
      <c r="D4307" t="s">
        <v>3217</v>
      </c>
      <c r="E4307">
        <v>0</v>
      </c>
      <c r="F4307">
        <v>37.33</v>
      </c>
    </row>
    <row r="4308" spans="1:6" x14ac:dyDescent="0.25">
      <c r="A4308" t="s">
        <v>1790</v>
      </c>
      <c r="B4308" t="s">
        <v>37</v>
      </c>
      <c r="C4308" t="s">
        <v>192</v>
      </c>
      <c r="D4308" t="s">
        <v>3218</v>
      </c>
      <c r="E4308">
        <v>20</v>
      </c>
      <c r="F4308">
        <v>37.46</v>
      </c>
    </row>
    <row r="4309" spans="1:6" x14ac:dyDescent="0.25">
      <c r="A4309" t="s">
        <v>1790</v>
      </c>
      <c r="B4309" t="s">
        <v>37</v>
      </c>
      <c r="C4309" t="s">
        <v>192</v>
      </c>
      <c r="D4309" t="s">
        <v>3219</v>
      </c>
      <c r="E4309">
        <v>32.14</v>
      </c>
      <c r="F4309">
        <v>37.200000000000003</v>
      </c>
    </row>
    <row r="4310" spans="1:6" x14ac:dyDescent="0.25">
      <c r="A4310" t="s">
        <v>1791</v>
      </c>
      <c r="B4310" t="s">
        <v>37</v>
      </c>
      <c r="C4310" t="s">
        <v>193</v>
      </c>
      <c r="D4310" t="s">
        <v>3217</v>
      </c>
      <c r="E4310">
        <v>0</v>
      </c>
      <c r="F4310">
        <v>36.840000000000003</v>
      </c>
    </row>
    <row r="4311" spans="1:6" x14ac:dyDescent="0.25">
      <c r="A4311" t="s">
        <v>1791</v>
      </c>
      <c r="B4311" t="s">
        <v>37</v>
      </c>
      <c r="C4311" t="s">
        <v>193</v>
      </c>
      <c r="D4311" t="s">
        <v>3218</v>
      </c>
      <c r="E4311">
        <v>20</v>
      </c>
      <c r="F4311">
        <v>37.130000000000003</v>
      </c>
    </row>
    <row r="4312" spans="1:6" x14ac:dyDescent="0.25">
      <c r="A4312" t="s">
        <v>1791</v>
      </c>
      <c r="B4312" t="s">
        <v>37</v>
      </c>
      <c r="C4312" t="s">
        <v>193</v>
      </c>
      <c r="D4312" t="s">
        <v>3219</v>
      </c>
      <c r="E4312">
        <v>32.200000000000003</v>
      </c>
      <c r="F4312">
        <v>36.79</v>
      </c>
    </row>
    <row r="4313" spans="1:6" x14ac:dyDescent="0.25">
      <c r="A4313" t="s">
        <v>1792</v>
      </c>
      <c r="B4313" t="s">
        <v>37</v>
      </c>
      <c r="C4313" t="s">
        <v>194</v>
      </c>
      <c r="D4313" t="s">
        <v>3217</v>
      </c>
      <c r="E4313">
        <v>0</v>
      </c>
      <c r="F4313">
        <v>36.53</v>
      </c>
    </row>
    <row r="4314" spans="1:6" x14ac:dyDescent="0.25">
      <c r="A4314" t="s">
        <v>1792</v>
      </c>
      <c r="B4314" t="s">
        <v>37</v>
      </c>
      <c r="C4314" t="s">
        <v>194</v>
      </c>
      <c r="D4314" t="s">
        <v>3218</v>
      </c>
      <c r="E4314">
        <v>20</v>
      </c>
      <c r="F4314">
        <v>36.54</v>
      </c>
    </row>
    <row r="4315" spans="1:6" x14ac:dyDescent="0.25">
      <c r="A4315" t="s">
        <v>1792</v>
      </c>
      <c r="B4315" t="s">
        <v>37</v>
      </c>
      <c r="C4315" t="s">
        <v>194</v>
      </c>
      <c r="D4315" t="s">
        <v>3219</v>
      </c>
      <c r="E4315">
        <v>31.02</v>
      </c>
      <c r="F4315">
        <v>36.369999999999997</v>
      </c>
    </row>
    <row r="4316" spans="1:6" x14ac:dyDescent="0.25">
      <c r="A4316" t="s">
        <v>1793</v>
      </c>
      <c r="B4316" t="s">
        <v>37</v>
      </c>
      <c r="C4316" t="s">
        <v>195</v>
      </c>
      <c r="D4316" t="s">
        <v>3217</v>
      </c>
      <c r="E4316">
        <v>0</v>
      </c>
      <c r="F4316">
        <v>36.06</v>
      </c>
    </row>
    <row r="4317" spans="1:6" x14ac:dyDescent="0.25">
      <c r="A4317" t="s">
        <v>1793</v>
      </c>
      <c r="B4317" t="s">
        <v>37</v>
      </c>
      <c r="C4317" t="s">
        <v>195</v>
      </c>
      <c r="D4317" t="s">
        <v>3218</v>
      </c>
      <c r="E4317">
        <v>20</v>
      </c>
      <c r="F4317">
        <v>36.130000000000003</v>
      </c>
    </row>
    <row r="4318" spans="1:6" x14ac:dyDescent="0.25">
      <c r="A4318" t="s">
        <v>1793</v>
      </c>
      <c r="B4318" t="s">
        <v>37</v>
      </c>
      <c r="C4318" t="s">
        <v>195</v>
      </c>
      <c r="D4318" t="s">
        <v>3219</v>
      </c>
      <c r="E4318">
        <v>31.05</v>
      </c>
      <c r="F4318">
        <v>36.08</v>
      </c>
    </row>
    <row r="4319" spans="1:6" x14ac:dyDescent="0.25">
      <c r="A4319" t="s">
        <v>1794</v>
      </c>
      <c r="B4319" t="s">
        <v>37</v>
      </c>
      <c r="C4319" t="s">
        <v>196</v>
      </c>
      <c r="D4319" t="s">
        <v>3217</v>
      </c>
      <c r="E4319">
        <v>0</v>
      </c>
      <c r="F4319">
        <v>37</v>
      </c>
    </row>
    <row r="4320" spans="1:6" x14ac:dyDescent="0.25">
      <c r="A4320" t="s">
        <v>1794</v>
      </c>
      <c r="B4320" t="s">
        <v>37</v>
      </c>
      <c r="C4320" t="s">
        <v>196</v>
      </c>
      <c r="D4320" t="s">
        <v>3218</v>
      </c>
      <c r="E4320">
        <v>20</v>
      </c>
      <c r="F4320">
        <v>35.950000000000003</v>
      </c>
    </row>
    <row r="4321" spans="1:6" x14ac:dyDescent="0.25">
      <c r="A4321" t="s">
        <v>1794</v>
      </c>
      <c r="B4321" t="s">
        <v>37</v>
      </c>
      <c r="C4321" t="s">
        <v>196</v>
      </c>
      <c r="D4321" t="s">
        <v>3219</v>
      </c>
      <c r="E4321">
        <v>29.19</v>
      </c>
      <c r="F4321">
        <v>35.64</v>
      </c>
    </row>
    <row r="4322" spans="1:6" x14ac:dyDescent="0.25">
      <c r="A4322" t="s">
        <v>1795</v>
      </c>
      <c r="B4322" t="s">
        <v>37</v>
      </c>
      <c r="C4322" t="s">
        <v>197</v>
      </c>
      <c r="D4322" t="s">
        <v>3217</v>
      </c>
      <c r="E4322">
        <v>0</v>
      </c>
      <c r="F4322">
        <v>35.950000000000003</v>
      </c>
    </row>
    <row r="4323" spans="1:6" x14ac:dyDescent="0.25">
      <c r="A4323" t="s">
        <v>1795</v>
      </c>
      <c r="B4323" t="s">
        <v>37</v>
      </c>
      <c r="C4323" t="s">
        <v>197</v>
      </c>
      <c r="D4323" t="s">
        <v>3218</v>
      </c>
      <c r="E4323">
        <v>20</v>
      </c>
      <c r="F4323">
        <v>35.979999999999997</v>
      </c>
    </row>
    <row r="4324" spans="1:6" x14ac:dyDescent="0.25">
      <c r="A4324" t="s">
        <v>1795</v>
      </c>
      <c r="B4324" t="s">
        <v>37</v>
      </c>
      <c r="C4324" t="s">
        <v>197</v>
      </c>
      <c r="D4324" t="s">
        <v>3219</v>
      </c>
      <c r="E4324">
        <v>28.64</v>
      </c>
      <c r="F4324">
        <v>35.67</v>
      </c>
    </row>
    <row r="4325" spans="1:6" x14ac:dyDescent="0.25">
      <c r="A4325" t="s">
        <v>1796</v>
      </c>
      <c r="B4325" t="s">
        <v>37</v>
      </c>
      <c r="C4325" t="s">
        <v>198</v>
      </c>
      <c r="D4325" t="s">
        <v>3217</v>
      </c>
      <c r="E4325">
        <v>0</v>
      </c>
      <c r="F4325">
        <v>35.869999999999997</v>
      </c>
    </row>
    <row r="4326" spans="1:6" x14ac:dyDescent="0.25">
      <c r="A4326" t="s">
        <v>1796</v>
      </c>
      <c r="B4326" t="s">
        <v>37</v>
      </c>
      <c r="C4326" t="s">
        <v>198</v>
      </c>
      <c r="D4326" t="s">
        <v>3218</v>
      </c>
      <c r="E4326">
        <v>20</v>
      </c>
      <c r="F4326">
        <v>35.770000000000003</v>
      </c>
    </row>
    <row r="4327" spans="1:6" x14ac:dyDescent="0.25">
      <c r="A4327" t="s">
        <v>1796</v>
      </c>
      <c r="B4327" t="s">
        <v>37</v>
      </c>
      <c r="C4327" t="s">
        <v>198</v>
      </c>
      <c r="D4327" t="s">
        <v>3219</v>
      </c>
      <c r="E4327">
        <v>29.03</v>
      </c>
      <c r="F4327">
        <v>35.54</v>
      </c>
    </row>
    <row r="4328" spans="1:6" x14ac:dyDescent="0.25">
      <c r="A4328" t="s">
        <v>1797</v>
      </c>
      <c r="B4328" t="s">
        <v>37</v>
      </c>
      <c r="C4328" t="s">
        <v>199</v>
      </c>
      <c r="D4328" t="s">
        <v>3217</v>
      </c>
      <c r="E4328">
        <v>0</v>
      </c>
      <c r="F4328">
        <v>35.81</v>
      </c>
    </row>
    <row r="4329" spans="1:6" x14ac:dyDescent="0.25">
      <c r="A4329" t="s">
        <v>1797</v>
      </c>
      <c r="B4329" t="s">
        <v>37</v>
      </c>
      <c r="C4329" t="s">
        <v>199</v>
      </c>
      <c r="D4329" t="s">
        <v>3218</v>
      </c>
      <c r="E4329">
        <v>20</v>
      </c>
      <c r="F4329">
        <v>35.71</v>
      </c>
    </row>
    <row r="4330" spans="1:6" x14ac:dyDescent="0.25">
      <c r="A4330" t="s">
        <v>1797</v>
      </c>
      <c r="B4330" t="s">
        <v>37</v>
      </c>
      <c r="C4330" t="s">
        <v>199</v>
      </c>
      <c r="D4330" t="s">
        <v>3219</v>
      </c>
      <c r="E4330">
        <v>33.83</v>
      </c>
      <c r="F4330">
        <v>35.14</v>
      </c>
    </row>
    <row r="4331" spans="1:6" x14ac:dyDescent="0.25">
      <c r="A4331" t="s">
        <v>1798</v>
      </c>
      <c r="B4331" t="s">
        <v>37</v>
      </c>
      <c r="C4331" t="s">
        <v>200</v>
      </c>
      <c r="D4331" t="s">
        <v>3217</v>
      </c>
      <c r="E4331">
        <v>0</v>
      </c>
      <c r="F4331">
        <v>36.06</v>
      </c>
    </row>
    <row r="4332" spans="1:6" x14ac:dyDescent="0.25">
      <c r="A4332" t="s">
        <v>1798</v>
      </c>
      <c r="B4332" t="s">
        <v>37</v>
      </c>
      <c r="C4332" t="s">
        <v>200</v>
      </c>
      <c r="D4332" t="s">
        <v>3218</v>
      </c>
      <c r="E4332">
        <v>20</v>
      </c>
      <c r="F4332">
        <v>35.799999999999997</v>
      </c>
    </row>
    <row r="4333" spans="1:6" x14ac:dyDescent="0.25">
      <c r="A4333" t="s">
        <v>1798</v>
      </c>
      <c r="B4333" t="s">
        <v>37</v>
      </c>
      <c r="C4333" t="s">
        <v>200</v>
      </c>
      <c r="D4333" t="s">
        <v>3219</v>
      </c>
      <c r="E4333">
        <v>33.83</v>
      </c>
      <c r="F4333">
        <v>35.07</v>
      </c>
    </row>
    <row r="4334" spans="1:6" x14ac:dyDescent="0.25">
      <c r="A4334" t="s">
        <v>1799</v>
      </c>
      <c r="B4334" t="s">
        <v>37</v>
      </c>
      <c r="C4334" t="s">
        <v>201</v>
      </c>
      <c r="D4334" t="s">
        <v>3217</v>
      </c>
      <c r="E4334">
        <v>0</v>
      </c>
      <c r="F4334">
        <v>35.57</v>
      </c>
    </row>
    <row r="4335" spans="1:6" x14ac:dyDescent="0.25">
      <c r="A4335" t="s">
        <v>1799</v>
      </c>
      <c r="B4335" t="s">
        <v>37</v>
      </c>
      <c r="C4335" t="s">
        <v>201</v>
      </c>
      <c r="D4335" t="s">
        <v>3218</v>
      </c>
      <c r="E4335">
        <v>20</v>
      </c>
      <c r="F4335">
        <v>34.54</v>
      </c>
    </row>
    <row r="4336" spans="1:6" x14ac:dyDescent="0.25">
      <c r="A4336" t="s">
        <v>1799</v>
      </c>
      <c r="B4336" t="s">
        <v>37</v>
      </c>
      <c r="C4336" t="s">
        <v>201</v>
      </c>
      <c r="D4336" t="s">
        <v>3219</v>
      </c>
      <c r="E4336">
        <v>33.85</v>
      </c>
      <c r="F4336">
        <v>33.659999999999997</v>
      </c>
    </row>
    <row r="4337" spans="1:6" x14ac:dyDescent="0.25">
      <c r="A4337" t="s">
        <v>1800</v>
      </c>
      <c r="B4337" t="s">
        <v>37</v>
      </c>
      <c r="C4337" t="s">
        <v>202</v>
      </c>
      <c r="D4337" t="s">
        <v>3217</v>
      </c>
      <c r="E4337">
        <v>0</v>
      </c>
      <c r="F4337">
        <v>35.28</v>
      </c>
    </row>
    <row r="4338" spans="1:6" x14ac:dyDescent="0.25">
      <c r="A4338" t="s">
        <v>1800</v>
      </c>
      <c r="B4338" t="s">
        <v>37</v>
      </c>
      <c r="C4338" t="s">
        <v>202</v>
      </c>
      <c r="D4338" t="s">
        <v>3218</v>
      </c>
      <c r="E4338">
        <v>20</v>
      </c>
      <c r="F4338">
        <v>33.47</v>
      </c>
    </row>
    <row r="4339" spans="1:6" x14ac:dyDescent="0.25">
      <c r="A4339" t="s">
        <v>1800</v>
      </c>
      <c r="B4339" t="s">
        <v>37</v>
      </c>
      <c r="C4339" t="s">
        <v>202</v>
      </c>
      <c r="D4339" t="s">
        <v>3219</v>
      </c>
      <c r="E4339">
        <v>40</v>
      </c>
      <c r="F4339">
        <v>34.26</v>
      </c>
    </row>
    <row r="4340" spans="1:6" x14ac:dyDescent="0.25">
      <c r="A4340" t="s">
        <v>1801</v>
      </c>
      <c r="B4340" t="s">
        <v>37</v>
      </c>
      <c r="C4340" t="s">
        <v>237</v>
      </c>
      <c r="D4340" t="s">
        <v>3217</v>
      </c>
      <c r="E4340">
        <v>0</v>
      </c>
      <c r="F4340">
        <v>35.33</v>
      </c>
    </row>
    <row r="4341" spans="1:6" x14ac:dyDescent="0.25">
      <c r="A4341" t="s">
        <v>1801</v>
      </c>
      <c r="B4341" t="s">
        <v>37</v>
      </c>
      <c r="C4341" t="s">
        <v>237</v>
      </c>
      <c r="D4341" t="s">
        <v>3218</v>
      </c>
      <c r="E4341">
        <v>20</v>
      </c>
      <c r="F4341">
        <v>33.44</v>
      </c>
    </row>
    <row r="4342" spans="1:6" x14ac:dyDescent="0.25">
      <c r="A4342" t="s">
        <v>1801</v>
      </c>
      <c r="B4342" t="s">
        <v>37</v>
      </c>
      <c r="C4342" t="s">
        <v>237</v>
      </c>
      <c r="D4342" t="s">
        <v>3219</v>
      </c>
      <c r="E4342">
        <v>40</v>
      </c>
      <c r="F4342">
        <v>34.24</v>
      </c>
    </row>
    <row r="4343" spans="1:6" x14ac:dyDescent="0.25">
      <c r="A4343" t="s">
        <v>1802</v>
      </c>
      <c r="B4343" t="s">
        <v>38</v>
      </c>
      <c r="C4343" t="s">
        <v>56</v>
      </c>
      <c r="D4343" t="s">
        <v>3217</v>
      </c>
      <c r="E4343">
        <v>0</v>
      </c>
      <c r="F4343">
        <v>149.88999999999999</v>
      </c>
    </row>
    <row r="4344" spans="1:6" x14ac:dyDescent="0.25">
      <c r="A4344" t="s">
        <v>1802</v>
      </c>
      <c r="B4344" t="s">
        <v>38</v>
      </c>
      <c r="C4344" t="s">
        <v>56</v>
      </c>
      <c r="D4344" t="s">
        <v>3218</v>
      </c>
      <c r="E4344">
        <v>18.149999999999999</v>
      </c>
      <c r="F4344">
        <v>150.22</v>
      </c>
    </row>
    <row r="4345" spans="1:6" x14ac:dyDescent="0.25">
      <c r="A4345" t="s">
        <v>1802</v>
      </c>
      <c r="B4345" t="s">
        <v>38</v>
      </c>
      <c r="C4345" t="s">
        <v>56</v>
      </c>
      <c r="D4345" t="s">
        <v>3219</v>
      </c>
      <c r="E4345">
        <v>33.130000000000003</v>
      </c>
      <c r="F4345">
        <v>151.08000000000001</v>
      </c>
    </row>
    <row r="4346" spans="1:6" x14ac:dyDescent="0.25">
      <c r="A4346" t="s">
        <v>1803</v>
      </c>
      <c r="B4346" t="s">
        <v>38</v>
      </c>
      <c r="C4346" t="s">
        <v>57</v>
      </c>
      <c r="D4346" t="s">
        <v>3217</v>
      </c>
      <c r="E4346">
        <v>0</v>
      </c>
      <c r="F4346">
        <v>149.02000000000001</v>
      </c>
    </row>
    <row r="4347" spans="1:6" x14ac:dyDescent="0.25">
      <c r="A4347" t="s">
        <v>1803</v>
      </c>
      <c r="B4347" t="s">
        <v>38</v>
      </c>
      <c r="C4347" t="s">
        <v>57</v>
      </c>
      <c r="D4347" t="s">
        <v>3218</v>
      </c>
      <c r="E4347">
        <v>18.149999999999999</v>
      </c>
      <c r="F4347">
        <v>149.11000000000001</v>
      </c>
    </row>
    <row r="4348" spans="1:6" x14ac:dyDescent="0.25">
      <c r="A4348" t="s">
        <v>1803</v>
      </c>
      <c r="B4348" t="s">
        <v>38</v>
      </c>
      <c r="C4348" t="s">
        <v>57</v>
      </c>
      <c r="D4348" t="s">
        <v>3219</v>
      </c>
      <c r="E4348">
        <v>33.130000000000003</v>
      </c>
      <c r="F4348">
        <v>149.77000000000001</v>
      </c>
    </row>
    <row r="4349" spans="1:6" x14ac:dyDescent="0.25">
      <c r="A4349" t="s">
        <v>1804</v>
      </c>
      <c r="B4349" t="s">
        <v>38</v>
      </c>
      <c r="C4349" t="s">
        <v>58</v>
      </c>
      <c r="D4349" t="s">
        <v>3217</v>
      </c>
      <c r="E4349">
        <v>0</v>
      </c>
      <c r="F4349">
        <v>148.08000000000001</v>
      </c>
    </row>
    <row r="4350" spans="1:6" x14ac:dyDescent="0.25">
      <c r="A4350" t="s">
        <v>1804</v>
      </c>
      <c r="B4350" t="s">
        <v>38</v>
      </c>
      <c r="C4350" t="s">
        <v>58</v>
      </c>
      <c r="D4350" t="s">
        <v>3218</v>
      </c>
      <c r="E4350">
        <v>18.149999999999999</v>
      </c>
      <c r="F4350">
        <v>148.55000000000001</v>
      </c>
    </row>
    <row r="4351" spans="1:6" x14ac:dyDescent="0.25">
      <c r="A4351" t="s">
        <v>1804</v>
      </c>
      <c r="B4351" t="s">
        <v>38</v>
      </c>
      <c r="C4351" t="s">
        <v>58</v>
      </c>
      <c r="D4351" t="s">
        <v>3219</v>
      </c>
      <c r="E4351">
        <v>33.130000000000003</v>
      </c>
      <c r="F4351">
        <v>148.72999999999999</v>
      </c>
    </row>
    <row r="4352" spans="1:6" x14ac:dyDescent="0.25">
      <c r="A4352" t="s">
        <v>1805</v>
      </c>
      <c r="B4352" t="s">
        <v>38</v>
      </c>
      <c r="C4352" t="s">
        <v>59</v>
      </c>
      <c r="D4352" t="s">
        <v>3217</v>
      </c>
      <c r="E4352">
        <v>0</v>
      </c>
      <c r="F4352">
        <v>147.72</v>
      </c>
    </row>
    <row r="4353" spans="1:6" x14ac:dyDescent="0.25">
      <c r="A4353" t="s">
        <v>1805</v>
      </c>
      <c r="B4353" t="s">
        <v>38</v>
      </c>
      <c r="C4353" t="s">
        <v>59</v>
      </c>
      <c r="D4353" t="s">
        <v>3218</v>
      </c>
      <c r="E4353">
        <v>16.68</v>
      </c>
      <c r="F4353">
        <v>148.06</v>
      </c>
    </row>
    <row r="4354" spans="1:6" x14ac:dyDescent="0.25">
      <c r="A4354" t="s">
        <v>1805</v>
      </c>
      <c r="B4354" t="s">
        <v>38</v>
      </c>
      <c r="C4354" t="s">
        <v>59</v>
      </c>
      <c r="D4354" t="s">
        <v>3219</v>
      </c>
      <c r="E4354">
        <v>29.14</v>
      </c>
      <c r="F4354">
        <v>148.11000000000001</v>
      </c>
    </row>
    <row r="4355" spans="1:6" x14ac:dyDescent="0.25">
      <c r="A4355" t="s">
        <v>1806</v>
      </c>
      <c r="B4355" t="s">
        <v>38</v>
      </c>
      <c r="C4355" t="s">
        <v>60</v>
      </c>
      <c r="D4355" t="s">
        <v>3217</v>
      </c>
      <c r="E4355">
        <v>0</v>
      </c>
      <c r="F4355">
        <v>147.53</v>
      </c>
    </row>
    <row r="4356" spans="1:6" x14ac:dyDescent="0.25">
      <c r="A4356" t="s">
        <v>1806</v>
      </c>
      <c r="B4356" t="s">
        <v>38</v>
      </c>
      <c r="C4356" t="s">
        <v>60</v>
      </c>
      <c r="D4356" t="s">
        <v>3218</v>
      </c>
      <c r="E4356">
        <v>15.29</v>
      </c>
      <c r="F4356">
        <v>147.66</v>
      </c>
    </row>
    <row r="4357" spans="1:6" x14ac:dyDescent="0.25">
      <c r="A4357" t="s">
        <v>1806</v>
      </c>
      <c r="B4357" t="s">
        <v>38</v>
      </c>
      <c r="C4357" t="s">
        <v>60</v>
      </c>
      <c r="D4357" t="s">
        <v>3219</v>
      </c>
      <c r="E4357">
        <v>26.34</v>
      </c>
      <c r="F4357">
        <v>147.57</v>
      </c>
    </row>
    <row r="4358" spans="1:6" x14ac:dyDescent="0.25">
      <c r="A4358" t="s">
        <v>1807</v>
      </c>
      <c r="B4358" t="s">
        <v>38</v>
      </c>
      <c r="C4358" t="s">
        <v>61</v>
      </c>
      <c r="D4358" t="s">
        <v>3217</v>
      </c>
      <c r="E4358">
        <v>0</v>
      </c>
      <c r="F4358">
        <v>147.30000000000001</v>
      </c>
    </row>
    <row r="4359" spans="1:6" x14ac:dyDescent="0.25">
      <c r="A4359" t="s">
        <v>1807</v>
      </c>
      <c r="B4359" t="s">
        <v>38</v>
      </c>
      <c r="C4359" t="s">
        <v>61</v>
      </c>
      <c r="D4359" t="s">
        <v>3218</v>
      </c>
      <c r="E4359">
        <v>13.68</v>
      </c>
      <c r="F4359">
        <v>147.5</v>
      </c>
    </row>
    <row r="4360" spans="1:6" x14ac:dyDescent="0.25">
      <c r="A4360" t="s">
        <v>1807</v>
      </c>
      <c r="B4360" t="s">
        <v>38</v>
      </c>
      <c r="C4360" t="s">
        <v>61</v>
      </c>
      <c r="D4360" t="s">
        <v>3219</v>
      </c>
      <c r="E4360">
        <v>24.67</v>
      </c>
      <c r="F4360">
        <v>147.28</v>
      </c>
    </row>
    <row r="4361" spans="1:6" x14ac:dyDescent="0.25">
      <c r="A4361" t="s">
        <v>1808</v>
      </c>
      <c r="B4361" t="s">
        <v>38</v>
      </c>
      <c r="C4361" t="s">
        <v>62</v>
      </c>
      <c r="D4361" t="s">
        <v>3217</v>
      </c>
      <c r="E4361">
        <v>0</v>
      </c>
      <c r="F4361">
        <v>147.1</v>
      </c>
    </row>
    <row r="4362" spans="1:6" x14ac:dyDescent="0.25">
      <c r="A4362" t="s">
        <v>1808</v>
      </c>
      <c r="B4362" t="s">
        <v>38</v>
      </c>
      <c r="C4362" t="s">
        <v>62</v>
      </c>
      <c r="D4362" t="s">
        <v>3218</v>
      </c>
      <c r="E4362">
        <v>13.71</v>
      </c>
      <c r="F4362">
        <v>147.36000000000001</v>
      </c>
    </row>
    <row r="4363" spans="1:6" x14ac:dyDescent="0.25">
      <c r="A4363" t="s">
        <v>1808</v>
      </c>
      <c r="B4363" t="s">
        <v>38</v>
      </c>
      <c r="C4363" t="s">
        <v>62</v>
      </c>
      <c r="D4363" t="s">
        <v>3219</v>
      </c>
      <c r="E4363">
        <v>24.65</v>
      </c>
      <c r="F4363">
        <v>147.16</v>
      </c>
    </row>
    <row r="4364" spans="1:6" x14ac:dyDescent="0.25">
      <c r="A4364" t="s">
        <v>1809</v>
      </c>
      <c r="B4364" t="s">
        <v>38</v>
      </c>
      <c r="C4364" t="s">
        <v>63</v>
      </c>
      <c r="D4364" t="s">
        <v>3217</v>
      </c>
      <c r="E4364">
        <v>0</v>
      </c>
      <c r="F4364">
        <v>146.86000000000001</v>
      </c>
    </row>
    <row r="4365" spans="1:6" x14ac:dyDescent="0.25">
      <c r="A4365" t="s">
        <v>1809</v>
      </c>
      <c r="B4365" t="s">
        <v>38</v>
      </c>
      <c r="C4365" t="s">
        <v>63</v>
      </c>
      <c r="D4365" t="s">
        <v>3218</v>
      </c>
      <c r="E4365">
        <v>13.15</v>
      </c>
      <c r="F4365">
        <v>147.24</v>
      </c>
    </row>
    <row r="4366" spans="1:6" x14ac:dyDescent="0.25">
      <c r="A4366" t="s">
        <v>1809</v>
      </c>
      <c r="B4366" t="s">
        <v>38</v>
      </c>
      <c r="C4366" t="s">
        <v>63</v>
      </c>
      <c r="D4366" t="s">
        <v>3219</v>
      </c>
      <c r="E4366">
        <v>24.32</v>
      </c>
      <c r="F4366">
        <v>147.06</v>
      </c>
    </row>
    <row r="4367" spans="1:6" x14ac:dyDescent="0.25">
      <c r="A4367" t="s">
        <v>1810</v>
      </c>
      <c r="B4367" t="s">
        <v>38</v>
      </c>
      <c r="C4367" t="s">
        <v>64</v>
      </c>
      <c r="D4367" t="s">
        <v>3217</v>
      </c>
      <c r="E4367">
        <v>0</v>
      </c>
      <c r="F4367">
        <v>146.69999999999999</v>
      </c>
    </row>
    <row r="4368" spans="1:6" x14ac:dyDescent="0.25">
      <c r="A4368" t="s">
        <v>1810</v>
      </c>
      <c r="B4368" t="s">
        <v>38</v>
      </c>
      <c r="C4368" t="s">
        <v>64</v>
      </c>
      <c r="D4368" t="s">
        <v>3218</v>
      </c>
      <c r="E4368">
        <v>13.51</v>
      </c>
      <c r="F4368">
        <v>147.11000000000001</v>
      </c>
    </row>
    <row r="4369" spans="1:6" x14ac:dyDescent="0.25">
      <c r="A4369" t="s">
        <v>1810</v>
      </c>
      <c r="B4369" t="s">
        <v>38</v>
      </c>
      <c r="C4369" t="s">
        <v>64</v>
      </c>
      <c r="D4369" t="s">
        <v>3219</v>
      </c>
      <c r="E4369">
        <v>25.1</v>
      </c>
      <c r="F4369">
        <v>147.11000000000001</v>
      </c>
    </row>
    <row r="4370" spans="1:6" x14ac:dyDescent="0.25">
      <c r="A4370" t="s">
        <v>1811</v>
      </c>
      <c r="B4370" t="s">
        <v>38</v>
      </c>
      <c r="C4370" t="s">
        <v>65</v>
      </c>
      <c r="D4370" t="s">
        <v>3217</v>
      </c>
      <c r="E4370">
        <v>0</v>
      </c>
      <c r="F4370">
        <v>146.69999999999999</v>
      </c>
    </row>
    <row r="4371" spans="1:6" x14ac:dyDescent="0.25">
      <c r="A4371" t="s">
        <v>1811</v>
      </c>
      <c r="B4371" t="s">
        <v>38</v>
      </c>
      <c r="C4371" t="s">
        <v>65</v>
      </c>
      <c r="D4371" t="s">
        <v>3218</v>
      </c>
      <c r="E4371">
        <v>13.89</v>
      </c>
      <c r="F4371">
        <v>147.03</v>
      </c>
    </row>
    <row r="4372" spans="1:6" x14ac:dyDescent="0.25">
      <c r="A4372" t="s">
        <v>1811</v>
      </c>
      <c r="B4372" t="s">
        <v>38</v>
      </c>
      <c r="C4372" t="s">
        <v>65</v>
      </c>
      <c r="D4372" t="s">
        <v>3219</v>
      </c>
      <c r="E4372">
        <v>26.69</v>
      </c>
      <c r="F4372">
        <v>146.99</v>
      </c>
    </row>
    <row r="4373" spans="1:6" x14ac:dyDescent="0.25">
      <c r="A4373" t="s">
        <v>1812</v>
      </c>
      <c r="B4373" t="s">
        <v>38</v>
      </c>
      <c r="C4373" t="s">
        <v>66</v>
      </c>
      <c r="D4373" t="s">
        <v>3217</v>
      </c>
      <c r="E4373">
        <v>0</v>
      </c>
      <c r="F4373">
        <v>146.82</v>
      </c>
    </row>
    <row r="4374" spans="1:6" x14ac:dyDescent="0.25">
      <c r="A4374" t="s">
        <v>1812</v>
      </c>
      <c r="B4374" t="s">
        <v>38</v>
      </c>
      <c r="C4374" t="s">
        <v>66</v>
      </c>
      <c r="D4374" t="s">
        <v>3218</v>
      </c>
      <c r="E4374">
        <v>13.34</v>
      </c>
      <c r="F4374">
        <v>146.99</v>
      </c>
    </row>
    <row r="4375" spans="1:6" x14ac:dyDescent="0.25">
      <c r="A4375" t="s">
        <v>1812</v>
      </c>
      <c r="B4375" t="s">
        <v>38</v>
      </c>
      <c r="C4375" t="s">
        <v>66</v>
      </c>
      <c r="D4375" t="s">
        <v>3219</v>
      </c>
      <c r="E4375">
        <v>26.32</v>
      </c>
      <c r="F4375">
        <v>146.91999999999999</v>
      </c>
    </row>
    <row r="4376" spans="1:6" x14ac:dyDescent="0.25">
      <c r="A4376" t="s">
        <v>1813</v>
      </c>
      <c r="B4376" t="s">
        <v>38</v>
      </c>
      <c r="C4376" t="s">
        <v>67</v>
      </c>
      <c r="D4376" t="s">
        <v>3217</v>
      </c>
      <c r="E4376">
        <v>0</v>
      </c>
      <c r="F4376">
        <v>146.65</v>
      </c>
    </row>
    <row r="4377" spans="1:6" x14ac:dyDescent="0.25">
      <c r="A4377" t="s">
        <v>1813</v>
      </c>
      <c r="B4377" t="s">
        <v>38</v>
      </c>
      <c r="C4377" t="s">
        <v>67</v>
      </c>
      <c r="D4377" t="s">
        <v>3218</v>
      </c>
      <c r="E4377">
        <v>13.8</v>
      </c>
      <c r="F4377">
        <v>146.84</v>
      </c>
    </row>
    <row r="4378" spans="1:6" x14ac:dyDescent="0.25">
      <c r="A4378" t="s">
        <v>1813</v>
      </c>
      <c r="B4378" t="s">
        <v>38</v>
      </c>
      <c r="C4378" t="s">
        <v>67</v>
      </c>
      <c r="D4378" t="s">
        <v>3219</v>
      </c>
      <c r="E4378">
        <v>28.08</v>
      </c>
      <c r="F4378">
        <v>146.81</v>
      </c>
    </row>
    <row r="4379" spans="1:6" x14ac:dyDescent="0.25">
      <c r="A4379" t="s">
        <v>1814</v>
      </c>
      <c r="B4379" t="s">
        <v>38</v>
      </c>
      <c r="C4379" t="s">
        <v>68</v>
      </c>
      <c r="D4379" t="s">
        <v>3217</v>
      </c>
      <c r="E4379">
        <v>0</v>
      </c>
      <c r="F4379">
        <v>146.57</v>
      </c>
    </row>
    <row r="4380" spans="1:6" x14ac:dyDescent="0.25">
      <c r="A4380" t="s">
        <v>1814</v>
      </c>
      <c r="B4380" t="s">
        <v>38</v>
      </c>
      <c r="C4380" t="s">
        <v>68</v>
      </c>
      <c r="D4380" t="s">
        <v>3218</v>
      </c>
      <c r="E4380">
        <v>13.23</v>
      </c>
      <c r="F4380">
        <v>146.87</v>
      </c>
    </row>
    <row r="4381" spans="1:6" x14ac:dyDescent="0.25">
      <c r="A4381" t="s">
        <v>1814</v>
      </c>
      <c r="B4381" t="s">
        <v>38</v>
      </c>
      <c r="C4381" t="s">
        <v>68</v>
      </c>
      <c r="D4381" t="s">
        <v>3219</v>
      </c>
      <c r="E4381">
        <v>27.12</v>
      </c>
      <c r="F4381">
        <v>146.68</v>
      </c>
    </row>
    <row r="4382" spans="1:6" x14ac:dyDescent="0.25">
      <c r="A4382" t="s">
        <v>1815</v>
      </c>
      <c r="B4382" t="s">
        <v>38</v>
      </c>
      <c r="C4382" t="s">
        <v>69</v>
      </c>
      <c r="D4382" t="s">
        <v>3217</v>
      </c>
      <c r="E4382">
        <v>0</v>
      </c>
      <c r="F4382">
        <v>146.63999999999999</v>
      </c>
    </row>
    <row r="4383" spans="1:6" x14ac:dyDescent="0.25">
      <c r="A4383" t="s">
        <v>1815</v>
      </c>
      <c r="B4383" t="s">
        <v>38</v>
      </c>
      <c r="C4383" t="s">
        <v>69</v>
      </c>
      <c r="D4383" t="s">
        <v>3218</v>
      </c>
      <c r="E4383">
        <v>13.8</v>
      </c>
      <c r="F4383">
        <v>146.87</v>
      </c>
    </row>
    <row r="4384" spans="1:6" x14ac:dyDescent="0.25">
      <c r="A4384" t="s">
        <v>1815</v>
      </c>
      <c r="B4384" t="s">
        <v>38</v>
      </c>
      <c r="C4384" t="s">
        <v>69</v>
      </c>
      <c r="D4384" t="s">
        <v>3219</v>
      </c>
      <c r="E4384">
        <v>29.11</v>
      </c>
      <c r="F4384">
        <v>146.74</v>
      </c>
    </row>
    <row r="4385" spans="1:6" x14ac:dyDescent="0.25">
      <c r="A4385" t="s">
        <v>1816</v>
      </c>
      <c r="B4385" t="s">
        <v>38</v>
      </c>
      <c r="C4385" t="s">
        <v>70</v>
      </c>
      <c r="D4385" t="s">
        <v>3217</v>
      </c>
      <c r="E4385">
        <v>0</v>
      </c>
      <c r="F4385">
        <v>146.80000000000001</v>
      </c>
    </row>
    <row r="4386" spans="1:6" x14ac:dyDescent="0.25">
      <c r="A4386" t="s">
        <v>1816</v>
      </c>
      <c r="B4386" t="s">
        <v>38</v>
      </c>
      <c r="C4386" t="s">
        <v>70</v>
      </c>
      <c r="D4386" t="s">
        <v>3218</v>
      </c>
      <c r="E4386">
        <v>14.84</v>
      </c>
      <c r="F4386">
        <v>146.93</v>
      </c>
    </row>
    <row r="4387" spans="1:6" x14ac:dyDescent="0.25">
      <c r="A4387" t="s">
        <v>1816</v>
      </c>
      <c r="B4387" t="s">
        <v>38</v>
      </c>
      <c r="C4387" t="s">
        <v>70</v>
      </c>
      <c r="D4387" t="s">
        <v>3219</v>
      </c>
      <c r="E4387">
        <v>34.840000000000003</v>
      </c>
      <c r="F4387">
        <v>148.19999999999999</v>
      </c>
    </row>
    <row r="4388" spans="1:6" x14ac:dyDescent="0.25">
      <c r="A4388" t="s">
        <v>1817</v>
      </c>
      <c r="B4388" t="s">
        <v>38</v>
      </c>
      <c r="C4388" t="s">
        <v>71</v>
      </c>
      <c r="D4388" t="s">
        <v>3217</v>
      </c>
      <c r="E4388">
        <v>0</v>
      </c>
      <c r="F4388">
        <v>146.88</v>
      </c>
    </row>
    <row r="4389" spans="1:6" x14ac:dyDescent="0.25">
      <c r="A4389" t="s">
        <v>1817</v>
      </c>
      <c r="B4389" t="s">
        <v>38</v>
      </c>
      <c r="C4389" t="s">
        <v>71</v>
      </c>
      <c r="D4389" t="s">
        <v>3218</v>
      </c>
      <c r="E4389">
        <v>14.84</v>
      </c>
      <c r="F4389">
        <v>147.06</v>
      </c>
    </row>
    <row r="4390" spans="1:6" x14ac:dyDescent="0.25">
      <c r="A4390" t="s">
        <v>1817</v>
      </c>
      <c r="B4390" t="s">
        <v>38</v>
      </c>
      <c r="C4390" t="s">
        <v>71</v>
      </c>
      <c r="D4390" t="s">
        <v>3219</v>
      </c>
      <c r="E4390">
        <v>34.840000000000003</v>
      </c>
      <c r="F4390">
        <v>146.91</v>
      </c>
    </row>
    <row r="4391" spans="1:6" x14ac:dyDescent="0.25">
      <c r="A4391" t="s">
        <v>1818</v>
      </c>
      <c r="B4391" t="s">
        <v>38</v>
      </c>
      <c r="C4391" t="s">
        <v>72</v>
      </c>
      <c r="D4391" t="s">
        <v>3217</v>
      </c>
      <c r="E4391">
        <v>0</v>
      </c>
      <c r="F4391">
        <v>147.07</v>
      </c>
    </row>
    <row r="4392" spans="1:6" x14ac:dyDescent="0.25">
      <c r="A4392" t="s">
        <v>1818</v>
      </c>
      <c r="B4392" t="s">
        <v>38</v>
      </c>
      <c r="C4392" t="s">
        <v>72</v>
      </c>
      <c r="D4392" t="s">
        <v>3218</v>
      </c>
      <c r="E4392">
        <v>14.84</v>
      </c>
      <c r="F4392">
        <v>147.13999999999999</v>
      </c>
    </row>
    <row r="4393" spans="1:6" x14ac:dyDescent="0.25">
      <c r="A4393" t="s">
        <v>1818</v>
      </c>
      <c r="B4393" t="s">
        <v>38</v>
      </c>
      <c r="C4393" t="s">
        <v>72</v>
      </c>
      <c r="D4393" t="s">
        <v>3219</v>
      </c>
      <c r="E4393">
        <v>34.840000000000003</v>
      </c>
      <c r="F4393">
        <v>146.81</v>
      </c>
    </row>
    <row r="4394" spans="1:6" x14ac:dyDescent="0.25">
      <c r="A4394" t="s">
        <v>1819</v>
      </c>
      <c r="B4394" t="s">
        <v>38</v>
      </c>
      <c r="C4394" t="s">
        <v>73</v>
      </c>
      <c r="D4394" t="s">
        <v>3217</v>
      </c>
      <c r="E4394">
        <v>0</v>
      </c>
      <c r="F4394">
        <v>147.4</v>
      </c>
    </row>
    <row r="4395" spans="1:6" x14ac:dyDescent="0.25">
      <c r="A4395" t="s">
        <v>1819</v>
      </c>
      <c r="B4395" t="s">
        <v>38</v>
      </c>
      <c r="C4395" t="s">
        <v>73</v>
      </c>
      <c r="D4395" t="s">
        <v>3218</v>
      </c>
      <c r="E4395">
        <v>11.64</v>
      </c>
      <c r="F4395">
        <v>147.49</v>
      </c>
    </row>
    <row r="4396" spans="1:6" x14ac:dyDescent="0.25">
      <c r="A4396" t="s">
        <v>1819</v>
      </c>
      <c r="B4396" t="s">
        <v>38</v>
      </c>
      <c r="C4396" t="s">
        <v>73</v>
      </c>
      <c r="D4396" t="s">
        <v>3219</v>
      </c>
      <c r="E4396">
        <v>31.64</v>
      </c>
      <c r="F4396">
        <v>147.25</v>
      </c>
    </row>
    <row r="4397" spans="1:6" x14ac:dyDescent="0.25">
      <c r="A4397" t="s">
        <v>1820</v>
      </c>
      <c r="B4397" t="s">
        <v>38</v>
      </c>
      <c r="C4397" t="s">
        <v>74</v>
      </c>
      <c r="D4397" t="s">
        <v>3217</v>
      </c>
      <c r="E4397">
        <v>0</v>
      </c>
      <c r="F4397">
        <v>147.55000000000001</v>
      </c>
    </row>
    <row r="4398" spans="1:6" x14ac:dyDescent="0.25">
      <c r="A4398" t="s">
        <v>1820</v>
      </c>
      <c r="B4398" t="s">
        <v>38</v>
      </c>
      <c r="C4398" t="s">
        <v>74</v>
      </c>
      <c r="D4398" t="s">
        <v>3218</v>
      </c>
      <c r="E4398">
        <v>11.22</v>
      </c>
      <c r="F4398">
        <v>147.78</v>
      </c>
    </row>
    <row r="4399" spans="1:6" x14ac:dyDescent="0.25">
      <c r="A4399" t="s">
        <v>1820</v>
      </c>
      <c r="B4399" t="s">
        <v>38</v>
      </c>
      <c r="C4399" t="s">
        <v>74</v>
      </c>
      <c r="D4399" t="s">
        <v>3219</v>
      </c>
      <c r="E4399">
        <v>22.97</v>
      </c>
      <c r="F4399">
        <v>147.72</v>
      </c>
    </row>
    <row r="4400" spans="1:6" x14ac:dyDescent="0.25">
      <c r="A4400" t="s">
        <v>1821</v>
      </c>
      <c r="B4400" t="s">
        <v>38</v>
      </c>
      <c r="C4400" t="s">
        <v>75</v>
      </c>
      <c r="D4400" t="s">
        <v>3217</v>
      </c>
      <c r="E4400">
        <v>0</v>
      </c>
      <c r="F4400">
        <v>147.66</v>
      </c>
    </row>
    <row r="4401" spans="1:6" x14ac:dyDescent="0.25">
      <c r="A4401" t="s">
        <v>1821</v>
      </c>
      <c r="B4401" t="s">
        <v>38</v>
      </c>
      <c r="C4401" t="s">
        <v>75</v>
      </c>
      <c r="D4401" t="s">
        <v>3218</v>
      </c>
      <c r="E4401">
        <v>11.76</v>
      </c>
      <c r="F4401">
        <v>147.97999999999999</v>
      </c>
    </row>
    <row r="4402" spans="1:6" x14ac:dyDescent="0.25">
      <c r="A4402" t="s">
        <v>1821</v>
      </c>
      <c r="B4402" t="s">
        <v>38</v>
      </c>
      <c r="C4402" t="s">
        <v>75</v>
      </c>
      <c r="D4402" t="s">
        <v>3219</v>
      </c>
      <c r="E4402">
        <v>22.93</v>
      </c>
      <c r="F4402">
        <v>147.9</v>
      </c>
    </row>
    <row r="4403" spans="1:6" x14ac:dyDescent="0.25">
      <c r="A4403" t="s">
        <v>1822</v>
      </c>
      <c r="B4403" t="s">
        <v>38</v>
      </c>
      <c r="C4403" t="s">
        <v>76</v>
      </c>
      <c r="D4403" t="s">
        <v>3217</v>
      </c>
      <c r="E4403">
        <v>0</v>
      </c>
      <c r="F4403">
        <v>147.66</v>
      </c>
    </row>
    <row r="4404" spans="1:6" x14ac:dyDescent="0.25">
      <c r="A4404" t="s">
        <v>1822</v>
      </c>
      <c r="B4404" t="s">
        <v>38</v>
      </c>
      <c r="C4404" t="s">
        <v>76</v>
      </c>
      <c r="D4404" t="s">
        <v>3218</v>
      </c>
      <c r="E4404">
        <v>13.63</v>
      </c>
      <c r="F4404">
        <v>148.13</v>
      </c>
    </row>
    <row r="4405" spans="1:6" x14ac:dyDescent="0.25">
      <c r="A4405" t="s">
        <v>1822</v>
      </c>
      <c r="B4405" t="s">
        <v>38</v>
      </c>
      <c r="C4405" t="s">
        <v>76</v>
      </c>
      <c r="D4405" t="s">
        <v>3219</v>
      </c>
      <c r="E4405">
        <v>24.69</v>
      </c>
      <c r="F4405">
        <v>148.03</v>
      </c>
    </row>
    <row r="4406" spans="1:6" x14ac:dyDescent="0.25">
      <c r="A4406" t="s">
        <v>1823</v>
      </c>
      <c r="B4406" t="s">
        <v>38</v>
      </c>
      <c r="C4406" t="s">
        <v>77</v>
      </c>
      <c r="D4406" t="s">
        <v>3217</v>
      </c>
      <c r="E4406">
        <v>0</v>
      </c>
      <c r="F4406">
        <v>147.88999999999999</v>
      </c>
    </row>
    <row r="4407" spans="1:6" x14ac:dyDescent="0.25">
      <c r="A4407" t="s">
        <v>1823</v>
      </c>
      <c r="B4407" t="s">
        <v>38</v>
      </c>
      <c r="C4407" t="s">
        <v>77</v>
      </c>
      <c r="D4407" t="s">
        <v>3218</v>
      </c>
      <c r="E4407">
        <v>13.81</v>
      </c>
      <c r="F4407">
        <v>148.22999999999999</v>
      </c>
    </row>
    <row r="4408" spans="1:6" x14ac:dyDescent="0.25">
      <c r="A4408" t="s">
        <v>1823</v>
      </c>
      <c r="B4408" t="s">
        <v>38</v>
      </c>
      <c r="C4408" t="s">
        <v>77</v>
      </c>
      <c r="D4408" t="s">
        <v>3219</v>
      </c>
      <c r="E4408">
        <v>24.82</v>
      </c>
      <c r="F4408">
        <v>148.28</v>
      </c>
    </row>
    <row r="4409" spans="1:6" x14ac:dyDescent="0.25">
      <c r="A4409" t="s">
        <v>1824</v>
      </c>
      <c r="B4409" t="s">
        <v>38</v>
      </c>
      <c r="C4409" t="s">
        <v>78</v>
      </c>
      <c r="D4409" t="s">
        <v>3217</v>
      </c>
      <c r="E4409">
        <v>0</v>
      </c>
      <c r="F4409">
        <v>148.1</v>
      </c>
    </row>
    <row r="4410" spans="1:6" x14ac:dyDescent="0.25">
      <c r="A4410" t="s">
        <v>1824</v>
      </c>
      <c r="B4410" t="s">
        <v>38</v>
      </c>
      <c r="C4410" t="s">
        <v>78</v>
      </c>
      <c r="D4410" t="s">
        <v>3218</v>
      </c>
      <c r="E4410">
        <v>13.63</v>
      </c>
      <c r="F4410">
        <v>148.56</v>
      </c>
    </row>
    <row r="4411" spans="1:6" x14ac:dyDescent="0.25">
      <c r="A4411" t="s">
        <v>1824</v>
      </c>
      <c r="B4411" t="s">
        <v>38</v>
      </c>
      <c r="C4411" t="s">
        <v>78</v>
      </c>
      <c r="D4411" t="s">
        <v>3219</v>
      </c>
      <c r="E4411">
        <v>24.77</v>
      </c>
      <c r="F4411">
        <v>148.62</v>
      </c>
    </row>
    <row r="4412" spans="1:6" x14ac:dyDescent="0.25">
      <c r="A4412" t="s">
        <v>1825</v>
      </c>
      <c r="B4412" t="s">
        <v>38</v>
      </c>
      <c r="C4412" t="s">
        <v>79</v>
      </c>
      <c r="D4412" t="s">
        <v>3217</v>
      </c>
      <c r="E4412">
        <v>0</v>
      </c>
      <c r="F4412">
        <v>148.38</v>
      </c>
    </row>
    <row r="4413" spans="1:6" x14ac:dyDescent="0.25">
      <c r="A4413" t="s">
        <v>1825</v>
      </c>
      <c r="B4413" t="s">
        <v>38</v>
      </c>
      <c r="C4413" t="s">
        <v>79</v>
      </c>
      <c r="D4413" t="s">
        <v>3218</v>
      </c>
      <c r="E4413">
        <v>14.25</v>
      </c>
      <c r="F4413">
        <v>148.88999999999999</v>
      </c>
    </row>
    <row r="4414" spans="1:6" x14ac:dyDescent="0.25">
      <c r="A4414" t="s">
        <v>1825</v>
      </c>
      <c r="B4414" t="s">
        <v>38</v>
      </c>
      <c r="C4414" t="s">
        <v>79</v>
      </c>
      <c r="D4414" t="s">
        <v>3219</v>
      </c>
      <c r="E4414">
        <v>25.37</v>
      </c>
      <c r="F4414">
        <v>148.86000000000001</v>
      </c>
    </row>
    <row r="4415" spans="1:6" x14ac:dyDescent="0.25">
      <c r="A4415" t="s">
        <v>1826</v>
      </c>
      <c r="B4415" t="s">
        <v>38</v>
      </c>
      <c r="C4415" t="s">
        <v>80</v>
      </c>
      <c r="D4415" t="s">
        <v>3217</v>
      </c>
      <c r="E4415">
        <v>0</v>
      </c>
      <c r="F4415">
        <v>148.66</v>
      </c>
    </row>
    <row r="4416" spans="1:6" x14ac:dyDescent="0.25">
      <c r="A4416" t="s">
        <v>1826</v>
      </c>
      <c r="B4416" t="s">
        <v>38</v>
      </c>
      <c r="C4416" t="s">
        <v>80</v>
      </c>
      <c r="D4416" t="s">
        <v>3218</v>
      </c>
      <c r="E4416">
        <v>14.02</v>
      </c>
      <c r="F4416">
        <v>149.16999999999999</v>
      </c>
    </row>
    <row r="4417" spans="1:6" x14ac:dyDescent="0.25">
      <c r="A4417" t="s">
        <v>1826</v>
      </c>
      <c r="B4417" t="s">
        <v>38</v>
      </c>
      <c r="C4417" t="s">
        <v>80</v>
      </c>
      <c r="D4417" t="s">
        <v>3219</v>
      </c>
      <c r="E4417">
        <v>25.07</v>
      </c>
      <c r="F4417">
        <v>149.30000000000001</v>
      </c>
    </row>
    <row r="4418" spans="1:6" x14ac:dyDescent="0.25">
      <c r="A4418" t="s">
        <v>1827</v>
      </c>
      <c r="B4418" t="s">
        <v>38</v>
      </c>
      <c r="C4418" t="s">
        <v>81</v>
      </c>
      <c r="D4418" t="s">
        <v>3217</v>
      </c>
      <c r="E4418">
        <v>0</v>
      </c>
      <c r="F4418">
        <v>148.88999999999999</v>
      </c>
    </row>
    <row r="4419" spans="1:6" x14ac:dyDescent="0.25">
      <c r="A4419" t="s">
        <v>1827</v>
      </c>
      <c r="B4419" t="s">
        <v>38</v>
      </c>
      <c r="C4419" t="s">
        <v>81</v>
      </c>
      <c r="D4419" t="s">
        <v>3218</v>
      </c>
      <c r="E4419">
        <v>13.15</v>
      </c>
      <c r="F4419">
        <v>149.38999999999999</v>
      </c>
    </row>
    <row r="4420" spans="1:6" x14ac:dyDescent="0.25">
      <c r="A4420" t="s">
        <v>1827</v>
      </c>
      <c r="B4420" t="s">
        <v>38</v>
      </c>
      <c r="C4420" t="s">
        <v>81</v>
      </c>
      <c r="D4420" t="s">
        <v>3219</v>
      </c>
      <c r="E4420">
        <v>25.33</v>
      </c>
      <c r="F4420">
        <v>149.55000000000001</v>
      </c>
    </row>
    <row r="4421" spans="1:6" x14ac:dyDescent="0.25">
      <c r="A4421" t="s">
        <v>1828</v>
      </c>
      <c r="B4421" t="s">
        <v>38</v>
      </c>
      <c r="C4421" t="s">
        <v>82</v>
      </c>
      <c r="D4421" t="s">
        <v>3217</v>
      </c>
      <c r="E4421">
        <v>0</v>
      </c>
      <c r="F4421">
        <v>148.63</v>
      </c>
    </row>
    <row r="4422" spans="1:6" x14ac:dyDescent="0.25">
      <c r="A4422" t="s">
        <v>1828</v>
      </c>
      <c r="B4422" t="s">
        <v>38</v>
      </c>
      <c r="C4422" t="s">
        <v>82</v>
      </c>
      <c r="D4422" t="s">
        <v>3218</v>
      </c>
      <c r="E4422">
        <v>14.02</v>
      </c>
      <c r="F4422">
        <v>149.41999999999999</v>
      </c>
    </row>
    <row r="4423" spans="1:6" x14ac:dyDescent="0.25">
      <c r="A4423" t="s">
        <v>1828</v>
      </c>
      <c r="B4423" t="s">
        <v>38</v>
      </c>
      <c r="C4423" t="s">
        <v>82</v>
      </c>
      <c r="D4423" t="s">
        <v>3219</v>
      </c>
      <c r="E4423">
        <v>27.42</v>
      </c>
      <c r="F4423">
        <v>149.61000000000001</v>
      </c>
    </row>
    <row r="4424" spans="1:6" x14ac:dyDescent="0.25">
      <c r="A4424" t="s">
        <v>1829</v>
      </c>
      <c r="B4424" t="s">
        <v>38</v>
      </c>
      <c r="C4424" t="s">
        <v>83</v>
      </c>
      <c r="D4424" t="s">
        <v>3217</v>
      </c>
      <c r="E4424">
        <v>0</v>
      </c>
      <c r="F4424">
        <v>148.78</v>
      </c>
    </row>
    <row r="4425" spans="1:6" x14ac:dyDescent="0.25">
      <c r="A4425" t="s">
        <v>1829</v>
      </c>
      <c r="B4425" t="s">
        <v>38</v>
      </c>
      <c r="C4425" t="s">
        <v>83</v>
      </c>
      <c r="D4425" t="s">
        <v>3218</v>
      </c>
      <c r="E4425">
        <v>13.15</v>
      </c>
      <c r="F4425">
        <v>149.49</v>
      </c>
    </row>
    <row r="4426" spans="1:6" x14ac:dyDescent="0.25">
      <c r="A4426" t="s">
        <v>1829</v>
      </c>
      <c r="B4426" t="s">
        <v>38</v>
      </c>
      <c r="C4426" t="s">
        <v>83</v>
      </c>
      <c r="D4426" t="s">
        <v>3219</v>
      </c>
      <c r="E4426">
        <v>27.11</v>
      </c>
      <c r="F4426">
        <v>149.79</v>
      </c>
    </row>
    <row r="4427" spans="1:6" x14ac:dyDescent="0.25">
      <c r="A4427" t="s">
        <v>1830</v>
      </c>
      <c r="B4427" t="s">
        <v>38</v>
      </c>
      <c r="C4427" t="s">
        <v>84</v>
      </c>
      <c r="D4427" t="s">
        <v>3217</v>
      </c>
      <c r="E4427">
        <v>0</v>
      </c>
      <c r="F4427">
        <v>149.29</v>
      </c>
    </row>
    <row r="4428" spans="1:6" x14ac:dyDescent="0.25">
      <c r="A4428" t="s">
        <v>1830</v>
      </c>
      <c r="B4428" t="s">
        <v>38</v>
      </c>
      <c r="C4428" t="s">
        <v>84</v>
      </c>
      <c r="D4428" t="s">
        <v>3218</v>
      </c>
      <c r="E4428">
        <v>12.54</v>
      </c>
      <c r="F4428">
        <v>149.83000000000001</v>
      </c>
    </row>
    <row r="4429" spans="1:6" x14ac:dyDescent="0.25">
      <c r="A4429" t="s">
        <v>1830</v>
      </c>
      <c r="B4429" t="s">
        <v>38</v>
      </c>
      <c r="C4429" t="s">
        <v>84</v>
      </c>
      <c r="D4429" t="s">
        <v>3219</v>
      </c>
      <c r="E4429">
        <v>26.5</v>
      </c>
      <c r="F4429">
        <v>149.99</v>
      </c>
    </row>
    <row r="4430" spans="1:6" x14ac:dyDescent="0.25">
      <c r="A4430" t="s">
        <v>1831</v>
      </c>
      <c r="B4430" t="s">
        <v>38</v>
      </c>
      <c r="C4430" t="s">
        <v>85</v>
      </c>
      <c r="D4430" t="s">
        <v>3217</v>
      </c>
      <c r="E4430">
        <v>0</v>
      </c>
      <c r="F4430">
        <v>149.81</v>
      </c>
    </row>
    <row r="4431" spans="1:6" x14ac:dyDescent="0.25">
      <c r="A4431" t="s">
        <v>1831</v>
      </c>
      <c r="B4431" t="s">
        <v>38</v>
      </c>
      <c r="C4431" t="s">
        <v>85</v>
      </c>
      <c r="D4431" t="s">
        <v>3218</v>
      </c>
      <c r="E4431">
        <v>11.55</v>
      </c>
      <c r="F4431">
        <v>150.19999999999999</v>
      </c>
    </row>
    <row r="4432" spans="1:6" x14ac:dyDescent="0.25">
      <c r="A4432" t="s">
        <v>1831</v>
      </c>
      <c r="B4432" t="s">
        <v>38</v>
      </c>
      <c r="C4432" t="s">
        <v>85</v>
      </c>
      <c r="D4432" t="s">
        <v>3219</v>
      </c>
      <c r="E4432">
        <v>25.51</v>
      </c>
      <c r="F4432">
        <v>150.25</v>
      </c>
    </row>
    <row r="4433" spans="1:6" x14ac:dyDescent="0.25">
      <c r="A4433" t="s">
        <v>1832</v>
      </c>
      <c r="B4433" t="s">
        <v>38</v>
      </c>
      <c r="C4433" t="s">
        <v>86</v>
      </c>
      <c r="D4433" t="s">
        <v>3217</v>
      </c>
      <c r="E4433">
        <v>0</v>
      </c>
      <c r="F4433">
        <v>150.29</v>
      </c>
    </row>
    <row r="4434" spans="1:6" x14ac:dyDescent="0.25">
      <c r="A4434" t="s">
        <v>1832</v>
      </c>
      <c r="B4434" t="s">
        <v>38</v>
      </c>
      <c r="C4434" t="s">
        <v>86</v>
      </c>
      <c r="D4434" t="s">
        <v>3218</v>
      </c>
      <c r="E4434">
        <v>12.54</v>
      </c>
      <c r="F4434">
        <v>150.75</v>
      </c>
    </row>
    <row r="4435" spans="1:6" x14ac:dyDescent="0.25">
      <c r="A4435" t="s">
        <v>1832</v>
      </c>
      <c r="B4435" t="s">
        <v>38</v>
      </c>
      <c r="C4435" t="s">
        <v>86</v>
      </c>
      <c r="D4435" t="s">
        <v>3219</v>
      </c>
      <c r="E4435">
        <v>25.04</v>
      </c>
      <c r="F4435">
        <v>150.84</v>
      </c>
    </row>
    <row r="4436" spans="1:6" x14ac:dyDescent="0.25">
      <c r="A4436" t="s">
        <v>1833</v>
      </c>
      <c r="B4436" t="s">
        <v>38</v>
      </c>
      <c r="C4436" t="s">
        <v>87</v>
      </c>
      <c r="D4436" t="s">
        <v>3217</v>
      </c>
      <c r="E4436">
        <v>0</v>
      </c>
      <c r="F4436">
        <v>150.69999999999999</v>
      </c>
    </row>
    <row r="4437" spans="1:6" x14ac:dyDescent="0.25">
      <c r="A4437" t="s">
        <v>1833</v>
      </c>
      <c r="B4437" t="s">
        <v>38</v>
      </c>
      <c r="C4437" t="s">
        <v>87</v>
      </c>
      <c r="D4437" t="s">
        <v>3218</v>
      </c>
      <c r="E4437">
        <v>13.34</v>
      </c>
      <c r="F4437">
        <v>151.11000000000001</v>
      </c>
    </row>
    <row r="4438" spans="1:6" x14ac:dyDescent="0.25">
      <c r="A4438" t="s">
        <v>1833</v>
      </c>
      <c r="B4438" t="s">
        <v>38</v>
      </c>
      <c r="C4438" t="s">
        <v>87</v>
      </c>
      <c r="D4438" t="s">
        <v>3219</v>
      </c>
      <c r="E4438">
        <v>24.59</v>
      </c>
      <c r="F4438">
        <v>151.22999999999999</v>
      </c>
    </row>
    <row r="4439" spans="1:6" x14ac:dyDescent="0.25">
      <c r="A4439" t="s">
        <v>1834</v>
      </c>
      <c r="B4439" t="s">
        <v>38</v>
      </c>
      <c r="C4439" t="s">
        <v>88</v>
      </c>
      <c r="D4439" t="s">
        <v>3217</v>
      </c>
      <c r="E4439">
        <v>0</v>
      </c>
      <c r="F4439">
        <v>150.9</v>
      </c>
    </row>
    <row r="4440" spans="1:6" x14ac:dyDescent="0.25">
      <c r="A4440" t="s">
        <v>1834</v>
      </c>
      <c r="B4440" t="s">
        <v>38</v>
      </c>
      <c r="C4440" t="s">
        <v>88</v>
      </c>
      <c r="D4440" t="s">
        <v>3218</v>
      </c>
      <c r="E4440">
        <v>12.72</v>
      </c>
      <c r="F4440">
        <v>151.25</v>
      </c>
    </row>
    <row r="4441" spans="1:6" x14ac:dyDescent="0.25">
      <c r="A4441" t="s">
        <v>1834</v>
      </c>
      <c r="B4441" t="s">
        <v>38</v>
      </c>
      <c r="C4441" t="s">
        <v>88</v>
      </c>
      <c r="D4441" t="s">
        <v>3219</v>
      </c>
      <c r="E4441">
        <v>23.71</v>
      </c>
      <c r="F4441">
        <v>151.43</v>
      </c>
    </row>
    <row r="4442" spans="1:6" x14ac:dyDescent="0.25">
      <c r="A4442" t="s">
        <v>1835</v>
      </c>
      <c r="B4442" t="s">
        <v>38</v>
      </c>
      <c r="C4442" t="s">
        <v>89</v>
      </c>
      <c r="D4442" t="s">
        <v>3217</v>
      </c>
      <c r="E4442">
        <v>0</v>
      </c>
      <c r="F4442">
        <v>150.65</v>
      </c>
    </row>
    <row r="4443" spans="1:6" x14ac:dyDescent="0.25">
      <c r="A4443" t="s">
        <v>1835</v>
      </c>
      <c r="B4443" t="s">
        <v>38</v>
      </c>
      <c r="C4443" t="s">
        <v>89</v>
      </c>
      <c r="D4443" t="s">
        <v>3218</v>
      </c>
      <c r="E4443">
        <v>12.5</v>
      </c>
      <c r="F4443">
        <v>151.13999999999999</v>
      </c>
    </row>
    <row r="4444" spans="1:6" x14ac:dyDescent="0.25">
      <c r="A4444" t="s">
        <v>1835</v>
      </c>
      <c r="B4444" t="s">
        <v>38</v>
      </c>
      <c r="C4444" t="s">
        <v>89</v>
      </c>
      <c r="D4444" t="s">
        <v>3219</v>
      </c>
      <c r="E4444">
        <v>24.64</v>
      </c>
      <c r="F4444">
        <v>151.29</v>
      </c>
    </row>
    <row r="4445" spans="1:6" x14ac:dyDescent="0.25">
      <c r="A4445" t="s">
        <v>1836</v>
      </c>
      <c r="B4445" t="s">
        <v>38</v>
      </c>
      <c r="C4445" t="s">
        <v>90</v>
      </c>
      <c r="D4445" t="s">
        <v>3217</v>
      </c>
      <c r="E4445">
        <v>0</v>
      </c>
      <c r="F4445">
        <v>150.15</v>
      </c>
    </row>
    <row r="4446" spans="1:6" x14ac:dyDescent="0.25">
      <c r="A4446" t="s">
        <v>1836</v>
      </c>
      <c r="B4446" t="s">
        <v>38</v>
      </c>
      <c r="C4446" t="s">
        <v>90</v>
      </c>
      <c r="D4446" t="s">
        <v>3218</v>
      </c>
      <c r="E4446">
        <v>11.73</v>
      </c>
      <c r="F4446">
        <v>150.58000000000001</v>
      </c>
    </row>
    <row r="4447" spans="1:6" x14ac:dyDescent="0.25">
      <c r="A4447" t="s">
        <v>1836</v>
      </c>
      <c r="B4447" t="s">
        <v>38</v>
      </c>
      <c r="C4447" t="s">
        <v>90</v>
      </c>
      <c r="D4447" t="s">
        <v>3219</v>
      </c>
      <c r="E4447">
        <v>23.16</v>
      </c>
      <c r="F4447">
        <v>150.74</v>
      </c>
    </row>
    <row r="4448" spans="1:6" x14ac:dyDescent="0.25">
      <c r="A4448" t="s">
        <v>1837</v>
      </c>
      <c r="B4448" t="s">
        <v>38</v>
      </c>
      <c r="C4448" t="s">
        <v>91</v>
      </c>
      <c r="D4448" t="s">
        <v>3217</v>
      </c>
      <c r="E4448">
        <v>0</v>
      </c>
      <c r="F4448">
        <v>148.99</v>
      </c>
    </row>
    <row r="4449" spans="1:6" x14ac:dyDescent="0.25">
      <c r="A4449" t="s">
        <v>1837</v>
      </c>
      <c r="B4449" t="s">
        <v>38</v>
      </c>
      <c r="C4449" t="s">
        <v>91</v>
      </c>
      <c r="D4449" t="s">
        <v>3218</v>
      </c>
      <c r="E4449">
        <v>12.5</v>
      </c>
      <c r="F4449">
        <v>149.38</v>
      </c>
    </row>
    <row r="4450" spans="1:6" x14ac:dyDescent="0.25">
      <c r="A4450" t="s">
        <v>1837</v>
      </c>
      <c r="B4450" t="s">
        <v>38</v>
      </c>
      <c r="C4450" t="s">
        <v>91</v>
      </c>
      <c r="D4450" t="s">
        <v>3219</v>
      </c>
      <c r="E4450">
        <v>23.7</v>
      </c>
      <c r="F4450">
        <v>149.63999999999999</v>
      </c>
    </row>
    <row r="4451" spans="1:6" x14ac:dyDescent="0.25">
      <c r="A4451" t="s">
        <v>1838</v>
      </c>
      <c r="B4451" t="s">
        <v>38</v>
      </c>
      <c r="C4451" t="s">
        <v>92</v>
      </c>
      <c r="D4451" t="s">
        <v>3217</v>
      </c>
      <c r="E4451">
        <v>0</v>
      </c>
      <c r="F4451">
        <v>147.59</v>
      </c>
    </row>
    <row r="4452" spans="1:6" x14ac:dyDescent="0.25">
      <c r="A4452" t="s">
        <v>1838</v>
      </c>
      <c r="B4452" t="s">
        <v>38</v>
      </c>
      <c r="C4452" t="s">
        <v>92</v>
      </c>
      <c r="D4452" t="s">
        <v>3218</v>
      </c>
      <c r="E4452">
        <v>12.25</v>
      </c>
      <c r="F4452">
        <v>147.97</v>
      </c>
    </row>
    <row r="4453" spans="1:6" x14ac:dyDescent="0.25">
      <c r="A4453" t="s">
        <v>1838</v>
      </c>
      <c r="B4453" t="s">
        <v>38</v>
      </c>
      <c r="C4453" t="s">
        <v>92</v>
      </c>
      <c r="D4453" t="s">
        <v>3219</v>
      </c>
      <c r="E4453">
        <v>23.97</v>
      </c>
      <c r="F4453">
        <v>148.09</v>
      </c>
    </row>
    <row r="4454" spans="1:6" x14ac:dyDescent="0.25">
      <c r="A4454" t="s">
        <v>1839</v>
      </c>
      <c r="B4454" t="s">
        <v>38</v>
      </c>
      <c r="C4454" t="s">
        <v>93</v>
      </c>
      <c r="D4454" t="s">
        <v>3217</v>
      </c>
      <c r="E4454">
        <v>0</v>
      </c>
      <c r="F4454">
        <v>146.07</v>
      </c>
    </row>
    <row r="4455" spans="1:6" x14ac:dyDescent="0.25">
      <c r="A4455" t="s">
        <v>1839</v>
      </c>
      <c r="B4455" t="s">
        <v>38</v>
      </c>
      <c r="C4455" t="s">
        <v>93</v>
      </c>
      <c r="D4455" t="s">
        <v>3218</v>
      </c>
      <c r="E4455">
        <v>12.6</v>
      </c>
      <c r="F4455">
        <v>146.49</v>
      </c>
    </row>
    <row r="4456" spans="1:6" x14ac:dyDescent="0.25">
      <c r="A4456" t="s">
        <v>1839</v>
      </c>
      <c r="B4456" t="s">
        <v>38</v>
      </c>
      <c r="C4456" t="s">
        <v>93</v>
      </c>
      <c r="D4456" t="s">
        <v>3219</v>
      </c>
      <c r="E4456">
        <v>24.34</v>
      </c>
      <c r="F4456">
        <v>146.65</v>
      </c>
    </row>
    <row r="4457" spans="1:6" x14ac:dyDescent="0.25">
      <c r="A4457" t="s">
        <v>1840</v>
      </c>
      <c r="B4457" t="s">
        <v>38</v>
      </c>
      <c r="C4457" t="s">
        <v>94</v>
      </c>
      <c r="D4457" t="s">
        <v>3217</v>
      </c>
      <c r="E4457">
        <v>0</v>
      </c>
      <c r="F4457">
        <v>144.52000000000001</v>
      </c>
    </row>
    <row r="4458" spans="1:6" x14ac:dyDescent="0.25">
      <c r="A4458" t="s">
        <v>1840</v>
      </c>
      <c r="B4458" t="s">
        <v>38</v>
      </c>
      <c r="C4458" t="s">
        <v>94</v>
      </c>
      <c r="D4458" t="s">
        <v>3218</v>
      </c>
      <c r="E4458">
        <v>12.86</v>
      </c>
      <c r="F4458">
        <v>144.99</v>
      </c>
    </row>
    <row r="4459" spans="1:6" x14ac:dyDescent="0.25">
      <c r="A4459" t="s">
        <v>1840</v>
      </c>
      <c r="B4459" t="s">
        <v>38</v>
      </c>
      <c r="C4459" t="s">
        <v>94</v>
      </c>
      <c r="D4459" t="s">
        <v>3219</v>
      </c>
      <c r="E4459">
        <v>24.94</v>
      </c>
      <c r="F4459">
        <v>145.25</v>
      </c>
    </row>
    <row r="4460" spans="1:6" x14ac:dyDescent="0.25">
      <c r="A4460" t="s">
        <v>1841</v>
      </c>
      <c r="B4460" t="s">
        <v>38</v>
      </c>
      <c r="C4460" t="s">
        <v>95</v>
      </c>
      <c r="D4460" t="s">
        <v>3217</v>
      </c>
      <c r="E4460">
        <v>0</v>
      </c>
      <c r="F4460">
        <v>142.94999999999999</v>
      </c>
    </row>
    <row r="4461" spans="1:6" x14ac:dyDescent="0.25">
      <c r="A4461" t="s">
        <v>1841</v>
      </c>
      <c r="B4461" t="s">
        <v>38</v>
      </c>
      <c r="C4461" t="s">
        <v>95</v>
      </c>
      <c r="D4461" t="s">
        <v>3218</v>
      </c>
      <c r="E4461">
        <v>14.4</v>
      </c>
      <c r="F4461">
        <v>143.35</v>
      </c>
    </row>
    <row r="4462" spans="1:6" x14ac:dyDescent="0.25">
      <c r="A4462" t="s">
        <v>1841</v>
      </c>
      <c r="B4462" t="s">
        <v>38</v>
      </c>
      <c r="C4462" t="s">
        <v>95</v>
      </c>
      <c r="D4462" t="s">
        <v>3219</v>
      </c>
      <c r="E4462">
        <v>27.66</v>
      </c>
      <c r="F4462">
        <v>143.62</v>
      </c>
    </row>
    <row r="4463" spans="1:6" x14ac:dyDescent="0.25">
      <c r="A4463" t="s">
        <v>1842</v>
      </c>
      <c r="B4463" t="s">
        <v>38</v>
      </c>
      <c r="C4463" t="s">
        <v>96</v>
      </c>
      <c r="D4463" t="s">
        <v>3217</v>
      </c>
      <c r="E4463">
        <v>0</v>
      </c>
      <c r="F4463">
        <v>141.16999999999999</v>
      </c>
    </row>
    <row r="4464" spans="1:6" x14ac:dyDescent="0.25">
      <c r="A4464" t="s">
        <v>1842</v>
      </c>
      <c r="B4464" t="s">
        <v>38</v>
      </c>
      <c r="C4464" t="s">
        <v>96</v>
      </c>
      <c r="D4464" t="s">
        <v>3218</v>
      </c>
      <c r="E4464">
        <v>16.66</v>
      </c>
      <c r="F4464">
        <v>141.52000000000001</v>
      </c>
    </row>
    <row r="4465" spans="1:6" x14ac:dyDescent="0.25">
      <c r="A4465" t="s">
        <v>1842</v>
      </c>
      <c r="B4465" t="s">
        <v>38</v>
      </c>
      <c r="C4465" t="s">
        <v>96</v>
      </c>
      <c r="D4465" t="s">
        <v>3219</v>
      </c>
      <c r="E4465">
        <v>33.19</v>
      </c>
      <c r="F4465">
        <v>141.72999999999999</v>
      </c>
    </row>
    <row r="4466" spans="1:6" x14ac:dyDescent="0.25">
      <c r="A4466" t="s">
        <v>1843</v>
      </c>
      <c r="B4466" t="s">
        <v>38</v>
      </c>
      <c r="C4466" t="s">
        <v>97</v>
      </c>
      <c r="D4466" t="s">
        <v>3217</v>
      </c>
      <c r="E4466">
        <v>0</v>
      </c>
      <c r="F4466">
        <v>139.59</v>
      </c>
    </row>
    <row r="4467" spans="1:6" x14ac:dyDescent="0.25">
      <c r="A4467" t="s">
        <v>1843</v>
      </c>
      <c r="B4467" t="s">
        <v>38</v>
      </c>
      <c r="C4467" t="s">
        <v>97</v>
      </c>
      <c r="D4467" t="s">
        <v>3218</v>
      </c>
      <c r="E4467">
        <v>16.940000000000001</v>
      </c>
      <c r="F4467">
        <v>139.81</v>
      </c>
    </row>
    <row r="4468" spans="1:6" x14ac:dyDescent="0.25">
      <c r="A4468" t="s">
        <v>1843</v>
      </c>
      <c r="B4468" t="s">
        <v>38</v>
      </c>
      <c r="C4468" t="s">
        <v>97</v>
      </c>
      <c r="D4468" t="s">
        <v>3219</v>
      </c>
      <c r="E4468">
        <v>32.1</v>
      </c>
      <c r="F4468">
        <v>139.80000000000001</v>
      </c>
    </row>
    <row r="4469" spans="1:6" x14ac:dyDescent="0.25">
      <c r="A4469" t="s">
        <v>1844</v>
      </c>
      <c r="B4469" t="s">
        <v>38</v>
      </c>
      <c r="C4469" t="s">
        <v>98</v>
      </c>
      <c r="D4469" t="s">
        <v>3217</v>
      </c>
      <c r="E4469">
        <v>0</v>
      </c>
      <c r="F4469">
        <v>137.88</v>
      </c>
    </row>
    <row r="4470" spans="1:6" x14ac:dyDescent="0.25">
      <c r="A4470" t="s">
        <v>1844</v>
      </c>
      <c r="B4470" t="s">
        <v>38</v>
      </c>
      <c r="C4470" t="s">
        <v>98</v>
      </c>
      <c r="D4470" t="s">
        <v>3218</v>
      </c>
      <c r="E4470">
        <v>16.63</v>
      </c>
      <c r="F4470">
        <v>138.08000000000001</v>
      </c>
    </row>
    <row r="4471" spans="1:6" x14ac:dyDescent="0.25">
      <c r="A4471" t="s">
        <v>1844</v>
      </c>
      <c r="B4471" t="s">
        <v>38</v>
      </c>
      <c r="C4471" t="s">
        <v>98</v>
      </c>
      <c r="D4471" t="s">
        <v>3219</v>
      </c>
      <c r="E4471">
        <v>32.909999999999997</v>
      </c>
      <c r="F4471">
        <v>137.63</v>
      </c>
    </row>
    <row r="4472" spans="1:6" x14ac:dyDescent="0.25">
      <c r="A4472" t="s">
        <v>1845</v>
      </c>
      <c r="B4472" t="s">
        <v>38</v>
      </c>
      <c r="C4472" t="s">
        <v>99</v>
      </c>
      <c r="D4472" t="s">
        <v>3217</v>
      </c>
      <c r="E4472">
        <v>0</v>
      </c>
      <c r="F4472">
        <v>136.01</v>
      </c>
    </row>
    <row r="4473" spans="1:6" x14ac:dyDescent="0.25">
      <c r="A4473" t="s">
        <v>1845</v>
      </c>
      <c r="B4473" t="s">
        <v>38</v>
      </c>
      <c r="C4473" t="s">
        <v>99</v>
      </c>
      <c r="D4473" t="s">
        <v>3218</v>
      </c>
      <c r="E4473">
        <v>15.99</v>
      </c>
      <c r="F4473">
        <v>136.16999999999999</v>
      </c>
    </row>
    <row r="4474" spans="1:6" x14ac:dyDescent="0.25">
      <c r="A4474" t="s">
        <v>1845</v>
      </c>
      <c r="B4474" t="s">
        <v>38</v>
      </c>
      <c r="C4474" t="s">
        <v>99</v>
      </c>
      <c r="D4474" t="s">
        <v>3219</v>
      </c>
      <c r="E4474">
        <v>33.18</v>
      </c>
      <c r="F4474">
        <v>135.65</v>
      </c>
    </row>
    <row r="4475" spans="1:6" x14ac:dyDescent="0.25">
      <c r="A4475" t="s">
        <v>1846</v>
      </c>
      <c r="B4475" t="s">
        <v>38</v>
      </c>
      <c r="C4475" t="s">
        <v>100</v>
      </c>
      <c r="D4475" t="s">
        <v>3217</v>
      </c>
      <c r="E4475">
        <v>0</v>
      </c>
      <c r="F4475">
        <v>134.12</v>
      </c>
    </row>
    <row r="4476" spans="1:6" x14ac:dyDescent="0.25">
      <c r="A4476" t="s">
        <v>1846</v>
      </c>
      <c r="B4476" t="s">
        <v>38</v>
      </c>
      <c r="C4476" t="s">
        <v>100</v>
      </c>
      <c r="D4476" t="s">
        <v>3218</v>
      </c>
      <c r="E4476">
        <v>16.05</v>
      </c>
      <c r="F4476">
        <v>134.32</v>
      </c>
    </row>
    <row r="4477" spans="1:6" x14ac:dyDescent="0.25">
      <c r="A4477" t="s">
        <v>1846</v>
      </c>
      <c r="B4477" t="s">
        <v>38</v>
      </c>
      <c r="C4477" t="s">
        <v>100</v>
      </c>
      <c r="D4477" t="s">
        <v>3219</v>
      </c>
      <c r="E4477">
        <v>33.26</v>
      </c>
      <c r="F4477">
        <v>133.82</v>
      </c>
    </row>
    <row r="4478" spans="1:6" x14ac:dyDescent="0.25">
      <c r="A4478" t="s">
        <v>1847</v>
      </c>
      <c r="B4478" t="s">
        <v>38</v>
      </c>
      <c r="C4478" t="s">
        <v>101</v>
      </c>
      <c r="D4478" t="s">
        <v>3217</v>
      </c>
      <c r="E4478">
        <v>0</v>
      </c>
      <c r="F4478">
        <v>131.99</v>
      </c>
    </row>
    <row r="4479" spans="1:6" x14ac:dyDescent="0.25">
      <c r="A4479" t="s">
        <v>1847</v>
      </c>
      <c r="B4479" t="s">
        <v>38</v>
      </c>
      <c r="C4479" t="s">
        <v>101</v>
      </c>
      <c r="D4479" t="s">
        <v>3218</v>
      </c>
      <c r="E4479">
        <v>16.059999999999999</v>
      </c>
      <c r="F4479">
        <v>132.30000000000001</v>
      </c>
    </row>
    <row r="4480" spans="1:6" x14ac:dyDescent="0.25">
      <c r="A4480" t="s">
        <v>1847</v>
      </c>
      <c r="B4480" t="s">
        <v>38</v>
      </c>
      <c r="C4480" t="s">
        <v>101</v>
      </c>
      <c r="D4480" t="s">
        <v>3219</v>
      </c>
      <c r="E4480">
        <v>33.78</v>
      </c>
      <c r="F4480">
        <v>131.85</v>
      </c>
    </row>
    <row r="4481" spans="1:6" x14ac:dyDescent="0.25">
      <c r="A4481" t="s">
        <v>1848</v>
      </c>
      <c r="B4481" t="s">
        <v>38</v>
      </c>
      <c r="C4481" t="s">
        <v>102</v>
      </c>
      <c r="D4481" t="s">
        <v>3217</v>
      </c>
      <c r="E4481">
        <v>0</v>
      </c>
      <c r="F4481">
        <v>129.97</v>
      </c>
    </row>
    <row r="4482" spans="1:6" x14ac:dyDescent="0.25">
      <c r="A4482" t="s">
        <v>1848</v>
      </c>
      <c r="B4482" t="s">
        <v>38</v>
      </c>
      <c r="C4482" t="s">
        <v>102</v>
      </c>
      <c r="D4482" t="s">
        <v>3218</v>
      </c>
      <c r="E4482">
        <v>15.39</v>
      </c>
      <c r="F4482">
        <v>130.27000000000001</v>
      </c>
    </row>
    <row r="4483" spans="1:6" x14ac:dyDescent="0.25">
      <c r="A4483" t="s">
        <v>1848</v>
      </c>
      <c r="B4483" t="s">
        <v>38</v>
      </c>
      <c r="C4483" t="s">
        <v>102</v>
      </c>
      <c r="D4483" t="s">
        <v>3219</v>
      </c>
      <c r="E4483">
        <v>32.74</v>
      </c>
      <c r="F4483">
        <v>130.11000000000001</v>
      </c>
    </row>
    <row r="4484" spans="1:6" x14ac:dyDescent="0.25">
      <c r="A4484" t="s">
        <v>1849</v>
      </c>
      <c r="B4484" t="s">
        <v>38</v>
      </c>
      <c r="C4484" t="s">
        <v>103</v>
      </c>
      <c r="D4484" t="s">
        <v>3217</v>
      </c>
      <c r="E4484">
        <v>0</v>
      </c>
      <c r="F4484">
        <v>128.02000000000001</v>
      </c>
    </row>
    <row r="4485" spans="1:6" x14ac:dyDescent="0.25">
      <c r="A4485" t="s">
        <v>1849</v>
      </c>
      <c r="B4485" t="s">
        <v>38</v>
      </c>
      <c r="C4485" t="s">
        <v>103</v>
      </c>
      <c r="D4485" t="s">
        <v>3218</v>
      </c>
      <c r="E4485">
        <v>15.11</v>
      </c>
      <c r="F4485">
        <v>128.32</v>
      </c>
    </row>
    <row r="4486" spans="1:6" x14ac:dyDescent="0.25">
      <c r="A4486" t="s">
        <v>1849</v>
      </c>
      <c r="B4486" t="s">
        <v>38</v>
      </c>
      <c r="C4486" t="s">
        <v>103</v>
      </c>
      <c r="D4486" t="s">
        <v>3219</v>
      </c>
      <c r="E4486">
        <v>33.270000000000003</v>
      </c>
      <c r="F4486">
        <v>128.21</v>
      </c>
    </row>
    <row r="4487" spans="1:6" x14ac:dyDescent="0.25">
      <c r="A4487" t="s">
        <v>1850</v>
      </c>
      <c r="B4487" t="s">
        <v>38</v>
      </c>
      <c r="C4487" t="s">
        <v>104</v>
      </c>
      <c r="D4487" t="s">
        <v>3217</v>
      </c>
      <c r="E4487">
        <v>0</v>
      </c>
      <c r="F4487">
        <v>125.78</v>
      </c>
    </row>
    <row r="4488" spans="1:6" x14ac:dyDescent="0.25">
      <c r="A4488" t="s">
        <v>1850</v>
      </c>
      <c r="B4488" t="s">
        <v>38</v>
      </c>
      <c r="C4488" t="s">
        <v>104</v>
      </c>
      <c r="D4488" t="s">
        <v>3218</v>
      </c>
      <c r="E4488">
        <v>16.690000000000001</v>
      </c>
      <c r="F4488">
        <v>126.22</v>
      </c>
    </row>
    <row r="4489" spans="1:6" x14ac:dyDescent="0.25">
      <c r="A4489" t="s">
        <v>1850</v>
      </c>
      <c r="B4489" t="s">
        <v>38</v>
      </c>
      <c r="C4489" t="s">
        <v>104</v>
      </c>
      <c r="D4489" t="s">
        <v>3219</v>
      </c>
      <c r="E4489">
        <v>34</v>
      </c>
      <c r="F4489">
        <v>126.59</v>
      </c>
    </row>
    <row r="4490" spans="1:6" x14ac:dyDescent="0.25">
      <c r="A4490" t="s">
        <v>1851</v>
      </c>
      <c r="B4490" t="s">
        <v>38</v>
      </c>
      <c r="C4490" t="s">
        <v>105</v>
      </c>
      <c r="D4490" t="s">
        <v>3217</v>
      </c>
      <c r="E4490">
        <v>0</v>
      </c>
      <c r="F4490">
        <v>123.99</v>
      </c>
    </row>
    <row r="4491" spans="1:6" x14ac:dyDescent="0.25">
      <c r="A4491" t="s">
        <v>1851</v>
      </c>
      <c r="B4491" t="s">
        <v>38</v>
      </c>
      <c r="C4491" t="s">
        <v>105</v>
      </c>
      <c r="D4491" t="s">
        <v>3218</v>
      </c>
      <c r="E4491">
        <v>17.559999999999999</v>
      </c>
      <c r="F4491">
        <v>124.29</v>
      </c>
    </row>
    <row r="4492" spans="1:6" x14ac:dyDescent="0.25">
      <c r="A4492" t="s">
        <v>1851</v>
      </c>
      <c r="B4492" t="s">
        <v>38</v>
      </c>
      <c r="C4492" t="s">
        <v>105</v>
      </c>
      <c r="D4492" t="s">
        <v>3219</v>
      </c>
      <c r="E4492">
        <v>34.729999999999997</v>
      </c>
      <c r="F4492">
        <v>124.71</v>
      </c>
    </row>
    <row r="4493" spans="1:6" x14ac:dyDescent="0.25">
      <c r="A4493" t="s">
        <v>1852</v>
      </c>
      <c r="B4493" t="s">
        <v>38</v>
      </c>
      <c r="C4493" t="s">
        <v>106</v>
      </c>
      <c r="D4493" t="s">
        <v>3217</v>
      </c>
      <c r="E4493">
        <v>0</v>
      </c>
      <c r="F4493">
        <v>122.54</v>
      </c>
    </row>
    <row r="4494" spans="1:6" x14ac:dyDescent="0.25">
      <c r="A4494" t="s">
        <v>1852</v>
      </c>
      <c r="B4494" t="s">
        <v>38</v>
      </c>
      <c r="C4494" t="s">
        <v>106</v>
      </c>
      <c r="D4494" t="s">
        <v>3218</v>
      </c>
      <c r="E4494">
        <v>16.45</v>
      </c>
      <c r="F4494">
        <v>122.81</v>
      </c>
    </row>
    <row r="4495" spans="1:6" x14ac:dyDescent="0.25">
      <c r="A4495" t="s">
        <v>1852</v>
      </c>
      <c r="B4495" t="s">
        <v>38</v>
      </c>
      <c r="C4495" t="s">
        <v>106</v>
      </c>
      <c r="D4495" t="s">
        <v>3219</v>
      </c>
      <c r="E4495">
        <v>34.64</v>
      </c>
      <c r="F4495">
        <v>122.78</v>
      </c>
    </row>
    <row r="4496" spans="1:6" x14ac:dyDescent="0.25">
      <c r="A4496" t="s">
        <v>1853</v>
      </c>
      <c r="B4496" t="s">
        <v>38</v>
      </c>
      <c r="C4496" t="s">
        <v>108</v>
      </c>
      <c r="D4496" t="s">
        <v>3217</v>
      </c>
      <c r="E4496">
        <v>0</v>
      </c>
      <c r="F4496">
        <v>120.62</v>
      </c>
    </row>
    <row r="4497" spans="1:6" x14ac:dyDescent="0.25">
      <c r="A4497" t="s">
        <v>1853</v>
      </c>
      <c r="B4497" t="s">
        <v>38</v>
      </c>
      <c r="C4497" t="s">
        <v>108</v>
      </c>
      <c r="D4497" t="s">
        <v>3218</v>
      </c>
      <c r="E4497">
        <v>16.8</v>
      </c>
      <c r="F4497">
        <v>121.13</v>
      </c>
    </row>
    <row r="4498" spans="1:6" x14ac:dyDescent="0.25">
      <c r="A4498" t="s">
        <v>1853</v>
      </c>
      <c r="B4498" t="s">
        <v>38</v>
      </c>
      <c r="C4498" t="s">
        <v>108</v>
      </c>
      <c r="D4498" t="s">
        <v>3219</v>
      </c>
      <c r="E4498">
        <v>34.75</v>
      </c>
      <c r="F4498">
        <v>121.38</v>
      </c>
    </row>
    <row r="4499" spans="1:6" x14ac:dyDescent="0.25">
      <c r="A4499" t="s">
        <v>1854</v>
      </c>
      <c r="B4499" t="s">
        <v>38</v>
      </c>
      <c r="C4499" t="s">
        <v>109</v>
      </c>
      <c r="D4499" t="s">
        <v>3217</v>
      </c>
      <c r="E4499">
        <v>0</v>
      </c>
      <c r="F4499">
        <v>119.32</v>
      </c>
    </row>
    <row r="4500" spans="1:6" x14ac:dyDescent="0.25">
      <c r="A4500" t="s">
        <v>1854</v>
      </c>
      <c r="B4500" t="s">
        <v>38</v>
      </c>
      <c r="C4500" t="s">
        <v>109</v>
      </c>
      <c r="D4500" t="s">
        <v>3218</v>
      </c>
      <c r="E4500">
        <v>15.5</v>
      </c>
      <c r="F4500">
        <v>119.67</v>
      </c>
    </row>
    <row r="4501" spans="1:6" x14ac:dyDescent="0.25">
      <c r="A4501" t="s">
        <v>1854</v>
      </c>
      <c r="B4501" t="s">
        <v>38</v>
      </c>
      <c r="C4501" t="s">
        <v>109</v>
      </c>
      <c r="D4501" t="s">
        <v>3219</v>
      </c>
      <c r="E4501">
        <v>33.770000000000003</v>
      </c>
      <c r="F4501">
        <v>119.67</v>
      </c>
    </row>
    <row r="4502" spans="1:6" x14ac:dyDescent="0.25">
      <c r="A4502" t="s">
        <v>1855</v>
      </c>
      <c r="B4502" t="s">
        <v>38</v>
      </c>
      <c r="C4502" t="s">
        <v>110</v>
      </c>
      <c r="D4502" t="s">
        <v>3217</v>
      </c>
      <c r="E4502">
        <v>0</v>
      </c>
      <c r="F4502">
        <v>118.02</v>
      </c>
    </row>
    <row r="4503" spans="1:6" x14ac:dyDescent="0.25">
      <c r="A4503" t="s">
        <v>1855</v>
      </c>
      <c r="B4503" t="s">
        <v>38</v>
      </c>
      <c r="C4503" t="s">
        <v>110</v>
      </c>
      <c r="D4503" t="s">
        <v>3218</v>
      </c>
      <c r="E4503">
        <v>15.25</v>
      </c>
      <c r="F4503">
        <v>118.27</v>
      </c>
    </row>
    <row r="4504" spans="1:6" x14ac:dyDescent="0.25">
      <c r="A4504" t="s">
        <v>1855</v>
      </c>
      <c r="B4504" t="s">
        <v>38</v>
      </c>
      <c r="C4504" t="s">
        <v>110</v>
      </c>
      <c r="D4504" t="s">
        <v>3219</v>
      </c>
      <c r="E4504">
        <v>33.200000000000003</v>
      </c>
      <c r="F4504">
        <v>118.12</v>
      </c>
    </row>
    <row r="4505" spans="1:6" x14ac:dyDescent="0.25">
      <c r="A4505" t="s">
        <v>1856</v>
      </c>
      <c r="B4505" t="s">
        <v>38</v>
      </c>
      <c r="C4505" t="s">
        <v>111</v>
      </c>
      <c r="D4505" t="s">
        <v>3217</v>
      </c>
      <c r="E4505">
        <v>0</v>
      </c>
      <c r="F4505">
        <v>116.54</v>
      </c>
    </row>
    <row r="4506" spans="1:6" x14ac:dyDescent="0.25">
      <c r="A4506" t="s">
        <v>1856</v>
      </c>
      <c r="B4506" t="s">
        <v>38</v>
      </c>
      <c r="C4506" t="s">
        <v>111</v>
      </c>
      <c r="D4506" t="s">
        <v>3218</v>
      </c>
      <c r="E4506">
        <v>15.84</v>
      </c>
      <c r="F4506">
        <v>116.69</v>
      </c>
    </row>
    <row r="4507" spans="1:6" x14ac:dyDescent="0.25">
      <c r="A4507" t="s">
        <v>1856</v>
      </c>
      <c r="B4507" t="s">
        <v>38</v>
      </c>
      <c r="C4507" t="s">
        <v>111</v>
      </c>
      <c r="D4507" t="s">
        <v>3219</v>
      </c>
      <c r="E4507">
        <v>33.04</v>
      </c>
      <c r="F4507">
        <v>116.5</v>
      </c>
    </row>
    <row r="4508" spans="1:6" x14ac:dyDescent="0.25">
      <c r="A4508" t="s">
        <v>1857</v>
      </c>
      <c r="B4508" t="s">
        <v>38</v>
      </c>
      <c r="C4508" t="s">
        <v>112</v>
      </c>
      <c r="D4508" t="s">
        <v>3217</v>
      </c>
      <c r="E4508">
        <v>0</v>
      </c>
      <c r="F4508">
        <v>114.77</v>
      </c>
    </row>
    <row r="4509" spans="1:6" x14ac:dyDescent="0.25">
      <c r="A4509" t="s">
        <v>1857</v>
      </c>
      <c r="B4509" t="s">
        <v>38</v>
      </c>
      <c r="C4509" t="s">
        <v>112</v>
      </c>
      <c r="D4509" t="s">
        <v>3218</v>
      </c>
      <c r="E4509">
        <v>14.72</v>
      </c>
      <c r="F4509">
        <v>115</v>
      </c>
    </row>
    <row r="4510" spans="1:6" x14ac:dyDescent="0.25">
      <c r="A4510" t="s">
        <v>1857</v>
      </c>
      <c r="B4510" t="s">
        <v>38</v>
      </c>
      <c r="C4510" t="s">
        <v>112</v>
      </c>
      <c r="D4510" t="s">
        <v>3219</v>
      </c>
      <c r="E4510">
        <v>31.94</v>
      </c>
      <c r="F4510">
        <v>114.85</v>
      </c>
    </row>
    <row r="4511" spans="1:6" x14ac:dyDescent="0.25">
      <c r="A4511" t="s">
        <v>1858</v>
      </c>
      <c r="B4511" t="s">
        <v>38</v>
      </c>
      <c r="C4511" t="s">
        <v>113</v>
      </c>
      <c r="D4511" t="s">
        <v>3217</v>
      </c>
      <c r="E4511">
        <v>0</v>
      </c>
      <c r="F4511">
        <v>113.18</v>
      </c>
    </row>
    <row r="4512" spans="1:6" x14ac:dyDescent="0.25">
      <c r="A4512" t="s">
        <v>1858</v>
      </c>
      <c r="B4512" t="s">
        <v>38</v>
      </c>
      <c r="C4512" t="s">
        <v>113</v>
      </c>
      <c r="D4512" t="s">
        <v>3218</v>
      </c>
      <c r="E4512">
        <v>13.97</v>
      </c>
      <c r="F4512">
        <v>113.47</v>
      </c>
    </row>
    <row r="4513" spans="1:6" x14ac:dyDescent="0.25">
      <c r="A4513" t="s">
        <v>1858</v>
      </c>
      <c r="B4513" t="s">
        <v>38</v>
      </c>
      <c r="C4513" t="s">
        <v>113</v>
      </c>
      <c r="D4513" t="s">
        <v>3219</v>
      </c>
      <c r="E4513">
        <v>29.56</v>
      </c>
      <c r="F4513">
        <v>113.47</v>
      </c>
    </row>
    <row r="4514" spans="1:6" x14ac:dyDescent="0.25">
      <c r="A4514" t="s">
        <v>1859</v>
      </c>
      <c r="B4514" t="s">
        <v>38</v>
      </c>
      <c r="C4514" t="s">
        <v>114</v>
      </c>
      <c r="D4514" t="s">
        <v>3217</v>
      </c>
      <c r="E4514">
        <v>0</v>
      </c>
      <c r="F4514">
        <v>111.77</v>
      </c>
    </row>
    <row r="4515" spans="1:6" x14ac:dyDescent="0.25">
      <c r="A4515" t="s">
        <v>1859</v>
      </c>
      <c r="B4515" t="s">
        <v>38</v>
      </c>
      <c r="C4515" t="s">
        <v>114</v>
      </c>
      <c r="D4515" t="s">
        <v>3218</v>
      </c>
      <c r="E4515">
        <v>13.97</v>
      </c>
      <c r="F4515">
        <v>111.97</v>
      </c>
    </row>
    <row r="4516" spans="1:6" x14ac:dyDescent="0.25">
      <c r="A4516" t="s">
        <v>1859</v>
      </c>
      <c r="B4516" t="s">
        <v>38</v>
      </c>
      <c r="C4516" t="s">
        <v>114</v>
      </c>
      <c r="D4516" t="s">
        <v>3219</v>
      </c>
      <c r="E4516">
        <v>28.86</v>
      </c>
      <c r="F4516">
        <v>111.88</v>
      </c>
    </row>
    <row r="4517" spans="1:6" x14ac:dyDescent="0.25">
      <c r="A4517" t="s">
        <v>1860</v>
      </c>
      <c r="B4517" t="s">
        <v>38</v>
      </c>
      <c r="C4517" t="s">
        <v>115</v>
      </c>
      <c r="D4517" t="s">
        <v>3217</v>
      </c>
      <c r="E4517">
        <v>0</v>
      </c>
      <c r="F4517">
        <v>110.33</v>
      </c>
    </row>
    <row r="4518" spans="1:6" x14ac:dyDescent="0.25">
      <c r="A4518" t="s">
        <v>1860</v>
      </c>
      <c r="B4518" t="s">
        <v>38</v>
      </c>
      <c r="C4518" t="s">
        <v>115</v>
      </c>
      <c r="D4518" t="s">
        <v>3218</v>
      </c>
      <c r="E4518">
        <v>12.75</v>
      </c>
      <c r="F4518">
        <v>110.47</v>
      </c>
    </row>
    <row r="4519" spans="1:6" x14ac:dyDescent="0.25">
      <c r="A4519" t="s">
        <v>1860</v>
      </c>
      <c r="B4519" t="s">
        <v>38</v>
      </c>
      <c r="C4519" t="s">
        <v>115</v>
      </c>
      <c r="D4519" t="s">
        <v>3219</v>
      </c>
      <c r="E4519">
        <v>26.49</v>
      </c>
      <c r="F4519">
        <v>110.49</v>
      </c>
    </row>
    <row r="4520" spans="1:6" x14ac:dyDescent="0.25">
      <c r="A4520" t="s">
        <v>1861</v>
      </c>
      <c r="B4520" t="s">
        <v>38</v>
      </c>
      <c r="C4520" t="s">
        <v>116</v>
      </c>
      <c r="D4520" t="s">
        <v>3217</v>
      </c>
      <c r="E4520">
        <v>0</v>
      </c>
      <c r="F4520">
        <v>109.07</v>
      </c>
    </row>
    <row r="4521" spans="1:6" x14ac:dyDescent="0.25">
      <c r="A4521" t="s">
        <v>1861</v>
      </c>
      <c r="B4521" t="s">
        <v>38</v>
      </c>
      <c r="C4521" t="s">
        <v>116</v>
      </c>
      <c r="D4521" t="s">
        <v>3218</v>
      </c>
      <c r="E4521">
        <v>12.94</v>
      </c>
      <c r="F4521">
        <v>109.25</v>
      </c>
    </row>
    <row r="4522" spans="1:6" x14ac:dyDescent="0.25">
      <c r="A4522" t="s">
        <v>1861</v>
      </c>
      <c r="B4522" t="s">
        <v>38</v>
      </c>
      <c r="C4522" t="s">
        <v>116</v>
      </c>
      <c r="D4522" t="s">
        <v>3219</v>
      </c>
      <c r="E4522">
        <v>26.08</v>
      </c>
      <c r="F4522">
        <v>109.16</v>
      </c>
    </row>
    <row r="4523" spans="1:6" x14ac:dyDescent="0.25">
      <c r="A4523" t="s">
        <v>1862</v>
      </c>
      <c r="B4523" t="s">
        <v>38</v>
      </c>
      <c r="C4523" t="s">
        <v>117</v>
      </c>
      <c r="D4523" t="s">
        <v>3217</v>
      </c>
      <c r="E4523">
        <v>0</v>
      </c>
      <c r="F4523">
        <v>107.82</v>
      </c>
    </row>
    <row r="4524" spans="1:6" x14ac:dyDescent="0.25">
      <c r="A4524" t="s">
        <v>1862</v>
      </c>
      <c r="B4524" t="s">
        <v>38</v>
      </c>
      <c r="C4524" t="s">
        <v>117</v>
      </c>
      <c r="D4524" t="s">
        <v>3218</v>
      </c>
      <c r="E4524">
        <v>12.77</v>
      </c>
      <c r="F4524">
        <v>108.01</v>
      </c>
    </row>
    <row r="4525" spans="1:6" x14ac:dyDescent="0.25">
      <c r="A4525" t="s">
        <v>1862</v>
      </c>
      <c r="B4525" t="s">
        <v>38</v>
      </c>
      <c r="C4525" t="s">
        <v>117</v>
      </c>
      <c r="D4525" t="s">
        <v>3219</v>
      </c>
      <c r="E4525">
        <v>25.2</v>
      </c>
      <c r="F4525">
        <v>107.96</v>
      </c>
    </row>
    <row r="4526" spans="1:6" x14ac:dyDescent="0.25">
      <c r="A4526" t="s">
        <v>1863</v>
      </c>
      <c r="B4526" t="s">
        <v>38</v>
      </c>
      <c r="C4526" t="s">
        <v>118</v>
      </c>
      <c r="D4526" t="s">
        <v>3217</v>
      </c>
      <c r="E4526">
        <v>0</v>
      </c>
      <c r="F4526">
        <v>106.51</v>
      </c>
    </row>
    <row r="4527" spans="1:6" x14ac:dyDescent="0.25">
      <c r="A4527" t="s">
        <v>1863</v>
      </c>
      <c r="B4527" t="s">
        <v>38</v>
      </c>
      <c r="C4527" t="s">
        <v>118</v>
      </c>
      <c r="D4527" t="s">
        <v>3218</v>
      </c>
      <c r="E4527">
        <v>12.8</v>
      </c>
      <c r="F4527">
        <v>106.72</v>
      </c>
    </row>
    <row r="4528" spans="1:6" x14ac:dyDescent="0.25">
      <c r="A4528" t="s">
        <v>1863</v>
      </c>
      <c r="B4528" t="s">
        <v>38</v>
      </c>
      <c r="C4528" t="s">
        <v>118</v>
      </c>
      <c r="D4528" t="s">
        <v>3219</v>
      </c>
      <c r="E4528">
        <v>25.39</v>
      </c>
      <c r="F4528">
        <v>106.7</v>
      </c>
    </row>
    <row r="4529" spans="1:6" x14ac:dyDescent="0.25">
      <c r="A4529" t="s">
        <v>1864</v>
      </c>
      <c r="B4529" t="s">
        <v>38</v>
      </c>
      <c r="C4529" t="s">
        <v>119</v>
      </c>
      <c r="D4529" t="s">
        <v>3217</v>
      </c>
      <c r="E4529">
        <v>0</v>
      </c>
      <c r="F4529">
        <v>105.27</v>
      </c>
    </row>
    <row r="4530" spans="1:6" x14ac:dyDescent="0.25">
      <c r="A4530" t="s">
        <v>1864</v>
      </c>
      <c r="B4530" t="s">
        <v>38</v>
      </c>
      <c r="C4530" t="s">
        <v>119</v>
      </c>
      <c r="D4530" t="s">
        <v>3218</v>
      </c>
      <c r="E4530">
        <v>12.12</v>
      </c>
      <c r="F4530">
        <v>105.47</v>
      </c>
    </row>
    <row r="4531" spans="1:6" x14ac:dyDescent="0.25">
      <c r="A4531" t="s">
        <v>1864</v>
      </c>
      <c r="B4531" t="s">
        <v>38</v>
      </c>
      <c r="C4531" t="s">
        <v>119</v>
      </c>
      <c r="D4531" t="s">
        <v>3219</v>
      </c>
      <c r="E4531">
        <v>24.58</v>
      </c>
      <c r="F4531">
        <v>105.47</v>
      </c>
    </row>
    <row r="4532" spans="1:6" x14ac:dyDescent="0.25">
      <c r="A4532" t="s">
        <v>1865</v>
      </c>
      <c r="B4532" t="s">
        <v>38</v>
      </c>
      <c r="C4532" t="s">
        <v>120</v>
      </c>
      <c r="D4532" t="s">
        <v>3217</v>
      </c>
      <c r="E4532">
        <v>0</v>
      </c>
      <c r="F4532">
        <v>104.11</v>
      </c>
    </row>
    <row r="4533" spans="1:6" x14ac:dyDescent="0.25">
      <c r="A4533" t="s">
        <v>1865</v>
      </c>
      <c r="B4533" t="s">
        <v>38</v>
      </c>
      <c r="C4533" t="s">
        <v>120</v>
      </c>
      <c r="D4533" t="s">
        <v>3218</v>
      </c>
      <c r="E4533">
        <v>12.55</v>
      </c>
      <c r="F4533">
        <v>104.38</v>
      </c>
    </row>
    <row r="4534" spans="1:6" x14ac:dyDescent="0.25">
      <c r="A4534" t="s">
        <v>1865</v>
      </c>
      <c r="B4534" t="s">
        <v>38</v>
      </c>
      <c r="C4534" t="s">
        <v>120</v>
      </c>
      <c r="D4534" t="s">
        <v>3219</v>
      </c>
      <c r="E4534">
        <v>24.54</v>
      </c>
      <c r="F4534">
        <v>104.47</v>
      </c>
    </row>
    <row r="4535" spans="1:6" x14ac:dyDescent="0.25">
      <c r="A4535" t="s">
        <v>1866</v>
      </c>
      <c r="B4535" t="s">
        <v>38</v>
      </c>
      <c r="C4535" t="s">
        <v>121</v>
      </c>
      <c r="D4535" t="s">
        <v>3217</v>
      </c>
      <c r="E4535">
        <v>0</v>
      </c>
      <c r="F4535">
        <v>103.23</v>
      </c>
    </row>
    <row r="4536" spans="1:6" x14ac:dyDescent="0.25">
      <c r="A4536" t="s">
        <v>1866</v>
      </c>
      <c r="B4536" t="s">
        <v>38</v>
      </c>
      <c r="C4536" t="s">
        <v>121</v>
      </c>
      <c r="D4536" t="s">
        <v>3218</v>
      </c>
      <c r="E4536">
        <v>11.86</v>
      </c>
      <c r="F4536">
        <v>103.48</v>
      </c>
    </row>
    <row r="4537" spans="1:6" x14ac:dyDescent="0.25">
      <c r="A4537" t="s">
        <v>1866</v>
      </c>
      <c r="B4537" t="s">
        <v>38</v>
      </c>
      <c r="C4537" t="s">
        <v>121</v>
      </c>
      <c r="D4537" t="s">
        <v>3219</v>
      </c>
      <c r="E4537">
        <v>23.52</v>
      </c>
      <c r="F4537">
        <v>103.52</v>
      </c>
    </row>
    <row r="4538" spans="1:6" x14ac:dyDescent="0.25">
      <c r="A4538" t="s">
        <v>1867</v>
      </c>
      <c r="B4538" t="s">
        <v>38</v>
      </c>
      <c r="C4538" t="s">
        <v>123</v>
      </c>
      <c r="D4538" t="s">
        <v>3217</v>
      </c>
      <c r="E4538">
        <v>0</v>
      </c>
      <c r="F4538">
        <v>102.2</v>
      </c>
    </row>
    <row r="4539" spans="1:6" x14ac:dyDescent="0.25">
      <c r="A4539" t="s">
        <v>1867</v>
      </c>
      <c r="B4539" t="s">
        <v>38</v>
      </c>
      <c r="C4539" t="s">
        <v>123</v>
      </c>
      <c r="D4539" t="s">
        <v>3218</v>
      </c>
      <c r="E4539">
        <v>11.58</v>
      </c>
      <c r="F4539">
        <v>102.5</v>
      </c>
    </row>
    <row r="4540" spans="1:6" x14ac:dyDescent="0.25">
      <c r="A4540" t="s">
        <v>1867</v>
      </c>
      <c r="B4540" t="s">
        <v>38</v>
      </c>
      <c r="C4540" t="s">
        <v>123</v>
      </c>
      <c r="D4540" t="s">
        <v>3219</v>
      </c>
      <c r="E4540">
        <v>23.76</v>
      </c>
      <c r="F4540">
        <v>102.65</v>
      </c>
    </row>
    <row r="4541" spans="1:6" x14ac:dyDescent="0.25">
      <c r="A4541" t="s">
        <v>1868</v>
      </c>
      <c r="B4541" t="s">
        <v>38</v>
      </c>
      <c r="C4541" t="s">
        <v>124</v>
      </c>
      <c r="D4541" t="s">
        <v>3217</v>
      </c>
      <c r="E4541">
        <v>0</v>
      </c>
      <c r="F4541">
        <v>101.25</v>
      </c>
    </row>
    <row r="4542" spans="1:6" x14ac:dyDescent="0.25">
      <c r="A4542" t="s">
        <v>1868</v>
      </c>
      <c r="B4542" t="s">
        <v>38</v>
      </c>
      <c r="C4542" t="s">
        <v>124</v>
      </c>
      <c r="D4542" t="s">
        <v>3218</v>
      </c>
      <c r="E4542">
        <v>11.14</v>
      </c>
      <c r="F4542">
        <v>101.6</v>
      </c>
    </row>
    <row r="4543" spans="1:6" x14ac:dyDescent="0.25">
      <c r="A4543" t="s">
        <v>1868</v>
      </c>
      <c r="B4543" t="s">
        <v>38</v>
      </c>
      <c r="C4543" t="s">
        <v>124</v>
      </c>
      <c r="D4543" t="s">
        <v>3219</v>
      </c>
      <c r="E4543">
        <v>23.37</v>
      </c>
      <c r="F4543">
        <v>101.77</v>
      </c>
    </row>
    <row r="4544" spans="1:6" x14ac:dyDescent="0.25">
      <c r="A4544" t="s">
        <v>1869</v>
      </c>
      <c r="B4544" t="s">
        <v>38</v>
      </c>
      <c r="C4544" t="s">
        <v>125</v>
      </c>
      <c r="D4544" t="s">
        <v>3217</v>
      </c>
      <c r="E4544">
        <v>0</v>
      </c>
      <c r="F4544">
        <v>100.3</v>
      </c>
    </row>
    <row r="4545" spans="1:6" x14ac:dyDescent="0.25">
      <c r="A4545" t="s">
        <v>1869</v>
      </c>
      <c r="B4545" t="s">
        <v>38</v>
      </c>
      <c r="C4545" t="s">
        <v>125</v>
      </c>
      <c r="D4545" t="s">
        <v>3218</v>
      </c>
      <c r="E4545">
        <v>11.35</v>
      </c>
      <c r="F4545">
        <v>100.7</v>
      </c>
    </row>
    <row r="4546" spans="1:6" x14ac:dyDescent="0.25">
      <c r="A4546" t="s">
        <v>1869</v>
      </c>
      <c r="B4546" t="s">
        <v>38</v>
      </c>
      <c r="C4546" t="s">
        <v>125</v>
      </c>
      <c r="D4546" t="s">
        <v>3219</v>
      </c>
      <c r="E4546">
        <v>23.96</v>
      </c>
      <c r="F4546">
        <v>100.83</v>
      </c>
    </row>
    <row r="4547" spans="1:6" x14ac:dyDescent="0.25">
      <c r="A4547" t="s">
        <v>1870</v>
      </c>
      <c r="B4547" t="s">
        <v>38</v>
      </c>
      <c r="C4547" t="s">
        <v>126</v>
      </c>
      <c r="D4547" t="s">
        <v>3217</v>
      </c>
      <c r="E4547">
        <v>0</v>
      </c>
      <c r="F4547">
        <v>99.34</v>
      </c>
    </row>
    <row r="4548" spans="1:6" x14ac:dyDescent="0.25">
      <c r="A4548" t="s">
        <v>1870</v>
      </c>
      <c r="B4548" t="s">
        <v>38</v>
      </c>
      <c r="C4548" t="s">
        <v>126</v>
      </c>
      <c r="D4548" t="s">
        <v>3218</v>
      </c>
      <c r="E4548">
        <v>11.75</v>
      </c>
      <c r="F4548">
        <v>99.86</v>
      </c>
    </row>
    <row r="4549" spans="1:6" x14ac:dyDescent="0.25">
      <c r="A4549" t="s">
        <v>1870</v>
      </c>
      <c r="B4549" t="s">
        <v>38</v>
      </c>
      <c r="C4549" t="s">
        <v>126</v>
      </c>
      <c r="D4549" t="s">
        <v>3219</v>
      </c>
      <c r="E4549">
        <v>24.95</v>
      </c>
      <c r="F4549">
        <v>100</v>
      </c>
    </row>
    <row r="4550" spans="1:6" x14ac:dyDescent="0.25">
      <c r="A4550" t="s">
        <v>1871</v>
      </c>
      <c r="B4550" t="s">
        <v>38</v>
      </c>
      <c r="C4550" t="s">
        <v>127</v>
      </c>
      <c r="D4550" t="s">
        <v>3217</v>
      </c>
      <c r="E4550">
        <v>0</v>
      </c>
      <c r="F4550">
        <v>98.42</v>
      </c>
    </row>
    <row r="4551" spans="1:6" x14ac:dyDescent="0.25">
      <c r="A4551" t="s">
        <v>1871</v>
      </c>
      <c r="B4551" t="s">
        <v>38</v>
      </c>
      <c r="C4551" t="s">
        <v>127</v>
      </c>
      <c r="D4551" t="s">
        <v>3218</v>
      </c>
      <c r="E4551">
        <v>11.77</v>
      </c>
      <c r="F4551">
        <v>98.9</v>
      </c>
    </row>
    <row r="4552" spans="1:6" x14ac:dyDescent="0.25">
      <c r="A4552" t="s">
        <v>1871</v>
      </c>
      <c r="B4552" t="s">
        <v>38</v>
      </c>
      <c r="C4552" t="s">
        <v>127</v>
      </c>
      <c r="D4552" t="s">
        <v>3219</v>
      </c>
      <c r="E4552">
        <v>24.61</v>
      </c>
      <c r="F4552">
        <v>99.01</v>
      </c>
    </row>
    <row r="4553" spans="1:6" x14ac:dyDescent="0.25">
      <c r="A4553" t="s">
        <v>1872</v>
      </c>
      <c r="B4553" t="s">
        <v>38</v>
      </c>
      <c r="C4553" t="s">
        <v>128</v>
      </c>
      <c r="D4553" t="s">
        <v>3217</v>
      </c>
      <c r="E4553">
        <v>0</v>
      </c>
      <c r="F4553">
        <v>97.39</v>
      </c>
    </row>
    <row r="4554" spans="1:6" x14ac:dyDescent="0.25">
      <c r="A4554" t="s">
        <v>1872</v>
      </c>
      <c r="B4554" t="s">
        <v>38</v>
      </c>
      <c r="C4554" t="s">
        <v>128</v>
      </c>
      <c r="D4554" t="s">
        <v>3218</v>
      </c>
      <c r="E4554">
        <v>12.28</v>
      </c>
      <c r="F4554">
        <v>97.76</v>
      </c>
    </row>
    <row r="4555" spans="1:6" x14ac:dyDescent="0.25">
      <c r="A4555" t="s">
        <v>1872</v>
      </c>
      <c r="B4555" t="s">
        <v>38</v>
      </c>
      <c r="C4555" t="s">
        <v>128</v>
      </c>
      <c r="D4555" t="s">
        <v>3219</v>
      </c>
      <c r="E4555">
        <v>24.66</v>
      </c>
      <c r="F4555">
        <v>97.86</v>
      </c>
    </row>
    <row r="4556" spans="1:6" x14ac:dyDescent="0.25">
      <c r="A4556" t="s">
        <v>1873</v>
      </c>
      <c r="B4556" t="s">
        <v>38</v>
      </c>
      <c r="C4556" t="s">
        <v>129</v>
      </c>
      <c r="D4556" t="s">
        <v>3217</v>
      </c>
      <c r="E4556">
        <v>0</v>
      </c>
      <c r="F4556">
        <v>96.09</v>
      </c>
    </row>
    <row r="4557" spans="1:6" x14ac:dyDescent="0.25">
      <c r="A4557" t="s">
        <v>1873</v>
      </c>
      <c r="B4557" t="s">
        <v>38</v>
      </c>
      <c r="C4557" t="s">
        <v>129</v>
      </c>
      <c r="D4557" t="s">
        <v>3218</v>
      </c>
      <c r="E4557">
        <v>12.66</v>
      </c>
      <c r="F4557">
        <v>96.49</v>
      </c>
    </row>
    <row r="4558" spans="1:6" x14ac:dyDescent="0.25">
      <c r="A4558" t="s">
        <v>1873</v>
      </c>
      <c r="B4558" t="s">
        <v>38</v>
      </c>
      <c r="C4558" t="s">
        <v>129</v>
      </c>
      <c r="D4558" t="s">
        <v>3219</v>
      </c>
      <c r="E4558">
        <v>25.28</v>
      </c>
      <c r="F4558">
        <v>96.39</v>
      </c>
    </row>
    <row r="4559" spans="1:6" x14ac:dyDescent="0.25">
      <c r="A4559" t="s">
        <v>1874</v>
      </c>
      <c r="B4559" t="s">
        <v>38</v>
      </c>
      <c r="C4559" t="s">
        <v>130</v>
      </c>
      <c r="D4559" t="s">
        <v>3217</v>
      </c>
      <c r="E4559">
        <v>0</v>
      </c>
      <c r="F4559">
        <v>94.76</v>
      </c>
    </row>
    <row r="4560" spans="1:6" x14ac:dyDescent="0.25">
      <c r="A4560" t="s">
        <v>1874</v>
      </c>
      <c r="B4560" t="s">
        <v>38</v>
      </c>
      <c r="C4560" t="s">
        <v>130</v>
      </c>
      <c r="D4560" t="s">
        <v>3218</v>
      </c>
      <c r="E4560">
        <v>12.81</v>
      </c>
      <c r="F4560">
        <v>95.11</v>
      </c>
    </row>
    <row r="4561" spans="1:6" x14ac:dyDescent="0.25">
      <c r="A4561" t="s">
        <v>1874</v>
      </c>
      <c r="B4561" t="s">
        <v>38</v>
      </c>
      <c r="C4561" t="s">
        <v>130</v>
      </c>
      <c r="D4561" t="s">
        <v>3219</v>
      </c>
      <c r="E4561">
        <v>25.8</v>
      </c>
      <c r="F4561">
        <v>95</v>
      </c>
    </row>
    <row r="4562" spans="1:6" x14ac:dyDescent="0.25">
      <c r="A4562" t="s">
        <v>1875</v>
      </c>
      <c r="B4562" t="s">
        <v>38</v>
      </c>
      <c r="C4562" t="s">
        <v>131</v>
      </c>
      <c r="D4562" t="s">
        <v>3217</v>
      </c>
      <c r="E4562">
        <v>0</v>
      </c>
      <c r="F4562">
        <v>93.3</v>
      </c>
    </row>
    <row r="4563" spans="1:6" x14ac:dyDescent="0.25">
      <c r="A4563" t="s">
        <v>1875</v>
      </c>
      <c r="B4563" t="s">
        <v>38</v>
      </c>
      <c r="C4563" t="s">
        <v>131</v>
      </c>
      <c r="D4563" t="s">
        <v>3218</v>
      </c>
      <c r="E4563">
        <v>12.45</v>
      </c>
      <c r="F4563">
        <v>93.68</v>
      </c>
    </row>
    <row r="4564" spans="1:6" x14ac:dyDescent="0.25">
      <c r="A4564" t="s">
        <v>1875</v>
      </c>
      <c r="B4564" t="s">
        <v>38</v>
      </c>
      <c r="C4564" t="s">
        <v>131</v>
      </c>
      <c r="D4564" t="s">
        <v>3219</v>
      </c>
      <c r="E4564">
        <v>25.37</v>
      </c>
      <c r="F4564">
        <v>93.59</v>
      </c>
    </row>
    <row r="4565" spans="1:6" x14ac:dyDescent="0.25">
      <c r="A4565" t="s">
        <v>1876</v>
      </c>
      <c r="B4565" t="s">
        <v>38</v>
      </c>
      <c r="C4565" t="s">
        <v>132</v>
      </c>
      <c r="D4565" t="s">
        <v>3217</v>
      </c>
      <c r="E4565">
        <v>0</v>
      </c>
      <c r="F4565">
        <v>91.72</v>
      </c>
    </row>
    <row r="4566" spans="1:6" x14ac:dyDescent="0.25">
      <c r="A4566" t="s">
        <v>1876</v>
      </c>
      <c r="B4566" t="s">
        <v>38</v>
      </c>
      <c r="C4566" t="s">
        <v>132</v>
      </c>
      <c r="D4566" t="s">
        <v>3218</v>
      </c>
      <c r="E4566">
        <v>11.86</v>
      </c>
      <c r="F4566">
        <v>92.21</v>
      </c>
    </row>
    <row r="4567" spans="1:6" x14ac:dyDescent="0.25">
      <c r="A4567" t="s">
        <v>1876</v>
      </c>
      <c r="B4567" t="s">
        <v>38</v>
      </c>
      <c r="C4567" t="s">
        <v>132</v>
      </c>
      <c r="D4567" t="s">
        <v>3219</v>
      </c>
      <c r="E4567">
        <v>24.6</v>
      </c>
      <c r="F4567">
        <v>92.1</v>
      </c>
    </row>
    <row r="4568" spans="1:6" x14ac:dyDescent="0.25">
      <c r="A4568" t="s">
        <v>1877</v>
      </c>
      <c r="B4568" t="s">
        <v>38</v>
      </c>
      <c r="C4568" t="s">
        <v>133</v>
      </c>
      <c r="D4568" t="s">
        <v>3217</v>
      </c>
      <c r="E4568">
        <v>0</v>
      </c>
      <c r="F4568">
        <v>90.31</v>
      </c>
    </row>
    <row r="4569" spans="1:6" x14ac:dyDescent="0.25">
      <c r="A4569" t="s">
        <v>1877</v>
      </c>
      <c r="B4569" t="s">
        <v>38</v>
      </c>
      <c r="C4569" t="s">
        <v>133</v>
      </c>
      <c r="D4569" t="s">
        <v>3218</v>
      </c>
      <c r="E4569">
        <v>12.5</v>
      </c>
      <c r="F4569">
        <v>90.74</v>
      </c>
    </row>
    <row r="4570" spans="1:6" x14ac:dyDescent="0.25">
      <c r="A4570" t="s">
        <v>1877</v>
      </c>
      <c r="B4570" t="s">
        <v>38</v>
      </c>
      <c r="C4570" t="s">
        <v>133</v>
      </c>
      <c r="D4570" t="s">
        <v>3219</v>
      </c>
      <c r="E4570">
        <v>24.39</v>
      </c>
      <c r="F4570">
        <v>90.79</v>
      </c>
    </row>
    <row r="4571" spans="1:6" x14ac:dyDescent="0.25">
      <c r="A4571" t="s">
        <v>1878</v>
      </c>
      <c r="B4571" t="s">
        <v>38</v>
      </c>
      <c r="C4571" t="s">
        <v>134</v>
      </c>
      <c r="D4571" t="s">
        <v>3217</v>
      </c>
      <c r="E4571">
        <v>0</v>
      </c>
      <c r="F4571">
        <v>88.77</v>
      </c>
    </row>
    <row r="4572" spans="1:6" x14ac:dyDescent="0.25">
      <c r="A4572" t="s">
        <v>1878</v>
      </c>
      <c r="B4572" t="s">
        <v>38</v>
      </c>
      <c r="C4572" t="s">
        <v>134</v>
      </c>
      <c r="D4572" t="s">
        <v>3218</v>
      </c>
      <c r="E4572">
        <v>12.55</v>
      </c>
      <c r="F4572">
        <v>89.26</v>
      </c>
    </row>
    <row r="4573" spans="1:6" x14ac:dyDescent="0.25">
      <c r="A4573" t="s">
        <v>1878</v>
      </c>
      <c r="B4573" t="s">
        <v>38</v>
      </c>
      <c r="C4573" t="s">
        <v>134</v>
      </c>
      <c r="D4573" t="s">
        <v>3219</v>
      </c>
      <c r="E4573">
        <v>23.69</v>
      </c>
      <c r="F4573">
        <v>89.38</v>
      </c>
    </row>
    <row r="4574" spans="1:6" x14ac:dyDescent="0.25">
      <c r="A4574" t="s">
        <v>1879</v>
      </c>
      <c r="B4574" t="s">
        <v>38</v>
      </c>
      <c r="C4574" t="s">
        <v>135</v>
      </c>
      <c r="D4574" t="s">
        <v>3217</v>
      </c>
      <c r="E4574">
        <v>0</v>
      </c>
      <c r="F4574">
        <v>87.31</v>
      </c>
    </row>
    <row r="4575" spans="1:6" x14ac:dyDescent="0.25">
      <c r="A4575" t="s">
        <v>1879</v>
      </c>
      <c r="B4575" t="s">
        <v>38</v>
      </c>
      <c r="C4575" t="s">
        <v>135</v>
      </c>
      <c r="D4575" t="s">
        <v>3218</v>
      </c>
      <c r="E4575">
        <v>13.14</v>
      </c>
      <c r="F4575">
        <v>87.82</v>
      </c>
    </row>
    <row r="4576" spans="1:6" x14ac:dyDescent="0.25">
      <c r="A4576" t="s">
        <v>1879</v>
      </c>
      <c r="B4576" t="s">
        <v>38</v>
      </c>
      <c r="C4576" t="s">
        <v>135</v>
      </c>
      <c r="D4576" t="s">
        <v>3219</v>
      </c>
      <c r="E4576">
        <v>24.81</v>
      </c>
      <c r="F4576">
        <v>87.8</v>
      </c>
    </row>
    <row r="4577" spans="1:6" x14ac:dyDescent="0.25">
      <c r="A4577" t="s">
        <v>1880</v>
      </c>
      <c r="B4577" t="s">
        <v>38</v>
      </c>
      <c r="C4577" t="s">
        <v>136</v>
      </c>
      <c r="D4577" t="s">
        <v>3217</v>
      </c>
      <c r="E4577">
        <v>0</v>
      </c>
      <c r="F4577">
        <v>85.97</v>
      </c>
    </row>
    <row r="4578" spans="1:6" x14ac:dyDescent="0.25">
      <c r="A4578" t="s">
        <v>1880</v>
      </c>
      <c r="B4578" t="s">
        <v>38</v>
      </c>
      <c r="C4578" t="s">
        <v>136</v>
      </c>
      <c r="D4578" t="s">
        <v>3218</v>
      </c>
      <c r="E4578">
        <v>12.96</v>
      </c>
      <c r="F4578">
        <v>86.28</v>
      </c>
    </row>
    <row r="4579" spans="1:6" x14ac:dyDescent="0.25">
      <c r="A4579" t="s">
        <v>1880</v>
      </c>
      <c r="B4579" t="s">
        <v>38</v>
      </c>
      <c r="C4579" t="s">
        <v>136</v>
      </c>
      <c r="D4579" t="s">
        <v>3219</v>
      </c>
      <c r="E4579">
        <v>24.43</v>
      </c>
      <c r="F4579">
        <v>86.24</v>
      </c>
    </row>
    <row r="4580" spans="1:6" x14ac:dyDescent="0.25">
      <c r="A4580" t="s">
        <v>1881</v>
      </c>
      <c r="B4580" t="s">
        <v>38</v>
      </c>
      <c r="C4580" t="s">
        <v>137</v>
      </c>
      <c r="D4580" t="s">
        <v>3217</v>
      </c>
      <c r="E4580">
        <v>0</v>
      </c>
      <c r="F4580">
        <v>84.51</v>
      </c>
    </row>
    <row r="4581" spans="1:6" x14ac:dyDescent="0.25">
      <c r="A4581" t="s">
        <v>1881</v>
      </c>
      <c r="B4581" t="s">
        <v>38</v>
      </c>
      <c r="C4581" t="s">
        <v>137</v>
      </c>
      <c r="D4581" t="s">
        <v>3218</v>
      </c>
      <c r="E4581">
        <v>12.49</v>
      </c>
      <c r="F4581">
        <v>84.81</v>
      </c>
    </row>
    <row r="4582" spans="1:6" x14ac:dyDescent="0.25">
      <c r="A4582" t="s">
        <v>1881</v>
      </c>
      <c r="B4582" t="s">
        <v>38</v>
      </c>
      <c r="C4582" t="s">
        <v>137</v>
      </c>
      <c r="D4582" t="s">
        <v>3219</v>
      </c>
      <c r="E4582">
        <v>23.76</v>
      </c>
      <c r="F4582">
        <v>84.76</v>
      </c>
    </row>
    <row r="4583" spans="1:6" x14ac:dyDescent="0.25">
      <c r="A4583" t="s">
        <v>1882</v>
      </c>
      <c r="B4583" t="s">
        <v>38</v>
      </c>
      <c r="C4583" t="s">
        <v>138</v>
      </c>
      <c r="D4583" t="s">
        <v>3217</v>
      </c>
      <c r="E4583">
        <v>0</v>
      </c>
      <c r="F4583">
        <v>83.01</v>
      </c>
    </row>
    <row r="4584" spans="1:6" x14ac:dyDescent="0.25">
      <c r="A4584" t="s">
        <v>1882</v>
      </c>
      <c r="B4584" t="s">
        <v>38</v>
      </c>
      <c r="C4584" t="s">
        <v>138</v>
      </c>
      <c r="D4584" t="s">
        <v>3218</v>
      </c>
      <c r="E4584">
        <v>11.84</v>
      </c>
      <c r="F4584">
        <v>83.21</v>
      </c>
    </row>
    <row r="4585" spans="1:6" x14ac:dyDescent="0.25">
      <c r="A4585" t="s">
        <v>1882</v>
      </c>
      <c r="B4585" t="s">
        <v>38</v>
      </c>
      <c r="C4585" t="s">
        <v>138</v>
      </c>
      <c r="D4585" t="s">
        <v>3219</v>
      </c>
      <c r="E4585">
        <v>22.97</v>
      </c>
      <c r="F4585">
        <v>83.19</v>
      </c>
    </row>
    <row r="4586" spans="1:6" x14ac:dyDescent="0.25">
      <c r="A4586" t="s">
        <v>1883</v>
      </c>
      <c r="B4586" t="s">
        <v>38</v>
      </c>
      <c r="C4586" t="s">
        <v>139</v>
      </c>
      <c r="D4586" t="s">
        <v>3217</v>
      </c>
      <c r="E4586">
        <v>0</v>
      </c>
      <c r="F4586">
        <v>81.48</v>
      </c>
    </row>
    <row r="4587" spans="1:6" x14ac:dyDescent="0.25">
      <c r="A4587" t="s">
        <v>1883</v>
      </c>
      <c r="B4587" t="s">
        <v>38</v>
      </c>
      <c r="C4587" t="s">
        <v>139</v>
      </c>
      <c r="D4587" t="s">
        <v>3218</v>
      </c>
      <c r="E4587">
        <v>12.43</v>
      </c>
      <c r="F4587">
        <v>81.75</v>
      </c>
    </row>
    <row r="4588" spans="1:6" x14ac:dyDescent="0.25">
      <c r="A4588" t="s">
        <v>1883</v>
      </c>
      <c r="B4588" t="s">
        <v>38</v>
      </c>
      <c r="C4588" t="s">
        <v>139</v>
      </c>
      <c r="D4588" t="s">
        <v>3219</v>
      </c>
      <c r="E4588">
        <v>23.98</v>
      </c>
      <c r="F4588">
        <v>81.73</v>
      </c>
    </row>
    <row r="4589" spans="1:6" x14ac:dyDescent="0.25">
      <c r="A4589" t="s">
        <v>1884</v>
      </c>
      <c r="B4589" t="s">
        <v>38</v>
      </c>
      <c r="C4589" t="s">
        <v>140</v>
      </c>
      <c r="D4589" t="s">
        <v>3217</v>
      </c>
      <c r="E4589">
        <v>0</v>
      </c>
      <c r="F4589">
        <v>80.16</v>
      </c>
    </row>
    <row r="4590" spans="1:6" x14ac:dyDescent="0.25">
      <c r="A4590" t="s">
        <v>1884</v>
      </c>
      <c r="B4590" t="s">
        <v>38</v>
      </c>
      <c r="C4590" t="s">
        <v>140</v>
      </c>
      <c r="D4590" t="s">
        <v>3218</v>
      </c>
      <c r="E4590">
        <v>12.99</v>
      </c>
      <c r="F4590">
        <v>80.33</v>
      </c>
    </row>
    <row r="4591" spans="1:6" x14ac:dyDescent="0.25">
      <c r="A4591" t="s">
        <v>1884</v>
      </c>
      <c r="B4591" t="s">
        <v>38</v>
      </c>
      <c r="C4591" t="s">
        <v>140</v>
      </c>
      <c r="D4591" t="s">
        <v>3219</v>
      </c>
      <c r="E4591">
        <v>24.81</v>
      </c>
      <c r="F4591">
        <v>80.39</v>
      </c>
    </row>
    <row r="4592" spans="1:6" x14ac:dyDescent="0.25">
      <c r="A4592" t="s">
        <v>1885</v>
      </c>
      <c r="B4592" t="s">
        <v>38</v>
      </c>
      <c r="C4592" t="s">
        <v>141</v>
      </c>
      <c r="D4592" t="s">
        <v>3217</v>
      </c>
      <c r="E4592">
        <v>0</v>
      </c>
      <c r="F4592">
        <v>78.84</v>
      </c>
    </row>
    <row r="4593" spans="1:6" x14ac:dyDescent="0.25">
      <c r="A4593" t="s">
        <v>1885</v>
      </c>
      <c r="B4593" t="s">
        <v>38</v>
      </c>
      <c r="C4593" t="s">
        <v>141</v>
      </c>
      <c r="D4593" t="s">
        <v>3218</v>
      </c>
      <c r="E4593">
        <v>13.36</v>
      </c>
      <c r="F4593">
        <v>79.06</v>
      </c>
    </row>
    <row r="4594" spans="1:6" x14ac:dyDescent="0.25">
      <c r="A4594" t="s">
        <v>1885</v>
      </c>
      <c r="B4594" t="s">
        <v>38</v>
      </c>
      <c r="C4594" t="s">
        <v>141</v>
      </c>
      <c r="D4594" t="s">
        <v>3219</v>
      </c>
      <c r="E4594">
        <v>24.83</v>
      </c>
      <c r="F4594">
        <v>79.05</v>
      </c>
    </row>
    <row r="4595" spans="1:6" x14ac:dyDescent="0.25">
      <c r="A4595" t="s">
        <v>1886</v>
      </c>
      <c r="B4595" t="s">
        <v>38</v>
      </c>
      <c r="C4595" t="s">
        <v>142</v>
      </c>
      <c r="D4595" t="s">
        <v>3217</v>
      </c>
      <c r="E4595">
        <v>0</v>
      </c>
      <c r="F4595">
        <v>77.42</v>
      </c>
    </row>
    <row r="4596" spans="1:6" x14ac:dyDescent="0.25">
      <c r="A4596" t="s">
        <v>1886</v>
      </c>
      <c r="B4596" t="s">
        <v>38</v>
      </c>
      <c r="C4596" t="s">
        <v>142</v>
      </c>
      <c r="D4596" t="s">
        <v>3218</v>
      </c>
      <c r="E4596">
        <v>13.05</v>
      </c>
      <c r="F4596">
        <v>77.739999999999995</v>
      </c>
    </row>
    <row r="4597" spans="1:6" x14ac:dyDescent="0.25">
      <c r="A4597" t="s">
        <v>1886</v>
      </c>
      <c r="B4597" t="s">
        <v>38</v>
      </c>
      <c r="C4597" t="s">
        <v>142</v>
      </c>
      <c r="D4597" t="s">
        <v>3219</v>
      </c>
      <c r="E4597">
        <v>25.29</v>
      </c>
      <c r="F4597">
        <v>77.77</v>
      </c>
    </row>
    <row r="4598" spans="1:6" x14ac:dyDescent="0.25">
      <c r="A4598" t="s">
        <v>1887</v>
      </c>
      <c r="B4598" t="s">
        <v>38</v>
      </c>
      <c r="C4598" t="s">
        <v>143</v>
      </c>
      <c r="D4598" t="s">
        <v>3217</v>
      </c>
      <c r="E4598">
        <v>0</v>
      </c>
      <c r="F4598">
        <v>76.08</v>
      </c>
    </row>
    <row r="4599" spans="1:6" x14ac:dyDescent="0.25">
      <c r="A4599" t="s">
        <v>1887</v>
      </c>
      <c r="B4599" t="s">
        <v>38</v>
      </c>
      <c r="C4599" t="s">
        <v>143</v>
      </c>
      <c r="D4599" t="s">
        <v>3218</v>
      </c>
      <c r="E4599">
        <v>12.97</v>
      </c>
      <c r="F4599">
        <v>76.34</v>
      </c>
    </row>
    <row r="4600" spans="1:6" x14ac:dyDescent="0.25">
      <c r="A4600" t="s">
        <v>1887</v>
      </c>
      <c r="B4600" t="s">
        <v>38</v>
      </c>
      <c r="C4600" t="s">
        <v>143</v>
      </c>
      <c r="D4600" t="s">
        <v>3219</v>
      </c>
      <c r="E4600">
        <v>26.02</v>
      </c>
      <c r="F4600">
        <v>76.239999999999995</v>
      </c>
    </row>
    <row r="4601" spans="1:6" x14ac:dyDescent="0.25">
      <c r="A4601" t="s">
        <v>1888</v>
      </c>
      <c r="B4601" t="s">
        <v>38</v>
      </c>
      <c r="C4601" t="s">
        <v>144</v>
      </c>
      <c r="D4601" t="s">
        <v>3217</v>
      </c>
      <c r="E4601">
        <v>0</v>
      </c>
      <c r="F4601">
        <v>74.790000000000006</v>
      </c>
    </row>
    <row r="4602" spans="1:6" x14ac:dyDescent="0.25">
      <c r="A4602" t="s">
        <v>1888</v>
      </c>
      <c r="B4602" t="s">
        <v>38</v>
      </c>
      <c r="C4602" t="s">
        <v>144</v>
      </c>
      <c r="D4602" t="s">
        <v>3218</v>
      </c>
      <c r="E4602">
        <v>12.43</v>
      </c>
      <c r="F4602">
        <v>75.03</v>
      </c>
    </row>
    <row r="4603" spans="1:6" x14ac:dyDescent="0.25">
      <c r="A4603" t="s">
        <v>1888</v>
      </c>
      <c r="B4603" t="s">
        <v>38</v>
      </c>
      <c r="C4603" t="s">
        <v>144</v>
      </c>
      <c r="D4603" t="s">
        <v>3219</v>
      </c>
      <c r="E4603">
        <v>25.84</v>
      </c>
      <c r="F4603">
        <v>74.89</v>
      </c>
    </row>
    <row r="4604" spans="1:6" x14ac:dyDescent="0.25">
      <c r="A4604" t="s">
        <v>1889</v>
      </c>
      <c r="B4604" t="s">
        <v>38</v>
      </c>
      <c r="C4604" t="s">
        <v>145</v>
      </c>
      <c r="D4604" t="s">
        <v>3217</v>
      </c>
      <c r="E4604">
        <v>0</v>
      </c>
      <c r="F4604">
        <v>73.28</v>
      </c>
    </row>
    <row r="4605" spans="1:6" x14ac:dyDescent="0.25">
      <c r="A4605" t="s">
        <v>1889</v>
      </c>
      <c r="B4605" t="s">
        <v>38</v>
      </c>
      <c r="C4605" t="s">
        <v>145</v>
      </c>
      <c r="D4605" t="s">
        <v>3218</v>
      </c>
      <c r="E4605">
        <v>11.97</v>
      </c>
      <c r="F4605">
        <v>73.599999999999994</v>
      </c>
    </row>
    <row r="4606" spans="1:6" x14ac:dyDescent="0.25">
      <c r="A4606" t="s">
        <v>1889</v>
      </c>
      <c r="B4606" t="s">
        <v>38</v>
      </c>
      <c r="C4606" t="s">
        <v>145</v>
      </c>
      <c r="D4606" t="s">
        <v>3219</v>
      </c>
      <c r="E4606">
        <v>24.9</v>
      </c>
      <c r="F4606">
        <v>73.47</v>
      </c>
    </row>
    <row r="4607" spans="1:6" x14ac:dyDescent="0.25">
      <c r="A4607" t="s">
        <v>1890</v>
      </c>
      <c r="B4607" t="s">
        <v>38</v>
      </c>
      <c r="C4607" t="s">
        <v>146</v>
      </c>
      <c r="D4607" t="s">
        <v>3217</v>
      </c>
      <c r="E4607">
        <v>0</v>
      </c>
      <c r="F4607">
        <v>71.83</v>
      </c>
    </row>
    <row r="4608" spans="1:6" x14ac:dyDescent="0.25">
      <c r="A4608" t="s">
        <v>1890</v>
      </c>
      <c r="B4608" t="s">
        <v>38</v>
      </c>
      <c r="C4608" t="s">
        <v>146</v>
      </c>
      <c r="D4608" t="s">
        <v>3218</v>
      </c>
      <c r="E4608">
        <v>11.68</v>
      </c>
      <c r="F4608">
        <v>72.22</v>
      </c>
    </row>
    <row r="4609" spans="1:6" x14ac:dyDescent="0.25">
      <c r="A4609" t="s">
        <v>1890</v>
      </c>
      <c r="B4609" t="s">
        <v>38</v>
      </c>
      <c r="C4609" t="s">
        <v>146</v>
      </c>
      <c r="D4609" t="s">
        <v>3219</v>
      </c>
      <c r="E4609">
        <v>24.11</v>
      </c>
      <c r="F4609">
        <v>71.98</v>
      </c>
    </row>
    <row r="4610" spans="1:6" x14ac:dyDescent="0.25">
      <c r="A4610" t="s">
        <v>1891</v>
      </c>
      <c r="B4610" t="s">
        <v>38</v>
      </c>
      <c r="C4610" t="s">
        <v>147</v>
      </c>
      <c r="D4610" t="s">
        <v>3217</v>
      </c>
      <c r="E4610">
        <v>0</v>
      </c>
      <c r="F4610">
        <v>70.510000000000005</v>
      </c>
    </row>
    <row r="4611" spans="1:6" x14ac:dyDescent="0.25">
      <c r="A4611" t="s">
        <v>1891</v>
      </c>
      <c r="B4611" t="s">
        <v>38</v>
      </c>
      <c r="C4611" t="s">
        <v>147</v>
      </c>
      <c r="D4611" t="s">
        <v>3218</v>
      </c>
      <c r="E4611">
        <v>11.67</v>
      </c>
      <c r="F4611">
        <v>70.83</v>
      </c>
    </row>
    <row r="4612" spans="1:6" x14ac:dyDescent="0.25">
      <c r="A4612" t="s">
        <v>1891</v>
      </c>
      <c r="B4612" t="s">
        <v>38</v>
      </c>
      <c r="C4612" t="s">
        <v>147</v>
      </c>
      <c r="D4612" t="s">
        <v>3219</v>
      </c>
      <c r="E4612">
        <v>23.74</v>
      </c>
      <c r="F4612">
        <v>70.599999999999994</v>
      </c>
    </row>
    <row r="4613" spans="1:6" x14ac:dyDescent="0.25">
      <c r="A4613" t="s">
        <v>1892</v>
      </c>
      <c r="B4613" t="s">
        <v>38</v>
      </c>
      <c r="C4613" t="s">
        <v>148</v>
      </c>
      <c r="D4613" t="s">
        <v>3217</v>
      </c>
      <c r="E4613">
        <v>0</v>
      </c>
      <c r="F4613">
        <v>69.28</v>
      </c>
    </row>
    <row r="4614" spans="1:6" x14ac:dyDescent="0.25">
      <c r="A4614" t="s">
        <v>1892</v>
      </c>
      <c r="B4614" t="s">
        <v>38</v>
      </c>
      <c r="C4614" t="s">
        <v>148</v>
      </c>
      <c r="D4614" t="s">
        <v>3218</v>
      </c>
      <c r="E4614">
        <v>12.56</v>
      </c>
      <c r="F4614">
        <v>69.52</v>
      </c>
    </row>
    <row r="4615" spans="1:6" x14ac:dyDescent="0.25">
      <c r="A4615" t="s">
        <v>1892</v>
      </c>
      <c r="B4615" t="s">
        <v>38</v>
      </c>
      <c r="C4615" t="s">
        <v>148</v>
      </c>
      <c r="D4615" t="s">
        <v>3219</v>
      </c>
      <c r="E4615">
        <v>24.88</v>
      </c>
      <c r="F4615">
        <v>69.06</v>
      </c>
    </row>
    <row r="4616" spans="1:6" x14ac:dyDescent="0.25">
      <c r="A4616" t="s">
        <v>1893</v>
      </c>
      <c r="B4616" t="s">
        <v>38</v>
      </c>
      <c r="C4616" t="s">
        <v>149</v>
      </c>
      <c r="D4616" t="s">
        <v>3217</v>
      </c>
      <c r="E4616">
        <v>0</v>
      </c>
      <c r="F4616">
        <v>68.02</v>
      </c>
    </row>
    <row r="4617" spans="1:6" x14ac:dyDescent="0.25">
      <c r="A4617" t="s">
        <v>1893</v>
      </c>
      <c r="B4617" t="s">
        <v>38</v>
      </c>
      <c r="C4617" t="s">
        <v>149</v>
      </c>
      <c r="D4617" t="s">
        <v>3218</v>
      </c>
      <c r="E4617">
        <v>11.28</v>
      </c>
      <c r="F4617">
        <v>68.08</v>
      </c>
    </row>
    <row r="4618" spans="1:6" x14ac:dyDescent="0.25">
      <c r="A4618" t="s">
        <v>1893</v>
      </c>
      <c r="B4618" t="s">
        <v>38</v>
      </c>
      <c r="C4618" t="s">
        <v>149</v>
      </c>
      <c r="D4618" t="s">
        <v>3219</v>
      </c>
      <c r="E4618">
        <v>24.12</v>
      </c>
      <c r="F4618">
        <v>67.66</v>
      </c>
    </row>
    <row r="4619" spans="1:6" x14ac:dyDescent="0.25">
      <c r="A4619" t="s">
        <v>1894</v>
      </c>
      <c r="B4619" t="s">
        <v>38</v>
      </c>
      <c r="C4619" t="s">
        <v>150</v>
      </c>
      <c r="D4619" t="s">
        <v>3217</v>
      </c>
      <c r="E4619">
        <v>0</v>
      </c>
      <c r="F4619">
        <v>66.56</v>
      </c>
    </row>
    <row r="4620" spans="1:6" x14ac:dyDescent="0.25">
      <c r="A4620" t="s">
        <v>1894</v>
      </c>
      <c r="B4620" t="s">
        <v>38</v>
      </c>
      <c r="C4620" t="s">
        <v>150</v>
      </c>
      <c r="D4620" t="s">
        <v>3218</v>
      </c>
      <c r="E4620">
        <v>11.31</v>
      </c>
      <c r="F4620">
        <v>66.69</v>
      </c>
    </row>
    <row r="4621" spans="1:6" x14ac:dyDescent="0.25">
      <c r="A4621" t="s">
        <v>1894</v>
      </c>
      <c r="B4621" t="s">
        <v>38</v>
      </c>
      <c r="C4621" t="s">
        <v>150</v>
      </c>
      <c r="D4621" t="s">
        <v>3219</v>
      </c>
      <c r="E4621">
        <v>25.02</v>
      </c>
      <c r="F4621">
        <v>66.19</v>
      </c>
    </row>
    <row r="4622" spans="1:6" x14ac:dyDescent="0.25">
      <c r="A4622" t="s">
        <v>1895</v>
      </c>
      <c r="B4622" t="s">
        <v>38</v>
      </c>
      <c r="C4622" t="s">
        <v>151</v>
      </c>
      <c r="D4622" t="s">
        <v>3217</v>
      </c>
      <c r="E4622">
        <v>0</v>
      </c>
      <c r="F4622">
        <v>65.260000000000005</v>
      </c>
    </row>
    <row r="4623" spans="1:6" x14ac:dyDescent="0.25">
      <c r="A4623" t="s">
        <v>1895</v>
      </c>
      <c r="B4623" t="s">
        <v>38</v>
      </c>
      <c r="C4623" t="s">
        <v>151</v>
      </c>
      <c r="D4623" t="s">
        <v>3218</v>
      </c>
      <c r="E4623">
        <v>10.77</v>
      </c>
      <c r="F4623">
        <v>65.33</v>
      </c>
    </row>
    <row r="4624" spans="1:6" x14ac:dyDescent="0.25">
      <c r="A4624" t="s">
        <v>1895</v>
      </c>
      <c r="B4624" t="s">
        <v>38</v>
      </c>
      <c r="C4624" t="s">
        <v>151</v>
      </c>
      <c r="D4624" t="s">
        <v>3219</v>
      </c>
      <c r="E4624">
        <v>24.78</v>
      </c>
      <c r="F4624">
        <v>64.849999999999994</v>
      </c>
    </row>
    <row r="4625" spans="1:6" x14ac:dyDescent="0.25">
      <c r="A4625" t="s">
        <v>1896</v>
      </c>
      <c r="B4625" t="s">
        <v>38</v>
      </c>
      <c r="C4625" t="s">
        <v>152</v>
      </c>
      <c r="D4625" t="s">
        <v>3217</v>
      </c>
      <c r="E4625">
        <v>0</v>
      </c>
      <c r="F4625">
        <v>63.97</v>
      </c>
    </row>
    <row r="4626" spans="1:6" x14ac:dyDescent="0.25">
      <c r="A4626" t="s">
        <v>1896</v>
      </c>
      <c r="B4626" t="s">
        <v>38</v>
      </c>
      <c r="C4626" t="s">
        <v>152</v>
      </c>
      <c r="D4626" t="s">
        <v>3218</v>
      </c>
      <c r="E4626">
        <v>10.4</v>
      </c>
      <c r="F4626">
        <v>64.11</v>
      </c>
    </row>
    <row r="4627" spans="1:6" x14ac:dyDescent="0.25">
      <c r="A4627" t="s">
        <v>1896</v>
      </c>
      <c r="B4627" t="s">
        <v>38</v>
      </c>
      <c r="C4627" t="s">
        <v>152</v>
      </c>
      <c r="D4627" t="s">
        <v>3219</v>
      </c>
      <c r="E4627">
        <v>24.48</v>
      </c>
      <c r="F4627">
        <v>63.61</v>
      </c>
    </row>
    <row r="4628" spans="1:6" x14ac:dyDescent="0.25">
      <c r="A4628" t="s">
        <v>1897</v>
      </c>
      <c r="B4628" t="s">
        <v>38</v>
      </c>
      <c r="C4628" t="s">
        <v>153</v>
      </c>
      <c r="D4628" t="s">
        <v>3217</v>
      </c>
      <c r="E4628">
        <v>0</v>
      </c>
      <c r="F4628">
        <v>62.7</v>
      </c>
    </row>
    <row r="4629" spans="1:6" x14ac:dyDescent="0.25">
      <c r="A4629" t="s">
        <v>1897</v>
      </c>
      <c r="B4629" t="s">
        <v>38</v>
      </c>
      <c r="C4629" t="s">
        <v>153</v>
      </c>
      <c r="D4629" t="s">
        <v>3218</v>
      </c>
      <c r="E4629">
        <v>10.51</v>
      </c>
      <c r="F4629">
        <v>62.91</v>
      </c>
    </row>
    <row r="4630" spans="1:6" x14ac:dyDescent="0.25">
      <c r="A4630" t="s">
        <v>1897</v>
      </c>
      <c r="B4630" t="s">
        <v>38</v>
      </c>
      <c r="C4630" t="s">
        <v>153</v>
      </c>
      <c r="D4630" t="s">
        <v>3219</v>
      </c>
      <c r="E4630">
        <v>25.01</v>
      </c>
      <c r="F4630">
        <v>62.54</v>
      </c>
    </row>
    <row r="4631" spans="1:6" x14ac:dyDescent="0.25">
      <c r="A4631" t="s">
        <v>1898</v>
      </c>
      <c r="B4631" t="s">
        <v>38</v>
      </c>
      <c r="C4631" t="s">
        <v>154</v>
      </c>
      <c r="D4631" t="s">
        <v>3217</v>
      </c>
      <c r="E4631">
        <v>0</v>
      </c>
      <c r="F4631">
        <v>61.45</v>
      </c>
    </row>
    <row r="4632" spans="1:6" x14ac:dyDescent="0.25">
      <c r="A4632" t="s">
        <v>1898</v>
      </c>
      <c r="B4632" t="s">
        <v>38</v>
      </c>
      <c r="C4632" t="s">
        <v>154</v>
      </c>
      <c r="D4632" t="s">
        <v>3218</v>
      </c>
      <c r="E4632">
        <v>11.52</v>
      </c>
      <c r="F4632">
        <v>61.63</v>
      </c>
    </row>
    <row r="4633" spans="1:6" x14ac:dyDescent="0.25">
      <c r="A4633" t="s">
        <v>1898</v>
      </c>
      <c r="B4633" t="s">
        <v>38</v>
      </c>
      <c r="C4633" t="s">
        <v>154</v>
      </c>
      <c r="D4633" t="s">
        <v>3219</v>
      </c>
      <c r="E4633">
        <v>24.72</v>
      </c>
      <c r="F4633">
        <v>61.28</v>
      </c>
    </row>
    <row r="4634" spans="1:6" x14ac:dyDescent="0.25">
      <c r="A4634" t="s">
        <v>1899</v>
      </c>
      <c r="B4634" t="s">
        <v>38</v>
      </c>
      <c r="C4634" t="s">
        <v>155</v>
      </c>
      <c r="D4634" t="s">
        <v>3217</v>
      </c>
      <c r="E4634">
        <v>0</v>
      </c>
      <c r="F4634">
        <v>60.14</v>
      </c>
    </row>
    <row r="4635" spans="1:6" x14ac:dyDescent="0.25">
      <c r="A4635" t="s">
        <v>1899</v>
      </c>
      <c r="B4635" t="s">
        <v>38</v>
      </c>
      <c r="C4635" t="s">
        <v>155</v>
      </c>
      <c r="D4635" t="s">
        <v>3218</v>
      </c>
      <c r="E4635">
        <v>10.75</v>
      </c>
      <c r="F4635">
        <v>60.32</v>
      </c>
    </row>
    <row r="4636" spans="1:6" x14ac:dyDescent="0.25">
      <c r="A4636" t="s">
        <v>1899</v>
      </c>
      <c r="B4636" t="s">
        <v>38</v>
      </c>
      <c r="C4636" t="s">
        <v>155</v>
      </c>
      <c r="D4636" t="s">
        <v>3219</v>
      </c>
      <c r="E4636">
        <v>24.05</v>
      </c>
      <c r="F4636">
        <v>60.02</v>
      </c>
    </row>
    <row r="4637" spans="1:6" x14ac:dyDescent="0.25">
      <c r="A4637" t="s">
        <v>1900</v>
      </c>
      <c r="B4637" t="s">
        <v>38</v>
      </c>
      <c r="C4637" t="s">
        <v>156</v>
      </c>
      <c r="D4637" t="s">
        <v>3217</v>
      </c>
      <c r="E4637">
        <v>0</v>
      </c>
      <c r="F4637">
        <v>58.76</v>
      </c>
    </row>
    <row r="4638" spans="1:6" x14ac:dyDescent="0.25">
      <c r="A4638" t="s">
        <v>1900</v>
      </c>
      <c r="B4638" t="s">
        <v>38</v>
      </c>
      <c r="C4638" t="s">
        <v>156</v>
      </c>
      <c r="D4638" t="s">
        <v>3218</v>
      </c>
      <c r="E4638">
        <v>12.14</v>
      </c>
      <c r="F4638">
        <v>59.04</v>
      </c>
    </row>
    <row r="4639" spans="1:6" x14ac:dyDescent="0.25">
      <c r="A4639" t="s">
        <v>1900</v>
      </c>
      <c r="B4639" t="s">
        <v>38</v>
      </c>
      <c r="C4639" t="s">
        <v>156</v>
      </c>
      <c r="D4639" t="s">
        <v>3219</v>
      </c>
      <c r="E4639">
        <v>24.92</v>
      </c>
      <c r="F4639">
        <v>58.8</v>
      </c>
    </row>
    <row r="4640" spans="1:6" x14ac:dyDescent="0.25">
      <c r="A4640" t="s">
        <v>1901</v>
      </c>
      <c r="B4640" t="s">
        <v>38</v>
      </c>
      <c r="C4640" t="s">
        <v>157</v>
      </c>
      <c r="D4640" t="s">
        <v>3217</v>
      </c>
      <c r="E4640">
        <v>0</v>
      </c>
      <c r="F4640">
        <v>57.67</v>
      </c>
    </row>
    <row r="4641" spans="1:6" x14ac:dyDescent="0.25">
      <c r="A4641" t="s">
        <v>1901</v>
      </c>
      <c r="B4641" t="s">
        <v>38</v>
      </c>
      <c r="C4641" t="s">
        <v>157</v>
      </c>
      <c r="D4641" t="s">
        <v>3218</v>
      </c>
      <c r="E4641">
        <v>12.53</v>
      </c>
      <c r="F4641">
        <v>57.8</v>
      </c>
    </row>
    <row r="4642" spans="1:6" x14ac:dyDescent="0.25">
      <c r="A4642" t="s">
        <v>1901</v>
      </c>
      <c r="B4642" t="s">
        <v>38</v>
      </c>
      <c r="C4642" t="s">
        <v>157</v>
      </c>
      <c r="D4642" t="s">
        <v>3219</v>
      </c>
      <c r="E4642">
        <v>25.19</v>
      </c>
      <c r="F4642">
        <v>57.27</v>
      </c>
    </row>
    <row r="4643" spans="1:6" x14ac:dyDescent="0.25">
      <c r="A4643" t="s">
        <v>1902</v>
      </c>
      <c r="B4643" t="s">
        <v>38</v>
      </c>
      <c r="C4643" t="s">
        <v>158</v>
      </c>
      <c r="D4643" t="s">
        <v>3217</v>
      </c>
      <c r="E4643">
        <v>0</v>
      </c>
      <c r="F4643">
        <v>56.34</v>
      </c>
    </row>
    <row r="4644" spans="1:6" x14ac:dyDescent="0.25">
      <c r="A4644" t="s">
        <v>1902</v>
      </c>
      <c r="B4644" t="s">
        <v>38</v>
      </c>
      <c r="C4644" t="s">
        <v>158</v>
      </c>
      <c r="D4644" t="s">
        <v>3218</v>
      </c>
      <c r="E4644">
        <v>11.68</v>
      </c>
      <c r="F4644">
        <v>56.42</v>
      </c>
    </row>
    <row r="4645" spans="1:6" x14ac:dyDescent="0.25">
      <c r="A4645" t="s">
        <v>1902</v>
      </c>
      <c r="B4645" t="s">
        <v>38</v>
      </c>
      <c r="C4645" t="s">
        <v>158</v>
      </c>
      <c r="D4645" t="s">
        <v>3219</v>
      </c>
      <c r="E4645">
        <v>24.57</v>
      </c>
      <c r="F4645">
        <v>55.99</v>
      </c>
    </row>
    <row r="4646" spans="1:6" x14ac:dyDescent="0.25">
      <c r="A4646" t="s">
        <v>1903</v>
      </c>
      <c r="B4646" t="s">
        <v>38</v>
      </c>
      <c r="C4646" t="s">
        <v>159</v>
      </c>
      <c r="D4646" t="s">
        <v>3217</v>
      </c>
      <c r="E4646">
        <v>0</v>
      </c>
      <c r="F4646">
        <v>54.99</v>
      </c>
    </row>
    <row r="4647" spans="1:6" x14ac:dyDescent="0.25">
      <c r="A4647" t="s">
        <v>1903</v>
      </c>
      <c r="B4647" t="s">
        <v>38</v>
      </c>
      <c r="C4647" t="s">
        <v>159</v>
      </c>
      <c r="D4647" t="s">
        <v>3218</v>
      </c>
      <c r="E4647">
        <v>10.96</v>
      </c>
      <c r="F4647">
        <v>55.07</v>
      </c>
    </row>
    <row r="4648" spans="1:6" x14ac:dyDescent="0.25">
      <c r="A4648" t="s">
        <v>1903</v>
      </c>
      <c r="B4648" t="s">
        <v>38</v>
      </c>
      <c r="C4648" t="s">
        <v>159</v>
      </c>
      <c r="D4648" t="s">
        <v>3219</v>
      </c>
      <c r="E4648">
        <v>24.73</v>
      </c>
      <c r="F4648">
        <v>54.82</v>
      </c>
    </row>
    <row r="4649" spans="1:6" x14ac:dyDescent="0.25">
      <c r="A4649" t="s">
        <v>1904</v>
      </c>
      <c r="B4649" t="s">
        <v>38</v>
      </c>
      <c r="C4649" t="s">
        <v>160</v>
      </c>
      <c r="D4649" t="s">
        <v>3217</v>
      </c>
      <c r="E4649">
        <v>0</v>
      </c>
      <c r="F4649">
        <v>53.52</v>
      </c>
    </row>
    <row r="4650" spans="1:6" x14ac:dyDescent="0.25">
      <c r="A4650" t="s">
        <v>1904</v>
      </c>
      <c r="B4650" t="s">
        <v>38</v>
      </c>
      <c r="C4650" t="s">
        <v>160</v>
      </c>
      <c r="D4650" t="s">
        <v>3218</v>
      </c>
      <c r="E4650">
        <v>11.99</v>
      </c>
      <c r="F4650">
        <v>53.71</v>
      </c>
    </row>
    <row r="4651" spans="1:6" x14ac:dyDescent="0.25">
      <c r="A4651" t="s">
        <v>1904</v>
      </c>
      <c r="B4651" t="s">
        <v>38</v>
      </c>
      <c r="C4651" t="s">
        <v>160</v>
      </c>
      <c r="D4651" t="s">
        <v>3219</v>
      </c>
      <c r="E4651">
        <v>24.69</v>
      </c>
      <c r="F4651">
        <v>53.41</v>
      </c>
    </row>
    <row r="4652" spans="1:6" x14ac:dyDescent="0.25">
      <c r="A4652" t="s">
        <v>1905</v>
      </c>
      <c r="B4652" t="s">
        <v>38</v>
      </c>
      <c r="C4652" t="s">
        <v>161</v>
      </c>
      <c r="D4652" t="s">
        <v>3217</v>
      </c>
      <c r="E4652">
        <v>0</v>
      </c>
      <c r="F4652">
        <v>52.14</v>
      </c>
    </row>
    <row r="4653" spans="1:6" x14ac:dyDescent="0.25">
      <c r="A4653" t="s">
        <v>1905</v>
      </c>
      <c r="B4653" t="s">
        <v>38</v>
      </c>
      <c r="C4653" t="s">
        <v>161</v>
      </c>
      <c r="D4653" t="s">
        <v>3218</v>
      </c>
      <c r="E4653">
        <v>11.18</v>
      </c>
      <c r="F4653">
        <v>52.21</v>
      </c>
    </row>
    <row r="4654" spans="1:6" x14ac:dyDescent="0.25">
      <c r="A4654" t="s">
        <v>1905</v>
      </c>
      <c r="B4654" t="s">
        <v>38</v>
      </c>
      <c r="C4654" t="s">
        <v>161</v>
      </c>
      <c r="D4654" t="s">
        <v>3219</v>
      </c>
      <c r="E4654">
        <v>23.85</v>
      </c>
      <c r="F4654">
        <v>51.95</v>
      </c>
    </row>
    <row r="4655" spans="1:6" x14ac:dyDescent="0.25">
      <c r="A4655" t="s">
        <v>1906</v>
      </c>
      <c r="B4655" t="s">
        <v>38</v>
      </c>
      <c r="C4655" t="s">
        <v>162</v>
      </c>
      <c r="D4655" t="s">
        <v>3217</v>
      </c>
      <c r="E4655">
        <v>0</v>
      </c>
      <c r="F4655">
        <v>50.89</v>
      </c>
    </row>
    <row r="4656" spans="1:6" x14ac:dyDescent="0.25">
      <c r="A4656" t="s">
        <v>1906</v>
      </c>
      <c r="B4656" t="s">
        <v>38</v>
      </c>
      <c r="C4656" t="s">
        <v>162</v>
      </c>
      <c r="D4656" t="s">
        <v>3218</v>
      </c>
      <c r="E4656">
        <v>11.32</v>
      </c>
      <c r="F4656">
        <v>50.83</v>
      </c>
    </row>
    <row r="4657" spans="1:6" x14ac:dyDescent="0.25">
      <c r="A4657" t="s">
        <v>1906</v>
      </c>
      <c r="B4657" t="s">
        <v>38</v>
      </c>
      <c r="C4657" t="s">
        <v>162</v>
      </c>
      <c r="D4657" t="s">
        <v>3219</v>
      </c>
      <c r="E4657">
        <v>24.67</v>
      </c>
      <c r="F4657">
        <v>50.56</v>
      </c>
    </row>
    <row r="4658" spans="1:6" x14ac:dyDescent="0.25">
      <c r="A4658" t="s">
        <v>1907</v>
      </c>
      <c r="B4658" t="s">
        <v>38</v>
      </c>
      <c r="C4658" t="s">
        <v>163</v>
      </c>
      <c r="D4658" t="s">
        <v>3217</v>
      </c>
      <c r="E4658">
        <v>0</v>
      </c>
      <c r="F4658">
        <v>49.59</v>
      </c>
    </row>
    <row r="4659" spans="1:6" x14ac:dyDescent="0.25">
      <c r="A4659" t="s">
        <v>1907</v>
      </c>
      <c r="B4659" t="s">
        <v>38</v>
      </c>
      <c r="C4659" t="s">
        <v>163</v>
      </c>
      <c r="D4659" t="s">
        <v>3218</v>
      </c>
      <c r="E4659">
        <v>11.67</v>
      </c>
      <c r="F4659">
        <v>49.62</v>
      </c>
    </row>
    <row r="4660" spans="1:6" x14ac:dyDescent="0.25">
      <c r="A4660" t="s">
        <v>1907</v>
      </c>
      <c r="B4660" t="s">
        <v>38</v>
      </c>
      <c r="C4660" t="s">
        <v>163</v>
      </c>
      <c r="D4660" t="s">
        <v>3219</v>
      </c>
      <c r="E4660">
        <v>26.11</v>
      </c>
      <c r="F4660">
        <v>49.18</v>
      </c>
    </row>
    <row r="4661" spans="1:6" x14ac:dyDescent="0.25">
      <c r="A4661" t="s">
        <v>1908</v>
      </c>
      <c r="B4661" t="s">
        <v>38</v>
      </c>
      <c r="C4661" t="s">
        <v>164</v>
      </c>
      <c r="D4661" t="s">
        <v>3217</v>
      </c>
      <c r="E4661">
        <v>0</v>
      </c>
      <c r="F4661">
        <v>48.18</v>
      </c>
    </row>
    <row r="4662" spans="1:6" x14ac:dyDescent="0.25">
      <c r="A4662" t="s">
        <v>1908</v>
      </c>
      <c r="B4662" t="s">
        <v>38</v>
      </c>
      <c r="C4662" t="s">
        <v>164</v>
      </c>
      <c r="D4662" t="s">
        <v>3218</v>
      </c>
      <c r="E4662">
        <v>10.8</v>
      </c>
      <c r="F4662">
        <v>48.28</v>
      </c>
    </row>
    <row r="4663" spans="1:6" x14ac:dyDescent="0.25">
      <c r="A4663" t="s">
        <v>1908</v>
      </c>
      <c r="B4663" t="s">
        <v>38</v>
      </c>
      <c r="C4663" t="s">
        <v>164</v>
      </c>
      <c r="D4663" t="s">
        <v>3219</v>
      </c>
      <c r="E4663">
        <v>25.21</v>
      </c>
      <c r="F4663">
        <v>48.04</v>
      </c>
    </row>
    <row r="4664" spans="1:6" x14ac:dyDescent="0.25">
      <c r="A4664" t="s">
        <v>1909</v>
      </c>
      <c r="B4664" t="s">
        <v>38</v>
      </c>
      <c r="C4664" t="s">
        <v>170</v>
      </c>
      <c r="D4664" t="s">
        <v>3217</v>
      </c>
      <c r="E4664">
        <v>0</v>
      </c>
      <c r="F4664">
        <v>47.09</v>
      </c>
    </row>
    <row r="4665" spans="1:6" x14ac:dyDescent="0.25">
      <c r="A4665" t="s">
        <v>1909</v>
      </c>
      <c r="B4665" t="s">
        <v>38</v>
      </c>
      <c r="C4665" t="s">
        <v>170</v>
      </c>
      <c r="D4665" t="s">
        <v>3218</v>
      </c>
      <c r="E4665">
        <v>10.17</v>
      </c>
      <c r="F4665">
        <v>47.21</v>
      </c>
    </row>
    <row r="4666" spans="1:6" x14ac:dyDescent="0.25">
      <c r="A4666" t="s">
        <v>1909</v>
      </c>
      <c r="B4666" t="s">
        <v>38</v>
      </c>
      <c r="C4666" t="s">
        <v>170</v>
      </c>
      <c r="D4666" t="s">
        <v>3219</v>
      </c>
      <c r="E4666">
        <v>24.61</v>
      </c>
      <c r="F4666">
        <v>47.08</v>
      </c>
    </row>
    <row r="4667" spans="1:6" x14ac:dyDescent="0.25">
      <c r="A4667" t="s">
        <v>1910</v>
      </c>
      <c r="B4667" t="s">
        <v>38</v>
      </c>
      <c r="C4667" t="s">
        <v>171</v>
      </c>
      <c r="D4667" t="s">
        <v>3217</v>
      </c>
      <c r="E4667">
        <v>0</v>
      </c>
      <c r="F4667">
        <v>46.22</v>
      </c>
    </row>
    <row r="4668" spans="1:6" x14ac:dyDescent="0.25">
      <c r="A4668" t="s">
        <v>1910</v>
      </c>
      <c r="B4668" t="s">
        <v>38</v>
      </c>
      <c r="C4668" t="s">
        <v>171</v>
      </c>
      <c r="D4668" t="s">
        <v>3218</v>
      </c>
      <c r="E4668">
        <v>10.1</v>
      </c>
      <c r="F4668">
        <v>46.49</v>
      </c>
    </row>
    <row r="4669" spans="1:6" x14ac:dyDescent="0.25">
      <c r="A4669" t="s">
        <v>1910</v>
      </c>
      <c r="B4669" t="s">
        <v>38</v>
      </c>
      <c r="C4669" t="s">
        <v>171</v>
      </c>
      <c r="D4669" t="s">
        <v>3219</v>
      </c>
      <c r="E4669">
        <v>24.46</v>
      </c>
      <c r="F4669">
        <v>46.25</v>
      </c>
    </row>
    <row r="4670" spans="1:6" x14ac:dyDescent="0.25">
      <c r="A4670" t="s">
        <v>1911</v>
      </c>
      <c r="B4670" t="s">
        <v>38</v>
      </c>
      <c r="C4670" t="s">
        <v>172</v>
      </c>
      <c r="D4670" t="s">
        <v>3217</v>
      </c>
      <c r="E4670">
        <v>0</v>
      </c>
      <c r="F4670">
        <v>45.53</v>
      </c>
    </row>
    <row r="4671" spans="1:6" x14ac:dyDescent="0.25">
      <c r="A4671" t="s">
        <v>1911</v>
      </c>
      <c r="B4671" t="s">
        <v>38</v>
      </c>
      <c r="C4671" t="s">
        <v>172</v>
      </c>
      <c r="D4671" t="s">
        <v>3218</v>
      </c>
      <c r="E4671">
        <v>9.74</v>
      </c>
      <c r="F4671">
        <v>45.86</v>
      </c>
    </row>
    <row r="4672" spans="1:6" x14ac:dyDescent="0.25">
      <c r="A4672" t="s">
        <v>1911</v>
      </c>
      <c r="B4672" t="s">
        <v>38</v>
      </c>
      <c r="C4672" t="s">
        <v>172</v>
      </c>
      <c r="D4672" t="s">
        <v>3219</v>
      </c>
      <c r="E4672">
        <v>24.09</v>
      </c>
      <c r="F4672">
        <v>45.68</v>
      </c>
    </row>
    <row r="4673" spans="1:6" x14ac:dyDescent="0.25">
      <c r="A4673" t="s">
        <v>1912</v>
      </c>
      <c r="B4673" t="s">
        <v>38</v>
      </c>
      <c r="C4673" t="s">
        <v>173</v>
      </c>
      <c r="D4673" t="s">
        <v>3217</v>
      </c>
      <c r="E4673">
        <v>0</v>
      </c>
      <c r="F4673">
        <v>45.2</v>
      </c>
    </row>
    <row r="4674" spans="1:6" x14ac:dyDescent="0.25">
      <c r="A4674" t="s">
        <v>1912</v>
      </c>
      <c r="B4674" t="s">
        <v>38</v>
      </c>
      <c r="C4674" t="s">
        <v>173</v>
      </c>
      <c r="D4674" t="s">
        <v>3218</v>
      </c>
      <c r="E4674">
        <v>10.71</v>
      </c>
      <c r="F4674">
        <v>45.3</v>
      </c>
    </row>
    <row r="4675" spans="1:6" x14ac:dyDescent="0.25">
      <c r="A4675" t="s">
        <v>1912</v>
      </c>
      <c r="B4675" t="s">
        <v>38</v>
      </c>
      <c r="C4675" t="s">
        <v>173</v>
      </c>
      <c r="D4675" t="s">
        <v>3219</v>
      </c>
      <c r="E4675">
        <v>23.72</v>
      </c>
      <c r="F4675">
        <v>45.04</v>
      </c>
    </row>
    <row r="4676" spans="1:6" x14ac:dyDescent="0.25">
      <c r="A4676" t="s">
        <v>1913</v>
      </c>
      <c r="B4676" t="s">
        <v>38</v>
      </c>
      <c r="C4676" t="s">
        <v>174</v>
      </c>
      <c r="D4676" t="s">
        <v>3217</v>
      </c>
      <c r="E4676">
        <v>0</v>
      </c>
      <c r="F4676">
        <v>44.88</v>
      </c>
    </row>
    <row r="4677" spans="1:6" x14ac:dyDescent="0.25">
      <c r="A4677" t="s">
        <v>1913</v>
      </c>
      <c r="B4677" t="s">
        <v>38</v>
      </c>
      <c r="C4677" t="s">
        <v>174</v>
      </c>
      <c r="D4677" t="s">
        <v>3218</v>
      </c>
      <c r="E4677">
        <v>11.12</v>
      </c>
      <c r="F4677">
        <v>44.92</v>
      </c>
    </row>
    <row r="4678" spans="1:6" x14ac:dyDescent="0.25">
      <c r="A4678" t="s">
        <v>1913</v>
      </c>
      <c r="B4678" t="s">
        <v>38</v>
      </c>
      <c r="C4678" t="s">
        <v>174</v>
      </c>
      <c r="D4678" t="s">
        <v>3219</v>
      </c>
      <c r="E4678">
        <v>26.97</v>
      </c>
      <c r="F4678">
        <v>44.79</v>
      </c>
    </row>
    <row r="4679" spans="1:6" x14ac:dyDescent="0.25">
      <c r="A4679" t="s">
        <v>1914</v>
      </c>
      <c r="B4679" t="s">
        <v>38</v>
      </c>
      <c r="C4679" t="s">
        <v>175</v>
      </c>
      <c r="D4679" t="s">
        <v>3217</v>
      </c>
      <c r="E4679">
        <v>0</v>
      </c>
      <c r="F4679">
        <v>44.64</v>
      </c>
    </row>
    <row r="4680" spans="1:6" x14ac:dyDescent="0.25">
      <c r="A4680" t="s">
        <v>1914</v>
      </c>
      <c r="B4680" t="s">
        <v>38</v>
      </c>
      <c r="C4680" t="s">
        <v>175</v>
      </c>
      <c r="D4680" t="s">
        <v>3218</v>
      </c>
      <c r="E4680">
        <v>11.73</v>
      </c>
      <c r="F4680">
        <v>44.61</v>
      </c>
    </row>
    <row r="4681" spans="1:6" x14ac:dyDescent="0.25">
      <c r="A4681" t="s">
        <v>1914</v>
      </c>
      <c r="B4681" t="s">
        <v>38</v>
      </c>
      <c r="C4681" t="s">
        <v>175</v>
      </c>
      <c r="D4681" t="s">
        <v>3219</v>
      </c>
      <c r="E4681">
        <v>27.57</v>
      </c>
      <c r="F4681">
        <v>44.14</v>
      </c>
    </row>
    <row r="4682" spans="1:6" x14ac:dyDescent="0.25">
      <c r="A4682" t="s">
        <v>1915</v>
      </c>
      <c r="B4682" t="s">
        <v>38</v>
      </c>
      <c r="C4682" t="s">
        <v>238</v>
      </c>
      <c r="D4682" t="s">
        <v>3217</v>
      </c>
      <c r="E4682">
        <v>0</v>
      </c>
      <c r="F4682">
        <v>44.43</v>
      </c>
    </row>
    <row r="4683" spans="1:6" x14ac:dyDescent="0.25">
      <c r="A4683" t="s">
        <v>1915</v>
      </c>
      <c r="B4683" t="s">
        <v>38</v>
      </c>
      <c r="C4683" t="s">
        <v>238</v>
      </c>
      <c r="D4683" t="s">
        <v>3218</v>
      </c>
      <c r="E4683">
        <v>11.92</v>
      </c>
      <c r="F4683">
        <v>44.34</v>
      </c>
    </row>
    <row r="4684" spans="1:6" x14ac:dyDescent="0.25">
      <c r="A4684" t="s">
        <v>1915</v>
      </c>
      <c r="B4684" t="s">
        <v>38</v>
      </c>
      <c r="C4684" t="s">
        <v>238</v>
      </c>
      <c r="D4684" t="s">
        <v>3219</v>
      </c>
      <c r="E4684">
        <v>31.92</v>
      </c>
      <c r="F4684">
        <v>43.64</v>
      </c>
    </row>
    <row r="4685" spans="1:6" x14ac:dyDescent="0.25">
      <c r="A4685" t="s">
        <v>1916</v>
      </c>
      <c r="B4685" t="s">
        <v>39</v>
      </c>
      <c r="C4685" t="s">
        <v>56</v>
      </c>
      <c r="D4685" t="s">
        <v>3217</v>
      </c>
      <c r="E4685">
        <v>0</v>
      </c>
      <c r="F4685">
        <v>40.83</v>
      </c>
    </row>
    <row r="4686" spans="1:6" x14ac:dyDescent="0.25">
      <c r="A4686" t="s">
        <v>1916</v>
      </c>
      <c r="B4686" t="s">
        <v>39</v>
      </c>
      <c r="C4686" t="s">
        <v>56</v>
      </c>
      <c r="D4686" t="s">
        <v>3218</v>
      </c>
      <c r="E4686">
        <v>20</v>
      </c>
      <c r="F4686">
        <v>41.75</v>
      </c>
    </row>
    <row r="4687" spans="1:6" x14ac:dyDescent="0.25">
      <c r="A4687" t="s">
        <v>1916</v>
      </c>
      <c r="B4687" t="s">
        <v>39</v>
      </c>
      <c r="C4687" t="s">
        <v>56</v>
      </c>
      <c r="D4687" t="s">
        <v>3219</v>
      </c>
      <c r="E4687">
        <v>40</v>
      </c>
      <c r="F4687">
        <v>43.26</v>
      </c>
    </row>
    <row r="4688" spans="1:6" x14ac:dyDescent="0.25">
      <c r="A4688" t="s">
        <v>1917</v>
      </c>
      <c r="B4688" t="s">
        <v>39</v>
      </c>
      <c r="C4688" t="s">
        <v>57</v>
      </c>
      <c r="D4688" t="s">
        <v>3217</v>
      </c>
      <c r="E4688">
        <v>0</v>
      </c>
      <c r="F4688">
        <v>39.909999999999997</v>
      </c>
    </row>
    <row r="4689" spans="1:6" x14ac:dyDescent="0.25">
      <c r="A4689" t="s">
        <v>1917</v>
      </c>
      <c r="B4689" t="s">
        <v>39</v>
      </c>
      <c r="C4689" t="s">
        <v>57</v>
      </c>
      <c r="D4689" t="s">
        <v>3218</v>
      </c>
      <c r="E4689">
        <v>20</v>
      </c>
      <c r="F4689">
        <v>40.44</v>
      </c>
    </row>
    <row r="4690" spans="1:6" x14ac:dyDescent="0.25">
      <c r="A4690" t="s">
        <v>1917</v>
      </c>
      <c r="B4690" t="s">
        <v>39</v>
      </c>
      <c r="C4690" t="s">
        <v>57</v>
      </c>
      <c r="D4690" t="s">
        <v>3219</v>
      </c>
      <c r="E4690">
        <v>40</v>
      </c>
      <c r="F4690">
        <v>42.09</v>
      </c>
    </row>
    <row r="4691" spans="1:6" x14ac:dyDescent="0.25">
      <c r="A4691" t="s">
        <v>1918</v>
      </c>
      <c r="B4691" t="s">
        <v>39</v>
      </c>
      <c r="C4691" t="s">
        <v>58</v>
      </c>
      <c r="D4691" t="s">
        <v>3217</v>
      </c>
      <c r="E4691">
        <v>0</v>
      </c>
      <c r="F4691">
        <v>39.130000000000003</v>
      </c>
    </row>
    <row r="4692" spans="1:6" x14ac:dyDescent="0.25">
      <c r="A4692" t="s">
        <v>1918</v>
      </c>
      <c r="B4692" t="s">
        <v>39</v>
      </c>
      <c r="C4692" t="s">
        <v>58</v>
      </c>
      <c r="D4692" t="s">
        <v>3218</v>
      </c>
      <c r="E4692">
        <v>20</v>
      </c>
      <c r="F4692">
        <v>39.630000000000003</v>
      </c>
    </row>
    <row r="4693" spans="1:6" x14ac:dyDescent="0.25">
      <c r="A4693" t="s">
        <v>1918</v>
      </c>
      <c r="B4693" t="s">
        <v>39</v>
      </c>
      <c r="C4693" t="s">
        <v>58</v>
      </c>
      <c r="D4693" t="s">
        <v>3219</v>
      </c>
      <c r="E4693">
        <v>37.28</v>
      </c>
      <c r="F4693">
        <v>40.479999999999997</v>
      </c>
    </row>
    <row r="4694" spans="1:6" x14ac:dyDescent="0.25">
      <c r="A4694" t="s">
        <v>1919</v>
      </c>
      <c r="B4694" t="s">
        <v>39</v>
      </c>
      <c r="C4694" t="s">
        <v>59</v>
      </c>
      <c r="D4694" t="s">
        <v>3217</v>
      </c>
      <c r="E4694">
        <v>0</v>
      </c>
      <c r="F4694">
        <v>38.61</v>
      </c>
    </row>
    <row r="4695" spans="1:6" x14ac:dyDescent="0.25">
      <c r="A4695" t="s">
        <v>1919</v>
      </c>
      <c r="B4695" t="s">
        <v>39</v>
      </c>
      <c r="C4695" t="s">
        <v>59</v>
      </c>
      <c r="D4695" t="s">
        <v>3218</v>
      </c>
      <c r="E4695">
        <v>18.059999999999999</v>
      </c>
      <c r="F4695">
        <v>38.78</v>
      </c>
    </row>
    <row r="4696" spans="1:6" x14ac:dyDescent="0.25">
      <c r="A4696" t="s">
        <v>1919</v>
      </c>
      <c r="B4696" t="s">
        <v>39</v>
      </c>
      <c r="C4696" t="s">
        <v>59</v>
      </c>
      <c r="D4696" t="s">
        <v>3219</v>
      </c>
      <c r="E4696">
        <v>33.67</v>
      </c>
      <c r="F4696">
        <v>39.36</v>
      </c>
    </row>
    <row r="4697" spans="1:6" x14ac:dyDescent="0.25">
      <c r="A4697" t="s">
        <v>1920</v>
      </c>
      <c r="B4697" t="s">
        <v>39</v>
      </c>
      <c r="C4697" t="s">
        <v>60</v>
      </c>
      <c r="D4697" t="s">
        <v>3217</v>
      </c>
      <c r="E4697">
        <v>0</v>
      </c>
      <c r="F4697">
        <v>37.68</v>
      </c>
    </row>
    <row r="4698" spans="1:6" x14ac:dyDescent="0.25">
      <c r="A4698" t="s">
        <v>1920</v>
      </c>
      <c r="B4698" t="s">
        <v>39</v>
      </c>
      <c r="C4698" t="s">
        <v>60</v>
      </c>
      <c r="D4698" t="s">
        <v>3218</v>
      </c>
      <c r="E4698">
        <v>16.32</v>
      </c>
      <c r="F4698">
        <v>38.06</v>
      </c>
    </row>
    <row r="4699" spans="1:6" x14ac:dyDescent="0.25">
      <c r="A4699" t="s">
        <v>1920</v>
      </c>
      <c r="B4699" t="s">
        <v>39</v>
      </c>
      <c r="C4699" t="s">
        <v>60</v>
      </c>
      <c r="D4699" t="s">
        <v>3219</v>
      </c>
      <c r="E4699">
        <v>30.9</v>
      </c>
      <c r="F4699">
        <v>38.54</v>
      </c>
    </row>
    <row r="4700" spans="1:6" x14ac:dyDescent="0.25">
      <c r="A4700" t="s">
        <v>1921</v>
      </c>
      <c r="B4700" t="s">
        <v>39</v>
      </c>
      <c r="C4700" t="s">
        <v>61</v>
      </c>
      <c r="D4700" t="s">
        <v>3217</v>
      </c>
      <c r="E4700">
        <v>0</v>
      </c>
      <c r="F4700">
        <v>36.799999999999997</v>
      </c>
    </row>
    <row r="4701" spans="1:6" x14ac:dyDescent="0.25">
      <c r="A4701" t="s">
        <v>1921</v>
      </c>
      <c r="B4701" t="s">
        <v>39</v>
      </c>
      <c r="C4701" t="s">
        <v>61</v>
      </c>
      <c r="D4701" t="s">
        <v>3218</v>
      </c>
      <c r="E4701">
        <v>14.73</v>
      </c>
      <c r="F4701">
        <v>37.32</v>
      </c>
    </row>
    <row r="4702" spans="1:6" x14ac:dyDescent="0.25">
      <c r="A4702" t="s">
        <v>1921</v>
      </c>
      <c r="B4702" t="s">
        <v>39</v>
      </c>
      <c r="C4702" t="s">
        <v>61</v>
      </c>
      <c r="D4702" t="s">
        <v>3219</v>
      </c>
      <c r="E4702">
        <v>29.53</v>
      </c>
      <c r="F4702">
        <v>37.83</v>
      </c>
    </row>
    <row r="4703" spans="1:6" x14ac:dyDescent="0.25">
      <c r="A4703" t="s">
        <v>1922</v>
      </c>
      <c r="B4703" t="s">
        <v>39</v>
      </c>
      <c r="C4703" t="s">
        <v>62</v>
      </c>
      <c r="D4703" t="s">
        <v>3217</v>
      </c>
      <c r="E4703">
        <v>0</v>
      </c>
      <c r="F4703">
        <v>36.24</v>
      </c>
    </row>
    <row r="4704" spans="1:6" x14ac:dyDescent="0.25">
      <c r="A4704" t="s">
        <v>1922</v>
      </c>
      <c r="B4704" t="s">
        <v>39</v>
      </c>
      <c r="C4704" t="s">
        <v>62</v>
      </c>
      <c r="D4704" t="s">
        <v>3218</v>
      </c>
      <c r="E4704">
        <v>14.89</v>
      </c>
      <c r="F4704">
        <v>36.78</v>
      </c>
    </row>
    <row r="4705" spans="1:6" x14ac:dyDescent="0.25">
      <c r="A4705" t="s">
        <v>1922</v>
      </c>
      <c r="B4705" t="s">
        <v>39</v>
      </c>
      <c r="C4705" t="s">
        <v>62</v>
      </c>
      <c r="D4705" t="s">
        <v>3219</v>
      </c>
      <c r="E4705">
        <v>31.26</v>
      </c>
      <c r="F4705">
        <v>37.03</v>
      </c>
    </row>
    <row r="4706" spans="1:6" x14ac:dyDescent="0.25">
      <c r="A4706" t="s">
        <v>1923</v>
      </c>
      <c r="B4706" t="s">
        <v>39</v>
      </c>
      <c r="C4706" t="s">
        <v>63</v>
      </c>
      <c r="D4706" t="s">
        <v>3217</v>
      </c>
      <c r="E4706">
        <v>0</v>
      </c>
      <c r="F4706">
        <v>35.74</v>
      </c>
    </row>
    <row r="4707" spans="1:6" x14ac:dyDescent="0.25">
      <c r="A4707" t="s">
        <v>1923</v>
      </c>
      <c r="B4707" t="s">
        <v>39</v>
      </c>
      <c r="C4707" t="s">
        <v>63</v>
      </c>
      <c r="D4707" t="s">
        <v>3218</v>
      </c>
      <c r="E4707">
        <v>14.78</v>
      </c>
      <c r="F4707">
        <v>36.409999999999997</v>
      </c>
    </row>
    <row r="4708" spans="1:6" x14ac:dyDescent="0.25">
      <c r="A4708" t="s">
        <v>1923</v>
      </c>
      <c r="B4708" t="s">
        <v>39</v>
      </c>
      <c r="C4708" t="s">
        <v>63</v>
      </c>
      <c r="D4708" t="s">
        <v>3219</v>
      </c>
      <c r="E4708">
        <v>31.09</v>
      </c>
      <c r="F4708">
        <v>36.58</v>
      </c>
    </row>
    <row r="4709" spans="1:6" x14ac:dyDescent="0.25">
      <c r="A4709" t="s">
        <v>1924</v>
      </c>
      <c r="B4709" t="s">
        <v>39</v>
      </c>
      <c r="C4709" t="s">
        <v>64</v>
      </c>
      <c r="D4709" t="s">
        <v>3217</v>
      </c>
      <c r="E4709">
        <v>0</v>
      </c>
      <c r="F4709">
        <v>35.590000000000003</v>
      </c>
    </row>
    <row r="4710" spans="1:6" x14ac:dyDescent="0.25">
      <c r="A4710" t="s">
        <v>1924</v>
      </c>
      <c r="B4710" t="s">
        <v>39</v>
      </c>
      <c r="C4710" t="s">
        <v>64</v>
      </c>
      <c r="D4710" t="s">
        <v>3218</v>
      </c>
      <c r="E4710">
        <v>14.58</v>
      </c>
      <c r="F4710">
        <v>35.979999999999997</v>
      </c>
    </row>
    <row r="4711" spans="1:6" x14ac:dyDescent="0.25">
      <c r="A4711" t="s">
        <v>1924</v>
      </c>
      <c r="B4711" t="s">
        <v>39</v>
      </c>
      <c r="C4711" t="s">
        <v>64</v>
      </c>
      <c r="D4711" t="s">
        <v>3219</v>
      </c>
      <c r="E4711">
        <v>29.94</v>
      </c>
      <c r="F4711">
        <v>36.22</v>
      </c>
    </row>
    <row r="4712" spans="1:6" x14ac:dyDescent="0.25">
      <c r="A4712" t="s">
        <v>1925</v>
      </c>
      <c r="B4712" t="s">
        <v>39</v>
      </c>
      <c r="C4712" t="s">
        <v>65</v>
      </c>
      <c r="D4712" t="s">
        <v>3217</v>
      </c>
      <c r="E4712">
        <v>0</v>
      </c>
      <c r="F4712">
        <v>35.32</v>
      </c>
    </row>
    <row r="4713" spans="1:6" x14ac:dyDescent="0.25">
      <c r="A4713" t="s">
        <v>1925</v>
      </c>
      <c r="B4713" t="s">
        <v>39</v>
      </c>
      <c r="C4713" t="s">
        <v>65</v>
      </c>
      <c r="D4713" t="s">
        <v>3218</v>
      </c>
      <c r="E4713">
        <v>14.15</v>
      </c>
      <c r="F4713">
        <v>35.590000000000003</v>
      </c>
    </row>
    <row r="4714" spans="1:6" x14ac:dyDescent="0.25">
      <c r="A4714" t="s">
        <v>1925</v>
      </c>
      <c r="B4714" t="s">
        <v>39</v>
      </c>
      <c r="C4714" t="s">
        <v>65</v>
      </c>
      <c r="D4714" t="s">
        <v>3219</v>
      </c>
      <c r="E4714">
        <v>29.18</v>
      </c>
      <c r="F4714">
        <v>35.78</v>
      </c>
    </row>
    <row r="4715" spans="1:6" x14ac:dyDescent="0.25">
      <c r="A4715" t="s">
        <v>1926</v>
      </c>
      <c r="B4715" t="s">
        <v>39</v>
      </c>
      <c r="C4715" t="s">
        <v>66</v>
      </c>
      <c r="D4715" t="s">
        <v>3217</v>
      </c>
      <c r="E4715">
        <v>0</v>
      </c>
      <c r="F4715">
        <v>34.76</v>
      </c>
    </row>
    <row r="4716" spans="1:6" x14ac:dyDescent="0.25">
      <c r="A4716" t="s">
        <v>1926</v>
      </c>
      <c r="B4716" t="s">
        <v>39</v>
      </c>
      <c r="C4716" t="s">
        <v>66</v>
      </c>
      <c r="D4716" t="s">
        <v>3218</v>
      </c>
      <c r="E4716">
        <v>13.18</v>
      </c>
      <c r="F4716">
        <v>35.369999999999997</v>
      </c>
    </row>
    <row r="4717" spans="1:6" x14ac:dyDescent="0.25">
      <c r="A4717" t="s">
        <v>1926</v>
      </c>
      <c r="B4717" t="s">
        <v>39</v>
      </c>
      <c r="C4717" t="s">
        <v>66</v>
      </c>
      <c r="D4717" t="s">
        <v>3219</v>
      </c>
      <c r="E4717">
        <v>27.31</v>
      </c>
      <c r="F4717">
        <v>35.479999999999997</v>
      </c>
    </row>
    <row r="4718" spans="1:6" x14ac:dyDescent="0.25">
      <c r="A4718" t="s">
        <v>1927</v>
      </c>
      <c r="B4718" t="s">
        <v>39</v>
      </c>
      <c r="C4718" t="s">
        <v>67</v>
      </c>
      <c r="D4718" t="s">
        <v>3217</v>
      </c>
      <c r="E4718">
        <v>0</v>
      </c>
      <c r="F4718">
        <v>34.229999999999997</v>
      </c>
    </row>
    <row r="4719" spans="1:6" x14ac:dyDescent="0.25">
      <c r="A4719" t="s">
        <v>1927</v>
      </c>
      <c r="B4719" t="s">
        <v>39</v>
      </c>
      <c r="C4719" t="s">
        <v>67</v>
      </c>
      <c r="D4719" t="s">
        <v>3218</v>
      </c>
      <c r="E4719">
        <v>12.73</v>
      </c>
      <c r="F4719">
        <v>34.880000000000003</v>
      </c>
    </row>
    <row r="4720" spans="1:6" x14ac:dyDescent="0.25">
      <c r="A4720" t="s">
        <v>1927</v>
      </c>
      <c r="B4720" t="s">
        <v>39</v>
      </c>
      <c r="C4720" t="s">
        <v>67</v>
      </c>
      <c r="D4720" t="s">
        <v>3219</v>
      </c>
      <c r="E4720">
        <v>25.98</v>
      </c>
      <c r="F4720">
        <v>35.450000000000003</v>
      </c>
    </row>
    <row r="4721" spans="1:6" x14ac:dyDescent="0.25">
      <c r="A4721" t="s">
        <v>1928</v>
      </c>
      <c r="B4721" t="s">
        <v>39</v>
      </c>
      <c r="C4721" t="s">
        <v>68</v>
      </c>
      <c r="D4721" t="s">
        <v>3217</v>
      </c>
      <c r="E4721">
        <v>0</v>
      </c>
      <c r="F4721">
        <v>33.81</v>
      </c>
    </row>
    <row r="4722" spans="1:6" x14ac:dyDescent="0.25">
      <c r="A4722" t="s">
        <v>1928</v>
      </c>
      <c r="B4722" t="s">
        <v>39</v>
      </c>
      <c r="C4722" t="s">
        <v>68</v>
      </c>
      <c r="D4722" t="s">
        <v>3218</v>
      </c>
      <c r="E4722">
        <v>13.71</v>
      </c>
      <c r="F4722">
        <v>34.15</v>
      </c>
    </row>
    <row r="4723" spans="1:6" x14ac:dyDescent="0.25">
      <c r="A4723" t="s">
        <v>1928</v>
      </c>
      <c r="B4723" t="s">
        <v>39</v>
      </c>
      <c r="C4723" t="s">
        <v>68</v>
      </c>
      <c r="D4723" t="s">
        <v>3219</v>
      </c>
      <c r="E4723">
        <v>26.3</v>
      </c>
      <c r="F4723">
        <v>35.619999999999997</v>
      </c>
    </row>
    <row r="4724" spans="1:6" x14ac:dyDescent="0.25">
      <c r="A4724" t="s">
        <v>1929</v>
      </c>
      <c r="B4724" t="s">
        <v>39</v>
      </c>
      <c r="C4724" t="s">
        <v>69</v>
      </c>
      <c r="D4724" t="s">
        <v>3217</v>
      </c>
      <c r="E4724">
        <v>0</v>
      </c>
      <c r="F4724">
        <v>33.07</v>
      </c>
    </row>
    <row r="4725" spans="1:6" x14ac:dyDescent="0.25">
      <c r="A4725" t="s">
        <v>1929</v>
      </c>
      <c r="B4725" t="s">
        <v>39</v>
      </c>
      <c r="C4725" t="s">
        <v>69</v>
      </c>
      <c r="D4725" t="s">
        <v>3218</v>
      </c>
      <c r="E4725">
        <v>20</v>
      </c>
      <c r="F4725">
        <v>34.04</v>
      </c>
    </row>
    <row r="4726" spans="1:6" x14ac:dyDescent="0.25">
      <c r="A4726" t="s">
        <v>1929</v>
      </c>
      <c r="B4726" t="s">
        <v>39</v>
      </c>
      <c r="C4726" t="s">
        <v>69</v>
      </c>
      <c r="D4726" t="s">
        <v>3219</v>
      </c>
      <c r="E4726">
        <v>32</v>
      </c>
      <c r="F4726">
        <v>35.68</v>
      </c>
    </row>
    <row r="4727" spans="1:6" x14ac:dyDescent="0.25">
      <c r="A4727" t="s">
        <v>1930</v>
      </c>
      <c r="B4727" t="s">
        <v>39</v>
      </c>
      <c r="C4727" t="s">
        <v>70</v>
      </c>
      <c r="D4727" t="s">
        <v>3217</v>
      </c>
      <c r="E4727">
        <v>0</v>
      </c>
      <c r="F4727">
        <v>33.25</v>
      </c>
    </row>
    <row r="4728" spans="1:6" x14ac:dyDescent="0.25">
      <c r="A4728" t="s">
        <v>1930</v>
      </c>
      <c r="B4728" t="s">
        <v>39</v>
      </c>
      <c r="C4728" t="s">
        <v>70</v>
      </c>
      <c r="D4728" t="s">
        <v>3218</v>
      </c>
      <c r="E4728">
        <v>20</v>
      </c>
      <c r="F4728">
        <v>34.74</v>
      </c>
    </row>
    <row r="4729" spans="1:6" x14ac:dyDescent="0.25">
      <c r="A4729" t="s">
        <v>1930</v>
      </c>
      <c r="B4729" t="s">
        <v>39</v>
      </c>
      <c r="C4729" t="s">
        <v>70</v>
      </c>
      <c r="D4729" t="s">
        <v>3219</v>
      </c>
      <c r="E4729">
        <v>40</v>
      </c>
      <c r="F4729">
        <v>35.9</v>
      </c>
    </row>
    <row r="4730" spans="1:6" x14ac:dyDescent="0.25">
      <c r="A4730" t="s">
        <v>1931</v>
      </c>
      <c r="B4730" t="s">
        <v>39</v>
      </c>
      <c r="C4730" t="s">
        <v>71</v>
      </c>
      <c r="D4730" t="s">
        <v>3217</v>
      </c>
      <c r="E4730">
        <v>0</v>
      </c>
      <c r="F4730">
        <v>33.1</v>
      </c>
    </row>
    <row r="4731" spans="1:6" x14ac:dyDescent="0.25">
      <c r="A4731" t="s">
        <v>1931</v>
      </c>
      <c r="B4731" t="s">
        <v>39</v>
      </c>
      <c r="C4731" t="s">
        <v>71</v>
      </c>
      <c r="D4731" t="s">
        <v>3218</v>
      </c>
      <c r="E4731">
        <v>20</v>
      </c>
      <c r="F4731">
        <v>33.18</v>
      </c>
    </row>
    <row r="4732" spans="1:6" x14ac:dyDescent="0.25">
      <c r="A4732" t="s">
        <v>1931</v>
      </c>
      <c r="B4732" t="s">
        <v>39</v>
      </c>
      <c r="C4732" t="s">
        <v>71</v>
      </c>
      <c r="D4732" t="s">
        <v>3219</v>
      </c>
      <c r="E4732">
        <v>40</v>
      </c>
      <c r="F4732">
        <v>34</v>
      </c>
    </row>
    <row r="4733" spans="1:6" x14ac:dyDescent="0.25">
      <c r="A4733" t="s">
        <v>1932</v>
      </c>
      <c r="B4733" t="s">
        <v>39</v>
      </c>
      <c r="C4733" t="s">
        <v>72</v>
      </c>
      <c r="D4733" t="s">
        <v>3217</v>
      </c>
      <c r="E4733">
        <v>0</v>
      </c>
      <c r="F4733">
        <v>32.42</v>
      </c>
    </row>
    <row r="4734" spans="1:6" x14ac:dyDescent="0.25">
      <c r="A4734" t="s">
        <v>1932</v>
      </c>
      <c r="B4734" t="s">
        <v>39</v>
      </c>
      <c r="C4734" t="s">
        <v>72</v>
      </c>
      <c r="D4734" t="s">
        <v>3218</v>
      </c>
      <c r="E4734">
        <v>20</v>
      </c>
      <c r="F4734">
        <v>33.950000000000003</v>
      </c>
    </row>
    <row r="4735" spans="1:6" x14ac:dyDescent="0.25">
      <c r="A4735" t="s">
        <v>1932</v>
      </c>
      <c r="B4735" t="s">
        <v>39</v>
      </c>
      <c r="C4735" t="s">
        <v>72</v>
      </c>
      <c r="D4735" t="s">
        <v>3219</v>
      </c>
      <c r="E4735">
        <v>40</v>
      </c>
      <c r="F4735">
        <v>31.55</v>
      </c>
    </row>
    <row r="4736" spans="1:6" x14ac:dyDescent="0.25">
      <c r="A4736" t="s">
        <v>1933</v>
      </c>
      <c r="B4736" t="s">
        <v>39</v>
      </c>
      <c r="C4736" t="s">
        <v>73</v>
      </c>
      <c r="D4736" t="s">
        <v>3217</v>
      </c>
      <c r="E4736">
        <v>0</v>
      </c>
      <c r="F4736">
        <v>30.51</v>
      </c>
    </row>
    <row r="4737" spans="1:6" x14ac:dyDescent="0.25">
      <c r="A4737" t="s">
        <v>1933</v>
      </c>
      <c r="B4737" t="s">
        <v>39</v>
      </c>
      <c r="C4737" t="s">
        <v>73</v>
      </c>
      <c r="D4737" t="s">
        <v>3218</v>
      </c>
      <c r="E4737">
        <v>20</v>
      </c>
      <c r="F4737">
        <v>30.74</v>
      </c>
    </row>
    <row r="4738" spans="1:6" x14ac:dyDescent="0.25">
      <c r="A4738" t="s">
        <v>1933</v>
      </c>
      <c r="B4738" t="s">
        <v>39</v>
      </c>
      <c r="C4738" t="s">
        <v>73</v>
      </c>
      <c r="D4738" t="s">
        <v>3219</v>
      </c>
      <c r="E4738">
        <v>37.979999999999997</v>
      </c>
      <c r="F4738">
        <v>30.11</v>
      </c>
    </row>
    <row r="4739" spans="1:6" x14ac:dyDescent="0.25">
      <c r="A4739" t="s">
        <v>1934</v>
      </c>
      <c r="B4739" t="s">
        <v>39</v>
      </c>
      <c r="C4739" t="s">
        <v>74</v>
      </c>
      <c r="D4739" t="s">
        <v>3217</v>
      </c>
      <c r="E4739">
        <v>0</v>
      </c>
      <c r="F4739">
        <v>29.24</v>
      </c>
    </row>
    <row r="4740" spans="1:6" x14ac:dyDescent="0.25">
      <c r="A4740" t="s">
        <v>1934</v>
      </c>
      <c r="B4740" t="s">
        <v>39</v>
      </c>
      <c r="C4740" t="s">
        <v>74</v>
      </c>
      <c r="D4740" t="s">
        <v>3218</v>
      </c>
      <c r="E4740">
        <v>17.75</v>
      </c>
      <c r="F4740">
        <v>29.12</v>
      </c>
    </row>
    <row r="4741" spans="1:6" x14ac:dyDescent="0.25">
      <c r="A4741" t="s">
        <v>1934</v>
      </c>
      <c r="B4741" t="s">
        <v>39</v>
      </c>
      <c r="C4741" t="s">
        <v>74</v>
      </c>
      <c r="D4741" t="s">
        <v>3219</v>
      </c>
      <c r="E4741">
        <v>34.130000000000003</v>
      </c>
      <c r="F4741">
        <v>28.83</v>
      </c>
    </row>
    <row r="4742" spans="1:6" x14ac:dyDescent="0.25">
      <c r="A4742" t="s">
        <v>1935</v>
      </c>
      <c r="B4742" t="s">
        <v>39</v>
      </c>
      <c r="C4742" t="s">
        <v>75</v>
      </c>
      <c r="D4742" t="s">
        <v>3217</v>
      </c>
      <c r="E4742">
        <v>0</v>
      </c>
      <c r="F4742">
        <v>27.63</v>
      </c>
    </row>
    <row r="4743" spans="1:6" x14ac:dyDescent="0.25">
      <c r="A4743" t="s">
        <v>1935</v>
      </c>
      <c r="B4743" t="s">
        <v>39</v>
      </c>
      <c r="C4743" t="s">
        <v>75</v>
      </c>
      <c r="D4743" t="s">
        <v>3218</v>
      </c>
      <c r="E4743">
        <v>16.39</v>
      </c>
      <c r="F4743">
        <v>27.69</v>
      </c>
    </row>
    <row r="4744" spans="1:6" x14ac:dyDescent="0.25">
      <c r="A4744" t="s">
        <v>1935</v>
      </c>
      <c r="B4744" t="s">
        <v>39</v>
      </c>
      <c r="C4744" t="s">
        <v>75</v>
      </c>
      <c r="D4744" t="s">
        <v>3219</v>
      </c>
      <c r="E4744">
        <v>32.42</v>
      </c>
      <c r="F4744">
        <v>27.73</v>
      </c>
    </row>
    <row r="4745" spans="1:6" x14ac:dyDescent="0.25">
      <c r="A4745" t="s">
        <v>1936</v>
      </c>
      <c r="B4745" t="s">
        <v>39</v>
      </c>
      <c r="C4745" t="s">
        <v>76</v>
      </c>
      <c r="D4745" t="s">
        <v>3217</v>
      </c>
      <c r="E4745">
        <v>0</v>
      </c>
      <c r="F4745">
        <v>26.35</v>
      </c>
    </row>
    <row r="4746" spans="1:6" x14ac:dyDescent="0.25">
      <c r="A4746" t="s">
        <v>1936</v>
      </c>
      <c r="B4746" t="s">
        <v>39</v>
      </c>
      <c r="C4746" t="s">
        <v>76</v>
      </c>
      <c r="D4746" t="s">
        <v>3218</v>
      </c>
      <c r="E4746">
        <v>15.71</v>
      </c>
      <c r="F4746">
        <v>26.42</v>
      </c>
    </row>
    <row r="4747" spans="1:6" x14ac:dyDescent="0.25">
      <c r="A4747" t="s">
        <v>1936</v>
      </c>
      <c r="B4747" t="s">
        <v>39</v>
      </c>
      <c r="C4747" t="s">
        <v>76</v>
      </c>
      <c r="D4747" t="s">
        <v>3219</v>
      </c>
      <c r="E4747">
        <v>32.07</v>
      </c>
      <c r="F4747">
        <v>26.49</v>
      </c>
    </row>
    <row r="4748" spans="1:6" x14ac:dyDescent="0.25">
      <c r="A4748" t="s">
        <v>1937</v>
      </c>
      <c r="B4748" t="s">
        <v>39</v>
      </c>
      <c r="C4748" t="s">
        <v>77</v>
      </c>
      <c r="D4748" t="s">
        <v>3217</v>
      </c>
      <c r="E4748">
        <v>0</v>
      </c>
      <c r="F4748">
        <v>24.89</v>
      </c>
    </row>
    <row r="4749" spans="1:6" x14ac:dyDescent="0.25">
      <c r="A4749" t="s">
        <v>1937</v>
      </c>
      <c r="B4749" t="s">
        <v>39</v>
      </c>
      <c r="C4749" t="s">
        <v>77</v>
      </c>
      <c r="D4749" t="s">
        <v>3218</v>
      </c>
      <c r="E4749">
        <v>14.62</v>
      </c>
      <c r="F4749">
        <v>25.21</v>
      </c>
    </row>
    <row r="4750" spans="1:6" x14ac:dyDescent="0.25">
      <c r="A4750" t="s">
        <v>1937</v>
      </c>
      <c r="B4750" t="s">
        <v>39</v>
      </c>
      <c r="C4750" t="s">
        <v>77</v>
      </c>
      <c r="D4750" t="s">
        <v>3219</v>
      </c>
      <c r="E4750">
        <v>29.82</v>
      </c>
      <c r="F4750">
        <v>25.24</v>
      </c>
    </row>
    <row r="4751" spans="1:6" x14ac:dyDescent="0.25">
      <c r="A4751" t="s">
        <v>1938</v>
      </c>
      <c r="B4751" t="s">
        <v>39</v>
      </c>
      <c r="C4751" t="s">
        <v>78</v>
      </c>
      <c r="D4751" t="s">
        <v>3217</v>
      </c>
      <c r="E4751">
        <v>0</v>
      </c>
      <c r="F4751">
        <v>23.65</v>
      </c>
    </row>
    <row r="4752" spans="1:6" x14ac:dyDescent="0.25">
      <c r="A4752" t="s">
        <v>1938</v>
      </c>
      <c r="B4752" t="s">
        <v>39</v>
      </c>
      <c r="C4752" t="s">
        <v>78</v>
      </c>
      <c r="D4752" t="s">
        <v>3218</v>
      </c>
      <c r="E4752">
        <v>15.71</v>
      </c>
      <c r="F4752">
        <v>24.02</v>
      </c>
    </row>
    <row r="4753" spans="1:6" x14ac:dyDescent="0.25">
      <c r="A4753" t="s">
        <v>1938</v>
      </c>
      <c r="B4753" t="s">
        <v>39</v>
      </c>
      <c r="C4753" t="s">
        <v>78</v>
      </c>
      <c r="D4753" t="s">
        <v>3219</v>
      </c>
      <c r="E4753">
        <v>29.22</v>
      </c>
      <c r="F4753">
        <v>23.93</v>
      </c>
    </row>
    <row r="4754" spans="1:6" x14ac:dyDescent="0.25">
      <c r="A4754" t="s">
        <v>1939</v>
      </c>
      <c r="B4754" t="s">
        <v>39</v>
      </c>
      <c r="C4754" t="s">
        <v>79</v>
      </c>
      <c r="D4754" t="s">
        <v>3217</v>
      </c>
      <c r="E4754">
        <v>0</v>
      </c>
      <c r="F4754">
        <v>22.42</v>
      </c>
    </row>
    <row r="4755" spans="1:6" x14ac:dyDescent="0.25">
      <c r="A4755" t="s">
        <v>1939</v>
      </c>
      <c r="B4755" t="s">
        <v>39</v>
      </c>
      <c r="C4755" t="s">
        <v>79</v>
      </c>
      <c r="D4755" t="s">
        <v>3218</v>
      </c>
      <c r="E4755">
        <v>14.94</v>
      </c>
      <c r="F4755">
        <v>22.81</v>
      </c>
    </row>
    <row r="4756" spans="1:6" x14ac:dyDescent="0.25">
      <c r="A4756" t="s">
        <v>1939</v>
      </c>
      <c r="B4756" t="s">
        <v>39</v>
      </c>
      <c r="C4756" t="s">
        <v>79</v>
      </c>
      <c r="D4756" t="s">
        <v>3219</v>
      </c>
      <c r="E4756">
        <v>28.21</v>
      </c>
      <c r="F4756">
        <v>22.44</v>
      </c>
    </row>
    <row r="4757" spans="1:6" x14ac:dyDescent="0.25">
      <c r="A4757" t="s">
        <v>1940</v>
      </c>
      <c r="B4757" t="s">
        <v>39</v>
      </c>
      <c r="C4757" t="s">
        <v>80</v>
      </c>
      <c r="D4757" t="s">
        <v>3217</v>
      </c>
      <c r="E4757">
        <v>0</v>
      </c>
      <c r="F4757">
        <v>21.27</v>
      </c>
    </row>
    <row r="4758" spans="1:6" x14ac:dyDescent="0.25">
      <c r="A4758" t="s">
        <v>1940</v>
      </c>
      <c r="B4758" t="s">
        <v>39</v>
      </c>
      <c r="C4758" t="s">
        <v>80</v>
      </c>
      <c r="D4758" t="s">
        <v>3218</v>
      </c>
      <c r="E4758">
        <v>14.77</v>
      </c>
      <c r="F4758">
        <v>21.41</v>
      </c>
    </row>
    <row r="4759" spans="1:6" x14ac:dyDescent="0.25">
      <c r="A4759" t="s">
        <v>1940</v>
      </c>
      <c r="B4759" t="s">
        <v>39</v>
      </c>
      <c r="C4759" t="s">
        <v>80</v>
      </c>
      <c r="D4759" t="s">
        <v>3219</v>
      </c>
      <c r="E4759">
        <v>27.73</v>
      </c>
      <c r="F4759">
        <v>21.03</v>
      </c>
    </row>
    <row r="4760" spans="1:6" x14ac:dyDescent="0.25">
      <c r="A4760" t="s">
        <v>1941</v>
      </c>
      <c r="B4760" t="s">
        <v>39</v>
      </c>
      <c r="C4760" t="s">
        <v>81</v>
      </c>
      <c r="D4760" t="s">
        <v>3217</v>
      </c>
      <c r="E4760">
        <v>0</v>
      </c>
      <c r="F4760">
        <v>19.97</v>
      </c>
    </row>
    <row r="4761" spans="1:6" x14ac:dyDescent="0.25">
      <c r="A4761" t="s">
        <v>1941</v>
      </c>
      <c r="B4761" t="s">
        <v>39</v>
      </c>
      <c r="C4761" t="s">
        <v>81</v>
      </c>
      <c r="D4761" t="s">
        <v>3218</v>
      </c>
      <c r="E4761">
        <v>14.62</v>
      </c>
      <c r="F4761">
        <v>20.079999999999998</v>
      </c>
    </row>
    <row r="4762" spans="1:6" x14ac:dyDescent="0.25">
      <c r="A4762" t="s">
        <v>1941</v>
      </c>
      <c r="B4762" t="s">
        <v>39</v>
      </c>
      <c r="C4762" t="s">
        <v>81</v>
      </c>
      <c r="D4762" t="s">
        <v>3219</v>
      </c>
      <c r="E4762">
        <v>28.36</v>
      </c>
      <c r="F4762">
        <v>19.64</v>
      </c>
    </row>
    <row r="4763" spans="1:6" x14ac:dyDescent="0.25">
      <c r="A4763" t="s">
        <v>1942</v>
      </c>
      <c r="B4763" t="s">
        <v>39</v>
      </c>
      <c r="C4763" t="s">
        <v>82</v>
      </c>
      <c r="D4763" t="s">
        <v>3217</v>
      </c>
      <c r="E4763">
        <v>0</v>
      </c>
      <c r="F4763">
        <v>18.600000000000001</v>
      </c>
    </row>
    <row r="4764" spans="1:6" x14ac:dyDescent="0.25">
      <c r="A4764" t="s">
        <v>1942</v>
      </c>
      <c r="B4764" t="s">
        <v>39</v>
      </c>
      <c r="C4764" t="s">
        <v>82</v>
      </c>
      <c r="D4764" t="s">
        <v>3218</v>
      </c>
      <c r="E4764">
        <v>14.35</v>
      </c>
      <c r="F4764">
        <v>18.760000000000002</v>
      </c>
    </row>
    <row r="4765" spans="1:6" x14ac:dyDescent="0.25">
      <c r="A4765" t="s">
        <v>1942</v>
      </c>
      <c r="B4765" t="s">
        <v>39</v>
      </c>
      <c r="C4765" t="s">
        <v>82</v>
      </c>
      <c r="D4765" t="s">
        <v>3219</v>
      </c>
      <c r="E4765">
        <v>28.36</v>
      </c>
      <c r="F4765">
        <v>18.21</v>
      </c>
    </row>
    <row r="4766" spans="1:6" x14ac:dyDescent="0.25">
      <c r="A4766" t="s">
        <v>1943</v>
      </c>
      <c r="B4766" t="s">
        <v>39</v>
      </c>
      <c r="C4766" t="s">
        <v>83</v>
      </c>
      <c r="D4766" t="s">
        <v>3217</v>
      </c>
      <c r="E4766">
        <v>0</v>
      </c>
      <c r="F4766">
        <v>17.55</v>
      </c>
    </row>
    <row r="4767" spans="1:6" x14ac:dyDescent="0.25">
      <c r="A4767" t="s">
        <v>1943</v>
      </c>
      <c r="B4767" t="s">
        <v>39</v>
      </c>
      <c r="C4767" t="s">
        <v>83</v>
      </c>
      <c r="D4767" t="s">
        <v>3218</v>
      </c>
      <c r="E4767">
        <v>14.54</v>
      </c>
      <c r="F4767">
        <v>17.52</v>
      </c>
    </row>
    <row r="4768" spans="1:6" x14ac:dyDescent="0.25">
      <c r="A4768" t="s">
        <v>1943</v>
      </c>
      <c r="B4768" t="s">
        <v>39</v>
      </c>
      <c r="C4768" t="s">
        <v>83</v>
      </c>
      <c r="D4768" t="s">
        <v>3219</v>
      </c>
      <c r="E4768">
        <v>28.53</v>
      </c>
      <c r="F4768">
        <v>16.920000000000002</v>
      </c>
    </row>
    <row r="4769" spans="1:6" x14ac:dyDescent="0.25">
      <c r="A4769" t="s">
        <v>1944</v>
      </c>
      <c r="B4769" t="s">
        <v>39</v>
      </c>
      <c r="C4769" t="s">
        <v>84</v>
      </c>
      <c r="D4769" t="s">
        <v>3217</v>
      </c>
      <c r="E4769">
        <v>0</v>
      </c>
      <c r="F4769">
        <v>16.21</v>
      </c>
    </row>
    <row r="4770" spans="1:6" x14ac:dyDescent="0.25">
      <c r="A4770" t="s">
        <v>1944</v>
      </c>
      <c r="B4770" t="s">
        <v>39</v>
      </c>
      <c r="C4770" t="s">
        <v>84</v>
      </c>
      <c r="D4770" t="s">
        <v>3218</v>
      </c>
      <c r="E4770">
        <v>14.46</v>
      </c>
      <c r="F4770">
        <v>16.260000000000002</v>
      </c>
    </row>
    <row r="4771" spans="1:6" x14ac:dyDescent="0.25">
      <c r="A4771" t="s">
        <v>1944</v>
      </c>
      <c r="B4771" t="s">
        <v>39</v>
      </c>
      <c r="C4771" t="s">
        <v>84</v>
      </c>
      <c r="D4771" t="s">
        <v>3219</v>
      </c>
      <c r="E4771">
        <v>27.95</v>
      </c>
      <c r="F4771">
        <v>15.66</v>
      </c>
    </row>
    <row r="4772" spans="1:6" x14ac:dyDescent="0.25">
      <c r="A4772" t="s">
        <v>1945</v>
      </c>
      <c r="B4772" t="s">
        <v>39</v>
      </c>
      <c r="C4772" t="s">
        <v>85</v>
      </c>
      <c r="D4772" t="s">
        <v>3217</v>
      </c>
      <c r="E4772">
        <v>0</v>
      </c>
      <c r="F4772">
        <v>14.98</v>
      </c>
    </row>
    <row r="4773" spans="1:6" x14ac:dyDescent="0.25">
      <c r="A4773" t="s">
        <v>1945</v>
      </c>
      <c r="B4773" t="s">
        <v>39</v>
      </c>
      <c r="C4773" t="s">
        <v>85</v>
      </c>
      <c r="D4773" t="s">
        <v>3218</v>
      </c>
      <c r="E4773">
        <v>14.44</v>
      </c>
      <c r="F4773">
        <v>14.98</v>
      </c>
    </row>
    <row r="4774" spans="1:6" x14ac:dyDescent="0.25">
      <c r="A4774" t="s">
        <v>1945</v>
      </c>
      <c r="B4774" t="s">
        <v>39</v>
      </c>
      <c r="C4774" t="s">
        <v>85</v>
      </c>
      <c r="D4774" t="s">
        <v>3219</v>
      </c>
      <c r="E4774">
        <v>28.81</v>
      </c>
      <c r="F4774">
        <v>14.4</v>
      </c>
    </row>
    <row r="4775" spans="1:6" x14ac:dyDescent="0.25">
      <c r="A4775" t="s">
        <v>1946</v>
      </c>
      <c r="B4775" t="s">
        <v>39</v>
      </c>
      <c r="C4775" t="s">
        <v>86</v>
      </c>
      <c r="D4775" t="s">
        <v>3217</v>
      </c>
      <c r="E4775">
        <v>0</v>
      </c>
      <c r="F4775">
        <v>13.68</v>
      </c>
    </row>
    <row r="4776" spans="1:6" x14ac:dyDescent="0.25">
      <c r="A4776" t="s">
        <v>1946</v>
      </c>
      <c r="B4776" t="s">
        <v>39</v>
      </c>
      <c r="C4776" t="s">
        <v>86</v>
      </c>
      <c r="D4776" t="s">
        <v>3218</v>
      </c>
      <c r="E4776">
        <v>14.14</v>
      </c>
      <c r="F4776">
        <v>13.66</v>
      </c>
    </row>
    <row r="4777" spans="1:6" x14ac:dyDescent="0.25">
      <c r="A4777" t="s">
        <v>1946</v>
      </c>
      <c r="B4777" t="s">
        <v>39</v>
      </c>
      <c r="C4777" t="s">
        <v>86</v>
      </c>
      <c r="D4777" t="s">
        <v>3219</v>
      </c>
      <c r="E4777">
        <v>29.93</v>
      </c>
      <c r="F4777">
        <v>13.03</v>
      </c>
    </row>
    <row r="4778" spans="1:6" x14ac:dyDescent="0.25">
      <c r="A4778" t="s">
        <v>1947</v>
      </c>
      <c r="B4778" t="s">
        <v>39</v>
      </c>
      <c r="C4778" t="s">
        <v>87</v>
      </c>
      <c r="D4778" t="s">
        <v>3217</v>
      </c>
      <c r="E4778">
        <v>0</v>
      </c>
      <c r="F4778">
        <v>12.37</v>
      </c>
    </row>
    <row r="4779" spans="1:6" x14ac:dyDescent="0.25">
      <c r="A4779" t="s">
        <v>1947</v>
      </c>
      <c r="B4779" t="s">
        <v>39</v>
      </c>
      <c r="C4779" t="s">
        <v>87</v>
      </c>
      <c r="D4779" t="s">
        <v>3218</v>
      </c>
      <c r="E4779">
        <v>14.16</v>
      </c>
      <c r="F4779">
        <v>12.37</v>
      </c>
    </row>
    <row r="4780" spans="1:6" x14ac:dyDescent="0.25">
      <c r="A4780" t="s">
        <v>1947</v>
      </c>
      <c r="B4780" t="s">
        <v>39</v>
      </c>
      <c r="C4780" t="s">
        <v>87</v>
      </c>
      <c r="D4780" t="s">
        <v>3219</v>
      </c>
      <c r="E4780">
        <v>31.16</v>
      </c>
      <c r="F4780">
        <v>11.69</v>
      </c>
    </row>
    <row r="4781" spans="1:6" x14ac:dyDescent="0.25">
      <c r="A4781" t="s">
        <v>1948</v>
      </c>
      <c r="B4781" t="s">
        <v>39</v>
      </c>
      <c r="C4781" t="s">
        <v>88</v>
      </c>
      <c r="D4781" t="s">
        <v>3217</v>
      </c>
      <c r="E4781">
        <v>0</v>
      </c>
      <c r="F4781">
        <v>11.03</v>
      </c>
    </row>
    <row r="4782" spans="1:6" x14ac:dyDescent="0.25">
      <c r="A4782" t="s">
        <v>1948</v>
      </c>
      <c r="B4782" t="s">
        <v>39</v>
      </c>
      <c r="C4782" t="s">
        <v>88</v>
      </c>
      <c r="D4782" t="s">
        <v>3218</v>
      </c>
      <c r="E4782">
        <v>13.5</v>
      </c>
      <c r="F4782">
        <v>11.11</v>
      </c>
    </row>
    <row r="4783" spans="1:6" x14ac:dyDescent="0.25">
      <c r="A4783" t="s">
        <v>1948</v>
      </c>
      <c r="B4783" t="s">
        <v>39</v>
      </c>
      <c r="C4783" t="s">
        <v>88</v>
      </c>
      <c r="D4783" t="s">
        <v>3219</v>
      </c>
      <c r="E4783">
        <v>30.3</v>
      </c>
      <c r="F4783">
        <v>10.57</v>
      </c>
    </row>
    <row r="4784" spans="1:6" x14ac:dyDescent="0.25">
      <c r="A4784" t="s">
        <v>1949</v>
      </c>
      <c r="B4784" t="s">
        <v>39</v>
      </c>
      <c r="C4784" t="s">
        <v>89</v>
      </c>
      <c r="D4784" t="s">
        <v>3217</v>
      </c>
      <c r="E4784">
        <v>0</v>
      </c>
      <c r="F4784">
        <v>9.89</v>
      </c>
    </row>
    <row r="4785" spans="1:6" x14ac:dyDescent="0.25">
      <c r="A4785" t="s">
        <v>1949</v>
      </c>
      <c r="B4785" t="s">
        <v>39</v>
      </c>
      <c r="C4785" t="s">
        <v>89</v>
      </c>
      <c r="D4785" t="s">
        <v>3218</v>
      </c>
      <c r="E4785">
        <v>14.29</v>
      </c>
      <c r="F4785">
        <v>9.99</v>
      </c>
    </row>
    <row r="4786" spans="1:6" x14ac:dyDescent="0.25">
      <c r="A4786" t="s">
        <v>1949</v>
      </c>
      <c r="B4786" t="s">
        <v>39</v>
      </c>
      <c r="C4786" t="s">
        <v>89</v>
      </c>
      <c r="D4786" t="s">
        <v>3219</v>
      </c>
      <c r="E4786">
        <v>31.76</v>
      </c>
      <c r="F4786">
        <v>9.43</v>
      </c>
    </row>
    <row r="4787" spans="1:6" x14ac:dyDescent="0.25">
      <c r="A4787" t="s">
        <v>1950</v>
      </c>
      <c r="B4787" t="s">
        <v>39</v>
      </c>
      <c r="C4787" t="s">
        <v>90</v>
      </c>
      <c r="D4787" t="s">
        <v>3217</v>
      </c>
      <c r="E4787">
        <v>0</v>
      </c>
      <c r="F4787">
        <v>8.6300000000000008</v>
      </c>
    </row>
    <row r="4788" spans="1:6" x14ac:dyDescent="0.25">
      <c r="A4788" t="s">
        <v>1950</v>
      </c>
      <c r="B4788" t="s">
        <v>39</v>
      </c>
      <c r="C4788" t="s">
        <v>90</v>
      </c>
      <c r="D4788" t="s">
        <v>3218</v>
      </c>
      <c r="E4788">
        <v>14.82</v>
      </c>
      <c r="F4788">
        <v>8.68</v>
      </c>
    </row>
    <row r="4789" spans="1:6" x14ac:dyDescent="0.25">
      <c r="A4789" t="s">
        <v>1950</v>
      </c>
      <c r="B4789" t="s">
        <v>39</v>
      </c>
      <c r="C4789" t="s">
        <v>90</v>
      </c>
      <c r="D4789" t="s">
        <v>3219</v>
      </c>
      <c r="E4789">
        <v>31.62</v>
      </c>
      <c r="F4789">
        <v>8.25</v>
      </c>
    </row>
    <row r="4790" spans="1:6" x14ac:dyDescent="0.25">
      <c r="A4790" t="s">
        <v>1951</v>
      </c>
      <c r="B4790" t="s">
        <v>39</v>
      </c>
      <c r="C4790" t="s">
        <v>91</v>
      </c>
      <c r="D4790" t="s">
        <v>3217</v>
      </c>
      <c r="E4790">
        <v>0</v>
      </c>
      <c r="F4790">
        <v>7.3</v>
      </c>
    </row>
    <row r="4791" spans="1:6" x14ac:dyDescent="0.25">
      <c r="A4791" t="s">
        <v>1951</v>
      </c>
      <c r="B4791" t="s">
        <v>39</v>
      </c>
      <c r="C4791" t="s">
        <v>91</v>
      </c>
      <c r="D4791" t="s">
        <v>3218</v>
      </c>
      <c r="E4791">
        <v>14.9</v>
      </c>
      <c r="F4791">
        <v>7.43</v>
      </c>
    </row>
    <row r="4792" spans="1:6" x14ac:dyDescent="0.25">
      <c r="A4792" t="s">
        <v>1951</v>
      </c>
      <c r="B4792" t="s">
        <v>39</v>
      </c>
      <c r="C4792" t="s">
        <v>91</v>
      </c>
      <c r="D4792" t="s">
        <v>3219</v>
      </c>
      <c r="E4792">
        <v>32.71</v>
      </c>
      <c r="F4792">
        <v>7.15</v>
      </c>
    </row>
    <row r="4793" spans="1:6" x14ac:dyDescent="0.25">
      <c r="A4793" t="s">
        <v>1952</v>
      </c>
      <c r="B4793" t="s">
        <v>39</v>
      </c>
      <c r="C4793" t="s">
        <v>92</v>
      </c>
      <c r="D4793" t="s">
        <v>3217</v>
      </c>
      <c r="E4793">
        <v>0</v>
      </c>
      <c r="F4793">
        <v>6.09</v>
      </c>
    </row>
    <row r="4794" spans="1:6" x14ac:dyDescent="0.25">
      <c r="A4794" t="s">
        <v>1952</v>
      </c>
      <c r="B4794" t="s">
        <v>39</v>
      </c>
      <c r="C4794" t="s">
        <v>92</v>
      </c>
      <c r="D4794" t="s">
        <v>3218</v>
      </c>
      <c r="E4794">
        <v>16.38</v>
      </c>
      <c r="F4794">
        <v>6.21</v>
      </c>
    </row>
    <row r="4795" spans="1:6" x14ac:dyDescent="0.25">
      <c r="A4795" t="s">
        <v>1952</v>
      </c>
      <c r="B4795" t="s">
        <v>39</v>
      </c>
      <c r="C4795" t="s">
        <v>92</v>
      </c>
      <c r="D4795" t="s">
        <v>3219</v>
      </c>
      <c r="E4795">
        <v>33.299999999999997</v>
      </c>
      <c r="F4795">
        <v>6.08</v>
      </c>
    </row>
    <row r="4796" spans="1:6" x14ac:dyDescent="0.25">
      <c r="A4796" t="s">
        <v>1953</v>
      </c>
      <c r="B4796" t="s">
        <v>39</v>
      </c>
      <c r="C4796" t="s">
        <v>93</v>
      </c>
      <c r="D4796" t="s">
        <v>3217</v>
      </c>
      <c r="E4796">
        <v>0</v>
      </c>
      <c r="F4796">
        <v>4.83</v>
      </c>
    </row>
    <row r="4797" spans="1:6" x14ac:dyDescent="0.25">
      <c r="A4797" t="s">
        <v>1953</v>
      </c>
      <c r="B4797" t="s">
        <v>39</v>
      </c>
      <c r="C4797" t="s">
        <v>93</v>
      </c>
      <c r="D4797" t="s">
        <v>3218</v>
      </c>
      <c r="E4797">
        <v>17.43</v>
      </c>
      <c r="F4797">
        <v>5.08</v>
      </c>
    </row>
    <row r="4798" spans="1:6" x14ac:dyDescent="0.25">
      <c r="A4798" t="s">
        <v>1953</v>
      </c>
      <c r="B4798" t="s">
        <v>39</v>
      </c>
      <c r="C4798" t="s">
        <v>93</v>
      </c>
      <c r="D4798" t="s">
        <v>3219</v>
      </c>
      <c r="E4798">
        <v>33.950000000000003</v>
      </c>
      <c r="F4798">
        <v>5.28</v>
      </c>
    </row>
    <row r="4799" spans="1:6" x14ac:dyDescent="0.25">
      <c r="A4799" t="s">
        <v>1954</v>
      </c>
      <c r="B4799" t="s">
        <v>39</v>
      </c>
      <c r="C4799" t="s">
        <v>239</v>
      </c>
      <c r="D4799" t="s">
        <v>3217</v>
      </c>
      <c r="E4799">
        <v>0</v>
      </c>
      <c r="F4799">
        <v>4.58</v>
      </c>
    </row>
    <row r="4800" spans="1:6" x14ac:dyDescent="0.25">
      <c r="A4800" t="s">
        <v>1954</v>
      </c>
      <c r="B4800" t="s">
        <v>39</v>
      </c>
      <c r="C4800" t="s">
        <v>239</v>
      </c>
      <c r="D4800" t="s">
        <v>3218</v>
      </c>
      <c r="E4800">
        <v>16.38</v>
      </c>
      <c r="F4800">
        <v>4.78</v>
      </c>
    </row>
    <row r="4801" spans="1:6" x14ac:dyDescent="0.25">
      <c r="A4801" t="s">
        <v>1954</v>
      </c>
      <c r="B4801" t="s">
        <v>39</v>
      </c>
      <c r="C4801" t="s">
        <v>239</v>
      </c>
      <c r="D4801" t="s">
        <v>3219</v>
      </c>
      <c r="E4801">
        <v>33.299999999999997</v>
      </c>
      <c r="F4801">
        <v>5.04</v>
      </c>
    </row>
    <row r="4802" spans="1:6" x14ac:dyDescent="0.25">
      <c r="A4802" t="s">
        <v>1955</v>
      </c>
      <c r="B4802" t="s">
        <v>40</v>
      </c>
      <c r="C4802" t="s">
        <v>56</v>
      </c>
      <c r="D4802" t="s">
        <v>3217</v>
      </c>
      <c r="E4802">
        <v>0</v>
      </c>
      <c r="F4802">
        <v>149.51</v>
      </c>
    </row>
    <row r="4803" spans="1:6" x14ac:dyDescent="0.25">
      <c r="A4803" t="s">
        <v>1955</v>
      </c>
      <c r="B4803" t="s">
        <v>40</v>
      </c>
      <c r="C4803" t="s">
        <v>56</v>
      </c>
      <c r="D4803" t="s">
        <v>3218</v>
      </c>
      <c r="E4803">
        <v>14.71</v>
      </c>
      <c r="F4803">
        <v>149.87</v>
      </c>
    </row>
    <row r="4804" spans="1:6" x14ac:dyDescent="0.25">
      <c r="A4804" t="s">
        <v>1955</v>
      </c>
      <c r="B4804" t="s">
        <v>40</v>
      </c>
      <c r="C4804" t="s">
        <v>56</v>
      </c>
      <c r="D4804" t="s">
        <v>3219</v>
      </c>
      <c r="E4804">
        <v>31.23</v>
      </c>
      <c r="F4804">
        <v>149.69</v>
      </c>
    </row>
    <row r="4805" spans="1:6" x14ac:dyDescent="0.25">
      <c r="A4805" t="s">
        <v>1956</v>
      </c>
      <c r="B4805" t="s">
        <v>40</v>
      </c>
      <c r="C4805" t="s">
        <v>57</v>
      </c>
      <c r="D4805" t="s">
        <v>3217</v>
      </c>
      <c r="E4805">
        <v>0</v>
      </c>
      <c r="F4805">
        <v>148.59</v>
      </c>
    </row>
    <row r="4806" spans="1:6" x14ac:dyDescent="0.25">
      <c r="A4806" t="s">
        <v>1956</v>
      </c>
      <c r="B4806" t="s">
        <v>40</v>
      </c>
      <c r="C4806" t="s">
        <v>57</v>
      </c>
      <c r="D4806" t="s">
        <v>3218</v>
      </c>
      <c r="E4806">
        <v>13.89</v>
      </c>
      <c r="F4806">
        <v>148.91999999999999</v>
      </c>
    </row>
    <row r="4807" spans="1:6" x14ac:dyDescent="0.25">
      <c r="A4807" t="s">
        <v>1956</v>
      </c>
      <c r="B4807" t="s">
        <v>40</v>
      </c>
      <c r="C4807" t="s">
        <v>57</v>
      </c>
      <c r="D4807" t="s">
        <v>3219</v>
      </c>
      <c r="E4807">
        <v>30.03</v>
      </c>
      <c r="F4807">
        <v>148.76</v>
      </c>
    </row>
    <row r="4808" spans="1:6" x14ac:dyDescent="0.25">
      <c r="A4808" t="s">
        <v>1957</v>
      </c>
      <c r="B4808" t="s">
        <v>40</v>
      </c>
      <c r="C4808" t="s">
        <v>58</v>
      </c>
      <c r="D4808" t="s">
        <v>3217</v>
      </c>
      <c r="E4808">
        <v>0</v>
      </c>
      <c r="F4808">
        <v>148.02000000000001</v>
      </c>
    </row>
    <row r="4809" spans="1:6" x14ac:dyDescent="0.25">
      <c r="A4809" t="s">
        <v>1957</v>
      </c>
      <c r="B4809" t="s">
        <v>40</v>
      </c>
      <c r="C4809" t="s">
        <v>58</v>
      </c>
      <c r="D4809" t="s">
        <v>3218</v>
      </c>
      <c r="E4809">
        <v>14.63</v>
      </c>
      <c r="F4809">
        <v>148.31</v>
      </c>
    </row>
    <row r="4810" spans="1:6" x14ac:dyDescent="0.25">
      <c r="A4810" t="s">
        <v>1957</v>
      </c>
      <c r="B4810" t="s">
        <v>40</v>
      </c>
      <c r="C4810" t="s">
        <v>58</v>
      </c>
      <c r="D4810" t="s">
        <v>3219</v>
      </c>
      <c r="E4810">
        <v>30.05</v>
      </c>
      <c r="F4810">
        <v>148.27000000000001</v>
      </c>
    </row>
    <row r="4811" spans="1:6" x14ac:dyDescent="0.25">
      <c r="A4811" t="s">
        <v>1958</v>
      </c>
      <c r="B4811" t="s">
        <v>40</v>
      </c>
      <c r="C4811" t="s">
        <v>59</v>
      </c>
      <c r="D4811" t="s">
        <v>3217</v>
      </c>
      <c r="E4811">
        <v>0</v>
      </c>
      <c r="F4811">
        <v>147.57</v>
      </c>
    </row>
    <row r="4812" spans="1:6" x14ac:dyDescent="0.25">
      <c r="A4812" t="s">
        <v>1958</v>
      </c>
      <c r="B4812" t="s">
        <v>40</v>
      </c>
      <c r="C4812" t="s">
        <v>59</v>
      </c>
      <c r="D4812" t="s">
        <v>3218</v>
      </c>
      <c r="E4812">
        <v>13.89</v>
      </c>
      <c r="F4812">
        <v>147.87</v>
      </c>
    </row>
    <row r="4813" spans="1:6" x14ac:dyDescent="0.25">
      <c r="A4813" t="s">
        <v>1958</v>
      </c>
      <c r="B4813" t="s">
        <v>40</v>
      </c>
      <c r="C4813" t="s">
        <v>59</v>
      </c>
      <c r="D4813" t="s">
        <v>3219</v>
      </c>
      <c r="E4813">
        <v>29.06</v>
      </c>
      <c r="F4813">
        <v>147.74</v>
      </c>
    </row>
    <row r="4814" spans="1:6" x14ac:dyDescent="0.25">
      <c r="A4814" t="s">
        <v>1959</v>
      </c>
      <c r="B4814" t="s">
        <v>40</v>
      </c>
      <c r="C4814" t="s">
        <v>60</v>
      </c>
      <c r="D4814" t="s">
        <v>3217</v>
      </c>
      <c r="E4814">
        <v>0</v>
      </c>
      <c r="F4814">
        <v>146.75</v>
      </c>
    </row>
    <row r="4815" spans="1:6" x14ac:dyDescent="0.25">
      <c r="A4815" t="s">
        <v>1959</v>
      </c>
      <c r="B4815" t="s">
        <v>40</v>
      </c>
      <c r="C4815" t="s">
        <v>60</v>
      </c>
      <c r="D4815" t="s">
        <v>3218</v>
      </c>
      <c r="E4815">
        <v>14.63</v>
      </c>
      <c r="F4815">
        <v>147.08000000000001</v>
      </c>
    </row>
    <row r="4816" spans="1:6" x14ac:dyDescent="0.25">
      <c r="A4816" t="s">
        <v>1959</v>
      </c>
      <c r="B4816" t="s">
        <v>40</v>
      </c>
      <c r="C4816" t="s">
        <v>60</v>
      </c>
      <c r="D4816" t="s">
        <v>3219</v>
      </c>
      <c r="E4816">
        <v>30</v>
      </c>
      <c r="F4816">
        <v>147.08000000000001</v>
      </c>
    </row>
    <row r="4817" spans="1:6" x14ac:dyDescent="0.25">
      <c r="A4817" t="s">
        <v>1960</v>
      </c>
      <c r="B4817" t="s">
        <v>40</v>
      </c>
      <c r="C4817" t="s">
        <v>61</v>
      </c>
      <c r="D4817" t="s">
        <v>3217</v>
      </c>
      <c r="E4817">
        <v>0</v>
      </c>
      <c r="F4817">
        <v>145.91</v>
      </c>
    </row>
    <row r="4818" spans="1:6" x14ac:dyDescent="0.25">
      <c r="A4818" t="s">
        <v>1960</v>
      </c>
      <c r="B4818" t="s">
        <v>40</v>
      </c>
      <c r="C4818" t="s">
        <v>61</v>
      </c>
      <c r="D4818" t="s">
        <v>3218</v>
      </c>
      <c r="E4818">
        <v>14.63</v>
      </c>
      <c r="F4818">
        <v>146.19999999999999</v>
      </c>
    </row>
    <row r="4819" spans="1:6" x14ac:dyDescent="0.25">
      <c r="A4819" t="s">
        <v>1960</v>
      </c>
      <c r="B4819" t="s">
        <v>40</v>
      </c>
      <c r="C4819" t="s">
        <v>61</v>
      </c>
      <c r="D4819" t="s">
        <v>3219</v>
      </c>
      <c r="E4819">
        <v>30.31</v>
      </c>
      <c r="F4819">
        <v>146.19</v>
      </c>
    </row>
    <row r="4820" spans="1:6" x14ac:dyDescent="0.25">
      <c r="A4820" t="s">
        <v>1961</v>
      </c>
      <c r="B4820" t="s">
        <v>40</v>
      </c>
      <c r="C4820" t="s">
        <v>62</v>
      </c>
      <c r="D4820" t="s">
        <v>3217</v>
      </c>
      <c r="E4820">
        <v>0</v>
      </c>
      <c r="F4820">
        <v>144.96</v>
      </c>
    </row>
    <row r="4821" spans="1:6" x14ac:dyDescent="0.25">
      <c r="A4821" t="s">
        <v>1961</v>
      </c>
      <c r="B4821" t="s">
        <v>40</v>
      </c>
      <c r="C4821" t="s">
        <v>62</v>
      </c>
      <c r="D4821" t="s">
        <v>3218</v>
      </c>
      <c r="E4821">
        <v>14.61</v>
      </c>
      <c r="F4821">
        <v>145.32</v>
      </c>
    </row>
    <row r="4822" spans="1:6" x14ac:dyDescent="0.25">
      <c r="A4822" t="s">
        <v>1961</v>
      </c>
      <c r="B4822" t="s">
        <v>40</v>
      </c>
      <c r="C4822" t="s">
        <v>62</v>
      </c>
      <c r="D4822" t="s">
        <v>3219</v>
      </c>
      <c r="E4822">
        <v>31.16</v>
      </c>
      <c r="F4822">
        <v>145.11000000000001</v>
      </c>
    </row>
    <row r="4823" spans="1:6" x14ac:dyDescent="0.25">
      <c r="A4823" t="s">
        <v>1962</v>
      </c>
      <c r="B4823" t="s">
        <v>40</v>
      </c>
      <c r="C4823" t="s">
        <v>63</v>
      </c>
      <c r="D4823" t="s">
        <v>3217</v>
      </c>
      <c r="E4823">
        <v>0</v>
      </c>
      <c r="F4823">
        <v>144.1</v>
      </c>
    </row>
    <row r="4824" spans="1:6" x14ac:dyDescent="0.25">
      <c r="A4824" t="s">
        <v>1962</v>
      </c>
      <c r="B4824" t="s">
        <v>40</v>
      </c>
      <c r="C4824" t="s">
        <v>63</v>
      </c>
      <c r="D4824" t="s">
        <v>3218</v>
      </c>
      <c r="E4824">
        <v>14.61</v>
      </c>
      <c r="F4824">
        <v>144.22</v>
      </c>
    </row>
    <row r="4825" spans="1:6" x14ac:dyDescent="0.25">
      <c r="A4825" t="s">
        <v>1962</v>
      </c>
      <c r="B4825" t="s">
        <v>40</v>
      </c>
      <c r="C4825" t="s">
        <v>63</v>
      </c>
      <c r="D4825" t="s">
        <v>3219</v>
      </c>
      <c r="E4825">
        <v>30.53</v>
      </c>
      <c r="F4825">
        <v>144.22</v>
      </c>
    </row>
    <row r="4826" spans="1:6" x14ac:dyDescent="0.25">
      <c r="A4826" t="s">
        <v>1963</v>
      </c>
      <c r="B4826" t="s">
        <v>40</v>
      </c>
      <c r="C4826" t="s">
        <v>64</v>
      </c>
      <c r="D4826" t="s">
        <v>3217</v>
      </c>
      <c r="E4826">
        <v>0</v>
      </c>
      <c r="F4826">
        <v>142.76</v>
      </c>
    </row>
    <row r="4827" spans="1:6" x14ac:dyDescent="0.25">
      <c r="A4827" t="s">
        <v>1963</v>
      </c>
      <c r="B4827" t="s">
        <v>40</v>
      </c>
      <c r="C4827" t="s">
        <v>64</v>
      </c>
      <c r="D4827" t="s">
        <v>3218</v>
      </c>
      <c r="E4827">
        <v>14.41</v>
      </c>
      <c r="F4827">
        <v>143.16</v>
      </c>
    </row>
    <row r="4828" spans="1:6" x14ac:dyDescent="0.25">
      <c r="A4828" t="s">
        <v>1963</v>
      </c>
      <c r="B4828" t="s">
        <v>40</v>
      </c>
      <c r="C4828" t="s">
        <v>64</v>
      </c>
      <c r="D4828" t="s">
        <v>3219</v>
      </c>
      <c r="E4828">
        <v>29.93</v>
      </c>
      <c r="F4828">
        <v>143.31</v>
      </c>
    </row>
    <row r="4829" spans="1:6" x14ac:dyDescent="0.25">
      <c r="A4829" t="s">
        <v>1964</v>
      </c>
      <c r="B4829" t="s">
        <v>40</v>
      </c>
      <c r="C4829" t="s">
        <v>65</v>
      </c>
      <c r="D4829" t="s">
        <v>3217</v>
      </c>
      <c r="E4829">
        <v>0</v>
      </c>
      <c r="F4829">
        <v>141.81</v>
      </c>
    </row>
    <row r="4830" spans="1:6" x14ac:dyDescent="0.25">
      <c r="A4830" t="s">
        <v>1964</v>
      </c>
      <c r="B4830" t="s">
        <v>40</v>
      </c>
      <c r="C4830" t="s">
        <v>65</v>
      </c>
      <c r="D4830" t="s">
        <v>3218</v>
      </c>
      <c r="E4830">
        <v>15.14</v>
      </c>
      <c r="F4830">
        <v>142.22</v>
      </c>
    </row>
    <row r="4831" spans="1:6" x14ac:dyDescent="0.25">
      <c r="A4831" t="s">
        <v>1964</v>
      </c>
      <c r="B4831" t="s">
        <v>40</v>
      </c>
      <c r="C4831" t="s">
        <v>65</v>
      </c>
      <c r="D4831" t="s">
        <v>3219</v>
      </c>
      <c r="E4831">
        <v>30.77</v>
      </c>
      <c r="F4831">
        <v>142.38</v>
      </c>
    </row>
    <row r="4832" spans="1:6" x14ac:dyDescent="0.25">
      <c r="A4832" t="s">
        <v>1965</v>
      </c>
      <c r="B4832" t="s">
        <v>40</v>
      </c>
      <c r="C4832" t="s">
        <v>66</v>
      </c>
      <c r="D4832" t="s">
        <v>3217</v>
      </c>
      <c r="E4832">
        <v>0</v>
      </c>
      <c r="F4832">
        <v>141.12</v>
      </c>
    </row>
    <row r="4833" spans="1:6" x14ac:dyDescent="0.25">
      <c r="A4833" t="s">
        <v>1965</v>
      </c>
      <c r="B4833" t="s">
        <v>40</v>
      </c>
      <c r="C4833" t="s">
        <v>66</v>
      </c>
      <c r="D4833" t="s">
        <v>3218</v>
      </c>
      <c r="E4833">
        <v>15.68</v>
      </c>
      <c r="F4833">
        <v>141.6</v>
      </c>
    </row>
    <row r="4834" spans="1:6" x14ac:dyDescent="0.25">
      <c r="A4834" t="s">
        <v>1965</v>
      </c>
      <c r="B4834" t="s">
        <v>40</v>
      </c>
      <c r="C4834" t="s">
        <v>66</v>
      </c>
      <c r="D4834" t="s">
        <v>3219</v>
      </c>
      <c r="E4834">
        <v>32.46</v>
      </c>
      <c r="F4834">
        <v>141.69999999999999</v>
      </c>
    </row>
    <row r="4835" spans="1:6" x14ac:dyDescent="0.25">
      <c r="A4835" t="s">
        <v>1966</v>
      </c>
      <c r="B4835" t="s">
        <v>40</v>
      </c>
      <c r="C4835" t="s">
        <v>67</v>
      </c>
      <c r="D4835" t="s">
        <v>3217</v>
      </c>
      <c r="E4835">
        <v>0</v>
      </c>
      <c r="F4835">
        <v>140.71</v>
      </c>
    </row>
    <row r="4836" spans="1:6" x14ac:dyDescent="0.25">
      <c r="A4836" t="s">
        <v>1966</v>
      </c>
      <c r="B4836" t="s">
        <v>40</v>
      </c>
      <c r="C4836" t="s">
        <v>67</v>
      </c>
      <c r="D4836" t="s">
        <v>3218</v>
      </c>
      <c r="E4836">
        <v>15.68</v>
      </c>
      <c r="F4836">
        <v>141.25</v>
      </c>
    </row>
    <row r="4837" spans="1:6" x14ac:dyDescent="0.25">
      <c r="A4837" t="s">
        <v>1966</v>
      </c>
      <c r="B4837" t="s">
        <v>40</v>
      </c>
      <c r="C4837" t="s">
        <v>67</v>
      </c>
      <c r="D4837" t="s">
        <v>3219</v>
      </c>
      <c r="E4837">
        <v>32.46</v>
      </c>
      <c r="F4837">
        <v>141.29</v>
      </c>
    </row>
    <row r="4838" spans="1:6" x14ac:dyDescent="0.25">
      <c r="A4838" t="s">
        <v>1967</v>
      </c>
      <c r="B4838" t="s">
        <v>40</v>
      </c>
      <c r="C4838" t="s">
        <v>68</v>
      </c>
      <c r="D4838" t="s">
        <v>3217</v>
      </c>
      <c r="E4838">
        <v>0</v>
      </c>
      <c r="F4838">
        <v>141.82</v>
      </c>
    </row>
    <row r="4839" spans="1:6" x14ac:dyDescent="0.25">
      <c r="A4839" t="s">
        <v>1967</v>
      </c>
      <c r="B4839" t="s">
        <v>40</v>
      </c>
      <c r="C4839" t="s">
        <v>68</v>
      </c>
      <c r="D4839" t="s">
        <v>3218</v>
      </c>
      <c r="E4839">
        <v>15.68</v>
      </c>
      <c r="F4839">
        <v>141.16</v>
      </c>
    </row>
    <row r="4840" spans="1:6" x14ac:dyDescent="0.25">
      <c r="A4840" t="s">
        <v>1967</v>
      </c>
      <c r="B4840" t="s">
        <v>40</v>
      </c>
      <c r="C4840" t="s">
        <v>68</v>
      </c>
      <c r="D4840" t="s">
        <v>3219</v>
      </c>
      <c r="E4840">
        <v>32.46</v>
      </c>
      <c r="F4840">
        <v>141.06</v>
      </c>
    </row>
    <row r="4841" spans="1:6" x14ac:dyDescent="0.25">
      <c r="A4841" t="s">
        <v>1968</v>
      </c>
      <c r="B4841" t="s">
        <v>40</v>
      </c>
      <c r="C4841" t="s">
        <v>69</v>
      </c>
      <c r="D4841" t="s">
        <v>3217</v>
      </c>
      <c r="E4841">
        <v>0</v>
      </c>
      <c r="F4841">
        <v>140.66</v>
      </c>
    </row>
    <row r="4842" spans="1:6" x14ac:dyDescent="0.25">
      <c r="A4842" t="s">
        <v>1968</v>
      </c>
      <c r="B4842" t="s">
        <v>40</v>
      </c>
      <c r="C4842" t="s">
        <v>69</v>
      </c>
      <c r="D4842" t="s">
        <v>3218</v>
      </c>
      <c r="E4842">
        <v>15.17</v>
      </c>
      <c r="F4842">
        <v>140.72</v>
      </c>
    </row>
    <row r="4843" spans="1:6" x14ac:dyDescent="0.25">
      <c r="A4843" t="s">
        <v>1968</v>
      </c>
      <c r="B4843" t="s">
        <v>40</v>
      </c>
      <c r="C4843" t="s">
        <v>69</v>
      </c>
      <c r="D4843" t="s">
        <v>3219</v>
      </c>
      <c r="E4843">
        <v>31.59</v>
      </c>
      <c r="F4843">
        <v>140.58000000000001</v>
      </c>
    </row>
    <row r="4844" spans="1:6" x14ac:dyDescent="0.25">
      <c r="A4844" t="s">
        <v>1969</v>
      </c>
      <c r="B4844" t="s">
        <v>40</v>
      </c>
      <c r="C4844" t="s">
        <v>70</v>
      </c>
      <c r="D4844" t="s">
        <v>3217</v>
      </c>
      <c r="E4844">
        <v>0</v>
      </c>
      <c r="F4844">
        <v>140.57</v>
      </c>
    </row>
    <row r="4845" spans="1:6" x14ac:dyDescent="0.25">
      <c r="A4845" t="s">
        <v>1969</v>
      </c>
      <c r="B4845" t="s">
        <v>40</v>
      </c>
      <c r="C4845" t="s">
        <v>70</v>
      </c>
      <c r="D4845" t="s">
        <v>3218</v>
      </c>
      <c r="E4845">
        <v>14.29</v>
      </c>
      <c r="F4845">
        <v>140.63</v>
      </c>
    </row>
    <row r="4846" spans="1:6" x14ac:dyDescent="0.25">
      <c r="A4846" t="s">
        <v>1969</v>
      </c>
      <c r="B4846" t="s">
        <v>40</v>
      </c>
      <c r="C4846" t="s">
        <v>70</v>
      </c>
      <c r="D4846" t="s">
        <v>3219</v>
      </c>
      <c r="E4846">
        <v>32.01</v>
      </c>
      <c r="F4846">
        <v>140.4</v>
      </c>
    </row>
    <row r="4847" spans="1:6" x14ac:dyDescent="0.25">
      <c r="A4847" t="s">
        <v>1970</v>
      </c>
      <c r="B4847" t="s">
        <v>40</v>
      </c>
      <c r="C4847" t="s">
        <v>71</v>
      </c>
      <c r="D4847" t="s">
        <v>3217</v>
      </c>
      <c r="E4847">
        <v>0</v>
      </c>
      <c r="F4847">
        <v>140.41</v>
      </c>
    </row>
    <row r="4848" spans="1:6" x14ac:dyDescent="0.25">
      <c r="A4848" t="s">
        <v>1970</v>
      </c>
      <c r="B4848" t="s">
        <v>40</v>
      </c>
      <c r="C4848" t="s">
        <v>71</v>
      </c>
      <c r="D4848" t="s">
        <v>3218</v>
      </c>
      <c r="E4848">
        <v>15.17</v>
      </c>
      <c r="F4848">
        <v>140.62</v>
      </c>
    </row>
    <row r="4849" spans="1:6" x14ac:dyDescent="0.25">
      <c r="A4849" t="s">
        <v>1970</v>
      </c>
      <c r="B4849" t="s">
        <v>40</v>
      </c>
      <c r="C4849" t="s">
        <v>71</v>
      </c>
      <c r="D4849" t="s">
        <v>3219</v>
      </c>
      <c r="E4849">
        <v>33.06</v>
      </c>
      <c r="F4849">
        <v>140.44</v>
      </c>
    </row>
    <row r="4850" spans="1:6" x14ac:dyDescent="0.25">
      <c r="A4850" t="s">
        <v>1971</v>
      </c>
      <c r="B4850" t="s">
        <v>40</v>
      </c>
      <c r="C4850" t="s">
        <v>72</v>
      </c>
      <c r="D4850" t="s">
        <v>3217</v>
      </c>
      <c r="E4850">
        <v>0</v>
      </c>
      <c r="F4850">
        <v>140.29</v>
      </c>
    </row>
    <row r="4851" spans="1:6" x14ac:dyDescent="0.25">
      <c r="A4851" t="s">
        <v>1971</v>
      </c>
      <c r="B4851" t="s">
        <v>40</v>
      </c>
      <c r="C4851" t="s">
        <v>72</v>
      </c>
      <c r="D4851" t="s">
        <v>3218</v>
      </c>
      <c r="E4851">
        <v>15.57</v>
      </c>
      <c r="F4851">
        <v>140.63999999999999</v>
      </c>
    </row>
    <row r="4852" spans="1:6" x14ac:dyDescent="0.25">
      <c r="A4852" t="s">
        <v>1971</v>
      </c>
      <c r="B4852" t="s">
        <v>40</v>
      </c>
      <c r="C4852" t="s">
        <v>72</v>
      </c>
      <c r="D4852" t="s">
        <v>3219</v>
      </c>
      <c r="E4852">
        <v>32.56</v>
      </c>
      <c r="F4852">
        <v>140.47999999999999</v>
      </c>
    </row>
    <row r="4853" spans="1:6" x14ac:dyDescent="0.25">
      <c r="A4853" t="s">
        <v>1972</v>
      </c>
      <c r="B4853" t="s">
        <v>40</v>
      </c>
      <c r="C4853" t="s">
        <v>73</v>
      </c>
      <c r="D4853" t="s">
        <v>3217</v>
      </c>
      <c r="E4853">
        <v>0</v>
      </c>
      <c r="F4853">
        <v>140.07</v>
      </c>
    </row>
    <row r="4854" spans="1:6" x14ac:dyDescent="0.25">
      <c r="A4854" t="s">
        <v>1972</v>
      </c>
      <c r="B4854" t="s">
        <v>40</v>
      </c>
      <c r="C4854" t="s">
        <v>73</v>
      </c>
      <c r="D4854" t="s">
        <v>3218</v>
      </c>
      <c r="E4854">
        <v>15.17</v>
      </c>
      <c r="F4854">
        <v>140.29</v>
      </c>
    </row>
    <row r="4855" spans="1:6" x14ac:dyDescent="0.25">
      <c r="A4855" t="s">
        <v>1972</v>
      </c>
      <c r="B4855" t="s">
        <v>40</v>
      </c>
      <c r="C4855" t="s">
        <v>73</v>
      </c>
      <c r="D4855" t="s">
        <v>3219</v>
      </c>
      <c r="E4855">
        <v>32.06</v>
      </c>
      <c r="F4855">
        <v>140.61000000000001</v>
      </c>
    </row>
    <row r="4856" spans="1:6" x14ac:dyDescent="0.25">
      <c r="A4856" t="s">
        <v>1973</v>
      </c>
      <c r="B4856" t="s">
        <v>40</v>
      </c>
      <c r="C4856" t="s">
        <v>74</v>
      </c>
      <c r="D4856" t="s">
        <v>3217</v>
      </c>
      <c r="E4856">
        <v>0</v>
      </c>
      <c r="F4856">
        <v>139.94999999999999</v>
      </c>
    </row>
    <row r="4857" spans="1:6" x14ac:dyDescent="0.25">
      <c r="A4857" t="s">
        <v>1973</v>
      </c>
      <c r="B4857" t="s">
        <v>40</v>
      </c>
      <c r="C4857" t="s">
        <v>74</v>
      </c>
      <c r="D4857" t="s">
        <v>3218</v>
      </c>
      <c r="E4857">
        <v>14.63</v>
      </c>
      <c r="F4857">
        <v>140.35</v>
      </c>
    </row>
    <row r="4858" spans="1:6" x14ac:dyDescent="0.25">
      <c r="A4858" t="s">
        <v>1973</v>
      </c>
      <c r="B4858" t="s">
        <v>40</v>
      </c>
      <c r="C4858" t="s">
        <v>74</v>
      </c>
      <c r="D4858" t="s">
        <v>3219</v>
      </c>
      <c r="E4858">
        <v>32.630000000000003</v>
      </c>
      <c r="F4858">
        <v>140.68</v>
      </c>
    </row>
    <row r="4859" spans="1:6" x14ac:dyDescent="0.25">
      <c r="A4859" t="s">
        <v>1974</v>
      </c>
      <c r="B4859" t="s">
        <v>40</v>
      </c>
      <c r="C4859" t="s">
        <v>75</v>
      </c>
      <c r="D4859" t="s">
        <v>3217</v>
      </c>
      <c r="E4859">
        <v>0</v>
      </c>
      <c r="F4859">
        <v>139.91</v>
      </c>
    </row>
    <row r="4860" spans="1:6" x14ac:dyDescent="0.25">
      <c r="A4860" t="s">
        <v>1974</v>
      </c>
      <c r="B4860" t="s">
        <v>40</v>
      </c>
      <c r="C4860" t="s">
        <v>75</v>
      </c>
      <c r="D4860" t="s">
        <v>3218</v>
      </c>
      <c r="E4860">
        <v>14.59</v>
      </c>
      <c r="F4860">
        <v>140.32</v>
      </c>
    </row>
    <row r="4861" spans="1:6" x14ac:dyDescent="0.25">
      <c r="A4861" t="s">
        <v>1974</v>
      </c>
      <c r="B4861" t="s">
        <v>40</v>
      </c>
      <c r="C4861" t="s">
        <v>75</v>
      </c>
      <c r="D4861" t="s">
        <v>3219</v>
      </c>
      <c r="E4861">
        <v>32.46</v>
      </c>
      <c r="F4861">
        <v>140.44</v>
      </c>
    </row>
    <row r="4862" spans="1:6" x14ac:dyDescent="0.25">
      <c r="A4862" t="s">
        <v>1975</v>
      </c>
      <c r="B4862" t="s">
        <v>40</v>
      </c>
      <c r="C4862" t="s">
        <v>76</v>
      </c>
      <c r="D4862" t="s">
        <v>3217</v>
      </c>
      <c r="E4862">
        <v>0</v>
      </c>
      <c r="F4862">
        <v>139.77000000000001</v>
      </c>
    </row>
    <row r="4863" spans="1:6" x14ac:dyDescent="0.25">
      <c r="A4863" t="s">
        <v>1975</v>
      </c>
      <c r="B4863" t="s">
        <v>40</v>
      </c>
      <c r="C4863" t="s">
        <v>76</v>
      </c>
      <c r="D4863" t="s">
        <v>3218</v>
      </c>
      <c r="E4863">
        <v>14.95</v>
      </c>
      <c r="F4863">
        <v>140.12</v>
      </c>
    </row>
    <row r="4864" spans="1:6" x14ac:dyDescent="0.25">
      <c r="A4864" t="s">
        <v>1975</v>
      </c>
      <c r="B4864" t="s">
        <v>40</v>
      </c>
      <c r="C4864" t="s">
        <v>76</v>
      </c>
      <c r="D4864" t="s">
        <v>3219</v>
      </c>
      <c r="E4864">
        <v>31.79</v>
      </c>
      <c r="F4864">
        <v>140.16</v>
      </c>
    </row>
    <row r="4865" spans="1:6" x14ac:dyDescent="0.25">
      <c r="A4865" t="s">
        <v>1976</v>
      </c>
      <c r="B4865" t="s">
        <v>40</v>
      </c>
      <c r="C4865" t="s">
        <v>77</v>
      </c>
      <c r="D4865" t="s">
        <v>3217</v>
      </c>
      <c r="E4865">
        <v>0</v>
      </c>
      <c r="F4865">
        <v>139.71</v>
      </c>
    </row>
    <row r="4866" spans="1:6" x14ac:dyDescent="0.25">
      <c r="A4866" t="s">
        <v>1976</v>
      </c>
      <c r="B4866" t="s">
        <v>40</v>
      </c>
      <c r="C4866" t="s">
        <v>77</v>
      </c>
      <c r="D4866" t="s">
        <v>3218</v>
      </c>
      <c r="E4866">
        <v>14.91</v>
      </c>
      <c r="F4866">
        <v>140.06</v>
      </c>
    </row>
    <row r="4867" spans="1:6" x14ac:dyDescent="0.25">
      <c r="A4867" t="s">
        <v>1976</v>
      </c>
      <c r="B4867" t="s">
        <v>40</v>
      </c>
      <c r="C4867" t="s">
        <v>77</v>
      </c>
      <c r="D4867" t="s">
        <v>3219</v>
      </c>
      <c r="E4867">
        <v>31.69</v>
      </c>
      <c r="F4867">
        <v>140.1</v>
      </c>
    </row>
    <row r="4868" spans="1:6" x14ac:dyDescent="0.25">
      <c r="A4868" t="s">
        <v>1977</v>
      </c>
      <c r="B4868" t="s">
        <v>40</v>
      </c>
      <c r="C4868" t="s">
        <v>78</v>
      </c>
      <c r="D4868" t="s">
        <v>3217</v>
      </c>
      <c r="E4868">
        <v>0</v>
      </c>
      <c r="F4868">
        <v>139.41999999999999</v>
      </c>
    </row>
    <row r="4869" spans="1:6" x14ac:dyDescent="0.25">
      <c r="A4869" t="s">
        <v>1977</v>
      </c>
      <c r="B4869" t="s">
        <v>40</v>
      </c>
      <c r="C4869" t="s">
        <v>78</v>
      </c>
      <c r="D4869" t="s">
        <v>3218</v>
      </c>
      <c r="E4869">
        <v>15.33</v>
      </c>
      <c r="F4869">
        <v>139.80000000000001</v>
      </c>
    </row>
    <row r="4870" spans="1:6" x14ac:dyDescent="0.25">
      <c r="A4870" t="s">
        <v>1977</v>
      </c>
      <c r="B4870" t="s">
        <v>40</v>
      </c>
      <c r="C4870" t="s">
        <v>78</v>
      </c>
      <c r="D4870" t="s">
        <v>3219</v>
      </c>
      <c r="E4870">
        <v>31.37</v>
      </c>
      <c r="F4870">
        <v>139.85</v>
      </c>
    </row>
    <row r="4871" spans="1:6" x14ac:dyDescent="0.25">
      <c r="A4871" t="s">
        <v>1978</v>
      </c>
      <c r="B4871" t="s">
        <v>40</v>
      </c>
      <c r="C4871" t="s">
        <v>79</v>
      </c>
      <c r="D4871" t="s">
        <v>3217</v>
      </c>
      <c r="E4871">
        <v>0</v>
      </c>
      <c r="F4871">
        <v>138.97</v>
      </c>
    </row>
    <row r="4872" spans="1:6" x14ac:dyDescent="0.25">
      <c r="A4872" t="s">
        <v>1978</v>
      </c>
      <c r="B4872" t="s">
        <v>40</v>
      </c>
      <c r="C4872" t="s">
        <v>79</v>
      </c>
      <c r="D4872" t="s">
        <v>3218</v>
      </c>
      <c r="E4872">
        <v>15.65</v>
      </c>
      <c r="F4872">
        <v>139.54</v>
      </c>
    </row>
    <row r="4873" spans="1:6" x14ac:dyDescent="0.25">
      <c r="A4873" t="s">
        <v>1978</v>
      </c>
      <c r="B4873" t="s">
        <v>40</v>
      </c>
      <c r="C4873" t="s">
        <v>79</v>
      </c>
      <c r="D4873" t="s">
        <v>3219</v>
      </c>
      <c r="E4873">
        <v>30.95</v>
      </c>
      <c r="F4873">
        <v>139.47999999999999</v>
      </c>
    </row>
    <row r="4874" spans="1:6" x14ac:dyDescent="0.25">
      <c r="A4874" t="s">
        <v>1979</v>
      </c>
      <c r="B4874" t="s">
        <v>40</v>
      </c>
      <c r="C4874" t="s">
        <v>80</v>
      </c>
      <c r="D4874" t="s">
        <v>3217</v>
      </c>
      <c r="E4874">
        <v>0</v>
      </c>
      <c r="F4874">
        <v>138.81</v>
      </c>
    </row>
    <row r="4875" spans="1:6" x14ac:dyDescent="0.25">
      <c r="A4875" t="s">
        <v>1979</v>
      </c>
      <c r="B4875" t="s">
        <v>40</v>
      </c>
      <c r="C4875" t="s">
        <v>80</v>
      </c>
      <c r="D4875" t="s">
        <v>3218</v>
      </c>
      <c r="E4875">
        <v>15.16</v>
      </c>
      <c r="F4875">
        <v>139.27000000000001</v>
      </c>
    </row>
    <row r="4876" spans="1:6" x14ac:dyDescent="0.25">
      <c r="A4876" t="s">
        <v>1979</v>
      </c>
      <c r="B4876" t="s">
        <v>40</v>
      </c>
      <c r="C4876" t="s">
        <v>80</v>
      </c>
      <c r="D4876" t="s">
        <v>3219</v>
      </c>
      <c r="E4876">
        <v>30.46</v>
      </c>
      <c r="F4876">
        <v>139.11000000000001</v>
      </c>
    </row>
    <row r="4877" spans="1:6" x14ac:dyDescent="0.25">
      <c r="A4877" t="s">
        <v>1980</v>
      </c>
      <c r="B4877" t="s">
        <v>40</v>
      </c>
      <c r="C4877" t="s">
        <v>81</v>
      </c>
      <c r="D4877" t="s">
        <v>3217</v>
      </c>
      <c r="E4877">
        <v>0</v>
      </c>
      <c r="F4877">
        <v>138.65</v>
      </c>
    </row>
    <row r="4878" spans="1:6" x14ac:dyDescent="0.25">
      <c r="A4878" t="s">
        <v>1980</v>
      </c>
      <c r="B4878" t="s">
        <v>40</v>
      </c>
      <c r="C4878" t="s">
        <v>81</v>
      </c>
      <c r="D4878" t="s">
        <v>3218</v>
      </c>
      <c r="E4878">
        <v>13.83</v>
      </c>
      <c r="F4878">
        <v>139.11000000000001</v>
      </c>
    </row>
    <row r="4879" spans="1:6" x14ac:dyDescent="0.25">
      <c r="A4879" t="s">
        <v>1980</v>
      </c>
      <c r="B4879" t="s">
        <v>40</v>
      </c>
      <c r="C4879" t="s">
        <v>81</v>
      </c>
      <c r="D4879" t="s">
        <v>3219</v>
      </c>
      <c r="E4879">
        <v>28.5</v>
      </c>
      <c r="F4879">
        <v>138.79</v>
      </c>
    </row>
    <row r="4880" spans="1:6" x14ac:dyDescent="0.25">
      <c r="A4880" t="s">
        <v>1981</v>
      </c>
      <c r="B4880" t="s">
        <v>40</v>
      </c>
      <c r="C4880" t="s">
        <v>82</v>
      </c>
      <c r="D4880" t="s">
        <v>3217</v>
      </c>
      <c r="E4880">
        <v>0</v>
      </c>
      <c r="F4880">
        <v>138.62</v>
      </c>
    </row>
    <row r="4881" spans="1:6" x14ac:dyDescent="0.25">
      <c r="A4881" t="s">
        <v>1981</v>
      </c>
      <c r="B4881" t="s">
        <v>40</v>
      </c>
      <c r="C4881" t="s">
        <v>82</v>
      </c>
      <c r="D4881" t="s">
        <v>3218</v>
      </c>
      <c r="E4881">
        <v>13.67</v>
      </c>
      <c r="F4881">
        <v>138.80000000000001</v>
      </c>
    </row>
    <row r="4882" spans="1:6" x14ac:dyDescent="0.25">
      <c r="A4882" t="s">
        <v>1981</v>
      </c>
      <c r="B4882" t="s">
        <v>40</v>
      </c>
      <c r="C4882" t="s">
        <v>82</v>
      </c>
      <c r="D4882" t="s">
        <v>3219</v>
      </c>
      <c r="E4882">
        <v>28.08</v>
      </c>
      <c r="F4882">
        <v>138.62</v>
      </c>
    </row>
    <row r="4883" spans="1:6" x14ac:dyDescent="0.25">
      <c r="A4883" t="s">
        <v>1982</v>
      </c>
      <c r="B4883" t="s">
        <v>40</v>
      </c>
      <c r="C4883" t="s">
        <v>83</v>
      </c>
      <c r="D4883" t="s">
        <v>3217</v>
      </c>
      <c r="E4883">
        <v>0</v>
      </c>
      <c r="F4883">
        <v>138.4</v>
      </c>
    </row>
    <row r="4884" spans="1:6" x14ac:dyDescent="0.25">
      <c r="A4884" t="s">
        <v>1982</v>
      </c>
      <c r="B4884" t="s">
        <v>40</v>
      </c>
      <c r="C4884" t="s">
        <v>83</v>
      </c>
      <c r="D4884" t="s">
        <v>3218</v>
      </c>
      <c r="E4884">
        <v>13.38</v>
      </c>
      <c r="F4884">
        <v>138.63</v>
      </c>
    </row>
    <row r="4885" spans="1:6" x14ac:dyDescent="0.25">
      <c r="A4885" t="s">
        <v>1982</v>
      </c>
      <c r="B4885" t="s">
        <v>40</v>
      </c>
      <c r="C4885" t="s">
        <v>83</v>
      </c>
      <c r="D4885" t="s">
        <v>3219</v>
      </c>
      <c r="E4885">
        <v>27.55</v>
      </c>
      <c r="F4885">
        <v>138.54</v>
      </c>
    </row>
    <row r="4886" spans="1:6" x14ac:dyDescent="0.25">
      <c r="A4886" t="s">
        <v>1983</v>
      </c>
      <c r="B4886" t="s">
        <v>40</v>
      </c>
      <c r="C4886" t="s">
        <v>84</v>
      </c>
      <c r="D4886" t="s">
        <v>3217</v>
      </c>
      <c r="E4886">
        <v>0</v>
      </c>
      <c r="F4886">
        <v>138.16999999999999</v>
      </c>
    </row>
    <row r="4887" spans="1:6" x14ac:dyDescent="0.25">
      <c r="A4887" t="s">
        <v>1983</v>
      </c>
      <c r="B4887" t="s">
        <v>40</v>
      </c>
      <c r="C4887" t="s">
        <v>84</v>
      </c>
      <c r="D4887" t="s">
        <v>3218</v>
      </c>
      <c r="E4887">
        <v>12.65</v>
      </c>
      <c r="F4887">
        <v>138.44</v>
      </c>
    </row>
    <row r="4888" spans="1:6" x14ac:dyDescent="0.25">
      <c r="A4888" t="s">
        <v>1983</v>
      </c>
      <c r="B4888" t="s">
        <v>40</v>
      </c>
      <c r="C4888" t="s">
        <v>84</v>
      </c>
      <c r="D4888" t="s">
        <v>3219</v>
      </c>
      <c r="E4888">
        <v>28.35</v>
      </c>
      <c r="F4888">
        <v>138.49</v>
      </c>
    </row>
    <row r="4889" spans="1:6" x14ac:dyDescent="0.25">
      <c r="A4889" t="s">
        <v>1984</v>
      </c>
      <c r="B4889" t="s">
        <v>40</v>
      </c>
      <c r="C4889" t="s">
        <v>85</v>
      </c>
      <c r="D4889" t="s">
        <v>3217</v>
      </c>
      <c r="E4889">
        <v>0</v>
      </c>
      <c r="F4889">
        <v>137.81</v>
      </c>
    </row>
    <row r="4890" spans="1:6" x14ac:dyDescent="0.25">
      <c r="A4890" t="s">
        <v>1984</v>
      </c>
      <c r="B4890" t="s">
        <v>40</v>
      </c>
      <c r="C4890" t="s">
        <v>85</v>
      </c>
      <c r="D4890" t="s">
        <v>3218</v>
      </c>
      <c r="E4890">
        <v>13.58</v>
      </c>
      <c r="F4890">
        <v>138.03</v>
      </c>
    </row>
    <row r="4891" spans="1:6" x14ac:dyDescent="0.25">
      <c r="A4891" t="s">
        <v>1984</v>
      </c>
      <c r="B4891" t="s">
        <v>40</v>
      </c>
      <c r="C4891" t="s">
        <v>85</v>
      </c>
      <c r="D4891" t="s">
        <v>3219</v>
      </c>
      <c r="E4891">
        <v>28.97</v>
      </c>
      <c r="F4891">
        <v>138.19999999999999</v>
      </c>
    </row>
    <row r="4892" spans="1:6" x14ac:dyDescent="0.25">
      <c r="A4892" t="s">
        <v>1985</v>
      </c>
      <c r="B4892" t="s">
        <v>40</v>
      </c>
      <c r="C4892" t="s">
        <v>86</v>
      </c>
      <c r="D4892" t="s">
        <v>3217</v>
      </c>
      <c r="E4892">
        <v>0</v>
      </c>
      <c r="F4892">
        <v>137.35</v>
      </c>
    </row>
    <row r="4893" spans="1:6" x14ac:dyDescent="0.25">
      <c r="A4893" t="s">
        <v>1985</v>
      </c>
      <c r="B4893" t="s">
        <v>40</v>
      </c>
      <c r="C4893" t="s">
        <v>86</v>
      </c>
      <c r="D4893" t="s">
        <v>3218</v>
      </c>
      <c r="E4893">
        <v>14.71</v>
      </c>
      <c r="F4893">
        <v>137.69</v>
      </c>
    </row>
    <row r="4894" spans="1:6" x14ac:dyDescent="0.25">
      <c r="A4894" t="s">
        <v>1985</v>
      </c>
      <c r="B4894" t="s">
        <v>40</v>
      </c>
      <c r="C4894" t="s">
        <v>86</v>
      </c>
      <c r="D4894" t="s">
        <v>3219</v>
      </c>
      <c r="E4894">
        <v>30.34</v>
      </c>
      <c r="F4894">
        <v>137.93</v>
      </c>
    </row>
    <row r="4895" spans="1:6" x14ac:dyDescent="0.25">
      <c r="A4895" t="s">
        <v>1986</v>
      </c>
      <c r="B4895" t="s">
        <v>40</v>
      </c>
      <c r="C4895" t="s">
        <v>87</v>
      </c>
      <c r="D4895" t="s">
        <v>3217</v>
      </c>
      <c r="E4895">
        <v>0</v>
      </c>
      <c r="F4895">
        <v>137.02000000000001</v>
      </c>
    </row>
    <row r="4896" spans="1:6" x14ac:dyDescent="0.25">
      <c r="A4896" t="s">
        <v>1986</v>
      </c>
      <c r="B4896" t="s">
        <v>40</v>
      </c>
      <c r="C4896" t="s">
        <v>87</v>
      </c>
      <c r="D4896" t="s">
        <v>3218</v>
      </c>
      <c r="E4896">
        <v>17.11</v>
      </c>
      <c r="F4896">
        <v>137.38999999999999</v>
      </c>
    </row>
    <row r="4897" spans="1:6" x14ac:dyDescent="0.25">
      <c r="A4897" t="s">
        <v>1986</v>
      </c>
      <c r="B4897" t="s">
        <v>40</v>
      </c>
      <c r="C4897" t="s">
        <v>87</v>
      </c>
      <c r="D4897" t="s">
        <v>3219</v>
      </c>
      <c r="E4897">
        <v>32.5</v>
      </c>
      <c r="F4897">
        <v>137.53</v>
      </c>
    </row>
    <row r="4898" spans="1:6" x14ac:dyDescent="0.25">
      <c r="A4898" t="s">
        <v>1987</v>
      </c>
      <c r="B4898" t="s">
        <v>40</v>
      </c>
      <c r="C4898" t="s">
        <v>88</v>
      </c>
      <c r="D4898" t="s">
        <v>3217</v>
      </c>
      <c r="E4898">
        <v>0</v>
      </c>
      <c r="F4898">
        <v>136.30000000000001</v>
      </c>
    </row>
    <row r="4899" spans="1:6" x14ac:dyDescent="0.25">
      <c r="A4899" t="s">
        <v>1987</v>
      </c>
      <c r="B4899" t="s">
        <v>40</v>
      </c>
      <c r="C4899" t="s">
        <v>88</v>
      </c>
      <c r="D4899" t="s">
        <v>3218</v>
      </c>
      <c r="E4899">
        <v>17.43</v>
      </c>
      <c r="F4899">
        <v>136.53</v>
      </c>
    </row>
    <row r="4900" spans="1:6" x14ac:dyDescent="0.25">
      <c r="A4900" t="s">
        <v>1987</v>
      </c>
      <c r="B4900" t="s">
        <v>40</v>
      </c>
      <c r="C4900" t="s">
        <v>88</v>
      </c>
      <c r="D4900" t="s">
        <v>3219</v>
      </c>
      <c r="E4900">
        <v>33.06</v>
      </c>
      <c r="F4900">
        <v>136.88999999999999</v>
      </c>
    </row>
    <row r="4901" spans="1:6" x14ac:dyDescent="0.25">
      <c r="A4901" t="s">
        <v>1988</v>
      </c>
      <c r="B4901" t="s">
        <v>40</v>
      </c>
      <c r="C4901" t="s">
        <v>89</v>
      </c>
      <c r="D4901" t="s">
        <v>3217</v>
      </c>
      <c r="E4901">
        <v>0</v>
      </c>
      <c r="F4901">
        <v>135.83000000000001</v>
      </c>
    </row>
    <row r="4902" spans="1:6" x14ac:dyDescent="0.25">
      <c r="A4902" t="s">
        <v>1988</v>
      </c>
      <c r="B4902" t="s">
        <v>40</v>
      </c>
      <c r="C4902" t="s">
        <v>89</v>
      </c>
      <c r="D4902" t="s">
        <v>3218</v>
      </c>
      <c r="E4902">
        <v>20</v>
      </c>
      <c r="F4902">
        <v>135.94999999999999</v>
      </c>
    </row>
    <row r="4903" spans="1:6" x14ac:dyDescent="0.25">
      <c r="A4903" t="s">
        <v>1988</v>
      </c>
      <c r="B4903" t="s">
        <v>40</v>
      </c>
      <c r="C4903" t="s">
        <v>89</v>
      </c>
      <c r="D4903" t="s">
        <v>3219</v>
      </c>
      <c r="E4903">
        <v>34.729999999999997</v>
      </c>
      <c r="F4903">
        <v>135.93</v>
      </c>
    </row>
    <row r="4904" spans="1:6" x14ac:dyDescent="0.25">
      <c r="A4904" t="s">
        <v>1989</v>
      </c>
      <c r="B4904" t="s">
        <v>40</v>
      </c>
      <c r="C4904" t="s">
        <v>90</v>
      </c>
      <c r="D4904" t="s">
        <v>3217</v>
      </c>
      <c r="E4904">
        <v>0</v>
      </c>
      <c r="F4904">
        <v>134.65</v>
      </c>
    </row>
    <row r="4905" spans="1:6" x14ac:dyDescent="0.25">
      <c r="A4905" t="s">
        <v>1989</v>
      </c>
      <c r="B4905" t="s">
        <v>40</v>
      </c>
      <c r="C4905" t="s">
        <v>90</v>
      </c>
      <c r="D4905" t="s">
        <v>3218</v>
      </c>
      <c r="E4905">
        <v>20</v>
      </c>
      <c r="F4905">
        <v>135.1</v>
      </c>
    </row>
    <row r="4906" spans="1:6" x14ac:dyDescent="0.25">
      <c r="A4906" t="s">
        <v>1989</v>
      </c>
      <c r="B4906" t="s">
        <v>40</v>
      </c>
      <c r="C4906" t="s">
        <v>90</v>
      </c>
      <c r="D4906" t="s">
        <v>3219</v>
      </c>
      <c r="E4906">
        <v>33.47</v>
      </c>
      <c r="F4906">
        <v>135.16</v>
      </c>
    </row>
    <row r="4907" spans="1:6" x14ac:dyDescent="0.25">
      <c r="A4907" t="s">
        <v>1990</v>
      </c>
      <c r="B4907" t="s">
        <v>40</v>
      </c>
      <c r="C4907" t="s">
        <v>240</v>
      </c>
      <c r="D4907" t="s">
        <v>3217</v>
      </c>
      <c r="E4907">
        <v>0</v>
      </c>
      <c r="F4907">
        <v>134.5</v>
      </c>
    </row>
    <row r="4908" spans="1:6" x14ac:dyDescent="0.25">
      <c r="A4908" t="s">
        <v>1990</v>
      </c>
      <c r="B4908" t="s">
        <v>40</v>
      </c>
      <c r="C4908" t="s">
        <v>240</v>
      </c>
      <c r="D4908" t="s">
        <v>3218</v>
      </c>
      <c r="E4908">
        <v>20</v>
      </c>
      <c r="F4908">
        <v>134.93</v>
      </c>
    </row>
    <row r="4909" spans="1:6" x14ac:dyDescent="0.25">
      <c r="A4909" t="s">
        <v>1990</v>
      </c>
      <c r="B4909" t="s">
        <v>40</v>
      </c>
      <c r="C4909" t="s">
        <v>240</v>
      </c>
      <c r="D4909" t="s">
        <v>3219</v>
      </c>
      <c r="E4909">
        <v>34.729999999999997</v>
      </c>
      <c r="F4909">
        <v>134.88999999999999</v>
      </c>
    </row>
    <row r="4910" spans="1:6" x14ac:dyDescent="0.25">
      <c r="A4910" t="s">
        <v>1991</v>
      </c>
      <c r="B4910" t="s">
        <v>41</v>
      </c>
      <c r="C4910" t="s">
        <v>56</v>
      </c>
      <c r="D4910" t="s">
        <v>3217</v>
      </c>
      <c r="E4910">
        <v>0</v>
      </c>
      <c r="F4910">
        <v>132.51</v>
      </c>
    </row>
    <row r="4911" spans="1:6" x14ac:dyDescent="0.25">
      <c r="A4911" t="s">
        <v>1991</v>
      </c>
      <c r="B4911" t="s">
        <v>41</v>
      </c>
      <c r="C4911" t="s">
        <v>56</v>
      </c>
      <c r="D4911" t="s">
        <v>3218</v>
      </c>
      <c r="E4911">
        <v>20</v>
      </c>
      <c r="F4911">
        <v>132.52000000000001</v>
      </c>
    </row>
    <row r="4912" spans="1:6" x14ac:dyDescent="0.25">
      <c r="A4912" t="s">
        <v>1991</v>
      </c>
      <c r="B4912" t="s">
        <v>41</v>
      </c>
      <c r="C4912" t="s">
        <v>56</v>
      </c>
      <c r="D4912" t="s">
        <v>3219</v>
      </c>
      <c r="E4912">
        <v>36.119999999999997</v>
      </c>
      <c r="F4912">
        <v>132.38</v>
      </c>
    </row>
    <row r="4913" spans="1:6" x14ac:dyDescent="0.25">
      <c r="A4913" t="s">
        <v>1992</v>
      </c>
      <c r="B4913" t="s">
        <v>41</v>
      </c>
      <c r="C4913" t="s">
        <v>57</v>
      </c>
      <c r="D4913" t="s">
        <v>3217</v>
      </c>
      <c r="E4913">
        <v>0</v>
      </c>
      <c r="F4913">
        <v>131.28</v>
      </c>
    </row>
    <row r="4914" spans="1:6" x14ac:dyDescent="0.25">
      <c r="A4914" t="s">
        <v>1992</v>
      </c>
      <c r="B4914" t="s">
        <v>41</v>
      </c>
      <c r="C4914" t="s">
        <v>57</v>
      </c>
      <c r="D4914" t="s">
        <v>3218</v>
      </c>
      <c r="E4914">
        <v>15.97</v>
      </c>
      <c r="F4914">
        <v>131.68</v>
      </c>
    </row>
    <row r="4915" spans="1:6" x14ac:dyDescent="0.25">
      <c r="A4915" t="s">
        <v>1992</v>
      </c>
      <c r="B4915" t="s">
        <v>41</v>
      </c>
      <c r="C4915" t="s">
        <v>57</v>
      </c>
      <c r="D4915" t="s">
        <v>3219</v>
      </c>
      <c r="E4915">
        <v>32.08</v>
      </c>
      <c r="F4915">
        <v>131.4</v>
      </c>
    </row>
    <row r="4916" spans="1:6" x14ac:dyDescent="0.25">
      <c r="A4916" t="s">
        <v>1993</v>
      </c>
      <c r="B4916" t="s">
        <v>41</v>
      </c>
      <c r="C4916" t="s">
        <v>58</v>
      </c>
      <c r="D4916" t="s">
        <v>3217</v>
      </c>
      <c r="E4916">
        <v>0</v>
      </c>
      <c r="F4916">
        <v>129.94</v>
      </c>
    </row>
    <row r="4917" spans="1:6" x14ac:dyDescent="0.25">
      <c r="A4917" t="s">
        <v>1993</v>
      </c>
      <c r="B4917" t="s">
        <v>41</v>
      </c>
      <c r="C4917" t="s">
        <v>58</v>
      </c>
      <c r="D4917" t="s">
        <v>3218</v>
      </c>
      <c r="E4917">
        <v>15.18</v>
      </c>
      <c r="F4917">
        <v>130.34</v>
      </c>
    </row>
    <row r="4918" spans="1:6" x14ac:dyDescent="0.25">
      <c r="A4918" t="s">
        <v>1993</v>
      </c>
      <c r="B4918" t="s">
        <v>41</v>
      </c>
      <c r="C4918" t="s">
        <v>58</v>
      </c>
      <c r="D4918" t="s">
        <v>3219</v>
      </c>
      <c r="E4918">
        <v>31.58</v>
      </c>
      <c r="F4918">
        <v>130.22</v>
      </c>
    </row>
    <row r="4919" spans="1:6" x14ac:dyDescent="0.25">
      <c r="A4919" t="s">
        <v>1994</v>
      </c>
      <c r="B4919" t="s">
        <v>41</v>
      </c>
      <c r="C4919" t="s">
        <v>59</v>
      </c>
      <c r="D4919" t="s">
        <v>3217</v>
      </c>
      <c r="E4919">
        <v>0</v>
      </c>
      <c r="F4919">
        <v>129.05000000000001</v>
      </c>
    </row>
    <row r="4920" spans="1:6" x14ac:dyDescent="0.25">
      <c r="A4920" t="s">
        <v>1994</v>
      </c>
      <c r="B4920" t="s">
        <v>41</v>
      </c>
      <c r="C4920" t="s">
        <v>59</v>
      </c>
      <c r="D4920" t="s">
        <v>3218</v>
      </c>
      <c r="E4920">
        <v>15.48</v>
      </c>
      <c r="F4920">
        <v>129.21</v>
      </c>
    </row>
    <row r="4921" spans="1:6" x14ac:dyDescent="0.25">
      <c r="A4921" t="s">
        <v>1994</v>
      </c>
      <c r="B4921" t="s">
        <v>41</v>
      </c>
      <c r="C4921" t="s">
        <v>59</v>
      </c>
      <c r="D4921" t="s">
        <v>3219</v>
      </c>
      <c r="E4921">
        <v>31.12</v>
      </c>
      <c r="F4921">
        <v>129.19999999999999</v>
      </c>
    </row>
    <row r="4922" spans="1:6" x14ac:dyDescent="0.25">
      <c r="A4922" t="s">
        <v>1995</v>
      </c>
      <c r="B4922" t="s">
        <v>41</v>
      </c>
      <c r="C4922" t="s">
        <v>60</v>
      </c>
      <c r="D4922" t="s">
        <v>3217</v>
      </c>
      <c r="E4922">
        <v>0</v>
      </c>
      <c r="F4922">
        <v>128.22</v>
      </c>
    </row>
    <row r="4923" spans="1:6" x14ac:dyDescent="0.25">
      <c r="A4923" t="s">
        <v>1995</v>
      </c>
      <c r="B4923" t="s">
        <v>41</v>
      </c>
      <c r="C4923" t="s">
        <v>60</v>
      </c>
      <c r="D4923" t="s">
        <v>3218</v>
      </c>
      <c r="E4923">
        <v>16.559999999999999</v>
      </c>
      <c r="F4923">
        <v>128.29</v>
      </c>
    </row>
    <row r="4924" spans="1:6" x14ac:dyDescent="0.25">
      <c r="A4924" t="s">
        <v>1995</v>
      </c>
      <c r="B4924" t="s">
        <v>41</v>
      </c>
      <c r="C4924" t="s">
        <v>60</v>
      </c>
      <c r="D4924" t="s">
        <v>3219</v>
      </c>
      <c r="E4924">
        <v>32.65</v>
      </c>
      <c r="F4924">
        <v>128.09</v>
      </c>
    </row>
    <row r="4925" spans="1:6" x14ac:dyDescent="0.25">
      <c r="A4925" t="s">
        <v>1996</v>
      </c>
      <c r="B4925" t="s">
        <v>41</v>
      </c>
      <c r="C4925" t="s">
        <v>61</v>
      </c>
      <c r="D4925" t="s">
        <v>3217</v>
      </c>
      <c r="E4925">
        <v>0</v>
      </c>
      <c r="F4925">
        <v>127.51</v>
      </c>
    </row>
    <row r="4926" spans="1:6" x14ac:dyDescent="0.25">
      <c r="A4926" t="s">
        <v>1996</v>
      </c>
      <c r="B4926" t="s">
        <v>41</v>
      </c>
      <c r="C4926" t="s">
        <v>61</v>
      </c>
      <c r="D4926" t="s">
        <v>3218</v>
      </c>
      <c r="E4926">
        <v>16.59</v>
      </c>
      <c r="F4926">
        <v>127.59</v>
      </c>
    </row>
    <row r="4927" spans="1:6" x14ac:dyDescent="0.25">
      <c r="A4927" t="s">
        <v>1996</v>
      </c>
      <c r="B4927" t="s">
        <v>41</v>
      </c>
      <c r="C4927" t="s">
        <v>61</v>
      </c>
      <c r="D4927" t="s">
        <v>3219</v>
      </c>
      <c r="E4927">
        <v>32.229999999999997</v>
      </c>
      <c r="F4927">
        <v>127.51</v>
      </c>
    </row>
    <row r="4928" spans="1:6" x14ac:dyDescent="0.25">
      <c r="A4928" t="s">
        <v>1997</v>
      </c>
      <c r="B4928" t="s">
        <v>41</v>
      </c>
      <c r="C4928" t="s">
        <v>62</v>
      </c>
      <c r="D4928" t="s">
        <v>3217</v>
      </c>
      <c r="E4928">
        <v>0</v>
      </c>
      <c r="F4928">
        <v>126.93</v>
      </c>
    </row>
    <row r="4929" spans="1:6" x14ac:dyDescent="0.25">
      <c r="A4929" t="s">
        <v>1997</v>
      </c>
      <c r="B4929" t="s">
        <v>41</v>
      </c>
      <c r="C4929" t="s">
        <v>62</v>
      </c>
      <c r="D4929" t="s">
        <v>3218</v>
      </c>
      <c r="E4929">
        <v>20</v>
      </c>
      <c r="F4929">
        <v>126.98</v>
      </c>
    </row>
    <row r="4930" spans="1:6" x14ac:dyDescent="0.25">
      <c r="A4930" t="s">
        <v>1997</v>
      </c>
      <c r="B4930" t="s">
        <v>41</v>
      </c>
      <c r="C4930" t="s">
        <v>62</v>
      </c>
      <c r="D4930" t="s">
        <v>3219</v>
      </c>
      <c r="E4930">
        <v>35.58</v>
      </c>
      <c r="F4930">
        <v>126.91</v>
      </c>
    </row>
    <row r="4931" spans="1:6" x14ac:dyDescent="0.25">
      <c r="A4931" t="s">
        <v>1998</v>
      </c>
      <c r="B4931" t="s">
        <v>41</v>
      </c>
      <c r="C4931" t="s">
        <v>63</v>
      </c>
      <c r="D4931" t="s">
        <v>3217</v>
      </c>
      <c r="E4931">
        <v>0</v>
      </c>
      <c r="F4931">
        <v>126.4</v>
      </c>
    </row>
    <row r="4932" spans="1:6" x14ac:dyDescent="0.25">
      <c r="A4932" t="s">
        <v>1998</v>
      </c>
      <c r="B4932" t="s">
        <v>41</v>
      </c>
      <c r="C4932" t="s">
        <v>63</v>
      </c>
      <c r="D4932" t="s">
        <v>3218</v>
      </c>
      <c r="E4932">
        <v>20</v>
      </c>
      <c r="F4932">
        <v>126.46</v>
      </c>
    </row>
    <row r="4933" spans="1:6" x14ac:dyDescent="0.25">
      <c r="A4933" t="s">
        <v>1998</v>
      </c>
      <c r="B4933" t="s">
        <v>41</v>
      </c>
      <c r="C4933" t="s">
        <v>63</v>
      </c>
      <c r="D4933" t="s">
        <v>3219</v>
      </c>
      <c r="E4933">
        <v>34.93</v>
      </c>
      <c r="F4933">
        <v>126.32</v>
      </c>
    </row>
    <row r="4934" spans="1:6" x14ac:dyDescent="0.25">
      <c r="A4934" t="s">
        <v>1999</v>
      </c>
      <c r="B4934" t="s">
        <v>41</v>
      </c>
      <c r="C4934" t="s">
        <v>64</v>
      </c>
      <c r="D4934" t="s">
        <v>3217</v>
      </c>
      <c r="E4934">
        <v>0</v>
      </c>
      <c r="F4934">
        <v>125.87</v>
      </c>
    </row>
    <row r="4935" spans="1:6" x14ac:dyDescent="0.25">
      <c r="A4935" t="s">
        <v>1999</v>
      </c>
      <c r="B4935" t="s">
        <v>41</v>
      </c>
      <c r="C4935" t="s">
        <v>64</v>
      </c>
      <c r="D4935" t="s">
        <v>3218</v>
      </c>
      <c r="E4935">
        <v>20</v>
      </c>
      <c r="F4935">
        <v>126.04</v>
      </c>
    </row>
    <row r="4936" spans="1:6" x14ac:dyDescent="0.25">
      <c r="A4936" t="s">
        <v>1999</v>
      </c>
      <c r="B4936" t="s">
        <v>41</v>
      </c>
      <c r="C4936" t="s">
        <v>64</v>
      </c>
      <c r="D4936" t="s">
        <v>3219</v>
      </c>
      <c r="E4936">
        <v>34.97</v>
      </c>
      <c r="F4936">
        <v>125.99</v>
      </c>
    </row>
    <row r="4937" spans="1:6" x14ac:dyDescent="0.25">
      <c r="A4937" t="s">
        <v>2000</v>
      </c>
      <c r="B4937" t="s">
        <v>41</v>
      </c>
      <c r="C4937" t="s">
        <v>65</v>
      </c>
      <c r="D4937" t="s">
        <v>3217</v>
      </c>
      <c r="E4937">
        <v>0</v>
      </c>
      <c r="F4937">
        <v>125.39</v>
      </c>
    </row>
    <row r="4938" spans="1:6" x14ac:dyDescent="0.25">
      <c r="A4938" t="s">
        <v>2000</v>
      </c>
      <c r="B4938" t="s">
        <v>41</v>
      </c>
      <c r="C4938" t="s">
        <v>65</v>
      </c>
      <c r="D4938" t="s">
        <v>3218</v>
      </c>
      <c r="E4938">
        <v>18.010000000000002</v>
      </c>
      <c r="F4938">
        <v>125.82</v>
      </c>
    </row>
    <row r="4939" spans="1:6" x14ac:dyDescent="0.25">
      <c r="A4939" t="s">
        <v>2000</v>
      </c>
      <c r="B4939" t="s">
        <v>41</v>
      </c>
      <c r="C4939" t="s">
        <v>65</v>
      </c>
      <c r="D4939" t="s">
        <v>3219</v>
      </c>
      <c r="E4939">
        <v>33.99</v>
      </c>
      <c r="F4939">
        <v>125.7</v>
      </c>
    </row>
    <row r="4940" spans="1:6" x14ac:dyDescent="0.25">
      <c r="A4940" t="s">
        <v>2001</v>
      </c>
      <c r="B4940" t="s">
        <v>41</v>
      </c>
      <c r="C4940" t="s">
        <v>66</v>
      </c>
      <c r="D4940" t="s">
        <v>3217</v>
      </c>
      <c r="E4940">
        <v>0</v>
      </c>
      <c r="F4940">
        <v>125.18</v>
      </c>
    </row>
    <row r="4941" spans="1:6" x14ac:dyDescent="0.25">
      <c r="A4941" t="s">
        <v>2001</v>
      </c>
      <c r="B4941" t="s">
        <v>41</v>
      </c>
      <c r="C4941" t="s">
        <v>66</v>
      </c>
      <c r="D4941" t="s">
        <v>3218</v>
      </c>
      <c r="E4941">
        <v>17.03</v>
      </c>
      <c r="F4941">
        <v>125.57</v>
      </c>
    </row>
    <row r="4942" spans="1:6" x14ac:dyDescent="0.25">
      <c r="A4942" t="s">
        <v>2001</v>
      </c>
      <c r="B4942" t="s">
        <v>41</v>
      </c>
      <c r="C4942" t="s">
        <v>66</v>
      </c>
      <c r="D4942" t="s">
        <v>3219</v>
      </c>
      <c r="E4942">
        <v>31.42</v>
      </c>
      <c r="F4942">
        <v>125.57</v>
      </c>
    </row>
    <row r="4943" spans="1:6" x14ac:dyDescent="0.25">
      <c r="A4943" t="s">
        <v>2002</v>
      </c>
      <c r="B4943" t="s">
        <v>41</v>
      </c>
      <c r="C4943" t="s">
        <v>67</v>
      </c>
      <c r="D4943" t="s">
        <v>3217</v>
      </c>
      <c r="E4943">
        <v>0</v>
      </c>
      <c r="F4943">
        <v>124.98</v>
      </c>
    </row>
    <row r="4944" spans="1:6" x14ac:dyDescent="0.25">
      <c r="A4944" t="s">
        <v>2002</v>
      </c>
      <c r="B4944" t="s">
        <v>41</v>
      </c>
      <c r="C4944" t="s">
        <v>67</v>
      </c>
      <c r="D4944" t="s">
        <v>3218</v>
      </c>
      <c r="E4944">
        <v>17.559999999999999</v>
      </c>
      <c r="F4944">
        <v>125.32</v>
      </c>
    </row>
    <row r="4945" spans="1:6" x14ac:dyDescent="0.25">
      <c r="A4945" t="s">
        <v>2002</v>
      </c>
      <c r="B4945" t="s">
        <v>41</v>
      </c>
      <c r="C4945" t="s">
        <v>67</v>
      </c>
      <c r="D4945" t="s">
        <v>3219</v>
      </c>
      <c r="E4945">
        <v>33.17</v>
      </c>
      <c r="F4945">
        <v>125.41</v>
      </c>
    </row>
    <row r="4946" spans="1:6" x14ac:dyDescent="0.25">
      <c r="A4946" t="s">
        <v>2003</v>
      </c>
      <c r="B4946" t="s">
        <v>41</v>
      </c>
      <c r="C4946" t="s">
        <v>68</v>
      </c>
      <c r="D4946" t="s">
        <v>3217</v>
      </c>
      <c r="E4946">
        <v>0</v>
      </c>
      <c r="F4946">
        <v>124.99</v>
      </c>
    </row>
    <row r="4947" spans="1:6" x14ac:dyDescent="0.25">
      <c r="A4947" t="s">
        <v>2003</v>
      </c>
      <c r="B4947" t="s">
        <v>41</v>
      </c>
      <c r="C4947" t="s">
        <v>68</v>
      </c>
      <c r="D4947" t="s">
        <v>3218</v>
      </c>
      <c r="E4947">
        <v>17.68</v>
      </c>
      <c r="F4947">
        <v>125.18</v>
      </c>
    </row>
    <row r="4948" spans="1:6" x14ac:dyDescent="0.25">
      <c r="A4948" t="s">
        <v>2003</v>
      </c>
      <c r="B4948" t="s">
        <v>41</v>
      </c>
      <c r="C4948" t="s">
        <v>68</v>
      </c>
      <c r="D4948" t="s">
        <v>3219</v>
      </c>
      <c r="E4948">
        <v>32.68</v>
      </c>
      <c r="F4948">
        <v>125.47</v>
      </c>
    </row>
    <row r="4949" spans="1:6" x14ac:dyDescent="0.25">
      <c r="A4949" t="s">
        <v>2004</v>
      </c>
      <c r="B4949" t="s">
        <v>41</v>
      </c>
      <c r="C4949" t="s">
        <v>69</v>
      </c>
      <c r="D4949" t="s">
        <v>3217</v>
      </c>
      <c r="E4949">
        <v>0</v>
      </c>
      <c r="F4949">
        <v>124.83</v>
      </c>
    </row>
    <row r="4950" spans="1:6" x14ac:dyDescent="0.25">
      <c r="A4950" t="s">
        <v>2004</v>
      </c>
      <c r="B4950" t="s">
        <v>41</v>
      </c>
      <c r="C4950" t="s">
        <v>69</v>
      </c>
      <c r="D4950" t="s">
        <v>3218</v>
      </c>
      <c r="E4950">
        <v>20</v>
      </c>
      <c r="F4950">
        <v>125.09</v>
      </c>
    </row>
    <row r="4951" spans="1:6" x14ac:dyDescent="0.25">
      <c r="A4951" t="s">
        <v>2004</v>
      </c>
      <c r="B4951" t="s">
        <v>41</v>
      </c>
      <c r="C4951" t="s">
        <v>69</v>
      </c>
      <c r="D4951" t="s">
        <v>3219</v>
      </c>
      <c r="E4951">
        <v>35</v>
      </c>
      <c r="F4951">
        <v>125.51</v>
      </c>
    </row>
    <row r="4952" spans="1:6" x14ac:dyDescent="0.25">
      <c r="A4952" t="s">
        <v>2005</v>
      </c>
      <c r="B4952" t="s">
        <v>41</v>
      </c>
      <c r="C4952" t="s">
        <v>70</v>
      </c>
      <c r="D4952" t="s">
        <v>3217</v>
      </c>
      <c r="E4952">
        <v>0</v>
      </c>
      <c r="F4952">
        <v>124.78</v>
      </c>
    </row>
    <row r="4953" spans="1:6" x14ac:dyDescent="0.25">
      <c r="A4953" t="s">
        <v>2005</v>
      </c>
      <c r="B4953" t="s">
        <v>41</v>
      </c>
      <c r="C4953" t="s">
        <v>70</v>
      </c>
      <c r="D4953" t="s">
        <v>3218</v>
      </c>
      <c r="E4953">
        <v>20</v>
      </c>
      <c r="F4953">
        <v>125.17</v>
      </c>
    </row>
    <row r="4954" spans="1:6" x14ac:dyDescent="0.25">
      <c r="A4954" t="s">
        <v>2005</v>
      </c>
      <c r="B4954" t="s">
        <v>41</v>
      </c>
      <c r="C4954" t="s">
        <v>70</v>
      </c>
      <c r="D4954" t="s">
        <v>3219</v>
      </c>
      <c r="E4954">
        <v>35.64</v>
      </c>
      <c r="F4954">
        <v>125.45</v>
      </c>
    </row>
    <row r="4955" spans="1:6" x14ac:dyDescent="0.25">
      <c r="A4955" t="s">
        <v>2006</v>
      </c>
      <c r="B4955" t="s">
        <v>41</v>
      </c>
      <c r="C4955" t="s">
        <v>71</v>
      </c>
      <c r="D4955" t="s">
        <v>3217</v>
      </c>
      <c r="E4955">
        <v>0</v>
      </c>
      <c r="F4955">
        <v>124.67</v>
      </c>
    </row>
    <row r="4956" spans="1:6" x14ac:dyDescent="0.25">
      <c r="A4956" t="s">
        <v>2006</v>
      </c>
      <c r="B4956" t="s">
        <v>41</v>
      </c>
      <c r="C4956" t="s">
        <v>71</v>
      </c>
      <c r="D4956" t="s">
        <v>3218</v>
      </c>
      <c r="E4956">
        <v>20</v>
      </c>
      <c r="F4956">
        <v>125.1</v>
      </c>
    </row>
    <row r="4957" spans="1:6" x14ac:dyDescent="0.25">
      <c r="A4957" t="s">
        <v>2006</v>
      </c>
      <c r="B4957" t="s">
        <v>41</v>
      </c>
      <c r="C4957" t="s">
        <v>71</v>
      </c>
      <c r="D4957" t="s">
        <v>3219</v>
      </c>
      <c r="E4957">
        <v>35.64</v>
      </c>
      <c r="F4957">
        <v>125.18</v>
      </c>
    </row>
    <row r="4958" spans="1:6" x14ac:dyDescent="0.25">
      <c r="A4958" t="s">
        <v>2007</v>
      </c>
      <c r="B4958" t="s">
        <v>41</v>
      </c>
      <c r="C4958" t="s">
        <v>72</v>
      </c>
      <c r="D4958" t="s">
        <v>3217</v>
      </c>
      <c r="E4958">
        <v>0</v>
      </c>
      <c r="F4958">
        <v>124.52</v>
      </c>
    </row>
    <row r="4959" spans="1:6" x14ac:dyDescent="0.25">
      <c r="A4959" t="s">
        <v>2007</v>
      </c>
      <c r="B4959" t="s">
        <v>41</v>
      </c>
      <c r="C4959" t="s">
        <v>72</v>
      </c>
      <c r="D4959" t="s">
        <v>3218</v>
      </c>
      <c r="E4959">
        <v>20</v>
      </c>
      <c r="F4959">
        <v>124.77</v>
      </c>
    </row>
    <row r="4960" spans="1:6" x14ac:dyDescent="0.25">
      <c r="A4960" t="s">
        <v>2007</v>
      </c>
      <c r="B4960" t="s">
        <v>41</v>
      </c>
      <c r="C4960" t="s">
        <v>72</v>
      </c>
      <c r="D4960" t="s">
        <v>3219</v>
      </c>
      <c r="E4960">
        <v>40</v>
      </c>
      <c r="F4960">
        <v>125.11</v>
      </c>
    </row>
    <row r="4961" spans="1:6" x14ac:dyDescent="0.25">
      <c r="A4961" t="s">
        <v>2008</v>
      </c>
      <c r="B4961" t="s">
        <v>41</v>
      </c>
      <c r="C4961" t="s">
        <v>73</v>
      </c>
      <c r="D4961" t="s">
        <v>3217</v>
      </c>
      <c r="E4961">
        <v>0</v>
      </c>
      <c r="F4961">
        <v>124.33</v>
      </c>
    </row>
    <row r="4962" spans="1:6" x14ac:dyDescent="0.25">
      <c r="A4962" t="s">
        <v>2008</v>
      </c>
      <c r="B4962" t="s">
        <v>41</v>
      </c>
      <c r="C4962" t="s">
        <v>73</v>
      </c>
      <c r="D4962" t="s">
        <v>3218</v>
      </c>
      <c r="E4962">
        <v>20</v>
      </c>
      <c r="F4962">
        <v>124.75</v>
      </c>
    </row>
    <row r="4963" spans="1:6" x14ac:dyDescent="0.25">
      <c r="A4963" t="s">
        <v>2008</v>
      </c>
      <c r="B4963" t="s">
        <v>41</v>
      </c>
      <c r="C4963" t="s">
        <v>73</v>
      </c>
      <c r="D4963" t="s">
        <v>3219</v>
      </c>
      <c r="E4963">
        <v>40</v>
      </c>
      <c r="F4963">
        <v>125.08</v>
      </c>
    </row>
    <row r="4964" spans="1:6" x14ac:dyDescent="0.25">
      <c r="A4964" t="s">
        <v>2009</v>
      </c>
      <c r="B4964" t="s">
        <v>41</v>
      </c>
      <c r="C4964" t="s">
        <v>74</v>
      </c>
      <c r="D4964" t="s">
        <v>3217</v>
      </c>
      <c r="E4964">
        <v>0</v>
      </c>
      <c r="F4964">
        <v>123.91</v>
      </c>
    </row>
    <row r="4965" spans="1:6" x14ac:dyDescent="0.25">
      <c r="A4965" t="s">
        <v>2009</v>
      </c>
      <c r="B4965" t="s">
        <v>41</v>
      </c>
      <c r="C4965" t="s">
        <v>74</v>
      </c>
      <c r="D4965" t="s">
        <v>3218</v>
      </c>
      <c r="E4965">
        <v>20</v>
      </c>
      <c r="F4965">
        <v>124.35</v>
      </c>
    </row>
    <row r="4966" spans="1:6" x14ac:dyDescent="0.25">
      <c r="A4966" t="s">
        <v>2009</v>
      </c>
      <c r="B4966" t="s">
        <v>41</v>
      </c>
      <c r="C4966" t="s">
        <v>74</v>
      </c>
      <c r="D4966" t="s">
        <v>3219</v>
      </c>
      <c r="E4966">
        <v>40</v>
      </c>
      <c r="F4966">
        <v>125.06</v>
      </c>
    </row>
    <row r="4967" spans="1:6" x14ac:dyDescent="0.25">
      <c r="A4967" t="s">
        <v>2010</v>
      </c>
      <c r="B4967" t="s">
        <v>41</v>
      </c>
      <c r="C4967" t="s">
        <v>75</v>
      </c>
      <c r="D4967" t="s">
        <v>3217</v>
      </c>
      <c r="E4967">
        <v>0</v>
      </c>
      <c r="F4967">
        <v>123.6</v>
      </c>
    </row>
    <row r="4968" spans="1:6" x14ac:dyDescent="0.25">
      <c r="A4968" t="s">
        <v>2010</v>
      </c>
      <c r="B4968" t="s">
        <v>41</v>
      </c>
      <c r="C4968" t="s">
        <v>75</v>
      </c>
      <c r="D4968" t="s">
        <v>3218</v>
      </c>
      <c r="E4968">
        <v>20</v>
      </c>
      <c r="F4968">
        <v>124.34</v>
      </c>
    </row>
    <row r="4969" spans="1:6" x14ac:dyDescent="0.25">
      <c r="A4969" t="s">
        <v>2010</v>
      </c>
      <c r="B4969" t="s">
        <v>41</v>
      </c>
      <c r="C4969" t="s">
        <v>75</v>
      </c>
      <c r="D4969" t="s">
        <v>3219</v>
      </c>
      <c r="E4969">
        <v>40</v>
      </c>
      <c r="F4969">
        <v>124.8</v>
      </c>
    </row>
    <row r="4970" spans="1:6" x14ac:dyDescent="0.25">
      <c r="A4970" t="s">
        <v>2011</v>
      </c>
      <c r="B4970" t="s">
        <v>41</v>
      </c>
      <c r="C4970" t="s">
        <v>76</v>
      </c>
      <c r="D4970" t="s">
        <v>3217</v>
      </c>
      <c r="E4970">
        <v>0</v>
      </c>
      <c r="F4970">
        <v>123.42</v>
      </c>
    </row>
    <row r="4971" spans="1:6" x14ac:dyDescent="0.25">
      <c r="A4971" t="s">
        <v>2011</v>
      </c>
      <c r="B4971" t="s">
        <v>41</v>
      </c>
      <c r="C4971" t="s">
        <v>76</v>
      </c>
      <c r="D4971" t="s">
        <v>3218</v>
      </c>
      <c r="E4971">
        <v>20</v>
      </c>
      <c r="F4971">
        <v>124.1</v>
      </c>
    </row>
    <row r="4972" spans="1:6" x14ac:dyDescent="0.25">
      <c r="A4972" t="s">
        <v>2011</v>
      </c>
      <c r="B4972" t="s">
        <v>41</v>
      </c>
      <c r="C4972" t="s">
        <v>76</v>
      </c>
      <c r="D4972" t="s">
        <v>3219</v>
      </c>
      <c r="E4972">
        <v>40</v>
      </c>
      <c r="F4972">
        <v>124.64</v>
      </c>
    </row>
    <row r="4973" spans="1:6" x14ac:dyDescent="0.25">
      <c r="A4973" t="s">
        <v>2012</v>
      </c>
      <c r="B4973" t="s">
        <v>41</v>
      </c>
      <c r="C4973" t="s">
        <v>77</v>
      </c>
      <c r="D4973" t="s">
        <v>3217</v>
      </c>
      <c r="E4973">
        <v>0</v>
      </c>
      <c r="F4973">
        <v>123.27</v>
      </c>
    </row>
    <row r="4974" spans="1:6" x14ac:dyDescent="0.25">
      <c r="A4974" t="s">
        <v>2012</v>
      </c>
      <c r="B4974" t="s">
        <v>41</v>
      </c>
      <c r="C4974" t="s">
        <v>77</v>
      </c>
      <c r="D4974" t="s">
        <v>3218</v>
      </c>
      <c r="E4974">
        <v>20</v>
      </c>
      <c r="F4974">
        <v>124</v>
      </c>
    </row>
    <row r="4975" spans="1:6" x14ac:dyDescent="0.25">
      <c r="A4975" t="s">
        <v>2012</v>
      </c>
      <c r="B4975" t="s">
        <v>41</v>
      </c>
      <c r="C4975" t="s">
        <v>77</v>
      </c>
      <c r="D4975" t="s">
        <v>3219</v>
      </c>
      <c r="E4975">
        <v>40</v>
      </c>
      <c r="F4975">
        <v>124.28</v>
      </c>
    </row>
    <row r="4976" spans="1:6" x14ac:dyDescent="0.25">
      <c r="A4976" t="s">
        <v>2013</v>
      </c>
      <c r="B4976" t="s">
        <v>41</v>
      </c>
      <c r="C4976" t="s">
        <v>78</v>
      </c>
      <c r="D4976" t="s">
        <v>3217</v>
      </c>
      <c r="E4976">
        <v>0</v>
      </c>
      <c r="F4976">
        <v>123.26</v>
      </c>
    </row>
    <row r="4977" spans="1:6" x14ac:dyDescent="0.25">
      <c r="A4977" t="s">
        <v>2013</v>
      </c>
      <c r="B4977" t="s">
        <v>41</v>
      </c>
      <c r="C4977" t="s">
        <v>78</v>
      </c>
      <c r="D4977" t="s">
        <v>3218</v>
      </c>
      <c r="E4977">
        <v>20</v>
      </c>
      <c r="F4977">
        <v>123.94</v>
      </c>
    </row>
    <row r="4978" spans="1:6" x14ac:dyDescent="0.25">
      <c r="A4978" t="s">
        <v>2013</v>
      </c>
      <c r="B4978" t="s">
        <v>41</v>
      </c>
      <c r="C4978" t="s">
        <v>78</v>
      </c>
      <c r="D4978" t="s">
        <v>3219</v>
      </c>
      <c r="E4978">
        <v>40</v>
      </c>
      <c r="F4978">
        <v>124</v>
      </c>
    </row>
    <row r="4979" spans="1:6" x14ac:dyDescent="0.25">
      <c r="A4979" t="s">
        <v>2014</v>
      </c>
      <c r="B4979" t="s">
        <v>41</v>
      </c>
      <c r="C4979" t="s">
        <v>79</v>
      </c>
      <c r="D4979" t="s">
        <v>3217</v>
      </c>
      <c r="E4979">
        <v>0</v>
      </c>
      <c r="F4979">
        <v>123.33</v>
      </c>
    </row>
    <row r="4980" spans="1:6" x14ac:dyDescent="0.25">
      <c r="A4980" t="s">
        <v>2014</v>
      </c>
      <c r="B4980" t="s">
        <v>41</v>
      </c>
      <c r="C4980" t="s">
        <v>79</v>
      </c>
      <c r="D4980" t="s">
        <v>3218</v>
      </c>
      <c r="E4980">
        <v>20</v>
      </c>
      <c r="F4980">
        <v>123.82</v>
      </c>
    </row>
    <row r="4981" spans="1:6" x14ac:dyDescent="0.25">
      <c r="A4981" t="s">
        <v>2014</v>
      </c>
      <c r="B4981" t="s">
        <v>41</v>
      </c>
      <c r="C4981" t="s">
        <v>79</v>
      </c>
      <c r="D4981" t="s">
        <v>3219</v>
      </c>
      <c r="E4981">
        <v>40</v>
      </c>
      <c r="F4981">
        <v>123.87</v>
      </c>
    </row>
    <row r="4982" spans="1:6" x14ac:dyDescent="0.25">
      <c r="A4982" t="s">
        <v>2015</v>
      </c>
      <c r="B4982" t="s">
        <v>41</v>
      </c>
      <c r="C4982" t="s">
        <v>80</v>
      </c>
      <c r="D4982" t="s">
        <v>3217</v>
      </c>
      <c r="E4982">
        <v>0</v>
      </c>
      <c r="F4982">
        <v>123.44</v>
      </c>
    </row>
    <row r="4983" spans="1:6" x14ac:dyDescent="0.25">
      <c r="A4983" t="s">
        <v>2015</v>
      </c>
      <c r="B4983" t="s">
        <v>41</v>
      </c>
      <c r="C4983" t="s">
        <v>80</v>
      </c>
      <c r="D4983" t="s">
        <v>3218</v>
      </c>
      <c r="E4983">
        <v>20</v>
      </c>
      <c r="F4983">
        <v>123.81</v>
      </c>
    </row>
    <row r="4984" spans="1:6" x14ac:dyDescent="0.25">
      <c r="A4984" t="s">
        <v>2015</v>
      </c>
      <c r="B4984" t="s">
        <v>41</v>
      </c>
      <c r="C4984" t="s">
        <v>80</v>
      </c>
      <c r="D4984" t="s">
        <v>3219</v>
      </c>
      <c r="E4984">
        <v>40</v>
      </c>
      <c r="F4984">
        <v>123.9</v>
      </c>
    </row>
    <row r="4985" spans="1:6" x14ac:dyDescent="0.25">
      <c r="A4985" t="s">
        <v>2016</v>
      </c>
      <c r="B4985" t="s">
        <v>41</v>
      </c>
      <c r="C4985" t="s">
        <v>81</v>
      </c>
      <c r="D4985" t="s">
        <v>3217</v>
      </c>
      <c r="E4985">
        <v>0</v>
      </c>
      <c r="F4985">
        <v>123.19</v>
      </c>
    </row>
    <row r="4986" spans="1:6" x14ac:dyDescent="0.25">
      <c r="A4986" t="s">
        <v>2016</v>
      </c>
      <c r="B4986" t="s">
        <v>41</v>
      </c>
      <c r="C4986" t="s">
        <v>81</v>
      </c>
      <c r="D4986" t="s">
        <v>3218</v>
      </c>
      <c r="E4986">
        <v>18.170000000000002</v>
      </c>
      <c r="F4986">
        <v>123.79</v>
      </c>
    </row>
    <row r="4987" spans="1:6" x14ac:dyDescent="0.25">
      <c r="A4987" t="s">
        <v>2016</v>
      </c>
      <c r="B4987" t="s">
        <v>41</v>
      </c>
      <c r="C4987" t="s">
        <v>81</v>
      </c>
      <c r="D4987" t="s">
        <v>3219</v>
      </c>
      <c r="E4987">
        <v>36.58</v>
      </c>
      <c r="F4987">
        <v>123.91</v>
      </c>
    </row>
    <row r="4988" spans="1:6" x14ac:dyDescent="0.25">
      <c r="A4988" t="s">
        <v>2017</v>
      </c>
      <c r="B4988" t="s">
        <v>41</v>
      </c>
      <c r="C4988" t="s">
        <v>82</v>
      </c>
      <c r="D4988" t="s">
        <v>3217</v>
      </c>
      <c r="E4988">
        <v>0</v>
      </c>
      <c r="F4988">
        <v>122.9</v>
      </c>
    </row>
    <row r="4989" spans="1:6" x14ac:dyDescent="0.25">
      <c r="A4989" t="s">
        <v>2017</v>
      </c>
      <c r="B4989" t="s">
        <v>41</v>
      </c>
      <c r="C4989" t="s">
        <v>82</v>
      </c>
      <c r="D4989" t="s">
        <v>3218</v>
      </c>
      <c r="E4989">
        <v>16.89</v>
      </c>
      <c r="F4989">
        <v>123.84</v>
      </c>
    </row>
    <row r="4990" spans="1:6" x14ac:dyDescent="0.25">
      <c r="A4990" t="s">
        <v>2017</v>
      </c>
      <c r="B4990" t="s">
        <v>41</v>
      </c>
      <c r="C4990" t="s">
        <v>82</v>
      </c>
      <c r="D4990" t="s">
        <v>3219</v>
      </c>
      <c r="E4990">
        <v>34.799999999999997</v>
      </c>
      <c r="F4990">
        <v>123.82</v>
      </c>
    </row>
    <row r="4991" spans="1:6" x14ac:dyDescent="0.25">
      <c r="A4991" t="s">
        <v>2018</v>
      </c>
      <c r="B4991" t="s">
        <v>41</v>
      </c>
      <c r="C4991" t="s">
        <v>83</v>
      </c>
      <c r="D4991" t="s">
        <v>3217</v>
      </c>
      <c r="E4991">
        <v>0</v>
      </c>
      <c r="F4991">
        <v>122.95</v>
      </c>
    </row>
    <row r="4992" spans="1:6" x14ac:dyDescent="0.25">
      <c r="A4992" t="s">
        <v>2018</v>
      </c>
      <c r="B4992" t="s">
        <v>41</v>
      </c>
      <c r="C4992" t="s">
        <v>83</v>
      </c>
      <c r="D4992" t="s">
        <v>3218</v>
      </c>
      <c r="E4992">
        <v>16.89</v>
      </c>
      <c r="F4992">
        <v>123.71</v>
      </c>
    </row>
    <row r="4993" spans="1:6" x14ac:dyDescent="0.25">
      <c r="A4993" t="s">
        <v>2018</v>
      </c>
      <c r="B4993" t="s">
        <v>41</v>
      </c>
      <c r="C4993" t="s">
        <v>83</v>
      </c>
      <c r="D4993" t="s">
        <v>3219</v>
      </c>
      <c r="E4993">
        <v>33.96</v>
      </c>
      <c r="F4993">
        <v>123.71</v>
      </c>
    </row>
    <row r="4994" spans="1:6" x14ac:dyDescent="0.25">
      <c r="A4994" t="s">
        <v>2019</v>
      </c>
      <c r="B4994" t="s">
        <v>41</v>
      </c>
      <c r="C4994" t="s">
        <v>84</v>
      </c>
      <c r="D4994" t="s">
        <v>3217</v>
      </c>
      <c r="E4994">
        <v>0</v>
      </c>
      <c r="F4994">
        <v>122.9</v>
      </c>
    </row>
    <row r="4995" spans="1:6" x14ac:dyDescent="0.25">
      <c r="A4995" t="s">
        <v>2019</v>
      </c>
      <c r="B4995" t="s">
        <v>41</v>
      </c>
      <c r="C4995" t="s">
        <v>84</v>
      </c>
      <c r="D4995" t="s">
        <v>3218</v>
      </c>
      <c r="E4995">
        <v>17.39</v>
      </c>
      <c r="F4995">
        <v>123.76</v>
      </c>
    </row>
    <row r="4996" spans="1:6" x14ac:dyDescent="0.25">
      <c r="A4996" t="s">
        <v>2019</v>
      </c>
      <c r="B4996" t="s">
        <v>41</v>
      </c>
      <c r="C4996" t="s">
        <v>84</v>
      </c>
      <c r="D4996" t="s">
        <v>3219</v>
      </c>
      <c r="E4996">
        <v>33.47</v>
      </c>
      <c r="F4996">
        <v>123.85</v>
      </c>
    </row>
    <row r="4997" spans="1:6" x14ac:dyDescent="0.25">
      <c r="A4997" t="s">
        <v>2020</v>
      </c>
      <c r="B4997" t="s">
        <v>41</v>
      </c>
      <c r="C4997" t="s">
        <v>85</v>
      </c>
      <c r="D4997" t="s">
        <v>3217</v>
      </c>
      <c r="E4997">
        <v>0</v>
      </c>
      <c r="F4997">
        <v>122.92</v>
      </c>
    </row>
    <row r="4998" spans="1:6" x14ac:dyDescent="0.25">
      <c r="A4998" t="s">
        <v>2020</v>
      </c>
      <c r="B4998" t="s">
        <v>41</v>
      </c>
      <c r="C4998" t="s">
        <v>85</v>
      </c>
      <c r="D4998" t="s">
        <v>3218</v>
      </c>
      <c r="E4998">
        <v>17.510000000000002</v>
      </c>
      <c r="F4998">
        <v>123.79</v>
      </c>
    </row>
    <row r="4999" spans="1:6" x14ac:dyDescent="0.25">
      <c r="A4999" t="s">
        <v>2020</v>
      </c>
      <c r="B4999" t="s">
        <v>41</v>
      </c>
      <c r="C4999" t="s">
        <v>85</v>
      </c>
      <c r="D4999" t="s">
        <v>3219</v>
      </c>
      <c r="E4999">
        <v>33.24</v>
      </c>
      <c r="F4999">
        <v>123.96</v>
      </c>
    </row>
    <row r="5000" spans="1:6" x14ac:dyDescent="0.25">
      <c r="A5000" t="s">
        <v>2021</v>
      </c>
      <c r="B5000" t="s">
        <v>41</v>
      </c>
      <c r="C5000" t="s">
        <v>86</v>
      </c>
      <c r="D5000" t="s">
        <v>3217</v>
      </c>
      <c r="E5000">
        <v>0</v>
      </c>
      <c r="F5000">
        <v>123.01</v>
      </c>
    </row>
    <row r="5001" spans="1:6" x14ac:dyDescent="0.25">
      <c r="A5001" t="s">
        <v>2021</v>
      </c>
      <c r="B5001" t="s">
        <v>41</v>
      </c>
      <c r="C5001" t="s">
        <v>86</v>
      </c>
      <c r="D5001" t="s">
        <v>3218</v>
      </c>
      <c r="E5001">
        <v>17.510000000000002</v>
      </c>
      <c r="F5001">
        <v>123.77</v>
      </c>
    </row>
    <row r="5002" spans="1:6" x14ac:dyDescent="0.25">
      <c r="A5002" t="s">
        <v>2021</v>
      </c>
      <c r="B5002" t="s">
        <v>41</v>
      </c>
      <c r="C5002" t="s">
        <v>86</v>
      </c>
      <c r="D5002" t="s">
        <v>3219</v>
      </c>
      <c r="E5002">
        <v>34.25</v>
      </c>
      <c r="F5002">
        <v>123.88</v>
      </c>
    </row>
    <row r="5003" spans="1:6" x14ac:dyDescent="0.25">
      <c r="A5003" t="s">
        <v>2022</v>
      </c>
      <c r="B5003" t="s">
        <v>41</v>
      </c>
      <c r="C5003" t="s">
        <v>87</v>
      </c>
      <c r="D5003" t="s">
        <v>3217</v>
      </c>
      <c r="E5003">
        <v>0</v>
      </c>
      <c r="F5003">
        <v>123.04</v>
      </c>
    </row>
    <row r="5004" spans="1:6" x14ac:dyDescent="0.25">
      <c r="A5004" t="s">
        <v>2022</v>
      </c>
      <c r="B5004" t="s">
        <v>41</v>
      </c>
      <c r="C5004" t="s">
        <v>87</v>
      </c>
      <c r="D5004" t="s">
        <v>3218</v>
      </c>
      <c r="E5004">
        <v>17.510000000000002</v>
      </c>
      <c r="F5004">
        <v>123.73</v>
      </c>
    </row>
    <row r="5005" spans="1:6" x14ac:dyDescent="0.25">
      <c r="A5005" t="s">
        <v>2022</v>
      </c>
      <c r="B5005" t="s">
        <v>41</v>
      </c>
      <c r="C5005" t="s">
        <v>87</v>
      </c>
      <c r="D5005" t="s">
        <v>3219</v>
      </c>
      <c r="E5005">
        <v>34.14</v>
      </c>
      <c r="F5005">
        <v>123.65</v>
      </c>
    </row>
    <row r="5006" spans="1:6" x14ac:dyDescent="0.25">
      <c r="A5006" t="s">
        <v>2023</v>
      </c>
      <c r="B5006" t="s">
        <v>41</v>
      </c>
      <c r="C5006" t="s">
        <v>88</v>
      </c>
      <c r="D5006" t="s">
        <v>3217</v>
      </c>
      <c r="E5006">
        <v>0</v>
      </c>
      <c r="F5006">
        <v>122.98</v>
      </c>
    </row>
    <row r="5007" spans="1:6" x14ac:dyDescent="0.25">
      <c r="A5007" t="s">
        <v>2023</v>
      </c>
      <c r="B5007" t="s">
        <v>41</v>
      </c>
      <c r="C5007" t="s">
        <v>88</v>
      </c>
      <c r="D5007" t="s">
        <v>3218</v>
      </c>
      <c r="E5007">
        <v>15.4</v>
      </c>
      <c r="F5007">
        <v>123.58</v>
      </c>
    </row>
    <row r="5008" spans="1:6" x14ac:dyDescent="0.25">
      <c r="A5008" t="s">
        <v>2023</v>
      </c>
      <c r="B5008" t="s">
        <v>41</v>
      </c>
      <c r="C5008" t="s">
        <v>88</v>
      </c>
      <c r="D5008" t="s">
        <v>3219</v>
      </c>
      <c r="E5008">
        <v>31.38</v>
      </c>
      <c r="F5008">
        <v>123.53</v>
      </c>
    </row>
    <row r="5009" spans="1:6" x14ac:dyDescent="0.25">
      <c r="A5009" t="s">
        <v>2024</v>
      </c>
      <c r="B5009" t="s">
        <v>41</v>
      </c>
      <c r="C5009" t="s">
        <v>89</v>
      </c>
      <c r="D5009" t="s">
        <v>3217</v>
      </c>
      <c r="E5009">
        <v>0</v>
      </c>
      <c r="F5009">
        <v>122.86</v>
      </c>
    </row>
    <row r="5010" spans="1:6" x14ac:dyDescent="0.25">
      <c r="A5010" t="s">
        <v>2024</v>
      </c>
      <c r="B5010" t="s">
        <v>41</v>
      </c>
      <c r="C5010" t="s">
        <v>89</v>
      </c>
      <c r="D5010" t="s">
        <v>3218</v>
      </c>
      <c r="E5010">
        <v>14.09</v>
      </c>
      <c r="F5010">
        <v>123.3</v>
      </c>
    </row>
    <row r="5011" spans="1:6" x14ac:dyDescent="0.25">
      <c r="A5011" t="s">
        <v>2024</v>
      </c>
      <c r="B5011" t="s">
        <v>41</v>
      </c>
      <c r="C5011" t="s">
        <v>89</v>
      </c>
      <c r="D5011" t="s">
        <v>3219</v>
      </c>
      <c r="E5011">
        <v>29.72</v>
      </c>
      <c r="F5011">
        <v>123.3</v>
      </c>
    </row>
    <row r="5012" spans="1:6" x14ac:dyDescent="0.25">
      <c r="A5012" t="s">
        <v>2025</v>
      </c>
      <c r="B5012" t="s">
        <v>41</v>
      </c>
      <c r="C5012" t="s">
        <v>90</v>
      </c>
      <c r="D5012" t="s">
        <v>3217</v>
      </c>
      <c r="E5012">
        <v>0</v>
      </c>
      <c r="F5012">
        <v>122.66</v>
      </c>
    </row>
    <row r="5013" spans="1:6" x14ac:dyDescent="0.25">
      <c r="A5013" t="s">
        <v>2025</v>
      </c>
      <c r="B5013" t="s">
        <v>41</v>
      </c>
      <c r="C5013" t="s">
        <v>90</v>
      </c>
      <c r="D5013" t="s">
        <v>3218</v>
      </c>
      <c r="E5013">
        <v>13.49</v>
      </c>
      <c r="F5013">
        <v>123.22</v>
      </c>
    </row>
    <row r="5014" spans="1:6" x14ac:dyDescent="0.25">
      <c r="A5014" t="s">
        <v>2025</v>
      </c>
      <c r="B5014" t="s">
        <v>41</v>
      </c>
      <c r="C5014" t="s">
        <v>90</v>
      </c>
      <c r="D5014" t="s">
        <v>3219</v>
      </c>
      <c r="E5014">
        <v>28.24</v>
      </c>
      <c r="F5014">
        <v>122.97</v>
      </c>
    </row>
    <row r="5015" spans="1:6" x14ac:dyDescent="0.25">
      <c r="A5015" t="s">
        <v>2026</v>
      </c>
      <c r="B5015" t="s">
        <v>41</v>
      </c>
      <c r="C5015" t="s">
        <v>91</v>
      </c>
      <c r="D5015" t="s">
        <v>3217</v>
      </c>
      <c r="E5015">
        <v>0</v>
      </c>
      <c r="F5015">
        <v>122.49</v>
      </c>
    </row>
    <row r="5016" spans="1:6" x14ac:dyDescent="0.25">
      <c r="A5016" t="s">
        <v>2026</v>
      </c>
      <c r="B5016" t="s">
        <v>41</v>
      </c>
      <c r="C5016" t="s">
        <v>91</v>
      </c>
      <c r="D5016" t="s">
        <v>3218</v>
      </c>
      <c r="E5016">
        <v>14.82</v>
      </c>
      <c r="F5016">
        <v>123.08</v>
      </c>
    </row>
    <row r="5017" spans="1:6" x14ac:dyDescent="0.25">
      <c r="A5017" t="s">
        <v>2026</v>
      </c>
      <c r="B5017" t="s">
        <v>41</v>
      </c>
      <c r="C5017" t="s">
        <v>91</v>
      </c>
      <c r="D5017" t="s">
        <v>3219</v>
      </c>
      <c r="E5017">
        <v>29.24</v>
      </c>
      <c r="F5017">
        <v>122.91</v>
      </c>
    </row>
    <row r="5018" spans="1:6" x14ac:dyDescent="0.25">
      <c r="A5018" t="s">
        <v>2027</v>
      </c>
      <c r="B5018" t="s">
        <v>41</v>
      </c>
      <c r="C5018" t="s">
        <v>92</v>
      </c>
      <c r="D5018" t="s">
        <v>3217</v>
      </c>
      <c r="E5018">
        <v>0</v>
      </c>
      <c r="F5018">
        <v>122.33</v>
      </c>
    </row>
    <row r="5019" spans="1:6" x14ac:dyDescent="0.25">
      <c r="A5019" t="s">
        <v>2027</v>
      </c>
      <c r="B5019" t="s">
        <v>41</v>
      </c>
      <c r="C5019" t="s">
        <v>92</v>
      </c>
      <c r="D5019" t="s">
        <v>3218</v>
      </c>
      <c r="E5019">
        <v>15.06</v>
      </c>
      <c r="F5019">
        <v>122.96</v>
      </c>
    </row>
    <row r="5020" spans="1:6" x14ac:dyDescent="0.25">
      <c r="A5020" t="s">
        <v>2027</v>
      </c>
      <c r="B5020" t="s">
        <v>41</v>
      </c>
      <c r="C5020" t="s">
        <v>92</v>
      </c>
      <c r="D5020" t="s">
        <v>3219</v>
      </c>
      <c r="E5020">
        <v>29.95</v>
      </c>
      <c r="F5020">
        <v>122.79</v>
      </c>
    </row>
    <row r="5021" spans="1:6" x14ac:dyDescent="0.25">
      <c r="A5021" t="s">
        <v>2028</v>
      </c>
      <c r="B5021" t="s">
        <v>41</v>
      </c>
      <c r="C5021" t="s">
        <v>93</v>
      </c>
      <c r="D5021" t="s">
        <v>3217</v>
      </c>
      <c r="E5021">
        <v>0</v>
      </c>
      <c r="F5021">
        <v>122.06</v>
      </c>
    </row>
    <row r="5022" spans="1:6" x14ac:dyDescent="0.25">
      <c r="A5022" t="s">
        <v>2028</v>
      </c>
      <c r="B5022" t="s">
        <v>41</v>
      </c>
      <c r="C5022" t="s">
        <v>93</v>
      </c>
      <c r="D5022" t="s">
        <v>3218</v>
      </c>
      <c r="E5022">
        <v>15.5</v>
      </c>
      <c r="F5022">
        <v>122.67</v>
      </c>
    </row>
    <row r="5023" spans="1:6" x14ac:dyDescent="0.25">
      <c r="A5023" t="s">
        <v>2028</v>
      </c>
      <c r="B5023" t="s">
        <v>41</v>
      </c>
      <c r="C5023" t="s">
        <v>93</v>
      </c>
      <c r="D5023" t="s">
        <v>3219</v>
      </c>
      <c r="E5023">
        <v>30.82</v>
      </c>
      <c r="F5023">
        <v>122.5</v>
      </c>
    </row>
    <row r="5024" spans="1:6" x14ac:dyDescent="0.25">
      <c r="A5024" t="s">
        <v>2029</v>
      </c>
      <c r="B5024" t="s">
        <v>41</v>
      </c>
      <c r="C5024" t="s">
        <v>94</v>
      </c>
      <c r="D5024" t="s">
        <v>3217</v>
      </c>
      <c r="E5024">
        <v>0</v>
      </c>
      <c r="F5024">
        <v>121.62</v>
      </c>
    </row>
    <row r="5025" spans="1:6" x14ac:dyDescent="0.25">
      <c r="A5025" t="s">
        <v>2029</v>
      </c>
      <c r="B5025" t="s">
        <v>41</v>
      </c>
      <c r="C5025" t="s">
        <v>94</v>
      </c>
      <c r="D5025" t="s">
        <v>3218</v>
      </c>
      <c r="E5025">
        <v>15.86</v>
      </c>
      <c r="F5025">
        <v>122.25</v>
      </c>
    </row>
    <row r="5026" spans="1:6" x14ac:dyDescent="0.25">
      <c r="A5026" t="s">
        <v>2029</v>
      </c>
      <c r="B5026" t="s">
        <v>41</v>
      </c>
      <c r="C5026" t="s">
        <v>94</v>
      </c>
      <c r="D5026" t="s">
        <v>3219</v>
      </c>
      <c r="E5026">
        <v>31.69</v>
      </c>
      <c r="F5026">
        <v>122.19</v>
      </c>
    </row>
    <row r="5027" spans="1:6" x14ac:dyDescent="0.25">
      <c r="A5027" t="s">
        <v>2030</v>
      </c>
      <c r="B5027" t="s">
        <v>41</v>
      </c>
      <c r="C5027" t="s">
        <v>95</v>
      </c>
      <c r="D5027" t="s">
        <v>3217</v>
      </c>
      <c r="E5027">
        <v>0</v>
      </c>
      <c r="F5027">
        <v>121.25</v>
      </c>
    </row>
    <row r="5028" spans="1:6" x14ac:dyDescent="0.25">
      <c r="A5028" t="s">
        <v>2030</v>
      </c>
      <c r="B5028" t="s">
        <v>41</v>
      </c>
      <c r="C5028" t="s">
        <v>95</v>
      </c>
      <c r="D5028" t="s">
        <v>3218</v>
      </c>
      <c r="E5028">
        <v>15.86</v>
      </c>
      <c r="F5028">
        <v>121.86</v>
      </c>
    </row>
    <row r="5029" spans="1:6" x14ac:dyDescent="0.25">
      <c r="A5029" t="s">
        <v>2030</v>
      </c>
      <c r="B5029" t="s">
        <v>41</v>
      </c>
      <c r="C5029" t="s">
        <v>95</v>
      </c>
      <c r="D5029" t="s">
        <v>3219</v>
      </c>
      <c r="E5029">
        <v>32.08</v>
      </c>
      <c r="F5029">
        <v>121.75</v>
      </c>
    </row>
    <row r="5030" spans="1:6" x14ac:dyDescent="0.25">
      <c r="A5030" t="s">
        <v>2031</v>
      </c>
      <c r="B5030" t="s">
        <v>41</v>
      </c>
      <c r="C5030" t="s">
        <v>96</v>
      </c>
      <c r="D5030" t="s">
        <v>3217</v>
      </c>
      <c r="E5030">
        <v>0</v>
      </c>
      <c r="F5030">
        <v>120.84</v>
      </c>
    </row>
    <row r="5031" spans="1:6" x14ac:dyDescent="0.25">
      <c r="A5031" t="s">
        <v>2031</v>
      </c>
      <c r="B5031" t="s">
        <v>41</v>
      </c>
      <c r="C5031" t="s">
        <v>96</v>
      </c>
      <c r="D5031" t="s">
        <v>3218</v>
      </c>
      <c r="E5031">
        <v>16.72</v>
      </c>
      <c r="F5031">
        <v>121.37</v>
      </c>
    </row>
    <row r="5032" spans="1:6" x14ac:dyDescent="0.25">
      <c r="A5032" t="s">
        <v>2031</v>
      </c>
      <c r="B5032" t="s">
        <v>41</v>
      </c>
      <c r="C5032" t="s">
        <v>96</v>
      </c>
      <c r="D5032" t="s">
        <v>3219</v>
      </c>
      <c r="E5032">
        <v>32.21</v>
      </c>
      <c r="F5032">
        <v>121.24</v>
      </c>
    </row>
    <row r="5033" spans="1:6" x14ac:dyDescent="0.25">
      <c r="A5033" t="s">
        <v>2032</v>
      </c>
      <c r="B5033" t="s">
        <v>41</v>
      </c>
      <c r="C5033" t="s">
        <v>97</v>
      </c>
      <c r="D5033" t="s">
        <v>3217</v>
      </c>
      <c r="E5033">
        <v>0</v>
      </c>
      <c r="F5033">
        <v>120.24</v>
      </c>
    </row>
    <row r="5034" spans="1:6" x14ac:dyDescent="0.25">
      <c r="A5034" t="s">
        <v>2032</v>
      </c>
      <c r="B5034" t="s">
        <v>41</v>
      </c>
      <c r="C5034" t="s">
        <v>97</v>
      </c>
      <c r="D5034" t="s">
        <v>3218</v>
      </c>
      <c r="E5034">
        <v>18.02</v>
      </c>
      <c r="F5034">
        <v>120.77</v>
      </c>
    </row>
    <row r="5035" spans="1:6" x14ac:dyDescent="0.25">
      <c r="A5035" t="s">
        <v>2032</v>
      </c>
      <c r="B5035" t="s">
        <v>41</v>
      </c>
      <c r="C5035" t="s">
        <v>97</v>
      </c>
      <c r="D5035" t="s">
        <v>3219</v>
      </c>
      <c r="E5035">
        <v>32.200000000000003</v>
      </c>
      <c r="F5035">
        <v>120.45</v>
      </c>
    </row>
    <row r="5036" spans="1:6" x14ac:dyDescent="0.25">
      <c r="A5036" t="s">
        <v>2033</v>
      </c>
      <c r="B5036" t="s">
        <v>41</v>
      </c>
      <c r="C5036" t="s">
        <v>98</v>
      </c>
      <c r="D5036" t="s">
        <v>3217</v>
      </c>
      <c r="E5036">
        <v>0</v>
      </c>
      <c r="F5036">
        <v>119.55</v>
      </c>
    </row>
    <row r="5037" spans="1:6" x14ac:dyDescent="0.25">
      <c r="A5037" t="s">
        <v>2033</v>
      </c>
      <c r="B5037" t="s">
        <v>41</v>
      </c>
      <c r="C5037" t="s">
        <v>98</v>
      </c>
      <c r="D5037" t="s">
        <v>3218</v>
      </c>
      <c r="E5037">
        <v>17.27</v>
      </c>
      <c r="F5037">
        <v>120.04</v>
      </c>
    </row>
    <row r="5038" spans="1:6" x14ac:dyDescent="0.25">
      <c r="A5038" t="s">
        <v>2033</v>
      </c>
      <c r="B5038" t="s">
        <v>41</v>
      </c>
      <c r="C5038" t="s">
        <v>98</v>
      </c>
      <c r="D5038" t="s">
        <v>3219</v>
      </c>
      <c r="E5038">
        <v>32.24</v>
      </c>
      <c r="F5038">
        <v>119.72</v>
      </c>
    </row>
    <row r="5039" spans="1:6" x14ac:dyDescent="0.25">
      <c r="A5039" t="s">
        <v>2034</v>
      </c>
      <c r="B5039" t="s">
        <v>41</v>
      </c>
      <c r="C5039" t="s">
        <v>99</v>
      </c>
      <c r="D5039" t="s">
        <v>3217</v>
      </c>
      <c r="E5039">
        <v>0</v>
      </c>
      <c r="F5039">
        <v>118.68</v>
      </c>
    </row>
    <row r="5040" spans="1:6" x14ac:dyDescent="0.25">
      <c r="A5040" t="s">
        <v>2034</v>
      </c>
      <c r="B5040" t="s">
        <v>41</v>
      </c>
      <c r="C5040" t="s">
        <v>99</v>
      </c>
      <c r="D5040" t="s">
        <v>3218</v>
      </c>
      <c r="E5040">
        <v>16.04</v>
      </c>
      <c r="F5040">
        <v>119.2</v>
      </c>
    </row>
    <row r="5041" spans="1:6" x14ac:dyDescent="0.25">
      <c r="A5041" t="s">
        <v>2034</v>
      </c>
      <c r="B5041" t="s">
        <v>41</v>
      </c>
      <c r="C5041" t="s">
        <v>99</v>
      </c>
      <c r="D5041" t="s">
        <v>3219</v>
      </c>
      <c r="E5041">
        <v>30.49</v>
      </c>
      <c r="F5041">
        <v>118.96</v>
      </c>
    </row>
    <row r="5042" spans="1:6" x14ac:dyDescent="0.25">
      <c r="A5042" t="s">
        <v>2035</v>
      </c>
      <c r="B5042" t="s">
        <v>41</v>
      </c>
      <c r="C5042" t="s">
        <v>100</v>
      </c>
      <c r="D5042" t="s">
        <v>3217</v>
      </c>
      <c r="E5042">
        <v>0</v>
      </c>
      <c r="F5042">
        <v>117.82</v>
      </c>
    </row>
    <row r="5043" spans="1:6" x14ac:dyDescent="0.25">
      <c r="A5043" t="s">
        <v>2035</v>
      </c>
      <c r="B5043" t="s">
        <v>41</v>
      </c>
      <c r="C5043" t="s">
        <v>100</v>
      </c>
      <c r="D5043" t="s">
        <v>3218</v>
      </c>
      <c r="E5043">
        <v>15.84</v>
      </c>
      <c r="F5043">
        <v>118.33</v>
      </c>
    </row>
    <row r="5044" spans="1:6" x14ac:dyDescent="0.25">
      <c r="A5044" t="s">
        <v>2035</v>
      </c>
      <c r="B5044" t="s">
        <v>41</v>
      </c>
      <c r="C5044" t="s">
        <v>100</v>
      </c>
      <c r="D5044" t="s">
        <v>3219</v>
      </c>
      <c r="E5044">
        <v>29.4</v>
      </c>
      <c r="F5044">
        <v>118.06</v>
      </c>
    </row>
    <row r="5045" spans="1:6" x14ac:dyDescent="0.25">
      <c r="A5045" t="s">
        <v>2036</v>
      </c>
      <c r="B5045" t="s">
        <v>41</v>
      </c>
      <c r="C5045" t="s">
        <v>101</v>
      </c>
      <c r="D5045" t="s">
        <v>3217</v>
      </c>
      <c r="E5045">
        <v>0</v>
      </c>
      <c r="F5045">
        <v>116.78</v>
      </c>
    </row>
    <row r="5046" spans="1:6" x14ac:dyDescent="0.25">
      <c r="A5046" t="s">
        <v>2036</v>
      </c>
      <c r="B5046" t="s">
        <v>41</v>
      </c>
      <c r="C5046" t="s">
        <v>101</v>
      </c>
      <c r="D5046" t="s">
        <v>3218</v>
      </c>
      <c r="E5046">
        <v>15.02</v>
      </c>
      <c r="F5046">
        <v>117.3</v>
      </c>
    </row>
    <row r="5047" spans="1:6" x14ac:dyDescent="0.25">
      <c r="A5047" t="s">
        <v>2036</v>
      </c>
      <c r="B5047" t="s">
        <v>41</v>
      </c>
      <c r="C5047" t="s">
        <v>101</v>
      </c>
      <c r="D5047" t="s">
        <v>3219</v>
      </c>
      <c r="E5047">
        <v>29.79</v>
      </c>
      <c r="F5047">
        <v>117.24</v>
      </c>
    </row>
    <row r="5048" spans="1:6" x14ac:dyDescent="0.25">
      <c r="A5048" t="s">
        <v>2037</v>
      </c>
      <c r="B5048" t="s">
        <v>41</v>
      </c>
      <c r="C5048" t="s">
        <v>102</v>
      </c>
      <c r="D5048" t="s">
        <v>3217</v>
      </c>
      <c r="E5048">
        <v>0</v>
      </c>
      <c r="F5048">
        <v>115.8</v>
      </c>
    </row>
    <row r="5049" spans="1:6" x14ac:dyDescent="0.25">
      <c r="A5049" t="s">
        <v>2037</v>
      </c>
      <c r="B5049" t="s">
        <v>41</v>
      </c>
      <c r="C5049" t="s">
        <v>102</v>
      </c>
      <c r="D5049" t="s">
        <v>3218</v>
      </c>
      <c r="E5049">
        <v>15.19</v>
      </c>
      <c r="F5049">
        <v>116.23</v>
      </c>
    </row>
    <row r="5050" spans="1:6" x14ac:dyDescent="0.25">
      <c r="A5050" t="s">
        <v>2037</v>
      </c>
      <c r="B5050" t="s">
        <v>41</v>
      </c>
      <c r="C5050" t="s">
        <v>102</v>
      </c>
      <c r="D5050" t="s">
        <v>3219</v>
      </c>
      <c r="E5050">
        <v>29.91</v>
      </c>
      <c r="F5050">
        <v>116.27</v>
      </c>
    </row>
    <row r="5051" spans="1:6" x14ac:dyDescent="0.25">
      <c r="A5051" t="s">
        <v>2038</v>
      </c>
      <c r="B5051" t="s">
        <v>41</v>
      </c>
      <c r="C5051" t="s">
        <v>103</v>
      </c>
      <c r="D5051" t="s">
        <v>3217</v>
      </c>
      <c r="E5051">
        <v>0</v>
      </c>
      <c r="F5051">
        <v>114.86</v>
      </c>
    </row>
    <row r="5052" spans="1:6" x14ac:dyDescent="0.25">
      <c r="A5052" t="s">
        <v>2038</v>
      </c>
      <c r="B5052" t="s">
        <v>41</v>
      </c>
      <c r="C5052" t="s">
        <v>103</v>
      </c>
      <c r="D5052" t="s">
        <v>3218</v>
      </c>
      <c r="E5052">
        <v>15.92</v>
      </c>
      <c r="F5052">
        <v>115.3</v>
      </c>
    </row>
    <row r="5053" spans="1:6" x14ac:dyDescent="0.25">
      <c r="A5053" t="s">
        <v>2038</v>
      </c>
      <c r="B5053" t="s">
        <v>41</v>
      </c>
      <c r="C5053" t="s">
        <v>103</v>
      </c>
      <c r="D5053" t="s">
        <v>3219</v>
      </c>
      <c r="E5053">
        <v>30.04</v>
      </c>
      <c r="F5053">
        <v>115.27</v>
      </c>
    </row>
    <row r="5054" spans="1:6" x14ac:dyDescent="0.25">
      <c r="A5054" t="s">
        <v>2039</v>
      </c>
      <c r="B5054" t="s">
        <v>41</v>
      </c>
      <c r="C5054" t="s">
        <v>104</v>
      </c>
      <c r="D5054" t="s">
        <v>3217</v>
      </c>
      <c r="E5054">
        <v>0</v>
      </c>
      <c r="F5054">
        <v>113.99</v>
      </c>
    </row>
    <row r="5055" spans="1:6" x14ac:dyDescent="0.25">
      <c r="A5055" t="s">
        <v>2039</v>
      </c>
      <c r="B5055" t="s">
        <v>41</v>
      </c>
      <c r="C5055" t="s">
        <v>104</v>
      </c>
      <c r="D5055" t="s">
        <v>3218</v>
      </c>
      <c r="E5055">
        <v>17.07</v>
      </c>
      <c r="F5055">
        <v>114.43</v>
      </c>
    </row>
    <row r="5056" spans="1:6" x14ac:dyDescent="0.25">
      <c r="A5056" t="s">
        <v>2039</v>
      </c>
      <c r="B5056" t="s">
        <v>41</v>
      </c>
      <c r="C5056" t="s">
        <v>104</v>
      </c>
      <c r="D5056" t="s">
        <v>3219</v>
      </c>
      <c r="E5056">
        <v>31.5</v>
      </c>
      <c r="F5056">
        <v>114.42</v>
      </c>
    </row>
    <row r="5057" spans="1:6" x14ac:dyDescent="0.25">
      <c r="A5057" t="s">
        <v>2040</v>
      </c>
      <c r="B5057" t="s">
        <v>41</v>
      </c>
      <c r="C5057" t="s">
        <v>105</v>
      </c>
      <c r="D5057" t="s">
        <v>3217</v>
      </c>
      <c r="E5057">
        <v>0</v>
      </c>
      <c r="F5057">
        <v>113.25</v>
      </c>
    </row>
    <row r="5058" spans="1:6" x14ac:dyDescent="0.25">
      <c r="A5058" t="s">
        <v>2040</v>
      </c>
      <c r="B5058" t="s">
        <v>41</v>
      </c>
      <c r="C5058" t="s">
        <v>105</v>
      </c>
      <c r="D5058" t="s">
        <v>3218</v>
      </c>
      <c r="E5058">
        <v>17.21</v>
      </c>
      <c r="F5058">
        <v>113.57</v>
      </c>
    </row>
    <row r="5059" spans="1:6" x14ac:dyDescent="0.25">
      <c r="A5059" t="s">
        <v>2040</v>
      </c>
      <c r="B5059" t="s">
        <v>41</v>
      </c>
      <c r="C5059" t="s">
        <v>105</v>
      </c>
      <c r="D5059" t="s">
        <v>3219</v>
      </c>
      <c r="E5059">
        <v>35.380000000000003</v>
      </c>
      <c r="F5059">
        <v>113.4</v>
      </c>
    </row>
    <row r="5060" spans="1:6" x14ac:dyDescent="0.25">
      <c r="A5060" t="s">
        <v>2041</v>
      </c>
      <c r="B5060" t="s">
        <v>41</v>
      </c>
      <c r="C5060" t="s">
        <v>106</v>
      </c>
      <c r="D5060" t="s">
        <v>3217</v>
      </c>
      <c r="E5060">
        <v>0</v>
      </c>
      <c r="F5060">
        <v>112.44</v>
      </c>
    </row>
    <row r="5061" spans="1:6" x14ac:dyDescent="0.25">
      <c r="A5061" t="s">
        <v>2041</v>
      </c>
      <c r="B5061" t="s">
        <v>41</v>
      </c>
      <c r="C5061" t="s">
        <v>106</v>
      </c>
      <c r="D5061" t="s">
        <v>3218</v>
      </c>
      <c r="E5061">
        <v>16.25</v>
      </c>
      <c r="F5061">
        <v>112.81</v>
      </c>
    </row>
    <row r="5062" spans="1:6" x14ac:dyDescent="0.25">
      <c r="A5062" t="s">
        <v>2041</v>
      </c>
      <c r="B5062" t="s">
        <v>41</v>
      </c>
      <c r="C5062" t="s">
        <v>106</v>
      </c>
      <c r="D5062" t="s">
        <v>3219</v>
      </c>
      <c r="E5062">
        <v>36.25</v>
      </c>
      <c r="F5062">
        <v>112.74</v>
      </c>
    </row>
    <row r="5063" spans="1:6" x14ac:dyDescent="0.25">
      <c r="A5063" t="s">
        <v>2042</v>
      </c>
      <c r="B5063" t="s">
        <v>41</v>
      </c>
      <c r="C5063" t="s">
        <v>108</v>
      </c>
      <c r="D5063" t="s">
        <v>3217</v>
      </c>
      <c r="E5063">
        <v>0</v>
      </c>
      <c r="F5063">
        <v>111.69</v>
      </c>
    </row>
    <row r="5064" spans="1:6" x14ac:dyDescent="0.25">
      <c r="A5064" t="s">
        <v>2042</v>
      </c>
      <c r="B5064" t="s">
        <v>41</v>
      </c>
      <c r="C5064" t="s">
        <v>108</v>
      </c>
      <c r="D5064" t="s">
        <v>3218</v>
      </c>
      <c r="E5064">
        <v>15.6</v>
      </c>
      <c r="F5064">
        <v>112.08</v>
      </c>
    </row>
    <row r="5065" spans="1:6" x14ac:dyDescent="0.25">
      <c r="A5065" t="s">
        <v>2042</v>
      </c>
      <c r="B5065" t="s">
        <v>41</v>
      </c>
      <c r="C5065" t="s">
        <v>108</v>
      </c>
      <c r="D5065" t="s">
        <v>3219</v>
      </c>
      <c r="E5065">
        <v>35.6</v>
      </c>
      <c r="F5065">
        <v>112.17</v>
      </c>
    </row>
    <row r="5066" spans="1:6" x14ac:dyDescent="0.25">
      <c r="A5066" t="s">
        <v>2043</v>
      </c>
      <c r="B5066" t="s">
        <v>41</v>
      </c>
      <c r="C5066" t="s">
        <v>109</v>
      </c>
      <c r="D5066" t="s">
        <v>3217</v>
      </c>
      <c r="E5066">
        <v>0</v>
      </c>
      <c r="F5066">
        <v>111.03</v>
      </c>
    </row>
    <row r="5067" spans="1:6" x14ac:dyDescent="0.25">
      <c r="A5067" t="s">
        <v>2043</v>
      </c>
      <c r="B5067" t="s">
        <v>41</v>
      </c>
      <c r="C5067" t="s">
        <v>109</v>
      </c>
      <c r="D5067" t="s">
        <v>3218</v>
      </c>
      <c r="E5067">
        <v>15.96</v>
      </c>
      <c r="F5067">
        <v>111.46</v>
      </c>
    </row>
    <row r="5068" spans="1:6" x14ac:dyDescent="0.25">
      <c r="A5068" t="s">
        <v>2043</v>
      </c>
      <c r="B5068" t="s">
        <v>41</v>
      </c>
      <c r="C5068" t="s">
        <v>109</v>
      </c>
      <c r="D5068" t="s">
        <v>3219</v>
      </c>
      <c r="E5068">
        <v>35.96</v>
      </c>
      <c r="F5068">
        <v>111.55</v>
      </c>
    </row>
    <row r="5069" spans="1:6" x14ac:dyDescent="0.25">
      <c r="A5069" t="s">
        <v>2044</v>
      </c>
      <c r="B5069" t="s">
        <v>41</v>
      </c>
      <c r="C5069" t="s">
        <v>110</v>
      </c>
      <c r="D5069" t="s">
        <v>3217</v>
      </c>
      <c r="E5069">
        <v>0</v>
      </c>
      <c r="F5069">
        <v>110.56</v>
      </c>
    </row>
    <row r="5070" spans="1:6" x14ac:dyDescent="0.25">
      <c r="A5070" t="s">
        <v>2044</v>
      </c>
      <c r="B5070" t="s">
        <v>41</v>
      </c>
      <c r="C5070" t="s">
        <v>110</v>
      </c>
      <c r="D5070" t="s">
        <v>3218</v>
      </c>
      <c r="E5070">
        <v>16.149999999999999</v>
      </c>
      <c r="F5070">
        <v>110.92</v>
      </c>
    </row>
    <row r="5071" spans="1:6" x14ac:dyDescent="0.25">
      <c r="A5071" t="s">
        <v>2044</v>
      </c>
      <c r="B5071" t="s">
        <v>41</v>
      </c>
      <c r="C5071" t="s">
        <v>110</v>
      </c>
      <c r="D5071" t="s">
        <v>3219</v>
      </c>
      <c r="E5071">
        <v>36.15</v>
      </c>
      <c r="F5071">
        <v>110.99</v>
      </c>
    </row>
    <row r="5072" spans="1:6" x14ac:dyDescent="0.25">
      <c r="A5072" t="s">
        <v>2045</v>
      </c>
      <c r="B5072" t="s">
        <v>41</v>
      </c>
      <c r="C5072" t="s">
        <v>111</v>
      </c>
      <c r="D5072" t="s">
        <v>3217</v>
      </c>
      <c r="E5072">
        <v>0</v>
      </c>
      <c r="F5072">
        <v>109.85</v>
      </c>
    </row>
    <row r="5073" spans="1:6" x14ac:dyDescent="0.25">
      <c r="A5073" t="s">
        <v>2045</v>
      </c>
      <c r="B5073" t="s">
        <v>41</v>
      </c>
      <c r="C5073" t="s">
        <v>111</v>
      </c>
      <c r="D5073" t="s">
        <v>3218</v>
      </c>
      <c r="E5073">
        <v>16.149999999999999</v>
      </c>
      <c r="F5073">
        <v>110.34</v>
      </c>
    </row>
    <row r="5074" spans="1:6" x14ac:dyDescent="0.25">
      <c r="A5074" t="s">
        <v>2045</v>
      </c>
      <c r="B5074" t="s">
        <v>41</v>
      </c>
      <c r="C5074" t="s">
        <v>111</v>
      </c>
      <c r="D5074" t="s">
        <v>3219</v>
      </c>
      <c r="E5074">
        <v>36.15</v>
      </c>
      <c r="F5074">
        <v>110.36</v>
      </c>
    </row>
    <row r="5075" spans="1:6" x14ac:dyDescent="0.25">
      <c r="A5075" t="s">
        <v>2046</v>
      </c>
      <c r="B5075" t="s">
        <v>41</v>
      </c>
      <c r="C5075" t="s">
        <v>112</v>
      </c>
      <c r="D5075" t="s">
        <v>3217</v>
      </c>
      <c r="E5075">
        <v>0</v>
      </c>
      <c r="F5075">
        <v>108.97</v>
      </c>
    </row>
    <row r="5076" spans="1:6" x14ac:dyDescent="0.25">
      <c r="A5076" t="s">
        <v>2046</v>
      </c>
      <c r="B5076" t="s">
        <v>41</v>
      </c>
      <c r="C5076" t="s">
        <v>112</v>
      </c>
      <c r="D5076" t="s">
        <v>3218</v>
      </c>
      <c r="E5076">
        <v>17.97</v>
      </c>
      <c r="F5076">
        <v>109.62</v>
      </c>
    </row>
    <row r="5077" spans="1:6" x14ac:dyDescent="0.25">
      <c r="A5077" t="s">
        <v>2046</v>
      </c>
      <c r="B5077" t="s">
        <v>41</v>
      </c>
      <c r="C5077" t="s">
        <v>112</v>
      </c>
      <c r="D5077" t="s">
        <v>3219</v>
      </c>
      <c r="E5077">
        <v>37.97</v>
      </c>
      <c r="F5077">
        <v>109.82</v>
      </c>
    </row>
    <row r="5078" spans="1:6" x14ac:dyDescent="0.25">
      <c r="A5078" t="s">
        <v>2047</v>
      </c>
      <c r="B5078" t="s">
        <v>41</v>
      </c>
      <c r="C5078" t="s">
        <v>113</v>
      </c>
      <c r="D5078" t="s">
        <v>3217</v>
      </c>
      <c r="E5078">
        <v>0</v>
      </c>
      <c r="F5078">
        <v>108.39</v>
      </c>
    </row>
    <row r="5079" spans="1:6" x14ac:dyDescent="0.25">
      <c r="A5079" t="s">
        <v>2047</v>
      </c>
      <c r="B5079" t="s">
        <v>41</v>
      </c>
      <c r="C5079" t="s">
        <v>113</v>
      </c>
      <c r="D5079" t="s">
        <v>3218</v>
      </c>
      <c r="E5079">
        <v>15.85</v>
      </c>
      <c r="F5079">
        <v>108.86</v>
      </c>
    </row>
    <row r="5080" spans="1:6" x14ac:dyDescent="0.25">
      <c r="A5080" t="s">
        <v>2047</v>
      </c>
      <c r="B5080" t="s">
        <v>41</v>
      </c>
      <c r="C5080" t="s">
        <v>113</v>
      </c>
      <c r="D5080" t="s">
        <v>3219</v>
      </c>
      <c r="E5080">
        <v>35.85</v>
      </c>
      <c r="F5080">
        <v>109.15</v>
      </c>
    </row>
    <row r="5081" spans="1:6" x14ac:dyDescent="0.25">
      <c r="A5081" t="s">
        <v>2048</v>
      </c>
      <c r="B5081" t="s">
        <v>41</v>
      </c>
      <c r="C5081" t="s">
        <v>114</v>
      </c>
      <c r="D5081" t="s">
        <v>3217</v>
      </c>
      <c r="E5081">
        <v>0</v>
      </c>
      <c r="F5081">
        <v>107.46</v>
      </c>
    </row>
    <row r="5082" spans="1:6" x14ac:dyDescent="0.25">
      <c r="A5082" t="s">
        <v>2048</v>
      </c>
      <c r="B5082" t="s">
        <v>41</v>
      </c>
      <c r="C5082" t="s">
        <v>114</v>
      </c>
      <c r="D5082" t="s">
        <v>3218</v>
      </c>
      <c r="E5082">
        <v>16.149999999999999</v>
      </c>
      <c r="F5082">
        <v>108.05</v>
      </c>
    </row>
    <row r="5083" spans="1:6" x14ac:dyDescent="0.25">
      <c r="A5083" t="s">
        <v>2048</v>
      </c>
      <c r="B5083" t="s">
        <v>41</v>
      </c>
      <c r="C5083" t="s">
        <v>114</v>
      </c>
      <c r="D5083" t="s">
        <v>3219</v>
      </c>
      <c r="E5083">
        <v>36.15</v>
      </c>
      <c r="F5083">
        <v>108.27</v>
      </c>
    </row>
    <row r="5084" spans="1:6" x14ac:dyDescent="0.25">
      <c r="A5084" t="s">
        <v>2049</v>
      </c>
      <c r="B5084" t="s">
        <v>41</v>
      </c>
      <c r="C5084" t="s">
        <v>115</v>
      </c>
      <c r="D5084" t="s">
        <v>3217</v>
      </c>
      <c r="E5084">
        <v>0</v>
      </c>
      <c r="F5084">
        <v>106.64</v>
      </c>
    </row>
    <row r="5085" spans="1:6" x14ac:dyDescent="0.25">
      <c r="A5085" t="s">
        <v>2049</v>
      </c>
      <c r="B5085" t="s">
        <v>41</v>
      </c>
      <c r="C5085" t="s">
        <v>115</v>
      </c>
      <c r="D5085" t="s">
        <v>3218</v>
      </c>
      <c r="E5085">
        <v>16.45</v>
      </c>
      <c r="F5085">
        <v>107.17</v>
      </c>
    </row>
    <row r="5086" spans="1:6" x14ac:dyDescent="0.25">
      <c r="A5086" t="s">
        <v>2049</v>
      </c>
      <c r="B5086" t="s">
        <v>41</v>
      </c>
      <c r="C5086" t="s">
        <v>115</v>
      </c>
      <c r="D5086" t="s">
        <v>3219</v>
      </c>
      <c r="E5086">
        <v>34.090000000000003</v>
      </c>
      <c r="F5086">
        <v>107.34</v>
      </c>
    </row>
    <row r="5087" spans="1:6" x14ac:dyDescent="0.25">
      <c r="A5087" t="s">
        <v>2050</v>
      </c>
      <c r="B5087" t="s">
        <v>41</v>
      </c>
      <c r="C5087" t="s">
        <v>116</v>
      </c>
      <c r="D5087" t="s">
        <v>3217</v>
      </c>
      <c r="E5087">
        <v>0</v>
      </c>
      <c r="F5087">
        <v>105.83</v>
      </c>
    </row>
    <row r="5088" spans="1:6" x14ac:dyDescent="0.25">
      <c r="A5088" t="s">
        <v>2050</v>
      </c>
      <c r="B5088" t="s">
        <v>41</v>
      </c>
      <c r="C5088" t="s">
        <v>116</v>
      </c>
      <c r="D5088" t="s">
        <v>3218</v>
      </c>
      <c r="E5088">
        <v>15.6</v>
      </c>
      <c r="F5088">
        <v>106.35</v>
      </c>
    </row>
    <row r="5089" spans="1:6" x14ac:dyDescent="0.25">
      <c r="A5089" t="s">
        <v>2050</v>
      </c>
      <c r="B5089" t="s">
        <v>41</v>
      </c>
      <c r="C5089" t="s">
        <v>116</v>
      </c>
      <c r="D5089" t="s">
        <v>3219</v>
      </c>
      <c r="E5089">
        <v>32.630000000000003</v>
      </c>
      <c r="F5089">
        <v>106.38</v>
      </c>
    </row>
    <row r="5090" spans="1:6" x14ac:dyDescent="0.25">
      <c r="A5090" t="s">
        <v>2051</v>
      </c>
      <c r="B5090" t="s">
        <v>41</v>
      </c>
      <c r="C5090" t="s">
        <v>117</v>
      </c>
      <c r="D5090" t="s">
        <v>3217</v>
      </c>
      <c r="E5090">
        <v>0</v>
      </c>
      <c r="F5090">
        <v>104.84</v>
      </c>
    </row>
    <row r="5091" spans="1:6" x14ac:dyDescent="0.25">
      <c r="A5091" t="s">
        <v>2051</v>
      </c>
      <c r="B5091" t="s">
        <v>41</v>
      </c>
      <c r="C5091" t="s">
        <v>117</v>
      </c>
      <c r="D5091" t="s">
        <v>3218</v>
      </c>
      <c r="E5091">
        <v>14.93</v>
      </c>
      <c r="F5091">
        <v>105.48</v>
      </c>
    </row>
    <row r="5092" spans="1:6" x14ac:dyDescent="0.25">
      <c r="A5092" t="s">
        <v>2051</v>
      </c>
      <c r="B5092" t="s">
        <v>41</v>
      </c>
      <c r="C5092" t="s">
        <v>117</v>
      </c>
      <c r="D5092" t="s">
        <v>3219</v>
      </c>
      <c r="E5092">
        <v>31.7</v>
      </c>
      <c r="F5092">
        <v>105.38</v>
      </c>
    </row>
    <row r="5093" spans="1:6" x14ac:dyDescent="0.25">
      <c r="A5093" t="s">
        <v>2052</v>
      </c>
      <c r="B5093" t="s">
        <v>41</v>
      </c>
      <c r="C5093" t="s">
        <v>118</v>
      </c>
      <c r="D5093" t="s">
        <v>3217</v>
      </c>
      <c r="E5093">
        <v>0</v>
      </c>
      <c r="F5093">
        <v>104.01</v>
      </c>
    </row>
    <row r="5094" spans="1:6" x14ac:dyDescent="0.25">
      <c r="A5094" t="s">
        <v>2052</v>
      </c>
      <c r="B5094" t="s">
        <v>41</v>
      </c>
      <c r="C5094" t="s">
        <v>118</v>
      </c>
      <c r="D5094" t="s">
        <v>3218</v>
      </c>
      <c r="E5094">
        <v>14.25</v>
      </c>
      <c r="F5094">
        <v>104.53</v>
      </c>
    </row>
    <row r="5095" spans="1:6" x14ac:dyDescent="0.25">
      <c r="A5095" t="s">
        <v>2052</v>
      </c>
      <c r="B5095" t="s">
        <v>41</v>
      </c>
      <c r="C5095" t="s">
        <v>118</v>
      </c>
      <c r="D5095" t="s">
        <v>3219</v>
      </c>
      <c r="E5095">
        <v>30.78</v>
      </c>
      <c r="F5095">
        <v>104.38</v>
      </c>
    </row>
    <row r="5096" spans="1:6" x14ac:dyDescent="0.25">
      <c r="A5096" t="s">
        <v>2053</v>
      </c>
      <c r="B5096" t="s">
        <v>41</v>
      </c>
      <c r="C5096" t="s">
        <v>119</v>
      </c>
      <c r="D5096" t="s">
        <v>3217</v>
      </c>
      <c r="E5096">
        <v>0</v>
      </c>
      <c r="F5096">
        <v>103.31</v>
      </c>
    </row>
    <row r="5097" spans="1:6" x14ac:dyDescent="0.25">
      <c r="A5097" t="s">
        <v>2053</v>
      </c>
      <c r="B5097" t="s">
        <v>41</v>
      </c>
      <c r="C5097" t="s">
        <v>119</v>
      </c>
      <c r="D5097" t="s">
        <v>3218</v>
      </c>
      <c r="E5097">
        <v>14.15</v>
      </c>
      <c r="F5097">
        <v>103.61</v>
      </c>
    </row>
    <row r="5098" spans="1:6" x14ac:dyDescent="0.25">
      <c r="A5098" t="s">
        <v>2053</v>
      </c>
      <c r="B5098" t="s">
        <v>41</v>
      </c>
      <c r="C5098" t="s">
        <v>119</v>
      </c>
      <c r="D5098" t="s">
        <v>3219</v>
      </c>
      <c r="E5098">
        <v>30.92</v>
      </c>
      <c r="F5098">
        <v>103.44</v>
      </c>
    </row>
    <row r="5099" spans="1:6" x14ac:dyDescent="0.25">
      <c r="A5099" t="s">
        <v>2054</v>
      </c>
      <c r="B5099" t="s">
        <v>41</v>
      </c>
      <c r="C5099" t="s">
        <v>120</v>
      </c>
      <c r="D5099" t="s">
        <v>3217</v>
      </c>
      <c r="E5099">
        <v>0</v>
      </c>
      <c r="F5099">
        <v>102.71</v>
      </c>
    </row>
    <row r="5100" spans="1:6" x14ac:dyDescent="0.25">
      <c r="A5100" t="s">
        <v>2054</v>
      </c>
      <c r="B5100" t="s">
        <v>41</v>
      </c>
      <c r="C5100" t="s">
        <v>120</v>
      </c>
      <c r="D5100" t="s">
        <v>3218</v>
      </c>
      <c r="E5100">
        <v>13.25</v>
      </c>
      <c r="F5100">
        <v>102.79</v>
      </c>
    </row>
    <row r="5101" spans="1:6" x14ac:dyDescent="0.25">
      <c r="A5101" t="s">
        <v>2054</v>
      </c>
      <c r="B5101" t="s">
        <v>41</v>
      </c>
      <c r="C5101" t="s">
        <v>120</v>
      </c>
      <c r="D5101" t="s">
        <v>3219</v>
      </c>
      <c r="E5101">
        <v>29.78</v>
      </c>
      <c r="F5101">
        <v>102.54</v>
      </c>
    </row>
    <row r="5102" spans="1:6" x14ac:dyDescent="0.25">
      <c r="A5102" t="s">
        <v>2055</v>
      </c>
      <c r="B5102" t="s">
        <v>41</v>
      </c>
      <c r="C5102" t="s">
        <v>121</v>
      </c>
      <c r="D5102" t="s">
        <v>3217</v>
      </c>
      <c r="E5102">
        <v>0</v>
      </c>
      <c r="F5102">
        <v>102</v>
      </c>
    </row>
    <row r="5103" spans="1:6" x14ac:dyDescent="0.25">
      <c r="A5103" t="s">
        <v>2055</v>
      </c>
      <c r="B5103" t="s">
        <v>41</v>
      </c>
      <c r="C5103" t="s">
        <v>121</v>
      </c>
      <c r="D5103" t="s">
        <v>3218</v>
      </c>
      <c r="E5103">
        <v>13.25</v>
      </c>
      <c r="F5103">
        <v>102.07</v>
      </c>
    </row>
    <row r="5104" spans="1:6" x14ac:dyDescent="0.25">
      <c r="A5104" t="s">
        <v>2055</v>
      </c>
      <c r="B5104" t="s">
        <v>41</v>
      </c>
      <c r="C5104" t="s">
        <v>121</v>
      </c>
      <c r="D5104" t="s">
        <v>3219</v>
      </c>
      <c r="E5104">
        <v>27.83</v>
      </c>
      <c r="F5104">
        <v>102.09</v>
      </c>
    </row>
    <row r="5105" spans="1:6" x14ac:dyDescent="0.25">
      <c r="A5105" t="s">
        <v>2056</v>
      </c>
      <c r="B5105" t="s">
        <v>41</v>
      </c>
      <c r="C5105" t="s">
        <v>123</v>
      </c>
      <c r="D5105" t="s">
        <v>3217</v>
      </c>
      <c r="E5105">
        <v>0</v>
      </c>
      <c r="F5105">
        <v>101.55</v>
      </c>
    </row>
    <row r="5106" spans="1:6" x14ac:dyDescent="0.25">
      <c r="A5106" t="s">
        <v>2056</v>
      </c>
      <c r="B5106" t="s">
        <v>41</v>
      </c>
      <c r="C5106" t="s">
        <v>123</v>
      </c>
      <c r="D5106" t="s">
        <v>3218</v>
      </c>
      <c r="E5106">
        <v>11.75</v>
      </c>
      <c r="F5106">
        <v>101.58</v>
      </c>
    </row>
    <row r="5107" spans="1:6" x14ac:dyDescent="0.25">
      <c r="A5107" t="s">
        <v>2056</v>
      </c>
      <c r="B5107" t="s">
        <v>41</v>
      </c>
      <c r="C5107" t="s">
        <v>123</v>
      </c>
      <c r="D5107" t="s">
        <v>3219</v>
      </c>
      <c r="E5107">
        <v>27.01</v>
      </c>
      <c r="F5107">
        <v>101.59</v>
      </c>
    </row>
    <row r="5108" spans="1:6" x14ac:dyDescent="0.25">
      <c r="A5108" t="s">
        <v>2057</v>
      </c>
      <c r="B5108" t="s">
        <v>41</v>
      </c>
      <c r="C5108" t="s">
        <v>124</v>
      </c>
      <c r="D5108" t="s">
        <v>3217</v>
      </c>
      <c r="E5108">
        <v>0</v>
      </c>
      <c r="F5108">
        <v>100.99</v>
      </c>
    </row>
    <row r="5109" spans="1:6" x14ac:dyDescent="0.25">
      <c r="A5109" t="s">
        <v>2057</v>
      </c>
      <c r="B5109" t="s">
        <v>41</v>
      </c>
      <c r="C5109" t="s">
        <v>124</v>
      </c>
      <c r="D5109" t="s">
        <v>3218</v>
      </c>
      <c r="E5109">
        <v>11.46</v>
      </c>
      <c r="F5109">
        <v>101.09</v>
      </c>
    </row>
    <row r="5110" spans="1:6" x14ac:dyDescent="0.25">
      <c r="A5110" t="s">
        <v>2057</v>
      </c>
      <c r="B5110" t="s">
        <v>41</v>
      </c>
      <c r="C5110" t="s">
        <v>124</v>
      </c>
      <c r="D5110" t="s">
        <v>3219</v>
      </c>
      <c r="E5110">
        <v>27.14</v>
      </c>
      <c r="F5110">
        <v>100.84</v>
      </c>
    </row>
    <row r="5111" spans="1:6" x14ac:dyDescent="0.25">
      <c r="A5111" t="s">
        <v>2058</v>
      </c>
      <c r="B5111" t="s">
        <v>41</v>
      </c>
      <c r="C5111" t="s">
        <v>125</v>
      </c>
      <c r="D5111" t="s">
        <v>3217</v>
      </c>
      <c r="E5111">
        <v>0</v>
      </c>
      <c r="F5111">
        <v>100.48</v>
      </c>
    </row>
    <row r="5112" spans="1:6" x14ac:dyDescent="0.25">
      <c r="A5112" t="s">
        <v>2058</v>
      </c>
      <c r="B5112" t="s">
        <v>41</v>
      </c>
      <c r="C5112" t="s">
        <v>125</v>
      </c>
      <c r="D5112" t="s">
        <v>3218</v>
      </c>
      <c r="E5112">
        <v>11.46</v>
      </c>
      <c r="F5112">
        <v>100.46</v>
      </c>
    </row>
    <row r="5113" spans="1:6" x14ac:dyDescent="0.25">
      <c r="A5113" t="s">
        <v>2058</v>
      </c>
      <c r="B5113" t="s">
        <v>41</v>
      </c>
      <c r="C5113" t="s">
        <v>125</v>
      </c>
      <c r="D5113" t="s">
        <v>3219</v>
      </c>
      <c r="E5113">
        <v>26.41</v>
      </c>
      <c r="F5113">
        <v>100.43</v>
      </c>
    </row>
    <row r="5114" spans="1:6" x14ac:dyDescent="0.25">
      <c r="A5114" t="s">
        <v>2059</v>
      </c>
      <c r="B5114" t="s">
        <v>41</v>
      </c>
      <c r="C5114" t="s">
        <v>126</v>
      </c>
      <c r="D5114" t="s">
        <v>3217</v>
      </c>
      <c r="E5114">
        <v>0</v>
      </c>
      <c r="F5114">
        <v>99.77</v>
      </c>
    </row>
    <row r="5115" spans="1:6" x14ac:dyDescent="0.25">
      <c r="A5115" t="s">
        <v>2059</v>
      </c>
      <c r="B5115" t="s">
        <v>41</v>
      </c>
      <c r="C5115" t="s">
        <v>126</v>
      </c>
      <c r="D5115" t="s">
        <v>3218</v>
      </c>
      <c r="E5115">
        <v>11.46</v>
      </c>
      <c r="F5115">
        <v>99.95</v>
      </c>
    </row>
    <row r="5116" spans="1:6" x14ac:dyDescent="0.25">
      <c r="A5116" t="s">
        <v>2059</v>
      </c>
      <c r="B5116" t="s">
        <v>41</v>
      </c>
      <c r="C5116" t="s">
        <v>126</v>
      </c>
      <c r="D5116" t="s">
        <v>3219</v>
      </c>
      <c r="E5116">
        <v>26.61</v>
      </c>
      <c r="F5116">
        <v>100.06</v>
      </c>
    </row>
    <row r="5117" spans="1:6" x14ac:dyDescent="0.25">
      <c r="A5117" t="s">
        <v>2060</v>
      </c>
      <c r="B5117" t="s">
        <v>41</v>
      </c>
      <c r="C5117" t="s">
        <v>127</v>
      </c>
      <c r="D5117" t="s">
        <v>3217</v>
      </c>
      <c r="E5117">
        <v>0</v>
      </c>
      <c r="F5117">
        <v>99.37</v>
      </c>
    </row>
    <row r="5118" spans="1:6" x14ac:dyDescent="0.25">
      <c r="A5118" t="s">
        <v>2060</v>
      </c>
      <c r="B5118" t="s">
        <v>41</v>
      </c>
      <c r="C5118" t="s">
        <v>127</v>
      </c>
      <c r="D5118" t="s">
        <v>3218</v>
      </c>
      <c r="E5118">
        <v>12.46</v>
      </c>
      <c r="F5118">
        <v>99.48</v>
      </c>
    </row>
    <row r="5119" spans="1:6" x14ac:dyDescent="0.25">
      <c r="A5119" t="s">
        <v>2060</v>
      </c>
      <c r="B5119" t="s">
        <v>41</v>
      </c>
      <c r="C5119" t="s">
        <v>127</v>
      </c>
      <c r="D5119" t="s">
        <v>3219</v>
      </c>
      <c r="E5119">
        <v>26.98</v>
      </c>
      <c r="F5119">
        <v>99.5</v>
      </c>
    </row>
    <row r="5120" spans="1:6" x14ac:dyDescent="0.25">
      <c r="A5120" t="s">
        <v>2061</v>
      </c>
      <c r="B5120" t="s">
        <v>41</v>
      </c>
      <c r="C5120" t="s">
        <v>128</v>
      </c>
      <c r="D5120" t="s">
        <v>3217</v>
      </c>
      <c r="E5120">
        <v>0</v>
      </c>
      <c r="F5120">
        <v>99.26</v>
      </c>
    </row>
    <row r="5121" spans="1:6" x14ac:dyDescent="0.25">
      <c r="A5121" t="s">
        <v>2061</v>
      </c>
      <c r="B5121" t="s">
        <v>41</v>
      </c>
      <c r="C5121" t="s">
        <v>128</v>
      </c>
      <c r="D5121" t="s">
        <v>3218</v>
      </c>
      <c r="E5121">
        <v>11.02</v>
      </c>
      <c r="F5121">
        <v>99.23</v>
      </c>
    </row>
    <row r="5122" spans="1:6" x14ac:dyDescent="0.25">
      <c r="A5122" t="s">
        <v>2061</v>
      </c>
      <c r="B5122" t="s">
        <v>41</v>
      </c>
      <c r="C5122" t="s">
        <v>128</v>
      </c>
      <c r="D5122" t="s">
        <v>3219</v>
      </c>
      <c r="E5122">
        <v>25.86</v>
      </c>
      <c r="F5122">
        <v>99.09</v>
      </c>
    </row>
    <row r="5123" spans="1:6" x14ac:dyDescent="0.25">
      <c r="A5123" t="s">
        <v>2062</v>
      </c>
      <c r="B5123" t="s">
        <v>41</v>
      </c>
      <c r="C5123" t="s">
        <v>129</v>
      </c>
      <c r="D5123" t="s">
        <v>3217</v>
      </c>
      <c r="E5123">
        <v>0</v>
      </c>
      <c r="F5123">
        <v>99.11</v>
      </c>
    </row>
    <row r="5124" spans="1:6" x14ac:dyDescent="0.25">
      <c r="A5124" t="s">
        <v>2062</v>
      </c>
      <c r="B5124" t="s">
        <v>41</v>
      </c>
      <c r="C5124" t="s">
        <v>129</v>
      </c>
      <c r="D5124" t="s">
        <v>3218</v>
      </c>
      <c r="E5124">
        <v>12.51</v>
      </c>
      <c r="F5124">
        <v>99.08</v>
      </c>
    </row>
    <row r="5125" spans="1:6" x14ac:dyDescent="0.25">
      <c r="A5125" t="s">
        <v>2062</v>
      </c>
      <c r="B5125" t="s">
        <v>41</v>
      </c>
      <c r="C5125" t="s">
        <v>129</v>
      </c>
      <c r="D5125" t="s">
        <v>3219</v>
      </c>
      <c r="E5125">
        <v>26.3</v>
      </c>
      <c r="F5125">
        <v>99.01</v>
      </c>
    </row>
    <row r="5126" spans="1:6" x14ac:dyDescent="0.25">
      <c r="A5126" t="s">
        <v>2063</v>
      </c>
      <c r="B5126" t="s">
        <v>41</v>
      </c>
      <c r="C5126" t="s">
        <v>130</v>
      </c>
      <c r="D5126" t="s">
        <v>3217</v>
      </c>
      <c r="E5126">
        <v>0</v>
      </c>
      <c r="F5126">
        <v>99</v>
      </c>
    </row>
    <row r="5127" spans="1:6" x14ac:dyDescent="0.25">
      <c r="A5127" t="s">
        <v>2063</v>
      </c>
      <c r="B5127" t="s">
        <v>41</v>
      </c>
      <c r="C5127" t="s">
        <v>130</v>
      </c>
      <c r="D5127" t="s">
        <v>3218</v>
      </c>
      <c r="E5127">
        <v>14.84</v>
      </c>
      <c r="F5127">
        <v>98.97</v>
      </c>
    </row>
    <row r="5128" spans="1:6" x14ac:dyDescent="0.25">
      <c r="A5128" t="s">
        <v>2063</v>
      </c>
      <c r="B5128" t="s">
        <v>41</v>
      </c>
      <c r="C5128" t="s">
        <v>130</v>
      </c>
      <c r="D5128" t="s">
        <v>3219</v>
      </c>
      <c r="E5128">
        <v>28.21</v>
      </c>
      <c r="F5128">
        <v>98.83</v>
      </c>
    </row>
    <row r="5129" spans="1:6" x14ac:dyDescent="0.25">
      <c r="A5129" t="s">
        <v>2064</v>
      </c>
      <c r="B5129" t="s">
        <v>41</v>
      </c>
      <c r="C5129" t="s">
        <v>131</v>
      </c>
      <c r="D5129" t="s">
        <v>3217</v>
      </c>
      <c r="E5129">
        <v>0</v>
      </c>
      <c r="F5129">
        <v>98.96</v>
      </c>
    </row>
    <row r="5130" spans="1:6" x14ac:dyDescent="0.25">
      <c r="A5130" t="s">
        <v>2064</v>
      </c>
      <c r="B5130" t="s">
        <v>41</v>
      </c>
      <c r="C5130" t="s">
        <v>131</v>
      </c>
      <c r="D5130" t="s">
        <v>3218</v>
      </c>
      <c r="E5130">
        <v>14.84</v>
      </c>
      <c r="F5130">
        <v>98.8</v>
      </c>
    </row>
    <row r="5131" spans="1:6" x14ac:dyDescent="0.25">
      <c r="A5131" t="s">
        <v>2064</v>
      </c>
      <c r="B5131" t="s">
        <v>41</v>
      </c>
      <c r="C5131" t="s">
        <v>131</v>
      </c>
      <c r="D5131" t="s">
        <v>3219</v>
      </c>
      <c r="E5131">
        <v>29.07</v>
      </c>
      <c r="F5131">
        <v>98.63</v>
      </c>
    </row>
    <row r="5132" spans="1:6" x14ac:dyDescent="0.25">
      <c r="A5132" t="s">
        <v>2065</v>
      </c>
      <c r="B5132" t="s">
        <v>41</v>
      </c>
      <c r="C5132" t="s">
        <v>132</v>
      </c>
      <c r="D5132" t="s">
        <v>3217</v>
      </c>
      <c r="E5132">
        <v>0</v>
      </c>
      <c r="F5132">
        <v>98.74</v>
      </c>
    </row>
    <row r="5133" spans="1:6" x14ac:dyDescent="0.25">
      <c r="A5133" t="s">
        <v>2065</v>
      </c>
      <c r="B5133" t="s">
        <v>41</v>
      </c>
      <c r="C5133" t="s">
        <v>132</v>
      </c>
      <c r="D5133" t="s">
        <v>3218</v>
      </c>
      <c r="E5133">
        <v>14.96</v>
      </c>
      <c r="F5133">
        <v>98.58</v>
      </c>
    </row>
    <row r="5134" spans="1:6" x14ac:dyDescent="0.25">
      <c r="A5134" t="s">
        <v>2065</v>
      </c>
      <c r="B5134" t="s">
        <v>41</v>
      </c>
      <c r="C5134" t="s">
        <v>132</v>
      </c>
      <c r="D5134" t="s">
        <v>3219</v>
      </c>
      <c r="E5134">
        <v>30.35</v>
      </c>
      <c r="F5134">
        <v>98.42</v>
      </c>
    </row>
    <row r="5135" spans="1:6" x14ac:dyDescent="0.25">
      <c r="A5135" t="s">
        <v>2066</v>
      </c>
      <c r="B5135" t="s">
        <v>41</v>
      </c>
      <c r="C5135" t="s">
        <v>133</v>
      </c>
      <c r="D5135" t="s">
        <v>3217</v>
      </c>
      <c r="E5135">
        <v>0</v>
      </c>
      <c r="F5135">
        <v>98.84</v>
      </c>
    </row>
    <row r="5136" spans="1:6" x14ac:dyDescent="0.25">
      <c r="A5136" t="s">
        <v>2066</v>
      </c>
      <c r="B5136" t="s">
        <v>41</v>
      </c>
      <c r="C5136" t="s">
        <v>133</v>
      </c>
      <c r="D5136" t="s">
        <v>3218</v>
      </c>
      <c r="E5136">
        <v>16.57</v>
      </c>
      <c r="F5136">
        <v>98.49</v>
      </c>
    </row>
    <row r="5137" spans="1:6" x14ac:dyDescent="0.25">
      <c r="A5137" t="s">
        <v>2066</v>
      </c>
      <c r="B5137" t="s">
        <v>41</v>
      </c>
      <c r="C5137" t="s">
        <v>133</v>
      </c>
      <c r="D5137" t="s">
        <v>3219</v>
      </c>
      <c r="E5137">
        <v>32.65</v>
      </c>
      <c r="F5137">
        <v>98.39</v>
      </c>
    </row>
    <row r="5138" spans="1:6" x14ac:dyDescent="0.25">
      <c r="A5138" t="s">
        <v>2067</v>
      </c>
      <c r="B5138" t="s">
        <v>41</v>
      </c>
      <c r="C5138" t="s">
        <v>134</v>
      </c>
      <c r="D5138" t="s">
        <v>3217</v>
      </c>
      <c r="E5138">
        <v>0</v>
      </c>
      <c r="F5138">
        <v>98.29</v>
      </c>
    </row>
    <row r="5139" spans="1:6" x14ac:dyDescent="0.25">
      <c r="A5139" t="s">
        <v>2067</v>
      </c>
      <c r="B5139" t="s">
        <v>41</v>
      </c>
      <c r="C5139" t="s">
        <v>134</v>
      </c>
      <c r="D5139" t="s">
        <v>3218</v>
      </c>
      <c r="E5139">
        <v>14.96</v>
      </c>
      <c r="F5139">
        <v>98.46</v>
      </c>
    </row>
    <row r="5140" spans="1:6" x14ac:dyDescent="0.25">
      <c r="A5140" t="s">
        <v>2067</v>
      </c>
      <c r="B5140" t="s">
        <v>41</v>
      </c>
      <c r="C5140" t="s">
        <v>134</v>
      </c>
      <c r="D5140" t="s">
        <v>3219</v>
      </c>
      <c r="E5140">
        <v>30.35</v>
      </c>
      <c r="F5140">
        <v>98.41</v>
      </c>
    </row>
    <row r="5141" spans="1:6" x14ac:dyDescent="0.25">
      <c r="A5141" t="s">
        <v>2068</v>
      </c>
      <c r="B5141" t="s">
        <v>41</v>
      </c>
      <c r="C5141" t="s">
        <v>135</v>
      </c>
      <c r="D5141" t="s">
        <v>3217</v>
      </c>
      <c r="E5141">
        <v>0</v>
      </c>
      <c r="F5141">
        <v>98.26</v>
      </c>
    </row>
    <row r="5142" spans="1:6" x14ac:dyDescent="0.25">
      <c r="A5142" t="s">
        <v>2068</v>
      </c>
      <c r="B5142" t="s">
        <v>41</v>
      </c>
      <c r="C5142" t="s">
        <v>135</v>
      </c>
      <c r="D5142" t="s">
        <v>3218</v>
      </c>
      <c r="E5142">
        <v>14.64</v>
      </c>
      <c r="F5142">
        <v>98.47</v>
      </c>
    </row>
    <row r="5143" spans="1:6" x14ac:dyDescent="0.25">
      <c r="A5143" t="s">
        <v>2068</v>
      </c>
      <c r="B5143" t="s">
        <v>41</v>
      </c>
      <c r="C5143" t="s">
        <v>135</v>
      </c>
      <c r="D5143" t="s">
        <v>3219</v>
      </c>
      <c r="E5143">
        <v>29.29</v>
      </c>
      <c r="F5143">
        <v>98.34</v>
      </c>
    </row>
    <row r="5144" spans="1:6" x14ac:dyDescent="0.25">
      <c r="A5144" t="s">
        <v>2069</v>
      </c>
      <c r="B5144" t="s">
        <v>41</v>
      </c>
      <c r="C5144" t="s">
        <v>136</v>
      </c>
      <c r="D5144" t="s">
        <v>3217</v>
      </c>
      <c r="E5144">
        <v>0</v>
      </c>
      <c r="F5144">
        <v>97.98</v>
      </c>
    </row>
    <row r="5145" spans="1:6" x14ac:dyDescent="0.25">
      <c r="A5145" t="s">
        <v>2069</v>
      </c>
      <c r="B5145" t="s">
        <v>41</v>
      </c>
      <c r="C5145" t="s">
        <v>136</v>
      </c>
      <c r="D5145" t="s">
        <v>3218</v>
      </c>
      <c r="E5145">
        <v>14.64</v>
      </c>
      <c r="F5145">
        <v>98.32</v>
      </c>
    </row>
    <row r="5146" spans="1:6" x14ac:dyDescent="0.25">
      <c r="A5146" t="s">
        <v>2069</v>
      </c>
      <c r="B5146" t="s">
        <v>41</v>
      </c>
      <c r="C5146" t="s">
        <v>136</v>
      </c>
      <c r="D5146" t="s">
        <v>3219</v>
      </c>
      <c r="E5146">
        <v>29.39</v>
      </c>
      <c r="F5146">
        <v>98.17</v>
      </c>
    </row>
    <row r="5147" spans="1:6" x14ac:dyDescent="0.25">
      <c r="A5147" t="s">
        <v>2070</v>
      </c>
      <c r="B5147" t="s">
        <v>41</v>
      </c>
      <c r="C5147" t="s">
        <v>137</v>
      </c>
      <c r="D5147" t="s">
        <v>3217</v>
      </c>
      <c r="E5147">
        <v>0</v>
      </c>
      <c r="F5147">
        <v>97.99</v>
      </c>
    </row>
    <row r="5148" spans="1:6" x14ac:dyDescent="0.25">
      <c r="A5148" t="s">
        <v>2070</v>
      </c>
      <c r="B5148" t="s">
        <v>41</v>
      </c>
      <c r="C5148" t="s">
        <v>137</v>
      </c>
      <c r="D5148" t="s">
        <v>3218</v>
      </c>
      <c r="E5148">
        <v>14.06</v>
      </c>
      <c r="F5148">
        <v>98.3</v>
      </c>
    </row>
    <row r="5149" spans="1:6" x14ac:dyDescent="0.25">
      <c r="A5149" t="s">
        <v>2070</v>
      </c>
      <c r="B5149" t="s">
        <v>41</v>
      </c>
      <c r="C5149" t="s">
        <v>137</v>
      </c>
      <c r="D5149" t="s">
        <v>3219</v>
      </c>
      <c r="E5149">
        <v>28.87</v>
      </c>
      <c r="F5149">
        <v>98.3</v>
      </c>
    </row>
    <row r="5150" spans="1:6" x14ac:dyDescent="0.25">
      <c r="A5150" t="s">
        <v>2071</v>
      </c>
      <c r="B5150" t="s">
        <v>41</v>
      </c>
      <c r="C5150" t="s">
        <v>138</v>
      </c>
      <c r="D5150" t="s">
        <v>3217</v>
      </c>
      <c r="E5150">
        <v>0</v>
      </c>
      <c r="F5150">
        <v>98</v>
      </c>
    </row>
    <row r="5151" spans="1:6" x14ac:dyDescent="0.25">
      <c r="A5151" t="s">
        <v>2071</v>
      </c>
      <c r="B5151" t="s">
        <v>41</v>
      </c>
      <c r="C5151" t="s">
        <v>138</v>
      </c>
      <c r="D5151" t="s">
        <v>3218</v>
      </c>
      <c r="E5151">
        <v>13.87</v>
      </c>
      <c r="F5151">
        <v>98.42</v>
      </c>
    </row>
    <row r="5152" spans="1:6" x14ac:dyDescent="0.25">
      <c r="A5152" t="s">
        <v>2071</v>
      </c>
      <c r="B5152" t="s">
        <v>41</v>
      </c>
      <c r="C5152" t="s">
        <v>138</v>
      </c>
      <c r="D5152" t="s">
        <v>3219</v>
      </c>
      <c r="E5152">
        <v>28.85</v>
      </c>
      <c r="F5152">
        <v>98.39</v>
      </c>
    </row>
    <row r="5153" spans="1:6" x14ac:dyDescent="0.25">
      <c r="A5153" t="s">
        <v>2072</v>
      </c>
      <c r="B5153" t="s">
        <v>41</v>
      </c>
      <c r="C5153" t="s">
        <v>139</v>
      </c>
      <c r="D5153" t="s">
        <v>3217</v>
      </c>
      <c r="E5153">
        <v>0</v>
      </c>
      <c r="F5153">
        <v>97.92</v>
      </c>
    </row>
    <row r="5154" spans="1:6" x14ac:dyDescent="0.25">
      <c r="A5154" t="s">
        <v>2072</v>
      </c>
      <c r="B5154" t="s">
        <v>41</v>
      </c>
      <c r="C5154" t="s">
        <v>139</v>
      </c>
      <c r="D5154" t="s">
        <v>3218</v>
      </c>
      <c r="E5154">
        <v>13.86</v>
      </c>
      <c r="F5154">
        <v>98.44</v>
      </c>
    </row>
    <row r="5155" spans="1:6" x14ac:dyDescent="0.25">
      <c r="A5155" t="s">
        <v>2072</v>
      </c>
      <c r="B5155" t="s">
        <v>41</v>
      </c>
      <c r="C5155" t="s">
        <v>139</v>
      </c>
      <c r="D5155" t="s">
        <v>3219</v>
      </c>
      <c r="E5155">
        <v>28.41</v>
      </c>
      <c r="F5155">
        <v>98.38</v>
      </c>
    </row>
    <row r="5156" spans="1:6" x14ac:dyDescent="0.25">
      <c r="A5156" t="s">
        <v>2073</v>
      </c>
      <c r="B5156" t="s">
        <v>41</v>
      </c>
      <c r="C5156" t="s">
        <v>140</v>
      </c>
      <c r="D5156" t="s">
        <v>3217</v>
      </c>
      <c r="E5156">
        <v>0</v>
      </c>
      <c r="F5156">
        <v>97.99</v>
      </c>
    </row>
    <row r="5157" spans="1:6" x14ac:dyDescent="0.25">
      <c r="A5157" t="s">
        <v>2073</v>
      </c>
      <c r="B5157" t="s">
        <v>41</v>
      </c>
      <c r="C5157" t="s">
        <v>140</v>
      </c>
      <c r="D5157" t="s">
        <v>3218</v>
      </c>
      <c r="E5157">
        <v>13.69</v>
      </c>
      <c r="F5157">
        <v>98.43</v>
      </c>
    </row>
    <row r="5158" spans="1:6" x14ac:dyDescent="0.25">
      <c r="A5158" t="s">
        <v>2073</v>
      </c>
      <c r="B5158" t="s">
        <v>41</v>
      </c>
      <c r="C5158" t="s">
        <v>140</v>
      </c>
      <c r="D5158" t="s">
        <v>3219</v>
      </c>
      <c r="E5158">
        <v>28.24</v>
      </c>
      <c r="F5158">
        <v>98.45</v>
      </c>
    </row>
    <row r="5159" spans="1:6" x14ac:dyDescent="0.25">
      <c r="A5159" t="s">
        <v>2074</v>
      </c>
      <c r="B5159" t="s">
        <v>41</v>
      </c>
      <c r="C5159" t="s">
        <v>141</v>
      </c>
      <c r="D5159" t="s">
        <v>3217</v>
      </c>
      <c r="E5159">
        <v>0</v>
      </c>
      <c r="F5159">
        <v>98.05</v>
      </c>
    </row>
    <row r="5160" spans="1:6" x14ac:dyDescent="0.25">
      <c r="A5160" t="s">
        <v>2074</v>
      </c>
      <c r="B5160" t="s">
        <v>41</v>
      </c>
      <c r="C5160" t="s">
        <v>141</v>
      </c>
      <c r="D5160" t="s">
        <v>3218</v>
      </c>
      <c r="E5160">
        <v>14.51</v>
      </c>
      <c r="F5160">
        <v>98.58</v>
      </c>
    </row>
    <row r="5161" spans="1:6" x14ac:dyDescent="0.25">
      <c r="A5161" t="s">
        <v>2074</v>
      </c>
      <c r="B5161" t="s">
        <v>41</v>
      </c>
      <c r="C5161" t="s">
        <v>141</v>
      </c>
      <c r="D5161" t="s">
        <v>3219</v>
      </c>
      <c r="E5161">
        <v>28.78</v>
      </c>
      <c r="F5161">
        <v>98.58</v>
      </c>
    </row>
    <row r="5162" spans="1:6" x14ac:dyDescent="0.25">
      <c r="A5162" t="s">
        <v>2075</v>
      </c>
      <c r="B5162" t="s">
        <v>41</v>
      </c>
      <c r="C5162" t="s">
        <v>142</v>
      </c>
      <c r="D5162" t="s">
        <v>3217</v>
      </c>
      <c r="E5162">
        <v>0</v>
      </c>
      <c r="F5162">
        <v>98.16</v>
      </c>
    </row>
    <row r="5163" spans="1:6" x14ac:dyDescent="0.25">
      <c r="A5163" t="s">
        <v>2075</v>
      </c>
      <c r="B5163" t="s">
        <v>41</v>
      </c>
      <c r="C5163" t="s">
        <v>142</v>
      </c>
      <c r="D5163" t="s">
        <v>3218</v>
      </c>
      <c r="E5163">
        <v>15.99</v>
      </c>
      <c r="F5163">
        <v>98.76</v>
      </c>
    </row>
    <row r="5164" spans="1:6" x14ac:dyDescent="0.25">
      <c r="A5164" t="s">
        <v>2075</v>
      </c>
      <c r="B5164" t="s">
        <v>41</v>
      </c>
      <c r="C5164" t="s">
        <v>142</v>
      </c>
      <c r="D5164" t="s">
        <v>3219</v>
      </c>
      <c r="E5164">
        <v>29.22</v>
      </c>
      <c r="F5164">
        <v>98.6</v>
      </c>
    </row>
    <row r="5165" spans="1:6" x14ac:dyDescent="0.25">
      <c r="A5165" t="s">
        <v>2076</v>
      </c>
      <c r="B5165" t="s">
        <v>41</v>
      </c>
      <c r="C5165" t="s">
        <v>143</v>
      </c>
      <c r="D5165" t="s">
        <v>3217</v>
      </c>
      <c r="E5165">
        <v>0</v>
      </c>
      <c r="F5165">
        <v>98.19</v>
      </c>
    </row>
    <row r="5166" spans="1:6" x14ac:dyDescent="0.25">
      <c r="A5166" t="s">
        <v>2076</v>
      </c>
      <c r="B5166" t="s">
        <v>41</v>
      </c>
      <c r="C5166" t="s">
        <v>143</v>
      </c>
      <c r="D5166" t="s">
        <v>3218</v>
      </c>
      <c r="E5166">
        <v>16.7</v>
      </c>
      <c r="F5166">
        <v>98.74</v>
      </c>
    </row>
    <row r="5167" spans="1:6" x14ac:dyDescent="0.25">
      <c r="A5167" t="s">
        <v>2076</v>
      </c>
      <c r="B5167" t="s">
        <v>41</v>
      </c>
      <c r="C5167" t="s">
        <v>143</v>
      </c>
      <c r="D5167" t="s">
        <v>3219</v>
      </c>
      <c r="E5167">
        <v>29.79</v>
      </c>
      <c r="F5167">
        <v>98.83</v>
      </c>
    </row>
    <row r="5168" spans="1:6" x14ac:dyDescent="0.25">
      <c r="A5168" t="s">
        <v>2077</v>
      </c>
      <c r="B5168" t="s">
        <v>41</v>
      </c>
      <c r="C5168" t="s">
        <v>144</v>
      </c>
      <c r="D5168" t="s">
        <v>3217</v>
      </c>
      <c r="E5168">
        <v>0</v>
      </c>
      <c r="F5168">
        <v>98.28</v>
      </c>
    </row>
    <row r="5169" spans="1:6" x14ac:dyDescent="0.25">
      <c r="A5169" t="s">
        <v>2077</v>
      </c>
      <c r="B5169" t="s">
        <v>41</v>
      </c>
      <c r="C5169" t="s">
        <v>144</v>
      </c>
      <c r="D5169" t="s">
        <v>3218</v>
      </c>
      <c r="E5169">
        <v>16.7</v>
      </c>
      <c r="F5169">
        <v>98.66</v>
      </c>
    </row>
    <row r="5170" spans="1:6" x14ac:dyDescent="0.25">
      <c r="A5170" t="s">
        <v>2077</v>
      </c>
      <c r="B5170" t="s">
        <v>41</v>
      </c>
      <c r="C5170" t="s">
        <v>144</v>
      </c>
      <c r="D5170" t="s">
        <v>3219</v>
      </c>
      <c r="E5170">
        <v>29.72</v>
      </c>
      <c r="F5170">
        <v>98.83</v>
      </c>
    </row>
    <row r="5171" spans="1:6" x14ac:dyDescent="0.25">
      <c r="A5171" t="s">
        <v>2078</v>
      </c>
      <c r="B5171" t="s">
        <v>41</v>
      </c>
      <c r="C5171" t="s">
        <v>145</v>
      </c>
      <c r="D5171" t="s">
        <v>3217</v>
      </c>
      <c r="E5171">
        <v>0</v>
      </c>
      <c r="F5171">
        <v>98.64</v>
      </c>
    </row>
    <row r="5172" spans="1:6" x14ac:dyDescent="0.25">
      <c r="A5172" t="s">
        <v>2078</v>
      </c>
      <c r="B5172" t="s">
        <v>41</v>
      </c>
      <c r="C5172" t="s">
        <v>145</v>
      </c>
      <c r="D5172" t="s">
        <v>3218</v>
      </c>
      <c r="E5172">
        <v>20</v>
      </c>
      <c r="F5172">
        <v>98.71</v>
      </c>
    </row>
    <row r="5173" spans="1:6" x14ac:dyDescent="0.25">
      <c r="A5173" t="s">
        <v>2078</v>
      </c>
      <c r="B5173" t="s">
        <v>41</v>
      </c>
      <c r="C5173" t="s">
        <v>145</v>
      </c>
      <c r="D5173" t="s">
        <v>3219</v>
      </c>
      <c r="E5173">
        <v>33.33</v>
      </c>
      <c r="F5173">
        <v>98.94</v>
      </c>
    </row>
    <row r="5174" spans="1:6" x14ac:dyDescent="0.25">
      <c r="A5174" t="s">
        <v>2079</v>
      </c>
      <c r="B5174" t="s">
        <v>41</v>
      </c>
      <c r="C5174" t="s">
        <v>146</v>
      </c>
      <c r="D5174" t="s">
        <v>3217</v>
      </c>
      <c r="E5174">
        <v>0</v>
      </c>
      <c r="F5174">
        <v>98.31</v>
      </c>
    </row>
    <row r="5175" spans="1:6" x14ac:dyDescent="0.25">
      <c r="A5175" t="s">
        <v>2079</v>
      </c>
      <c r="B5175" t="s">
        <v>41</v>
      </c>
      <c r="C5175" t="s">
        <v>146</v>
      </c>
      <c r="D5175" t="s">
        <v>3218</v>
      </c>
      <c r="E5175">
        <v>20</v>
      </c>
      <c r="F5175">
        <v>98.83</v>
      </c>
    </row>
    <row r="5176" spans="1:6" x14ac:dyDescent="0.25">
      <c r="A5176" t="s">
        <v>2079</v>
      </c>
      <c r="B5176" t="s">
        <v>41</v>
      </c>
      <c r="C5176" t="s">
        <v>146</v>
      </c>
      <c r="D5176" t="s">
        <v>3219</v>
      </c>
      <c r="E5176">
        <v>33.25</v>
      </c>
      <c r="F5176">
        <v>98.95</v>
      </c>
    </row>
    <row r="5177" spans="1:6" x14ac:dyDescent="0.25">
      <c r="A5177" t="s">
        <v>2080</v>
      </c>
      <c r="B5177" t="s">
        <v>41</v>
      </c>
      <c r="C5177" t="s">
        <v>147</v>
      </c>
      <c r="D5177" t="s">
        <v>3217</v>
      </c>
      <c r="E5177">
        <v>0</v>
      </c>
      <c r="F5177">
        <v>98.27</v>
      </c>
    </row>
    <row r="5178" spans="1:6" x14ac:dyDescent="0.25">
      <c r="A5178" t="s">
        <v>2080</v>
      </c>
      <c r="B5178" t="s">
        <v>41</v>
      </c>
      <c r="C5178" t="s">
        <v>147</v>
      </c>
      <c r="D5178" t="s">
        <v>3218</v>
      </c>
      <c r="E5178">
        <v>20</v>
      </c>
      <c r="F5178">
        <v>98.79</v>
      </c>
    </row>
    <row r="5179" spans="1:6" x14ac:dyDescent="0.25">
      <c r="A5179" t="s">
        <v>2080</v>
      </c>
      <c r="B5179" t="s">
        <v>41</v>
      </c>
      <c r="C5179" t="s">
        <v>147</v>
      </c>
      <c r="D5179" t="s">
        <v>3219</v>
      </c>
      <c r="E5179">
        <v>34.380000000000003</v>
      </c>
      <c r="F5179">
        <v>99.04</v>
      </c>
    </row>
    <row r="5180" spans="1:6" x14ac:dyDescent="0.25">
      <c r="A5180" t="s">
        <v>2081</v>
      </c>
      <c r="B5180" t="s">
        <v>41</v>
      </c>
      <c r="C5180" t="s">
        <v>148</v>
      </c>
      <c r="D5180" t="s">
        <v>3217</v>
      </c>
      <c r="E5180">
        <v>0</v>
      </c>
      <c r="F5180">
        <v>98.56</v>
      </c>
    </row>
    <row r="5181" spans="1:6" x14ac:dyDescent="0.25">
      <c r="A5181" t="s">
        <v>2081</v>
      </c>
      <c r="B5181" t="s">
        <v>41</v>
      </c>
      <c r="C5181" t="s">
        <v>148</v>
      </c>
      <c r="D5181" t="s">
        <v>3218</v>
      </c>
      <c r="E5181">
        <v>20</v>
      </c>
      <c r="F5181">
        <v>98.81</v>
      </c>
    </row>
    <row r="5182" spans="1:6" x14ac:dyDescent="0.25">
      <c r="A5182" t="s">
        <v>2081</v>
      </c>
      <c r="B5182" t="s">
        <v>41</v>
      </c>
      <c r="C5182" t="s">
        <v>148</v>
      </c>
      <c r="D5182" t="s">
        <v>3219</v>
      </c>
      <c r="E5182">
        <v>34.090000000000003</v>
      </c>
      <c r="F5182">
        <v>99.01</v>
      </c>
    </row>
    <row r="5183" spans="1:6" x14ac:dyDescent="0.25">
      <c r="A5183" t="s">
        <v>2082</v>
      </c>
      <c r="B5183" t="s">
        <v>41</v>
      </c>
      <c r="C5183" t="s">
        <v>149</v>
      </c>
      <c r="D5183" t="s">
        <v>3217</v>
      </c>
      <c r="E5183">
        <v>0</v>
      </c>
      <c r="F5183">
        <v>100.25</v>
      </c>
    </row>
    <row r="5184" spans="1:6" x14ac:dyDescent="0.25">
      <c r="A5184" t="s">
        <v>2082</v>
      </c>
      <c r="B5184" t="s">
        <v>41</v>
      </c>
      <c r="C5184" t="s">
        <v>149</v>
      </c>
      <c r="D5184" t="s">
        <v>3218</v>
      </c>
      <c r="E5184">
        <v>20</v>
      </c>
      <c r="F5184">
        <v>98.89</v>
      </c>
    </row>
    <row r="5185" spans="1:6" x14ac:dyDescent="0.25">
      <c r="A5185" t="s">
        <v>2082</v>
      </c>
      <c r="B5185" t="s">
        <v>41</v>
      </c>
      <c r="C5185" t="s">
        <v>149</v>
      </c>
      <c r="D5185" t="s">
        <v>3219</v>
      </c>
      <c r="E5185">
        <v>34.5</v>
      </c>
      <c r="F5185">
        <v>99.06</v>
      </c>
    </row>
    <row r="5186" spans="1:6" x14ac:dyDescent="0.25">
      <c r="A5186" t="s">
        <v>2083</v>
      </c>
      <c r="B5186" t="s">
        <v>41</v>
      </c>
      <c r="C5186" t="s">
        <v>150</v>
      </c>
      <c r="D5186" t="s">
        <v>3217</v>
      </c>
      <c r="E5186">
        <v>0</v>
      </c>
      <c r="F5186">
        <v>98.85</v>
      </c>
    </row>
    <row r="5187" spans="1:6" x14ac:dyDescent="0.25">
      <c r="A5187" t="s">
        <v>2083</v>
      </c>
      <c r="B5187" t="s">
        <v>41</v>
      </c>
      <c r="C5187" t="s">
        <v>150</v>
      </c>
      <c r="D5187" t="s">
        <v>3218</v>
      </c>
      <c r="E5187">
        <v>17.010000000000002</v>
      </c>
      <c r="F5187">
        <v>99.07</v>
      </c>
    </row>
    <row r="5188" spans="1:6" x14ac:dyDescent="0.25">
      <c r="A5188" t="s">
        <v>2083</v>
      </c>
      <c r="B5188" t="s">
        <v>41</v>
      </c>
      <c r="C5188" t="s">
        <v>150</v>
      </c>
      <c r="D5188" t="s">
        <v>3219</v>
      </c>
      <c r="E5188">
        <v>32.79</v>
      </c>
      <c r="F5188">
        <v>99.16</v>
      </c>
    </row>
    <row r="5189" spans="1:6" x14ac:dyDescent="0.25">
      <c r="A5189" t="s">
        <v>2084</v>
      </c>
      <c r="B5189" t="s">
        <v>41</v>
      </c>
      <c r="C5189" t="s">
        <v>151</v>
      </c>
      <c r="D5189" t="s">
        <v>3217</v>
      </c>
      <c r="E5189">
        <v>0</v>
      </c>
      <c r="F5189">
        <v>99.05</v>
      </c>
    </row>
    <row r="5190" spans="1:6" x14ac:dyDescent="0.25">
      <c r="A5190" t="s">
        <v>2084</v>
      </c>
      <c r="B5190" t="s">
        <v>41</v>
      </c>
      <c r="C5190" t="s">
        <v>151</v>
      </c>
      <c r="D5190" t="s">
        <v>3218</v>
      </c>
      <c r="E5190">
        <v>16.37</v>
      </c>
      <c r="F5190">
        <v>99.53</v>
      </c>
    </row>
    <row r="5191" spans="1:6" x14ac:dyDescent="0.25">
      <c r="A5191" t="s">
        <v>2084</v>
      </c>
      <c r="B5191" t="s">
        <v>41</v>
      </c>
      <c r="C5191" t="s">
        <v>151</v>
      </c>
      <c r="D5191" t="s">
        <v>3219</v>
      </c>
      <c r="E5191">
        <v>32.44</v>
      </c>
      <c r="F5191">
        <v>99.41</v>
      </c>
    </row>
    <row r="5192" spans="1:6" x14ac:dyDescent="0.25">
      <c r="A5192" t="s">
        <v>2085</v>
      </c>
      <c r="B5192" t="s">
        <v>41</v>
      </c>
      <c r="C5192" t="s">
        <v>152</v>
      </c>
      <c r="D5192" t="s">
        <v>3217</v>
      </c>
      <c r="E5192">
        <v>0</v>
      </c>
      <c r="F5192">
        <v>99.42</v>
      </c>
    </row>
    <row r="5193" spans="1:6" x14ac:dyDescent="0.25">
      <c r="A5193" t="s">
        <v>2085</v>
      </c>
      <c r="B5193" t="s">
        <v>41</v>
      </c>
      <c r="C5193" t="s">
        <v>152</v>
      </c>
      <c r="D5193" t="s">
        <v>3218</v>
      </c>
      <c r="E5193">
        <v>17.010000000000002</v>
      </c>
      <c r="F5193">
        <v>99.82</v>
      </c>
    </row>
    <row r="5194" spans="1:6" x14ac:dyDescent="0.25">
      <c r="A5194" t="s">
        <v>2085</v>
      </c>
      <c r="B5194" t="s">
        <v>41</v>
      </c>
      <c r="C5194" t="s">
        <v>152</v>
      </c>
      <c r="D5194" t="s">
        <v>3219</v>
      </c>
      <c r="E5194">
        <v>33.75</v>
      </c>
      <c r="F5194">
        <v>99.95</v>
      </c>
    </row>
    <row r="5195" spans="1:6" x14ac:dyDescent="0.25">
      <c r="A5195" t="s">
        <v>2086</v>
      </c>
      <c r="B5195" t="s">
        <v>41</v>
      </c>
      <c r="C5195" t="s">
        <v>153</v>
      </c>
      <c r="D5195" t="s">
        <v>3217</v>
      </c>
      <c r="E5195">
        <v>0</v>
      </c>
      <c r="F5195">
        <v>99.88</v>
      </c>
    </row>
    <row r="5196" spans="1:6" x14ac:dyDescent="0.25">
      <c r="A5196" t="s">
        <v>2086</v>
      </c>
      <c r="B5196" t="s">
        <v>41</v>
      </c>
      <c r="C5196" t="s">
        <v>153</v>
      </c>
      <c r="D5196" t="s">
        <v>3218</v>
      </c>
      <c r="E5196">
        <v>16.37</v>
      </c>
      <c r="F5196">
        <v>100.5</v>
      </c>
    </row>
    <row r="5197" spans="1:6" x14ac:dyDescent="0.25">
      <c r="A5197" t="s">
        <v>2086</v>
      </c>
      <c r="B5197" t="s">
        <v>41</v>
      </c>
      <c r="C5197" t="s">
        <v>153</v>
      </c>
      <c r="D5197" t="s">
        <v>3219</v>
      </c>
      <c r="E5197">
        <v>32.44</v>
      </c>
      <c r="F5197">
        <v>100.48</v>
      </c>
    </row>
    <row r="5198" spans="1:6" x14ac:dyDescent="0.25">
      <c r="A5198" t="s">
        <v>2087</v>
      </c>
      <c r="B5198" t="s">
        <v>41</v>
      </c>
      <c r="C5198" t="s">
        <v>154</v>
      </c>
      <c r="D5198" t="s">
        <v>3217</v>
      </c>
      <c r="E5198">
        <v>0</v>
      </c>
      <c r="F5198">
        <v>100.55</v>
      </c>
    </row>
    <row r="5199" spans="1:6" x14ac:dyDescent="0.25">
      <c r="A5199" t="s">
        <v>2087</v>
      </c>
      <c r="B5199" t="s">
        <v>41</v>
      </c>
      <c r="C5199" t="s">
        <v>154</v>
      </c>
      <c r="D5199" t="s">
        <v>3218</v>
      </c>
      <c r="E5199">
        <v>12.46</v>
      </c>
      <c r="F5199">
        <v>100.9</v>
      </c>
    </row>
    <row r="5200" spans="1:6" x14ac:dyDescent="0.25">
      <c r="A5200" t="s">
        <v>2087</v>
      </c>
      <c r="B5200" t="s">
        <v>41</v>
      </c>
      <c r="C5200" t="s">
        <v>154</v>
      </c>
      <c r="D5200" t="s">
        <v>3219</v>
      </c>
      <c r="E5200">
        <v>28.27</v>
      </c>
      <c r="F5200">
        <v>100.72</v>
      </c>
    </row>
    <row r="5201" spans="1:6" x14ac:dyDescent="0.25">
      <c r="A5201" t="s">
        <v>2088</v>
      </c>
      <c r="B5201" t="s">
        <v>41</v>
      </c>
      <c r="C5201" t="s">
        <v>155</v>
      </c>
      <c r="D5201" t="s">
        <v>3217</v>
      </c>
      <c r="E5201">
        <v>0</v>
      </c>
      <c r="F5201">
        <v>100.83</v>
      </c>
    </row>
    <row r="5202" spans="1:6" x14ac:dyDescent="0.25">
      <c r="A5202" t="s">
        <v>2088</v>
      </c>
      <c r="B5202" t="s">
        <v>41</v>
      </c>
      <c r="C5202" t="s">
        <v>155</v>
      </c>
      <c r="D5202" t="s">
        <v>3218</v>
      </c>
      <c r="E5202">
        <v>11.34</v>
      </c>
      <c r="F5202">
        <v>101.16</v>
      </c>
    </row>
    <row r="5203" spans="1:6" x14ac:dyDescent="0.25">
      <c r="A5203" t="s">
        <v>2088</v>
      </c>
      <c r="B5203" t="s">
        <v>41</v>
      </c>
      <c r="C5203" t="s">
        <v>155</v>
      </c>
      <c r="D5203" t="s">
        <v>3219</v>
      </c>
      <c r="E5203">
        <v>28.03</v>
      </c>
      <c r="F5203">
        <v>101.02</v>
      </c>
    </row>
    <row r="5204" spans="1:6" x14ac:dyDescent="0.25">
      <c r="A5204" t="s">
        <v>2089</v>
      </c>
      <c r="B5204" t="s">
        <v>41</v>
      </c>
      <c r="C5204" t="s">
        <v>156</v>
      </c>
      <c r="D5204" t="s">
        <v>3217</v>
      </c>
      <c r="E5204">
        <v>0</v>
      </c>
      <c r="F5204">
        <v>100.99</v>
      </c>
    </row>
    <row r="5205" spans="1:6" x14ac:dyDescent="0.25">
      <c r="A5205" t="s">
        <v>2089</v>
      </c>
      <c r="B5205" t="s">
        <v>41</v>
      </c>
      <c r="C5205" t="s">
        <v>156</v>
      </c>
      <c r="D5205" t="s">
        <v>3218</v>
      </c>
      <c r="E5205">
        <v>12.04</v>
      </c>
      <c r="F5205">
        <v>101.36</v>
      </c>
    </row>
    <row r="5206" spans="1:6" x14ac:dyDescent="0.25">
      <c r="A5206" t="s">
        <v>2089</v>
      </c>
      <c r="B5206" t="s">
        <v>41</v>
      </c>
      <c r="C5206" t="s">
        <v>156</v>
      </c>
      <c r="D5206" t="s">
        <v>3219</v>
      </c>
      <c r="E5206">
        <v>28.16</v>
      </c>
      <c r="F5206">
        <v>101.37</v>
      </c>
    </row>
    <row r="5207" spans="1:6" x14ac:dyDescent="0.25">
      <c r="A5207" t="s">
        <v>2090</v>
      </c>
      <c r="B5207" t="s">
        <v>41</v>
      </c>
      <c r="C5207" t="s">
        <v>157</v>
      </c>
      <c r="D5207" t="s">
        <v>3217</v>
      </c>
      <c r="E5207">
        <v>0</v>
      </c>
      <c r="F5207">
        <v>100.98</v>
      </c>
    </row>
    <row r="5208" spans="1:6" x14ac:dyDescent="0.25">
      <c r="A5208" t="s">
        <v>2090</v>
      </c>
      <c r="B5208" t="s">
        <v>41</v>
      </c>
      <c r="C5208" t="s">
        <v>157</v>
      </c>
      <c r="D5208" t="s">
        <v>3218</v>
      </c>
      <c r="E5208">
        <v>13.67</v>
      </c>
      <c r="F5208">
        <v>101.44</v>
      </c>
    </row>
    <row r="5209" spans="1:6" x14ac:dyDescent="0.25">
      <c r="A5209" t="s">
        <v>2090</v>
      </c>
      <c r="B5209" t="s">
        <v>41</v>
      </c>
      <c r="C5209" t="s">
        <v>157</v>
      </c>
      <c r="D5209" t="s">
        <v>3219</v>
      </c>
      <c r="E5209">
        <v>28.98</v>
      </c>
      <c r="F5209">
        <v>101.45</v>
      </c>
    </row>
    <row r="5210" spans="1:6" x14ac:dyDescent="0.25">
      <c r="A5210" t="s">
        <v>2091</v>
      </c>
      <c r="B5210" t="s">
        <v>41</v>
      </c>
      <c r="C5210" t="s">
        <v>158</v>
      </c>
      <c r="D5210" t="s">
        <v>3217</v>
      </c>
      <c r="E5210">
        <v>0</v>
      </c>
      <c r="F5210">
        <v>100.97</v>
      </c>
    </row>
    <row r="5211" spans="1:6" x14ac:dyDescent="0.25">
      <c r="A5211" t="s">
        <v>2091</v>
      </c>
      <c r="B5211" t="s">
        <v>41</v>
      </c>
      <c r="C5211" t="s">
        <v>158</v>
      </c>
      <c r="D5211" t="s">
        <v>3218</v>
      </c>
      <c r="E5211">
        <v>13.67</v>
      </c>
      <c r="F5211">
        <v>101.35</v>
      </c>
    </row>
    <row r="5212" spans="1:6" x14ac:dyDescent="0.25">
      <c r="A5212" t="s">
        <v>2091</v>
      </c>
      <c r="B5212" t="s">
        <v>41</v>
      </c>
      <c r="C5212" t="s">
        <v>158</v>
      </c>
      <c r="D5212" t="s">
        <v>3219</v>
      </c>
      <c r="E5212">
        <v>28.32</v>
      </c>
      <c r="F5212">
        <v>101.47</v>
      </c>
    </row>
    <row r="5213" spans="1:6" x14ac:dyDescent="0.25">
      <c r="A5213" t="s">
        <v>2092</v>
      </c>
      <c r="B5213" t="s">
        <v>41</v>
      </c>
      <c r="C5213" t="s">
        <v>159</v>
      </c>
      <c r="D5213" t="s">
        <v>3217</v>
      </c>
      <c r="E5213">
        <v>0</v>
      </c>
      <c r="F5213">
        <v>100.81</v>
      </c>
    </row>
    <row r="5214" spans="1:6" x14ac:dyDescent="0.25">
      <c r="A5214" t="s">
        <v>2092</v>
      </c>
      <c r="B5214" t="s">
        <v>41</v>
      </c>
      <c r="C5214" t="s">
        <v>159</v>
      </c>
      <c r="D5214" t="s">
        <v>3218</v>
      </c>
      <c r="E5214">
        <v>16.170000000000002</v>
      </c>
      <c r="F5214">
        <v>101.27</v>
      </c>
    </row>
    <row r="5215" spans="1:6" x14ac:dyDescent="0.25">
      <c r="A5215" t="s">
        <v>2092</v>
      </c>
      <c r="B5215" t="s">
        <v>41</v>
      </c>
      <c r="C5215" t="s">
        <v>159</v>
      </c>
      <c r="D5215" t="s">
        <v>3219</v>
      </c>
      <c r="E5215">
        <v>30.8</v>
      </c>
      <c r="F5215">
        <v>101.29</v>
      </c>
    </row>
    <row r="5216" spans="1:6" x14ac:dyDescent="0.25">
      <c r="A5216" t="s">
        <v>2093</v>
      </c>
      <c r="B5216" t="s">
        <v>41</v>
      </c>
      <c r="C5216" t="s">
        <v>160</v>
      </c>
      <c r="D5216" t="s">
        <v>3217</v>
      </c>
      <c r="E5216">
        <v>0</v>
      </c>
      <c r="F5216">
        <v>100.7</v>
      </c>
    </row>
    <row r="5217" spans="1:6" x14ac:dyDescent="0.25">
      <c r="A5217" t="s">
        <v>2093</v>
      </c>
      <c r="B5217" t="s">
        <v>41</v>
      </c>
      <c r="C5217" t="s">
        <v>160</v>
      </c>
      <c r="D5217" t="s">
        <v>3218</v>
      </c>
      <c r="E5217">
        <v>15.04</v>
      </c>
      <c r="F5217">
        <v>100.84</v>
      </c>
    </row>
    <row r="5218" spans="1:6" x14ac:dyDescent="0.25">
      <c r="A5218" t="s">
        <v>2093</v>
      </c>
      <c r="B5218" t="s">
        <v>41</v>
      </c>
      <c r="C5218" t="s">
        <v>160</v>
      </c>
      <c r="D5218" t="s">
        <v>3219</v>
      </c>
      <c r="E5218">
        <v>30.58</v>
      </c>
      <c r="F5218">
        <v>101.19</v>
      </c>
    </row>
    <row r="5219" spans="1:6" x14ac:dyDescent="0.25">
      <c r="A5219" t="s">
        <v>2094</v>
      </c>
      <c r="B5219" t="s">
        <v>41</v>
      </c>
      <c r="C5219" t="s">
        <v>161</v>
      </c>
      <c r="D5219" t="s">
        <v>3217</v>
      </c>
      <c r="E5219">
        <v>0</v>
      </c>
      <c r="F5219">
        <v>101.67</v>
      </c>
    </row>
    <row r="5220" spans="1:6" x14ac:dyDescent="0.25">
      <c r="A5220" t="s">
        <v>2094</v>
      </c>
      <c r="B5220" t="s">
        <v>41</v>
      </c>
      <c r="C5220" t="s">
        <v>161</v>
      </c>
      <c r="D5220" t="s">
        <v>3218</v>
      </c>
      <c r="E5220">
        <v>20</v>
      </c>
      <c r="F5220">
        <v>100.75</v>
      </c>
    </row>
    <row r="5221" spans="1:6" x14ac:dyDescent="0.25">
      <c r="A5221" t="s">
        <v>2094</v>
      </c>
      <c r="B5221" t="s">
        <v>41</v>
      </c>
      <c r="C5221" t="s">
        <v>161</v>
      </c>
      <c r="D5221" t="s">
        <v>3219</v>
      </c>
      <c r="E5221">
        <v>36.67</v>
      </c>
      <c r="F5221">
        <v>101</v>
      </c>
    </row>
    <row r="5222" spans="1:6" x14ac:dyDescent="0.25">
      <c r="A5222" t="s">
        <v>2095</v>
      </c>
      <c r="B5222" t="s">
        <v>41</v>
      </c>
      <c r="C5222" t="s">
        <v>162</v>
      </c>
      <c r="D5222" t="s">
        <v>3217</v>
      </c>
      <c r="E5222">
        <v>0</v>
      </c>
      <c r="F5222">
        <v>100.4</v>
      </c>
    </row>
    <row r="5223" spans="1:6" x14ac:dyDescent="0.25">
      <c r="A5223" t="s">
        <v>2095</v>
      </c>
      <c r="B5223" t="s">
        <v>41</v>
      </c>
      <c r="C5223" t="s">
        <v>162</v>
      </c>
      <c r="D5223" t="s">
        <v>3218</v>
      </c>
      <c r="E5223">
        <v>16.170000000000002</v>
      </c>
      <c r="F5223">
        <v>100.72</v>
      </c>
    </row>
    <row r="5224" spans="1:6" x14ac:dyDescent="0.25">
      <c r="A5224" t="s">
        <v>2095</v>
      </c>
      <c r="B5224" t="s">
        <v>41</v>
      </c>
      <c r="C5224" t="s">
        <v>162</v>
      </c>
      <c r="D5224" t="s">
        <v>3219</v>
      </c>
      <c r="E5224">
        <v>36.17</v>
      </c>
      <c r="F5224">
        <v>100.56</v>
      </c>
    </row>
    <row r="5225" spans="1:6" x14ac:dyDescent="0.25">
      <c r="A5225" t="s">
        <v>2096</v>
      </c>
      <c r="B5225" t="s">
        <v>41</v>
      </c>
      <c r="C5225" t="s">
        <v>163</v>
      </c>
      <c r="D5225" t="s">
        <v>3217</v>
      </c>
      <c r="E5225">
        <v>0</v>
      </c>
      <c r="F5225">
        <v>100.04</v>
      </c>
    </row>
    <row r="5226" spans="1:6" x14ac:dyDescent="0.25">
      <c r="A5226" t="s">
        <v>2096</v>
      </c>
      <c r="B5226" t="s">
        <v>41</v>
      </c>
      <c r="C5226" t="s">
        <v>163</v>
      </c>
      <c r="D5226" t="s">
        <v>3218</v>
      </c>
      <c r="E5226">
        <v>16.170000000000002</v>
      </c>
      <c r="F5226">
        <v>100.4</v>
      </c>
    </row>
    <row r="5227" spans="1:6" x14ac:dyDescent="0.25">
      <c r="A5227" t="s">
        <v>2096</v>
      </c>
      <c r="B5227" t="s">
        <v>41</v>
      </c>
      <c r="C5227" t="s">
        <v>163</v>
      </c>
      <c r="D5227" t="s">
        <v>3219</v>
      </c>
      <c r="E5227">
        <v>36.17</v>
      </c>
      <c r="F5227">
        <v>100.21</v>
      </c>
    </row>
    <row r="5228" spans="1:6" x14ac:dyDescent="0.25">
      <c r="A5228" t="s">
        <v>2097</v>
      </c>
      <c r="B5228" t="s">
        <v>41</v>
      </c>
      <c r="C5228" t="s">
        <v>164</v>
      </c>
      <c r="D5228" t="s">
        <v>3217</v>
      </c>
      <c r="E5228">
        <v>0</v>
      </c>
      <c r="F5228">
        <v>99.89</v>
      </c>
    </row>
    <row r="5229" spans="1:6" x14ac:dyDescent="0.25">
      <c r="A5229" t="s">
        <v>2097</v>
      </c>
      <c r="B5229" t="s">
        <v>41</v>
      </c>
      <c r="C5229" t="s">
        <v>164</v>
      </c>
      <c r="D5229" t="s">
        <v>3218</v>
      </c>
      <c r="E5229">
        <v>11.99</v>
      </c>
      <c r="F5229">
        <v>100.17</v>
      </c>
    </row>
    <row r="5230" spans="1:6" x14ac:dyDescent="0.25">
      <c r="A5230" t="s">
        <v>2097</v>
      </c>
      <c r="B5230" t="s">
        <v>41</v>
      </c>
      <c r="C5230" t="s">
        <v>164</v>
      </c>
      <c r="D5230" t="s">
        <v>3219</v>
      </c>
      <c r="E5230">
        <v>31.99</v>
      </c>
      <c r="F5230">
        <v>99.13</v>
      </c>
    </row>
    <row r="5231" spans="1:6" x14ac:dyDescent="0.25">
      <c r="A5231" t="s">
        <v>2098</v>
      </c>
      <c r="B5231" t="s">
        <v>41</v>
      </c>
      <c r="C5231" t="s">
        <v>170</v>
      </c>
      <c r="D5231" t="s">
        <v>3217</v>
      </c>
      <c r="E5231">
        <v>0</v>
      </c>
      <c r="F5231">
        <v>99.55</v>
      </c>
    </row>
    <row r="5232" spans="1:6" x14ac:dyDescent="0.25">
      <c r="A5232" t="s">
        <v>2098</v>
      </c>
      <c r="B5232" t="s">
        <v>41</v>
      </c>
      <c r="C5232" t="s">
        <v>170</v>
      </c>
      <c r="D5232" t="s">
        <v>3218</v>
      </c>
      <c r="E5232">
        <v>12.71</v>
      </c>
      <c r="F5232">
        <v>99.89</v>
      </c>
    </row>
    <row r="5233" spans="1:6" x14ac:dyDescent="0.25">
      <c r="A5233" t="s">
        <v>2098</v>
      </c>
      <c r="B5233" t="s">
        <v>41</v>
      </c>
      <c r="C5233" t="s">
        <v>170</v>
      </c>
      <c r="D5233" t="s">
        <v>3219</v>
      </c>
      <c r="E5233">
        <v>30.37</v>
      </c>
      <c r="F5233">
        <v>100.87</v>
      </c>
    </row>
    <row r="5234" spans="1:6" x14ac:dyDescent="0.25">
      <c r="A5234" t="s">
        <v>2099</v>
      </c>
      <c r="B5234" t="s">
        <v>41</v>
      </c>
      <c r="C5234" t="s">
        <v>171</v>
      </c>
      <c r="D5234" t="s">
        <v>3217</v>
      </c>
      <c r="E5234">
        <v>0</v>
      </c>
      <c r="F5234">
        <v>99.42</v>
      </c>
    </row>
    <row r="5235" spans="1:6" x14ac:dyDescent="0.25">
      <c r="A5235" t="s">
        <v>2099</v>
      </c>
      <c r="B5235" t="s">
        <v>41</v>
      </c>
      <c r="C5235" t="s">
        <v>171</v>
      </c>
      <c r="D5235" t="s">
        <v>3218</v>
      </c>
      <c r="E5235">
        <v>12.86</v>
      </c>
      <c r="F5235">
        <v>99.61</v>
      </c>
    </row>
    <row r="5236" spans="1:6" x14ac:dyDescent="0.25">
      <c r="A5236" t="s">
        <v>2099</v>
      </c>
      <c r="B5236" t="s">
        <v>41</v>
      </c>
      <c r="C5236" t="s">
        <v>171</v>
      </c>
      <c r="D5236" t="s">
        <v>3219</v>
      </c>
      <c r="E5236">
        <v>29.23</v>
      </c>
      <c r="F5236">
        <v>99.9</v>
      </c>
    </row>
    <row r="5237" spans="1:6" x14ac:dyDescent="0.25">
      <c r="A5237" t="s">
        <v>2100</v>
      </c>
      <c r="B5237" t="s">
        <v>41</v>
      </c>
      <c r="C5237" t="s">
        <v>172</v>
      </c>
      <c r="D5237" t="s">
        <v>3217</v>
      </c>
      <c r="E5237">
        <v>0</v>
      </c>
      <c r="F5237">
        <v>99.43</v>
      </c>
    </row>
    <row r="5238" spans="1:6" x14ac:dyDescent="0.25">
      <c r="A5238" t="s">
        <v>2100</v>
      </c>
      <c r="B5238" t="s">
        <v>41</v>
      </c>
      <c r="C5238" t="s">
        <v>172</v>
      </c>
      <c r="D5238" t="s">
        <v>3218</v>
      </c>
      <c r="E5238">
        <v>12.87</v>
      </c>
      <c r="F5238">
        <v>99.58</v>
      </c>
    </row>
    <row r="5239" spans="1:6" x14ac:dyDescent="0.25">
      <c r="A5239" t="s">
        <v>2100</v>
      </c>
      <c r="B5239" t="s">
        <v>41</v>
      </c>
      <c r="C5239" t="s">
        <v>172</v>
      </c>
      <c r="D5239" t="s">
        <v>3219</v>
      </c>
      <c r="E5239">
        <v>30.53</v>
      </c>
      <c r="F5239">
        <v>99.94</v>
      </c>
    </row>
    <row r="5240" spans="1:6" x14ac:dyDescent="0.25">
      <c r="A5240" t="s">
        <v>2101</v>
      </c>
      <c r="B5240" t="s">
        <v>41</v>
      </c>
      <c r="C5240" t="s">
        <v>173</v>
      </c>
      <c r="D5240" t="s">
        <v>3217</v>
      </c>
      <c r="E5240">
        <v>0</v>
      </c>
      <c r="F5240">
        <v>99.37</v>
      </c>
    </row>
    <row r="5241" spans="1:6" x14ac:dyDescent="0.25">
      <c r="A5241" t="s">
        <v>2101</v>
      </c>
      <c r="B5241" t="s">
        <v>41</v>
      </c>
      <c r="C5241" t="s">
        <v>173</v>
      </c>
      <c r="D5241" t="s">
        <v>3218</v>
      </c>
      <c r="E5241">
        <v>12.63</v>
      </c>
      <c r="F5241">
        <v>99.74</v>
      </c>
    </row>
    <row r="5242" spans="1:6" x14ac:dyDescent="0.25">
      <c r="A5242" t="s">
        <v>2101</v>
      </c>
      <c r="B5242" t="s">
        <v>41</v>
      </c>
      <c r="C5242" t="s">
        <v>173</v>
      </c>
      <c r="D5242" t="s">
        <v>3219</v>
      </c>
      <c r="E5242">
        <v>30.28</v>
      </c>
      <c r="F5242">
        <v>100.1</v>
      </c>
    </row>
    <row r="5243" spans="1:6" x14ac:dyDescent="0.25">
      <c r="A5243" t="s">
        <v>2102</v>
      </c>
      <c r="B5243" t="s">
        <v>41</v>
      </c>
      <c r="C5243" t="s">
        <v>174</v>
      </c>
      <c r="D5243" t="s">
        <v>3217</v>
      </c>
      <c r="E5243">
        <v>0</v>
      </c>
      <c r="F5243">
        <v>99.36</v>
      </c>
    </row>
    <row r="5244" spans="1:6" x14ac:dyDescent="0.25">
      <c r="A5244" t="s">
        <v>2102</v>
      </c>
      <c r="B5244" t="s">
        <v>41</v>
      </c>
      <c r="C5244" t="s">
        <v>174</v>
      </c>
      <c r="D5244" t="s">
        <v>3218</v>
      </c>
      <c r="E5244">
        <v>12.93</v>
      </c>
      <c r="F5244">
        <v>99.89</v>
      </c>
    </row>
    <row r="5245" spans="1:6" x14ac:dyDescent="0.25">
      <c r="A5245" t="s">
        <v>2102</v>
      </c>
      <c r="B5245" t="s">
        <v>41</v>
      </c>
      <c r="C5245" t="s">
        <v>174</v>
      </c>
      <c r="D5245" t="s">
        <v>3219</v>
      </c>
      <c r="E5245">
        <v>31.1</v>
      </c>
      <c r="F5245">
        <v>100.07</v>
      </c>
    </row>
    <row r="5246" spans="1:6" x14ac:dyDescent="0.25">
      <c r="A5246" t="s">
        <v>2103</v>
      </c>
      <c r="B5246" t="s">
        <v>41</v>
      </c>
      <c r="C5246" t="s">
        <v>175</v>
      </c>
      <c r="D5246" t="s">
        <v>3217</v>
      </c>
      <c r="E5246">
        <v>0</v>
      </c>
      <c r="F5246">
        <v>99.57</v>
      </c>
    </row>
    <row r="5247" spans="1:6" x14ac:dyDescent="0.25">
      <c r="A5247" t="s">
        <v>2103</v>
      </c>
      <c r="B5247" t="s">
        <v>41</v>
      </c>
      <c r="C5247" t="s">
        <v>175</v>
      </c>
      <c r="D5247" t="s">
        <v>3218</v>
      </c>
      <c r="E5247">
        <v>13.57</v>
      </c>
      <c r="F5247">
        <v>99.93</v>
      </c>
    </row>
    <row r="5248" spans="1:6" x14ac:dyDescent="0.25">
      <c r="A5248" t="s">
        <v>2103</v>
      </c>
      <c r="B5248" t="s">
        <v>41</v>
      </c>
      <c r="C5248" t="s">
        <v>175</v>
      </c>
      <c r="D5248" t="s">
        <v>3219</v>
      </c>
      <c r="E5248">
        <v>31.19</v>
      </c>
      <c r="F5248">
        <v>100.15</v>
      </c>
    </row>
    <row r="5249" spans="1:6" x14ac:dyDescent="0.25">
      <c r="A5249" t="s">
        <v>2104</v>
      </c>
      <c r="B5249" t="s">
        <v>41</v>
      </c>
      <c r="C5249" t="s">
        <v>176</v>
      </c>
      <c r="D5249" t="s">
        <v>3217</v>
      </c>
      <c r="E5249">
        <v>0</v>
      </c>
      <c r="F5249">
        <v>99.69</v>
      </c>
    </row>
    <row r="5250" spans="1:6" x14ac:dyDescent="0.25">
      <c r="A5250" t="s">
        <v>2104</v>
      </c>
      <c r="B5250" t="s">
        <v>41</v>
      </c>
      <c r="C5250" t="s">
        <v>176</v>
      </c>
      <c r="D5250" t="s">
        <v>3218</v>
      </c>
      <c r="E5250">
        <v>13.9</v>
      </c>
      <c r="F5250">
        <v>100.08</v>
      </c>
    </row>
    <row r="5251" spans="1:6" x14ac:dyDescent="0.25">
      <c r="A5251" t="s">
        <v>2104</v>
      </c>
      <c r="B5251" t="s">
        <v>41</v>
      </c>
      <c r="C5251" t="s">
        <v>176</v>
      </c>
      <c r="D5251" t="s">
        <v>3219</v>
      </c>
      <c r="E5251">
        <v>32.07</v>
      </c>
      <c r="F5251">
        <v>100.3</v>
      </c>
    </row>
    <row r="5252" spans="1:6" x14ac:dyDescent="0.25">
      <c r="A5252" t="s">
        <v>2105</v>
      </c>
      <c r="B5252" t="s">
        <v>41</v>
      </c>
      <c r="C5252" t="s">
        <v>177</v>
      </c>
      <c r="D5252" t="s">
        <v>3217</v>
      </c>
      <c r="E5252">
        <v>0</v>
      </c>
      <c r="F5252">
        <v>99.77</v>
      </c>
    </row>
    <row r="5253" spans="1:6" x14ac:dyDescent="0.25">
      <c r="A5253" t="s">
        <v>2105</v>
      </c>
      <c r="B5253" t="s">
        <v>41</v>
      </c>
      <c r="C5253" t="s">
        <v>177</v>
      </c>
      <c r="D5253" t="s">
        <v>3218</v>
      </c>
      <c r="E5253">
        <v>13.76</v>
      </c>
      <c r="F5253">
        <v>100.2</v>
      </c>
    </row>
    <row r="5254" spans="1:6" x14ac:dyDescent="0.25">
      <c r="A5254" t="s">
        <v>2105</v>
      </c>
      <c r="B5254" t="s">
        <v>41</v>
      </c>
      <c r="C5254" t="s">
        <v>177</v>
      </c>
      <c r="D5254" t="s">
        <v>3219</v>
      </c>
      <c r="E5254">
        <v>31.79</v>
      </c>
      <c r="F5254">
        <v>100.41</v>
      </c>
    </row>
    <row r="5255" spans="1:6" x14ac:dyDescent="0.25">
      <c r="A5255" t="s">
        <v>2106</v>
      </c>
      <c r="B5255" t="s">
        <v>41</v>
      </c>
      <c r="C5255" t="s">
        <v>178</v>
      </c>
      <c r="D5255" t="s">
        <v>3217</v>
      </c>
      <c r="E5255">
        <v>0</v>
      </c>
      <c r="F5255">
        <v>99.72</v>
      </c>
    </row>
    <row r="5256" spans="1:6" x14ac:dyDescent="0.25">
      <c r="A5256" t="s">
        <v>2106</v>
      </c>
      <c r="B5256" t="s">
        <v>41</v>
      </c>
      <c r="C5256" t="s">
        <v>178</v>
      </c>
      <c r="D5256" t="s">
        <v>3218</v>
      </c>
      <c r="E5256">
        <v>14.81</v>
      </c>
      <c r="F5256">
        <v>100.2</v>
      </c>
    </row>
    <row r="5257" spans="1:6" x14ac:dyDescent="0.25">
      <c r="A5257" t="s">
        <v>2106</v>
      </c>
      <c r="B5257" t="s">
        <v>41</v>
      </c>
      <c r="C5257" t="s">
        <v>178</v>
      </c>
      <c r="D5257" t="s">
        <v>3219</v>
      </c>
      <c r="E5257">
        <v>31.57</v>
      </c>
      <c r="F5257">
        <v>100.42</v>
      </c>
    </row>
    <row r="5258" spans="1:6" x14ac:dyDescent="0.25">
      <c r="A5258" t="s">
        <v>2107</v>
      </c>
      <c r="B5258" t="s">
        <v>41</v>
      </c>
      <c r="C5258" t="s">
        <v>179</v>
      </c>
      <c r="D5258" t="s">
        <v>3217</v>
      </c>
      <c r="E5258">
        <v>0</v>
      </c>
      <c r="F5258">
        <v>99.84</v>
      </c>
    </row>
    <row r="5259" spans="1:6" x14ac:dyDescent="0.25">
      <c r="A5259" t="s">
        <v>2107</v>
      </c>
      <c r="B5259" t="s">
        <v>41</v>
      </c>
      <c r="C5259" t="s">
        <v>179</v>
      </c>
      <c r="D5259" t="s">
        <v>3218</v>
      </c>
      <c r="E5259">
        <v>14.76</v>
      </c>
      <c r="F5259">
        <v>100.28</v>
      </c>
    </row>
    <row r="5260" spans="1:6" x14ac:dyDescent="0.25">
      <c r="A5260" t="s">
        <v>2107</v>
      </c>
      <c r="B5260" t="s">
        <v>41</v>
      </c>
      <c r="C5260" t="s">
        <v>179</v>
      </c>
      <c r="D5260" t="s">
        <v>3219</v>
      </c>
      <c r="E5260">
        <v>31.35</v>
      </c>
      <c r="F5260">
        <v>100.51</v>
      </c>
    </row>
    <row r="5261" spans="1:6" x14ac:dyDescent="0.25">
      <c r="A5261" t="s">
        <v>2108</v>
      </c>
      <c r="B5261" t="s">
        <v>41</v>
      </c>
      <c r="C5261" t="s">
        <v>180</v>
      </c>
      <c r="D5261" t="s">
        <v>3217</v>
      </c>
      <c r="E5261">
        <v>0</v>
      </c>
      <c r="F5261">
        <v>99.88</v>
      </c>
    </row>
    <row r="5262" spans="1:6" x14ac:dyDescent="0.25">
      <c r="A5262" t="s">
        <v>2108</v>
      </c>
      <c r="B5262" t="s">
        <v>41</v>
      </c>
      <c r="C5262" t="s">
        <v>180</v>
      </c>
      <c r="D5262" t="s">
        <v>3218</v>
      </c>
      <c r="E5262">
        <v>15.59</v>
      </c>
      <c r="F5262">
        <v>100.33</v>
      </c>
    </row>
    <row r="5263" spans="1:6" x14ac:dyDescent="0.25">
      <c r="A5263" t="s">
        <v>2108</v>
      </c>
      <c r="B5263" t="s">
        <v>41</v>
      </c>
      <c r="C5263" t="s">
        <v>180</v>
      </c>
      <c r="D5263" t="s">
        <v>3219</v>
      </c>
      <c r="E5263">
        <v>31.87</v>
      </c>
      <c r="F5263">
        <v>100.5</v>
      </c>
    </row>
    <row r="5264" spans="1:6" x14ac:dyDescent="0.25">
      <c r="A5264" t="s">
        <v>2109</v>
      </c>
      <c r="B5264" t="s">
        <v>41</v>
      </c>
      <c r="C5264" t="s">
        <v>181</v>
      </c>
      <c r="D5264" t="s">
        <v>3217</v>
      </c>
      <c r="E5264">
        <v>0</v>
      </c>
      <c r="F5264">
        <v>99.82</v>
      </c>
    </row>
    <row r="5265" spans="1:6" x14ac:dyDescent="0.25">
      <c r="A5265" t="s">
        <v>2109</v>
      </c>
      <c r="B5265" t="s">
        <v>41</v>
      </c>
      <c r="C5265" t="s">
        <v>181</v>
      </c>
      <c r="D5265" t="s">
        <v>3218</v>
      </c>
      <c r="E5265">
        <v>14.77</v>
      </c>
      <c r="F5265">
        <v>100.35</v>
      </c>
    </row>
    <row r="5266" spans="1:6" x14ac:dyDescent="0.25">
      <c r="A5266" t="s">
        <v>2109</v>
      </c>
      <c r="B5266" t="s">
        <v>41</v>
      </c>
      <c r="C5266" t="s">
        <v>181</v>
      </c>
      <c r="D5266" t="s">
        <v>3219</v>
      </c>
      <c r="E5266">
        <v>29.51</v>
      </c>
      <c r="F5266">
        <v>100.63</v>
      </c>
    </row>
    <row r="5267" spans="1:6" x14ac:dyDescent="0.25">
      <c r="A5267" t="s">
        <v>2110</v>
      </c>
      <c r="B5267" t="s">
        <v>41</v>
      </c>
      <c r="C5267" t="s">
        <v>182</v>
      </c>
      <c r="D5267" t="s">
        <v>3217</v>
      </c>
      <c r="E5267">
        <v>0</v>
      </c>
      <c r="F5267">
        <v>99.86</v>
      </c>
    </row>
    <row r="5268" spans="1:6" x14ac:dyDescent="0.25">
      <c r="A5268" t="s">
        <v>2110</v>
      </c>
      <c r="B5268" t="s">
        <v>41</v>
      </c>
      <c r="C5268" t="s">
        <v>182</v>
      </c>
      <c r="D5268" t="s">
        <v>3218</v>
      </c>
      <c r="E5268">
        <v>15.04</v>
      </c>
      <c r="F5268">
        <v>100.41</v>
      </c>
    </row>
    <row r="5269" spans="1:6" x14ac:dyDescent="0.25">
      <c r="A5269" t="s">
        <v>2110</v>
      </c>
      <c r="B5269" t="s">
        <v>41</v>
      </c>
      <c r="C5269" t="s">
        <v>182</v>
      </c>
      <c r="D5269" t="s">
        <v>3219</v>
      </c>
      <c r="E5269">
        <v>30.27</v>
      </c>
      <c r="F5269">
        <v>100.71</v>
      </c>
    </row>
    <row r="5270" spans="1:6" x14ac:dyDescent="0.25">
      <c r="A5270" t="s">
        <v>2111</v>
      </c>
      <c r="B5270" t="s">
        <v>41</v>
      </c>
      <c r="C5270" t="s">
        <v>183</v>
      </c>
      <c r="D5270" t="s">
        <v>3217</v>
      </c>
      <c r="E5270">
        <v>0</v>
      </c>
      <c r="F5270">
        <v>100.02</v>
      </c>
    </row>
    <row r="5271" spans="1:6" x14ac:dyDescent="0.25">
      <c r="A5271" t="s">
        <v>2111</v>
      </c>
      <c r="B5271" t="s">
        <v>41</v>
      </c>
      <c r="C5271" t="s">
        <v>183</v>
      </c>
      <c r="D5271" t="s">
        <v>3218</v>
      </c>
      <c r="E5271">
        <v>15.62</v>
      </c>
      <c r="F5271">
        <v>100.49</v>
      </c>
    </row>
    <row r="5272" spans="1:6" x14ac:dyDescent="0.25">
      <c r="A5272" t="s">
        <v>2111</v>
      </c>
      <c r="B5272" t="s">
        <v>41</v>
      </c>
      <c r="C5272" t="s">
        <v>183</v>
      </c>
      <c r="D5272" t="s">
        <v>3219</v>
      </c>
      <c r="E5272">
        <v>30.06</v>
      </c>
      <c r="F5272">
        <v>100.65</v>
      </c>
    </row>
    <row r="5273" spans="1:6" x14ac:dyDescent="0.25">
      <c r="A5273" t="s">
        <v>2112</v>
      </c>
      <c r="B5273" t="s">
        <v>41</v>
      </c>
      <c r="C5273" t="s">
        <v>184</v>
      </c>
      <c r="D5273" t="s">
        <v>3217</v>
      </c>
      <c r="E5273">
        <v>0</v>
      </c>
      <c r="F5273">
        <v>100.2</v>
      </c>
    </row>
    <row r="5274" spans="1:6" x14ac:dyDescent="0.25">
      <c r="A5274" t="s">
        <v>2112</v>
      </c>
      <c r="B5274" t="s">
        <v>41</v>
      </c>
      <c r="C5274" t="s">
        <v>184</v>
      </c>
      <c r="D5274" t="s">
        <v>3218</v>
      </c>
      <c r="E5274">
        <v>15.06</v>
      </c>
      <c r="F5274">
        <v>100.57</v>
      </c>
    </row>
    <row r="5275" spans="1:6" x14ac:dyDescent="0.25">
      <c r="A5275" t="s">
        <v>2112</v>
      </c>
      <c r="B5275" t="s">
        <v>41</v>
      </c>
      <c r="C5275" t="s">
        <v>184</v>
      </c>
      <c r="D5275" t="s">
        <v>3219</v>
      </c>
      <c r="E5275">
        <v>28.29</v>
      </c>
      <c r="F5275">
        <v>100.88</v>
      </c>
    </row>
    <row r="5276" spans="1:6" x14ac:dyDescent="0.25">
      <c r="A5276" t="s">
        <v>2113</v>
      </c>
      <c r="B5276" t="s">
        <v>41</v>
      </c>
      <c r="C5276" t="s">
        <v>185</v>
      </c>
      <c r="D5276" t="s">
        <v>3217</v>
      </c>
      <c r="E5276">
        <v>0</v>
      </c>
      <c r="F5276">
        <v>100.36</v>
      </c>
    </row>
    <row r="5277" spans="1:6" x14ac:dyDescent="0.25">
      <c r="A5277" t="s">
        <v>2113</v>
      </c>
      <c r="B5277" t="s">
        <v>41</v>
      </c>
      <c r="C5277" t="s">
        <v>185</v>
      </c>
      <c r="D5277" t="s">
        <v>3218</v>
      </c>
      <c r="E5277">
        <v>14.43</v>
      </c>
      <c r="F5277">
        <v>100.69</v>
      </c>
    </row>
    <row r="5278" spans="1:6" x14ac:dyDescent="0.25">
      <c r="A5278" t="s">
        <v>2113</v>
      </c>
      <c r="B5278" t="s">
        <v>41</v>
      </c>
      <c r="C5278" t="s">
        <v>185</v>
      </c>
      <c r="D5278" t="s">
        <v>3219</v>
      </c>
      <c r="E5278">
        <v>27.61</v>
      </c>
      <c r="F5278">
        <v>100.83</v>
      </c>
    </row>
    <row r="5279" spans="1:6" x14ac:dyDescent="0.25">
      <c r="A5279" t="s">
        <v>2114</v>
      </c>
      <c r="B5279" t="s">
        <v>41</v>
      </c>
      <c r="C5279" t="s">
        <v>186</v>
      </c>
      <c r="D5279" t="s">
        <v>3217</v>
      </c>
      <c r="E5279">
        <v>0</v>
      </c>
      <c r="F5279">
        <v>100.38</v>
      </c>
    </row>
    <row r="5280" spans="1:6" x14ac:dyDescent="0.25">
      <c r="A5280" t="s">
        <v>2114</v>
      </c>
      <c r="B5280" t="s">
        <v>41</v>
      </c>
      <c r="C5280" t="s">
        <v>186</v>
      </c>
      <c r="D5280" t="s">
        <v>3218</v>
      </c>
      <c r="E5280">
        <v>13.7</v>
      </c>
      <c r="F5280">
        <v>100.81</v>
      </c>
    </row>
    <row r="5281" spans="1:6" x14ac:dyDescent="0.25">
      <c r="A5281" t="s">
        <v>2114</v>
      </c>
      <c r="B5281" t="s">
        <v>41</v>
      </c>
      <c r="C5281" t="s">
        <v>186</v>
      </c>
      <c r="D5281" t="s">
        <v>3219</v>
      </c>
      <c r="E5281">
        <v>27.27</v>
      </c>
      <c r="F5281">
        <v>100.96</v>
      </c>
    </row>
    <row r="5282" spans="1:6" x14ac:dyDescent="0.25">
      <c r="A5282" t="s">
        <v>2115</v>
      </c>
      <c r="B5282" t="s">
        <v>41</v>
      </c>
      <c r="C5282" t="s">
        <v>187</v>
      </c>
      <c r="D5282" t="s">
        <v>3217</v>
      </c>
      <c r="E5282">
        <v>0</v>
      </c>
      <c r="F5282">
        <v>100.61</v>
      </c>
    </row>
    <row r="5283" spans="1:6" x14ac:dyDescent="0.25">
      <c r="A5283" t="s">
        <v>2115</v>
      </c>
      <c r="B5283" t="s">
        <v>41</v>
      </c>
      <c r="C5283" t="s">
        <v>187</v>
      </c>
      <c r="D5283" t="s">
        <v>3218</v>
      </c>
      <c r="E5283">
        <v>13.6</v>
      </c>
      <c r="F5283">
        <v>100.87</v>
      </c>
    </row>
    <row r="5284" spans="1:6" x14ac:dyDescent="0.25">
      <c r="A5284" t="s">
        <v>2115</v>
      </c>
      <c r="B5284" t="s">
        <v>41</v>
      </c>
      <c r="C5284" t="s">
        <v>187</v>
      </c>
      <c r="D5284" t="s">
        <v>3219</v>
      </c>
      <c r="E5284">
        <v>27.82</v>
      </c>
      <c r="F5284">
        <v>101.09</v>
      </c>
    </row>
    <row r="5285" spans="1:6" x14ac:dyDescent="0.25">
      <c r="A5285" t="s">
        <v>2116</v>
      </c>
      <c r="B5285" t="s">
        <v>41</v>
      </c>
      <c r="C5285" t="s">
        <v>188</v>
      </c>
      <c r="D5285" t="s">
        <v>3217</v>
      </c>
      <c r="E5285">
        <v>0</v>
      </c>
      <c r="F5285">
        <v>100.89</v>
      </c>
    </row>
    <row r="5286" spans="1:6" x14ac:dyDescent="0.25">
      <c r="A5286" t="s">
        <v>2116</v>
      </c>
      <c r="B5286" t="s">
        <v>41</v>
      </c>
      <c r="C5286" t="s">
        <v>188</v>
      </c>
      <c r="D5286" t="s">
        <v>3218</v>
      </c>
      <c r="E5286">
        <v>14.21</v>
      </c>
      <c r="F5286">
        <v>101.05</v>
      </c>
    </row>
    <row r="5287" spans="1:6" x14ac:dyDescent="0.25">
      <c r="A5287" t="s">
        <v>2116</v>
      </c>
      <c r="B5287" t="s">
        <v>41</v>
      </c>
      <c r="C5287" t="s">
        <v>188</v>
      </c>
      <c r="D5287" t="s">
        <v>3219</v>
      </c>
      <c r="E5287">
        <v>27.64</v>
      </c>
      <c r="F5287">
        <v>101.27</v>
      </c>
    </row>
    <row r="5288" spans="1:6" x14ac:dyDescent="0.25">
      <c r="A5288" t="s">
        <v>2117</v>
      </c>
      <c r="B5288" t="s">
        <v>41</v>
      </c>
      <c r="C5288" t="s">
        <v>189</v>
      </c>
      <c r="D5288" t="s">
        <v>3217</v>
      </c>
      <c r="E5288">
        <v>0</v>
      </c>
      <c r="F5288">
        <v>100.93</v>
      </c>
    </row>
    <row r="5289" spans="1:6" x14ac:dyDescent="0.25">
      <c r="A5289" t="s">
        <v>2117</v>
      </c>
      <c r="B5289" t="s">
        <v>41</v>
      </c>
      <c r="C5289" t="s">
        <v>189</v>
      </c>
      <c r="D5289" t="s">
        <v>3218</v>
      </c>
      <c r="E5289">
        <v>13.88</v>
      </c>
      <c r="F5289">
        <v>101.26</v>
      </c>
    </row>
    <row r="5290" spans="1:6" x14ac:dyDescent="0.25">
      <c r="A5290" t="s">
        <v>2117</v>
      </c>
      <c r="B5290" t="s">
        <v>41</v>
      </c>
      <c r="C5290" t="s">
        <v>189</v>
      </c>
      <c r="D5290" t="s">
        <v>3219</v>
      </c>
      <c r="E5290">
        <v>26.68</v>
      </c>
      <c r="F5290">
        <v>101.27</v>
      </c>
    </row>
    <row r="5291" spans="1:6" x14ac:dyDescent="0.25">
      <c r="A5291" t="s">
        <v>2118</v>
      </c>
      <c r="B5291" t="s">
        <v>41</v>
      </c>
      <c r="C5291" t="s">
        <v>190</v>
      </c>
      <c r="D5291" t="s">
        <v>3217</v>
      </c>
      <c r="E5291">
        <v>0</v>
      </c>
      <c r="F5291">
        <v>101</v>
      </c>
    </row>
    <row r="5292" spans="1:6" x14ac:dyDescent="0.25">
      <c r="A5292" t="s">
        <v>2118</v>
      </c>
      <c r="B5292" t="s">
        <v>41</v>
      </c>
      <c r="C5292" t="s">
        <v>190</v>
      </c>
      <c r="D5292" t="s">
        <v>3218</v>
      </c>
      <c r="E5292">
        <v>13.11</v>
      </c>
      <c r="F5292">
        <v>101.19</v>
      </c>
    </row>
    <row r="5293" spans="1:6" x14ac:dyDescent="0.25">
      <c r="A5293" t="s">
        <v>2118</v>
      </c>
      <c r="B5293" t="s">
        <v>41</v>
      </c>
      <c r="C5293" t="s">
        <v>190</v>
      </c>
      <c r="D5293" t="s">
        <v>3219</v>
      </c>
      <c r="E5293">
        <v>26.5</v>
      </c>
      <c r="F5293">
        <v>101.29</v>
      </c>
    </row>
    <row r="5294" spans="1:6" x14ac:dyDescent="0.25">
      <c r="A5294" t="s">
        <v>2119</v>
      </c>
      <c r="B5294" t="s">
        <v>41</v>
      </c>
      <c r="C5294" t="s">
        <v>191</v>
      </c>
      <c r="D5294" t="s">
        <v>3217</v>
      </c>
      <c r="E5294">
        <v>0</v>
      </c>
      <c r="F5294">
        <v>100.95</v>
      </c>
    </row>
    <row r="5295" spans="1:6" x14ac:dyDescent="0.25">
      <c r="A5295" t="s">
        <v>2119</v>
      </c>
      <c r="B5295" t="s">
        <v>41</v>
      </c>
      <c r="C5295" t="s">
        <v>191</v>
      </c>
      <c r="D5295" t="s">
        <v>3218</v>
      </c>
      <c r="E5295">
        <v>13.17</v>
      </c>
      <c r="F5295">
        <v>101.2</v>
      </c>
    </row>
    <row r="5296" spans="1:6" x14ac:dyDescent="0.25">
      <c r="A5296" t="s">
        <v>2119</v>
      </c>
      <c r="B5296" t="s">
        <v>41</v>
      </c>
      <c r="C5296" t="s">
        <v>191</v>
      </c>
      <c r="D5296" t="s">
        <v>3219</v>
      </c>
      <c r="E5296">
        <v>26.8</v>
      </c>
      <c r="F5296">
        <v>101.35</v>
      </c>
    </row>
    <row r="5297" spans="1:6" x14ac:dyDescent="0.25">
      <c r="A5297" t="s">
        <v>2120</v>
      </c>
      <c r="B5297" t="s">
        <v>41</v>
      </c>
      <c r="C5297" t="s">
        <v>192</v>
      </c>
      <c r="D5297" t="s">
        <v>3217</v>
      </c>
      <c r="E5297">
        <v>0</v>
      </c>
      <c r="F5297">
        <v>100.76</v>
      </c>
    </row>
    <row r="5298" spans="1:6" x14ac:dyDescent="0.25">
      <c r="A5298" t="s">
        <v>2120</v>
      </c>
      <c r="B5298" t="s">
        <v>41</v>
      </c>
      <c r="C5298" t="s">
        <v>192</v>
      </c>
      <c r="D5298" t="s">
        <v>3218</v>
      </c>
      <c r="E5298">
        <v>13.31</v>
      </c>
      <c r="F5298">
        <v>101.12</v>
      </c>
    </row>
    <row r="5299" spans="1:6" x14ac:dyDescent="0.25">
      <c r="A5299" t="s">
        <v>2120</v>
      </c>
      <c r="B5299" t="s">
        <v>41</v>
      </c>
      <c r="C5299" t="s">
        <v>192</v>
      </c>
      <c r="D5299" t="s">
        <v>3219</v>
      </c>
      <c r="E5299">
        <v>27.81</v>
      </c>
      <c r="F5299">
        <v>101.42</v>
      </c>
    </row>
    <row r="5300" spans="1:6" x14ac:dyDescent="0.25">
      <c r="A5300" t="s">
        <v>2121</v>
      </c>
      <c r="B5300" t="s">
        <v>41</v>
      </c>
      <c r="C5300" t="s">
        <v>193</v>
      </c>
      <c r="D5300" t="s">
        <v>3217</v>
      </c>
      <c r="E5300">
        <v>0</v>
      </c>
      <c r="F5300">
        <v>100.66</v>
      </c>
    </row>
    <row r="5301" spans="1:6" x14ac:dyDescent="0.25">
      <c r="A5301" t="s">
        <v>2121</v>
      </c>
      <c r="B5301" t="s">
        <v>41</v>
      </c>
      <c r="C5301" t="s">
        <v>193</v>
      </c>
      <c r="D5301" t="s">
        <v>3218</v>
      </c>
      <c r="E5301">
        <v>13.95</v>
      </c>
      <c r="F5301">
        <v>101.01</v>
      </c>
    </row>
    <row r="5302" spans="1:6" x14ac:dyDescent="0.25">
      <c r="A5302" t="s">
        <v>2121</v>
      </c>
      <c r="B5302" t="s">
        <v>41</v>
      </c>
      <c r="C5302" t="s">
        <v>193</v>
      </c>
      <c r="D5302" t="s">
        <v>3219</v>
      </c>
      <c r="E5302">
        <v>28.2</v>
      </c>
      <c r="F5302">
        <v>101.18</v>
      </c>
    </row>
    <row r="5303" spans="1:6" x14ac:dyDescent="0.25">
      <c r="A5303" t="s">
        <v>2122</v>
      </c>
      <c r="B5303" t="s">
        <v>41</v>
      </c>
      <c r="C5303" t="s">
        <v>194</v>
      </c>
      <c r="D5303" t="s">
        <v>3217</v>
      </c>
      <c r="E5303">
        <v>0</v>
      </c>
      <c r="F5303">
        <v>100.57</v>
      </c>
    </row>
    <row r="5304" spans="1:6" x14ac:dyDescent="0.25">
      <c r="A5304" t="s">
        <v>2122</v>
      </c>
      <c r="B5304" t="s">
        <v>41</v>
      </c>
      <c r="C5304" t="s">
        <v>194</v>
      </c>
      <c r="D5304" t="s">
        <v>3218</v>
      </c>
      <c r="E5304">
        <v>16.02</v>
      </c>
      <c r="F5304">
        <v>100.79</v>
      </c>
    </row>
    <row r="5305" spans="1:6" x14ac:dyDescent="0.25">
      <c r="A5305" t="s">
        <v>2122</v>
      </c>
      <c r="B5305" t="s">
        <v>41</v>
      </c>
      <c r="C5305" t="s">
        <v>194</v>
      </c>
      <c r="D5305" t="s">
        <v>3219</v>
      </c>
      <c r="E5305">
        <v>29.43</v>
      </c>
      <c r="F5305">
        <v>100.83</v>
      </c>
    </row>
    <row r="5306" spans="1:6" x14ac:dyDescent="0.25">
      <c r="A5306" t="s">
        <v>2123</v>
      </c>
      <c r="B5306" t="s">
        <v>41</v>
      </c>
      <c r="C5306" t="s">
        <v>195</v>
      </c>
      <c r="D5306" t="s">
        <v>3217</v>
      </c>
      <c r="E5306">
        <v>0</v>
      </c>
      <c r="F5306">
        <v>100.34</v>
      </c>
    </row>
    <row r="5307" spans="1:6" x14ac:dyDescent="0.25">
      <c r="A5307" t="s">
        <v>2123</v>
      </c>
      <c r="B5307" t="s">
        <v>41</v>
      </c>
      <c r="C5307" t="s">
        <v>195</v>
      </c>
      <c r="D5307" t="s">
        <v>3218</v>
      </c>
      <c r="E5307">
        <v>16.02</v>
      </c>
      <c r="F5307">
        <v>100.5</v>
      </c>
    </row>
    <row r="5308" spans="1:6" x14ac:dyDescent="0.25">
      <c r="A5308" t="s">
        <v>2123</v>
      </c>
      <c r="B5308" t="s">
        <v>41</v>
      </c>
      <c r="C5308" t="s">
        <v>195</v>
      </c>
      <c r="D5308" t="s">
        <v>3219</v>
      </c>
      <c r="E5308">
        <v>29.59</v>
      </c>
      <c r="F5308">
        <v>100.51</v>
      </c>
    </row>
    <row r="5309" spans="1:6" x14ac:dyDescent="0.25">
      <c r="A5309" t="s">
        <v>2124</v>
      </c>
      <c r="B5309" t="s">
        <v>41</v>
      </c>
      <c r="C5309" t="s">
        <v>196</v>
      </c>
      <c r="D5309" t="s">
        <v>3217</v>
      </c>
      <c r="E5309">
        <v>0</v>
      </c>
      <c r="F5309">
        <v>99.86</v>
      </c>
    </row>
    <row r="5310" spans="1:6" x14ac:dyDescent="0.25">
      <c r="A5310" t="s">
        <v>2124</v>
      </c>
      <c r="B5310" t="s">
        <v>41</v>
      </c>
      <c r="C5310" t="s">
        <v>196</v>
      </c>
      <c r="D5310" t="s">
        <v>3218</v>
      </c>
      <c r="E5310">
        <v>16.510000000000002</v>
      </c>
      <c r="F5310">
        <v>100.19</v>
      </c>
    </row>
    <row r="5311" spans="1:6" x14ac:dyDescent="0.25">
      <c r="A5311" t="s">
        <v>2124</v>
      </c>
      <c r="B5311" t="s">
        <v>41</v>
      </c>
      <c r="C5311" t="s">
        <v>196</v>
      </c>
      <c r="D5311" t="s">
        <v>3219</v>
      </c>
      <c r="E5311">
        <v>31.27</v>
      </c>
      <c r="F5311">
        <v>100.19</v>
      </c>
    </row>
    <row r="5312" spans="1:6" x14ac:dyDescent="0.25">
      <c r="A5312" t="s">
        <v>2125</v>
      </c>
      <c r="B5312" t="s">
        <v>41</v>
      </c>
      <c r="C5312" t="s">
        <v>197</v>
      </c>
      <c r="D5312" t="s">
        <v>3217</v>
      </c>
      <c r="E5312">
        <v>0</v>
      </c>
      <c r="F5312">
        <v>99.64</v>
      </c>
    </row>
    <row r="5313" spans="1:6" x14ac:dyDescent="0.25">
      <c r="A5313" t="s">
        <v>2125</v>
      </c>
      <c r="B5313" t="s">
        <v>41</v>
      </c>
      <c r="C5313" t="s">
        <v>197</v>
      </c>
      <c r="D5313" t="s">
        <v>3218</v>
      </c>
      <c r="E5313">
        <v>17.34</v>
      </c>
      <c r="F5313">
        <v>99.92</v>
      </c>
    </row>
    <row r="5314" spans="1:6" x14ac:dyDescent="0.25">
      <c r="A5314" t="s">
        <v>2125</v>
      </c>
      <c r="B5314" t="s">
        <v>41</v>
      </c>
      <c r="C5314" t="s">
        <v>197</v>
      </c>
      <c r="D5314" t="s">
        <v>3219</v>
      </c>
      <c r="E5314">
        <v>29.83</v>
      </c>
      <c r="F5314">
        <v>99.73</v>
      </c>
    </row>
    <row r="5315" spans="1:6" x14ac:dyDescent="0.25">
      <c r="A5315" t="s">
        <v>2126</v>
      </c>
      <c r="B5315" t="s">
        <v>41</v>
      </c>
      <c r="C5315" t="s">
        <v>198</v>
      </c>
      <c r="D5315" t="s">
        <v>3217</v>
      </c>
      <c r="E5315">
        <v>0</v>
      </c>
      <c r="F5315">
        <v>99.65</v>
      </c>
    </row>
    <row r="5316" spans="1:6" x14ac:dyDescent="0.25">
      <c r="A5316" t="s">
        <v>2126</v>
      </c>
      <c r="B5316" t="s">
        <v>41</v>
      </c>
      <c r="C5316" t="s">
        <v>198</v>
      </c>
      <c r="D5316" t="s">
        <v>3218</v>
      </c>
      <c r="E5316">
        <v>15.64</v>
      </c>
      <c r="F5316">
        <v>99.8</v>
      </c>
    </row>
    <row r="5317" spans="1:6" x14ac:dyDescent="0.25">
      <c r="A5317" t="s">
        <v>2126</v>
      </c>
      <c r="B5317" t="s">
        <v>41</v>
      </c>
      <c r="C5317" t="s">
        <v>198</v>
      </c>
      <c r="D5317" t="s">
        <v>3219</v>
      </c>
      <c r="E5317">
        <v>28.62</v>
      </c>
      <c r="F5317">
        <v>99.45</v>
      </c>
    </row>
    <row r="5318" spans="1:6" x14ac:dyDescent="0.25">
      <c r="A5318" t="s">
        <v>2127</v>
      </c>
      <c r="B5318" t="s">
        <v>41</v>
      </c>
      <c r="C5318" t="s">
        <v>199</v>
      </c>
      <c r="D5318" t="s">
        <v>3217</v>
      </c>
      <c r="E5318">
        <v>0</v>
      </c>
      <c r="F5318">
        <v>99.51</v>
      </c>
    </row>
    <row r="5319" spans="1:6" x14ac:dyDescent="0.25">
      <c r="A5319" t="s">
        <v>2127</v>
      </c>
      <c r="B5319" t="s">
        <v>41</v>
      </c>
      <c r="C5319" t="s">
        <v>199</v>
      </c>
      <c r="D5319" t="s">
        <v>3218</v>
      </c>
      <c r="E5319">
        <v>14.31</v>
      </c>
      <c r="F5319">
        <v>99.64</v>
      </c>
    </row>
    <row r="5320" spans="1:6" x14ac:dyDescent="0.25">
      <c r="A5320" t="s">
        <v>2127</v>
      </c>
      <c r="B5320" t="s">
        <v>41</v>
      </c>
      <c r="C5320" t="s">
        <v>199</v>
      </c>
      <c r="D5320" t="s">
        <v>3219</v>
      </c>
      <c r="E5320">
        <v>28.02</v>
      </c>
      <c r="F5320">
        <v>99.37</v>
      </c>
    </row>
    <row r="5321" spans="1:6" x14ac:dyDescent="0.25">
      <c r="A5321" t="s">
        <v>2128</v>
      </c>
      <c r="B5321" t="s">
        <v>41</v>
      </c>
      <c r="C5321" t="s">
        <v>200</v>
      </c>
      <c r="D5321" t="s">
        <v>3217</v>
      </c>
      <c r="E5321">
        <v>0</v>
      </c>
      <c r="F5321">
        <v>99.38</v>
      </c>
    </row>
    <row r="5322" spans="1:6" x14ac:dyDescent="0.25">
      <c r="A5322" t="s">
        <v>2128</v>
      </c>
      <c r="B5322" t="s">
        <v>41</v>
      </c>
      <c r="C5322" t="s">
        <v>200</v>
      </c>
      <c r="D5322" t="s">
        <v>3218</v>
      </c>
      <c r="E5322">
        <v>11.2</v>
      </c>
      <c r="F5322">
        <v>99.5</v>
      </c>
    </row>
    <row r="5323" spans="1:6" x14ac:dyDescent="0.25">
      <c r="A5323" t="s">
        <v>2128</v>
      </c>
      <c r="B5323" t="s">
        <v>41</v>
      </c>
      <c r="C5323" t="s">
        <v>200</v>
      </c>
      <c r="D5323" t="s">
        <v>3219</v>
      </c>
      <c r="E5323">
        <v>26.7</v>
      </c>
      <c r="F5323">
        <v>99.31</v>
      </c>
    </row>
    <row r="5324" spans="1:6" x14ac:dyDescent="0.25">
      <c r="A5324" t="s">
        <v>2129</v>
      </c>
      <c r="B5324" t="s">
        <v>41</v>
      </c>
      <c r="C5324" t="s">
        <v>201</v>
      </c>
      <c r="D5324" t="s">
        <v>3217</v>
      </c>
      <c r="E5324">
        <v>0</v>
      </c>
      <c r="F5324">
        <v>99.28</v>
      </c>
    </row>
    <row r="5325" spans="1:6" x14ac:dyDescent="0.25">
      <c r="A5325" t="s">
        <v>2129</v>
      </c>
      <c r="B5325" t="s">
        <v>41</v>
      </c>
      <c r="C5325" t="s">
        <v>201</v>
      </c>
      <c r="D5325" t="s">
        <v>3218</v>
      </c>
      <c r="E5325">
        <v>10.029999999999999</v>
      </c>
      <c r="F5325">
        <v>99.38</v>
      </c>
    </row>
    <row r="5326" spans="1:6" x14ac:dyDescent="0.25">
      <c r="A5326" t="s">
        <v>2129</v>
      </c>
      <c r="B5326" t="s">
        <v>41</v>
      </c>
      <c r="C5326" t="s">
        <v>201</v>
      </c>
      <c r="D5326" t="s">
        <v>3219</v>
      </c>
      <c r="E5326">
        <v>25.64</v>
      </c>
      <c r="F5326">
        <v>99.15</v>
      </c>
    </row>
    <row r="5327" spans="1:6" x14ac:dyDescent="0.25">
      <c r="A5327" t="s">
        <v>2130</v>
      </c>
      <c r="B5327" t="s">
        <v>41</v>
      </c>
      <c r="C5327" t="s">
        <v>202</v>
      </c>
      <c r="D5327" t="s">
        <v>3217</v>
      </c>
      <c r="E5327">
        <v>0</v>
      </c>
      <c r="F5327">
        <v>99.23</v>
      </c>
    </row>
    <row r="5328" spans="1:6" x14ac:dyDescent="0.25">
      <c r="A5328" t="s">
        <v>2130</v>
      </c>
      <c r="B5328" t="s">
        <v>41</v>
      </c>
      <c r="C5328" t="s">
        <v>202</v>
      </c>
      <c r="D5328" t="s">
        <v>3218</v>
      </c>
      <c r="E5328">
        <v>10.32</v>
      </c>
      <c r="F5328">
        <v>99.31</v>
      </c>
    </row>
    <row r="5329" spans="1:6" x14ac:dyDescent="0.25">
      <c r="A5329" t="s">
        <v>2130</v>
      </c>
      <c r="B5329" t="s">
        <v>41</v>
      </c>
      <c r="C5329" t="s">
        <v>202</v>
      </c>
      <c r="D5329" t="s">
        <v>3219</v>
      </c>
      <c r="E5329">
        <v>25.01</v>
      </c>
      <c r="F5329">
        <v>99.09</v>
      </c>
    </row>
    <row r="5330" spans="1:6" x14ac:dyDescent="0.25">
      <c r="A5330" t="s">
        <v>2131</v>
      </c>
      <c r="B5330" t="s">
        <v>41</v>
      </c>
      <c r="C5330" t="s">
        <v>203</v>
      </c>
      <c r="D5330" t="s">
        <v>3217</v>
      </c>
      <c r="E5330">
        <v>0</v>
      </c>
      <c r="F5330">
        <v>99.2</v>
      </c>
    </row>
    <row r="5331" spans="1:6" x14ac:dyDescent="0.25">
      <c r="A5331" t="s">
        <v>2131</v>
      </c>
      <c r="B5331" t="s">
        <v>41</v>
      </c>
      <c r="C5331" t="s">
        <v>203</v>
      </c>
      <c r="D5331" t="s">
        <v>3218</v>
      </c>
      <c r="E5331">
        <v>11.19</v>
      </c>
      <c r="F5331">
        <v>99.31</v>
      </c>
    </row>
    <row r="5332" spans="1:6" x14ac:dyDescent="0.25">
      <c r="A5332" t="s">
        <v>2131</v>
      </c>
      <c r="B5332" t="s">
        <v>41</v>
      </c>
      <c r="C5332" t="s">
        <v>203</v>
      </c>
      <c r="D5332" t="s">
        <v>3219</v>
      </c>
      <c r="E5332">
        <v>25.19</v>
      </c>
      <c r="F5332">
        <v>99.07</v>
      </c>
    </row>
    <row r="5333" spans="1:6" x14ac:dyDescent="0.25">
      <c r="A5333" t="s">
        <v>2132</v>
      </c>
      <c r="B5333" t="s">
        <v>41</v>
      </c>
      <c r="C5333" t="s">
        <v>204</v>
      </c>
      <c r="D5333" t="s">
        <v>3217</v>
      </c>
      <c r="E5333">
        <v>0</v>
      </c>
      <c r="F5333">
        <v>99.18</v>
      </c>
    </row>
    <row r="5334" spans="1:6" x14ac:dyDescent="0.25">
      <c r="A5334" t="s">
        <v>2132</v>
      </c>
      <c r="B5334" t="s">
        <v>41</v>
      </c>
      <c r="C5334" t="s">
        <v>204</v>
      </c>
      <c r="D5334" t="s">
        <v>3218</v>
      </c>
      <c r="E5334">
        <v>12.51</v>
      </c>
      <c r="F5334">
        <v>99.28</v>
      </c>
    </row>
    <row r="5335" spans="1:6" x14ac:dyDescent="0.25">
      <c r="A5335" t="s">
        <v>2132</v>
      </c>
      <c r="B5335" t="s">
        <v>41</v>
      </c>
      <c r="C5335" t="s">
        <v>204</v>
      </c>
      <c r="D5335" t="s">
        <v>3219</v>
      </c>
      <c r="E5335">
        <v>26.17</v>
      </c>
      <c r="F5335">
        <v>99.01</v>
      </c>
    </row>
    <row r="5336" spans="1:6" x14ac:dyDescent="0.25">
      <c r="A5336" t="s">
        <v>2133</v>
      </c>
      <c r="B5336" t="s">
        <v>41</v>
      </c>
      <c r="C5336" t="s">
        <v>205</v>
      </c>
      <c r="D5336" t="s">
        <v>3217</v>
      </c>
      <c r="E5336">
        <v>0</v>
      </c>
      <c r="F5336">
        <v>99.05</v>
      </c>
    </row>
    <row r="5337" spans="1:6" x14ac:dyDescent="0.25">
      <c r="A5337" t="s">
        <v>2133</v>
      </c>
      <c r="B5337" t="s">
        <v>41</v>
      </c>
      <c r="C5337" t="s">
        <v>205</v>
      </c>
      <c r="D5337" t="s">
        <v>3218</v>
      </c>
      <c r="E5337">
        <v>13.31</v>
      </c>
      <c r="F5337">
        <v>99.23</v>
      </c>
    </row>
    <row r="5338" spans="1:6" x14ac:dyDescent="0.25">
      <c r="A5338" t="s">
        <v>2133</v>
      </c>
      <c r="B5338" t="s">
        <v>41</v>
      </c>
      <c r="C5338" t="s">
        <v>205</v>
      </c>
      <c r="D5338" t="s">
        <v>3219</v>
      </c>
      <c r="E5338">
        <v>27.32</v>
      </c>
      <c r="F5338">
        <v>99.02</v>
      </c>
    </row>
    <row r="5339" spans="1:6" x14ac:dyDescent="0.25">
      <c r="A5339" t="s">
        <v>2134</v>
      </c>
      <c r="B5339" t="s">
        <v>41</v>
      </c>
      <c r="C5339" t="s">
        <v>206</v>
      </c>
      <c r="D5339" t="s">
        <v>3217</v>
      </c>
      <c r="E5339">
        <v>0</v>
      </c>
      <c r="F5339">
        <v>98.92</v>
      </c>
    </row>
    <row r="5340" spans="1:6" x14ac:dyDescent="0.25">
      <c r="A5340" t="s">
        <v>2134</v>
      </c>
      <c r="B5340" t="s">
        <v>41</v>
      </c>
      <c r="C5340" t="s">
        <v>206</v>
      </c>
      <c r="D5340" t="s">
        <v>3218</v>
      </c>
      <c r="E5340">
        <v>13.18</v>
      </c>
      <c r="F5340">
        <v>99.08</v>
      </c>
    </row>
    <row r="5341" spans="1:6" x14ac:dyDescent="0.25">
      <c r="A5341" t="s">
        <v>2134</v>
      </c>
      <c r="B5341" t="s">
        <v>41</v>
      </c>
      <c r="C5341" t="s">
        <v>206</v>
      </c>
      <c r="D5341" t="s">
        <v>3219</v>
      </c>
      <c r="E5341">
        <v>26.88</v>
      </c>
      <c r="F5341">
        <v>98.99</v>
      </c>
    </row>
    <row r="5342" spans="1:6" x14ac:dyDescent="0.25">
      <c r="A5342" t="s">
        <v>2135</v>
      </c>
      <c r="B5342" t="s">
        <v>41</v>
      </c>
      <c r="C5342" t="s">
        <v>207</v>
      </c>
      <c r="D5342" t="s">
        <v>3217</v>
      </c>
      <c r="E5342">
        <v>0</v>
      </c>
      <c r="F5342">
        <v>98.71</v>
      </c>
    </row>
    <row r="5343" spans="1:6" x14ac:dyDescent="0.25">
      <c r="A5343" t="s">
        <v>2135</v>
      </c>
      <c r="B5343" t="s">
        <v>41</v>
      </c>
      <c r="C5343" t="s">
        <v>207</v>
      </c>
      <c r="D5343" t="s">
        <v>3218</v>
      </c>
      <c r="E5343">
        <v>17.22</v>
      </c>
      <c r="F5343">
        <v>99</v>
      </c>
    </row>
    <row r="5344" spans="1:6" x14ac:dyDescent="0.25">
      <c r="A5344" t="s">
        <v>2135</v>
      </c>
      <c r="B5344" t="s">
        <v>41</v>
      </c>
      <c r="C5344" t="s">
        <v>207</v>
      </c>
      <c r="D5344" t="s">
        <v>3219</v>
      </c>
      <c r="E5344">
        <v>30.92</v>
      </c>
      <c r="F5344">
        <v>98.97</v>
      </c>
    </row>
    <row r="5345" spans="1:6" x14ac:dyDescent="0.25">
      <c r="A5345" t="s">
        <v>2136</v>
      </c>
      <c r="B5345" t="s">
        <v>41</v>
      </c>
      <c r="C5345" t="s">
        <v>208</v>
      </c>
      <c r="D5345" t="s">
        <v>3217</v>
      </c>
      <c r="E5345">
        <v>0</v>
      </c>
      <c r="F5345">
        <v>98.78</v>
      </c>
    </row>
    <row r="5346" spans="1:6" x14ac:dyDescent="0.25">
      <c r="A5346" t="s">
        <v>2136</v>
      </c>
      <c r="B5346" t="s">
        <v>41</v>
      </c>
      <c r="C5346" t="s">
        <v>208</v>
      </c>
      <c r="D5346" t="s">
        <v>3218</v>
      </c>
      <c r="E5346">
        <v>17.22</v>
      </c>
      <c r="F5346">
        <v>99.09</v>
      </c>
    </row>
    <row r="5347" spans="1:6" x14ac:dyDescent="0.25">
      <c r="A5347" t="s">
        <v>2136</v>
      </c>
      <c r="B5347" t="s">
        <v>41</v>
      </c>
      <c r="C5347" t="s">
        <v>208</v>
      </c>
      <c r="D5347" t="s">
        <v>3219</v>
      </c>
      <c r="E5347">
        <v>30.92</v>
      </c>
      <c r="F5347">
        <v>98.88</v>
      </c>
    </row>
    <row r="5348" spans="1:6" x14ac:dyDescent="0.25">
      <c r="A5348" t="s">
        <v>2137</v>
      </c>
      <c r="B5348" t="s">
        <v>41</v>
      </c>
      <c r="C5348" t="s">
        <v>209</v>
      </c>
      <c r="D5348" t="s">
        <v>3217</v>
      </c>
      <c r="E5348">
        <v>0</v>
      </c>
      <c r="F5348">
        <v>98.88</v>
      </c>
    </row>
    <row r="5349" spans="1:6" x14ac:dyDescent="0.25">
      <c r="A5349" t="s">
        <v>2137</v>
      </c>
      <c r="B5349" t="s">
        <v>41</v>
      </c>
      <c r="C5349" t="s">
        <v>209</v>
      </c>
      <c r="D5349" t="s">
        <v>3218</v>
      </c>
      <c r="E5349">
        <v>17.22</v>
      </c>
      <c r="F5349">
        <v>99.12</v>
      </c>
    </row>
    <row r="5350" spans="1:6" x14ac:dyDescent="0.25">
      <c r="A5350" t="s">
        <v>2137</v>
      </c>
      <c r="B5350" t="s">
        <v>41</v>
      </c>
      <c r="C5350" t="s">
        <v>209</v>
      </c>
      <c r="D5350" t="s">
        <v>3219</v>
      </c>
      <c r="E5350">
        <v>29.91</v>
      </c>
      <c r="F5350">
        <v>98.88</v>
      </c>
    </row>
    <row r="5351" spans="1:6" x14ac:dyDescent="0.25">
      <c r="A5351" t="s">
        <v>2138</v>
      </c>
      <c r="B5351" t="s">
        <v>41</v>
      </c>
      <c r="C5351" t="s">
        <v>210</v>
      </c>
      <c r="D5351" t="s">
        <v>3217</v>
      </c>
      <c r="E5351">
        <v>0</v>
      </c>
      <c r="F5351">
        <v>99.01</v>
      </c>
    </row>
    <row r="5352" spans="1:6" x14ac:dyDescent="0.25">
      <c r="A5352" t="s">
        <v>2138</v>
      </c>
      <c r="B5352" t="s">
        <v>41</v>
      </c>
      <c r="C5352" t="s">
        <v>210</v>
      </c>
      <c r="D5352" t="s">
        <v>3218</v>
      </c>
      <c r="E5352">
        <v>14.96</v>
      </c>
      <c r="F5352">
        <v>99.11</v>
      </c>
    </row>
    <row r="5353" spans="1:6" x14ac:dyDescent="0.25">
      <c r="A5353" t="s">
        <v>2138</v>
      </c>
      <c r="B5353" t="s">
        <v>41</v>
      </c>
      <c r="C5353" t="s">
        <v>210</v>
      </c>
      <c r="D5353" t="s">
        <v>3219</v>
      </c>
      <c r="E5353">
        <v>29.13</v>
      </c>
      <c r="F5353">
        <v>98.99</v>
      </c>
    </row>
    <row r="5354" spans="1:6" x14ac:dyDescent="0.25">
      <c r="A5354" t="s">
        <v>2139</v>
      </c>
      <c r="B5354" t="s">
        <v>41</v>
      </c>
      <c r="C5354" t="s">
        <v>211</v>
      </c>
      <c r="D5354" t="s">
        <v>3217</v>
      </c>
      <c r="E5354">
        <v>0</v>
      </c>
      <c r="F5354">
        <v>98.87</v>
      </c>
    </row>
    <row r="5355" spans="1:6" x14ac:dyDescent="0.25">
      <c r="A5355" t="s">
        <v>2139</v>
      </c>
      <c r="B5355" t="s">
        <v>41</v>
      </c>
      <c r="C5355" t="s">
        <v>211</v>
      </c>
      <c r="D5355" t="s">
        <v>3218</v>
      </c>
      <c r="E5355">
        <v>15.99</v>
      </c>
      <c r="F5355">
        <v>99.11</v>
      </c>
    </row>
    <row r="5356" spans="1:6" x14ac:dyDescent="0.25">
      <c r="A5356" t="s">
        <v>2139</v>
      </c>
      <c r="B5356" t="s">
        <v>41</v>
      </c>
      <c r="C5356" t="s">
        <v>211</v>
      </c>
      <c r="D5356" t="s">
        <v>3219</v>
      </c>
      <c r="E5356">
        <v>31.24</v>
      </c>
      <c r="F5356">
        <v>99.17</v>
      </c>
    </row>
    <row r="5357" spans="1:6" x14ac:dyDescent="0.25">
      <c r="A5357" t="s">
        <v>2140</v>
      </c>
      <c r="B5357" t="s">
        <v>41</v>
      </c>
      <c r="C5357" t="s">
        <v>212</v>
      </c>
      <c r="D5357" t="s">
        <v>3217</v>
      </c>
      <c r="E5357">
        <v>0</v>
      </c>
      <c r="F5357">
        <v>98.9</v>
      </c>
    </row>
    <row r="5358" spans="1:6" x14ac:dyDescent="0.25">
      <c r="A5358" t="s">
        <v>2140</v>
      </c>
      <c r="B5358" t="s">
        <v>41</v>
      </c>
      <c r="C5358" t="s">
        <v>212</v>
      </c>
      <c r="D5358" t="s">
        <v>3218</v>
      </c>
      <c r="E5358">
        <v>16.350000000000001</v>
      </c>
      <c r="F5358">
        <v>99.13</v>
      </c>
    </row>
    <row r="5359" spans="1:6" x14ac:dyDescent="0.25">
      <c r="A5359" t="s">
        <v>2140</v>
      </c>
      <c r="B5359" t="s">
        <v>41</v>
      </c>
      <c r="C5359" t="s">
        <v>212</v>
      </c>
      <c r="D5359" t="s">
        <v>3219</v>
      </c>
      <c r="E5359">
        <v>31.88</v>
      </c>
      <c r="F5359">
        <v>99.09</v>
      </c>
    </row>
    <row r="5360" spans="1:6" x14ac:dyDescent="0.25">
      <c r="A5360" t="s">
        <v>2141</v>
      </c>
      <c r="B5360" t="s">
        <v>41</v>
      </c>
      <c r="C5360" t="s">
        <v>213</v>
      </c>
      <c r="D5360" t="s">
        <v>3217</v>
      </c>
      <c r="E5360">
        <v>0</v>
      </c>
      <c r="F5360">
        <v>98.88</v>
      </c>
    </row>
    <row r="5361" spans="1:6" x14ac:dyDescent="0.25">
      <c r="A5361" t="s">
        <v>2141</v>
      </c>
      <c r="B5361" t="s">
        <v>41</v>
      </c>
      <c r="C5361" t="s">
        <v>213</v>
      </c>
      <c r="D5361" t="s">
        <v>3218</v>
      </c>
      <c r="E5361">
        <v>16.78</v>
      </c>
      <c r="F5361">
        <v>99.08</v>
      </c>
    </row>
    <row r="5362" spans="1:6" x14ac:dyDescent="0.25">
      <c r="A5362" t="s">
        <v>2141</v>
      </c>
      <c r="B5362" t="s">
        <v>41</v>
      </c>
      <c r="C5362" t="s">
        <v>213</v>
      </c>
      <c r="D5362" t="s">
        <v>3219</v>
      </c>
      <c r="E5362">
        <v>32.25</v>
      </c>
      <c r="F5362">
        <v>99.14</v>
      </c>
    </row>
    <row r="5363" spans="1:6" x14ac:dyDescent="0.25">
      <c r="A5363" t="s">
        <v>2142</v>
      </c>
      <c r="B5363" t="s">
        <v>41</v>
      </c>
      <c r="C5363" t="s">
        <v>214</v>
      </c>
      <c r="D5363" t="s">
        <v>3217</v>
      </c>
      <c r="E5363">
        <v>0</v>
      </c>
      <c r="F5363">
        <v>98.76</v>
      </c>
    </row>
    <row r="5364" spans="1:6" x14ac:dyDescent="0.25">
      <c r="A5364" t="s">
        <v>2142</v>
      </c>
      <c r="B5364" t="s">
        <v>41</v>
      </c>
      <c r="C5364" t="s">
        <v>214</v>
      </c>
      <c r="D5364" t="s">
        <v>3218</v>
      </c>
      <c r="E5364">
        <v>16.809999999999999</v>
      </c>
      <c r="F5364">
        <v>99.01</v>
      </c>
    </row>
    <row r="5365" spans="1:6" x14ac:dyDescent="0.25">
      <c r="A5365" t="s">
        <v>2142</v>
      </c>
      <c r="B5365" t="s">
        <v>41</v>
      </c>
      <c r="C5365" t="s">
        <v>214</v>
      </c>
      <c r="D5365" t="s">
        <v>3219</v>
      </c>
      <c r="E5365">
        <v>30.98</v>
      </c>
      <c r="F5365">
        <v>99.08</v>
      </c>
    </row>
    <row r="5366" spans="1:6" x14ac:dyDescent="0.25">
      <c r="A5366" t="s">
        <v>2143</v>
      </c>
      <c r="B5366" t="s">
        <v>41</v>
      </c>
      <c r="C5366" t="s">
        <v>215</v>
      </c>
      <c r="D5366" t="s">
        <v>3217</v>
      </c>
      <c r="E5366">
        <v>0</v>
      </c>
      <c r="F5366">
        <v>98.8</v>
      </c>
    </row>
    <row r="5367" spans="1:6" x14ac:dyDescent="0.25">
      <c r="A5367" t="s">
        <v>2143</v>
      </c>
      <c r="B5367" t="s">
        <v>41</v>
      </c>
      <c r="C5367" t="s">
        <v>215</v>
      </c>
      <c r="D5367" t="s">
        <v>3218</v>
      </c>
      <c r="E5367">
        <v>16.809999999999999</v>
      </c>
      <c r="F5367">
        <v>99.05</v>
      </c>
    </row>
    <row r="5368" spans="1:6" x14ac:dyDescent="0.25">
      <c r="A5368" t="s">
        <v>2143</v>
      </c>
      <c r="B5368" t="s">
        <v>41</v>
      </c>
      <c r="C5368" t="s">
        <v>215</v>
      </c>
      <c r="D5368" t="s">
        <v>3219</v>
      </c>
      <c r="E5368">
        <v>31.07</v>
      </c>
      <c r="F5368">
        <v>99.05</v>
      </c>
    </row>
    <row r="5369" spans="1:6" x14ac:dyDescent="0.25">
      <c r="A5369" t="s">
        <v>2144</v>
      </c>
      <c r="B5369" t="s">
        <v>41</v>
      </c>
      <c r="C5369" t="s">
        <v>216</v>
      </c>
      <c r="D5369" t="s">
        <v>3217</v>
      </c>
      <c r="E5369">
        <v>0</v>
      </c>
      <c r="F5369">
        <v>98.67</v>
      </c>
    </row>
    <row r="5370" spans="1:6" x14ac:dyDescent="0.25">
      <c r="A5370" t="s">
        <v>2144</v>
      </c>
      <c r="B5370" t="s">
        <v>41</v>
      </c>
      <c r="C5370" t="s">
        <v>216</v>
      </c>
      <c r="D5370" t="s">
        <v>3218</v>
      </c>
      <c r="E5370">
        <v>17.350000000000001</v>
      </c>
      <c r="F5370">
        <v>99.06</v>
      </c>
    </row>
    <row r="5371" spans="1:6" x14ac:dyDescent="0.25">
      <c r="A5371" t="s">
        <v>2144</v>
      </c>
      <c r="B5371" t="s">
        <v>41</v>
      </c>
      <c r="C5371" t="s">
        <v>216</v>
      </c>
      <c r="D5371" t="s">
        <v>3219</v>
      </c>
      <c r="E5371">
        <v>31.1</v>
      </c>
      <c r="F5371">
        <v>99.09</v>
      </c>
    </row>
    <row r="5372" spans="1:6" x14ac:dyDescent="0.25">
      <c r="A5372" t="s">
        <v>2145</v>
      </c>
      <c r="B5372" t="s">
        <v>41</v>
      </c>
      <c r="C5372" t="s">
        <v>217</v>
      </c>
      <c r="D5372" t="s">
        <v>3217</v>
      </c>
      <c r="E5372">
        <v>0</v>
      </c>
      <c r="F5372">
        <v>98.86</v>
      </c>
    </row>
    <row r="5373" spans="1:6" x14ac:dyDescent="0.25">
      <c r="A5373" t="s">
        <v>2145</v>
      </c>
      <c r="B5373" t="s">
        <v>41</v>
      </c>
      <c r="C5373" t="s">
        <v>217</v>
      </c>
      <c r="D5373" t="s">
        <v>3218</v>
      </c>
      <c r="E5373">
        <v>16.21</v>
      </c>
      <c r="F5373">
        <v>99.15</v>
      </c>
    </row>
    <row r="5374" spans="1:6" x14ac:dyDescent="0.25">
      <c r="A5374" t="s">
        <v>2145</v>
      </c>
      <c r="B5374" t="s">
        <v>41</v>
      </c>
      <c r="C5374" t="s">
        <v>217</v>
      </c>
      <c r="D5374" t="s">
        <v>3219</v>
      </c>
      <c r="E5374">
        <v>27.44</v>
      </c>
      <c r="F5374">
        <v>99.2</v>
      </c>
    </row>
    <row r="5375" spans="1:6" x14ac:dyDescent="0.25">
      <c r="A5375" t="s">
        <v>2146</v>
      </c>
      <c r="B5375" t="s">
        <v>41</v>
      </c>
      <c r="C5375" t="s">
        <v>218</v>
      </c>
      <c r="D5375" t="s">
        <v>3217</v>
      </c>
      <c r="E5375">
        <v>0</v>
      </c>
      <c r="F5375">
        <v>98.88</v>
      </c>
    </row>
    <row r="5376" spans="1:6" x14ac:dyDescent="0.25">
      <c r="A5376" t="s">
        <v>2146</v>
      </c>
      <c r="B5376" t="s">
        <v>41</v>
      </c>
      <c r="C5376" t="s">
        <v>218</v>
      </c>
      <c r="D5376" t="s">
        <v>3218</v>
      </c>
      <c r="E5376">
        <v>15.95</v>
      </c>
      <c r="F5376">
        <v>99.3</v>
      </c>
    </row>
    <row r="5377" spans="1:6" x14ac:dyDescent="0.25">
      <c r="A5377" t="s">
        <v>2146</v>
      </c>
      <c r="B5377" t="s">
        <v>41</v>
      </c>
      <c r="C5377" t="s">
        <v>218</v>
      </c>
      <c r="D5377" t="s">
        <v>3219</v>
      </c>
      <c r="E5377">
        <v>27.23</v>
      </c>
      <c r="F5377">
        <v>99.21</v>
      </c>
    </row>
    <row r="5378" spans="1:6" x14ac:dyDescent="0.25">
      <c r="A5378" t="s">
        <v>2147</v>
      </c>
      <c r="B5378" t="s">
        <v>41</v>
      </c>
      <c r="C5378" t="s">
        <v>219</v>
      </c>
      <c r="D5378" t="s">
        <v>3217</v>
      </c>
      <c r="E5378">
        <v>0</v>
      </c>
      <c r="F5378">
        <v>98.76</v>
      </c>
    </row>
    <row r="5379" spans="1:6" x14ac:dyDescent="0.25">
      <c r="A5379" t="s">
        <v>2147</v>
      </c>
      <c r="B5379" t="s">
        <v>41</v>
      </c>
      <c r="C5379" t="s">
        <v>219</v>
      </c>
      <c r="D5379" t="s">
        <v>3218</v>
      </c>
      <c r="E5379">
        <v>15.79</v>
      </c>
      <c r="F5379">
        <v>99.28</v>
      </c>
    </row>
    <row r="5380" spans="1:6" x14ac:dyDescent="0.25">
      <c r="A5380" t="s">
        <v>2147</v>
      </c>
      <c r="B5380" t="s">
        <v>41</v>
      </c>
      <c r="C5380" t="s">
        <v>219</v>
      </c>
      <c r="D5380" t="s">
        <v>3219</v>
      </c>
      <c r="E5380">
        <v>27.22</v>
      </c>
      <c r="F5380">
        <v>99.17</v>
      </c>
    </row>
    <row r="5381" spans="1:6" x14ac:dyDescent="0.25">
      <c r="A5381" t="s">
        <v>2148</v>
      </c>
      <c r="B5381" t="s">
        <v>41</v>
      </c>
      <c r="C5381" t="s">
        <v>220</v>
      </c>
      <c r="D5381" t="s">
        <v>3217</v>
      </c>
      <c r="E5381">
        <v>0</v>
      </c>
      <c r="F5381">
        <v>98.6</v>
      </c>
    </row>
    <row r="5382" spans="1:6" x14ac:dyDescent="0.25">
      <c r="A5382" t="s">
        <v>2148</v>
      </c>
      <c r="B5382" t="s">
        <v>41</v>
      </c>
      <c r="C5382" t="s">
        <v>220</v>
      </c>
      <c r="D5382" t="s">
        <v>3218</v>
      </c>
      <c r="E5382">
        <v>15.48</v>
      </c>
      <c r="F5382">
        <v>99.13</v>
      </c>
    </row>
    <row r="5383" spans="1:6" x14ac:dyDescent="0.25">
      <c r="A5383" t="s">
        <v>2148</v>
      </c>
      <c r="B5383" t="s">
        <v>41</v>
      </c>
      <c r="C5383" t="s">
        <v>220</v>
      </c>
      <c r="D5383" t="s">
        <v>3219</v>
      </c>
      <c r="E5383">
        <v>26.72</v>
      </c>
      <c r="F5383">
        <v>99.17</v>
      </c>
    </row>
    <row r="5384" spans="1:6" x14ac:dyDescent="0.25">
      <c r="A5384" t="s">
        <v>2149</v>
      </c>
      <c r="B5384" t="s">
        <v>41</v>
      </c>
      <c r="C5384" t="s">
        <v>221</v>
      </c>
      <c r="D5384" t="s">
        <v>3217</v>
      </c>
      <c r="E5384">
        <v>0</v>
      </c>
      <c r="F5384">
        <v>98.44</v>
      </c>
    </row>
    <row r="5385" spans="1:6" x14ac:dyDescent="0.25">
      <c r="A5385" t="s">
        <v>2149</v>
      </c>
      <c r="B5385" t="s">
        <v>41</v>
      </c>
      <c r="C5385" t="s">
        <v>221</v>
      </c>
      <c r="D5385" t="s">
        <v>3218</v>
      </c>
      <c r="E5385">
        <v>15.64</v>
      </c>
      <c r="F5385">
        <v>99.07</v>
      </c>
    </row>
    <row r="5386" spans="1:6" x14ac:dyDescent="0.25">
      <c r="A5386" t="s">
        <v>2149</v>
      </c>
      <c r="B5386" t="s">
        <v>41</v>
      </c>
      <c r="C5386" t="s">
        <v>221</v>
      </c>
      <c r="D5386" t="s">
        <v>3219</v>
      </c>
      <c r="E5386">
        <v>27.61</v>
      </c>
      <c r="F5386">
        <v>99.36</v>
      </c>
    </row>
    <row r="5387" spans="1:6" x14ac:dyDescent="0.25">
      <c r="A5387" t="s">
        <v>2150</v>
      </c>
      <c r="B5387" t="s">
        <v>41</v>
      </c>
      <c r="C5387" t="s">
        <v>222</v>
      </c>
      <c r="D5387" t="s">
        <v>3217</v>
      </c>
      <c r="E5387">
        <v>0</v>
      </c>
      <c r="F5387">
        <v>98.39</v>
      </c>
    </row>
    <row r="5388" spans="1:6" x14ac:dyDescent="0.25">
      <c r="A5388" t="s">
        <v>2150</v>
      </c>
      <c r="B5388" t="s">
        <v>41</v>
      </c>
      <c r="C5388" t="s">
        <v>222</v>
      </c>
      <c r="D5388" t="s">
        <v>3218</v>
      </c>
      <c r="E5388">
        <v>15.23</v>
      </c>
      <c r="F5388">
        <v>98.93</v>
      </c>
    </row>
    <row r="5389" spans="1:6" x14ac:dyDescent="0.25">
      <c r="A5389" t="s">
        <v>2150</v>
      </c>
      <c r="B5389" t="s">
        <v>41</v>
      </c>
      <c r="C5389" t="s">
        <v>222</v>
      </c>
      <c r="D5389" t="s">
        <v>3219</v>
      </c>
      <c r="E5389">
        <v>27.76</v>
      </c>
      <c r="F5389">
        <v>99.36</v>
      </c>
    </row>
    <row r="5390" spans="1:6" x14ac:dyDescent="0.25">
      <c r="A5390" t="s">
        <v>2151</v>
      </c>
      <c r="B5390" t="s">
        <v>41</v>
      </c>
      <c r="C5390" t="s">
        <v>223</v>
      </c>
      <c r="D5390" t="s">
        <v>3217</v>
      </c>
      <c r="E5390">
        <v>0</v>
      </c>
      <c r="F5390">
        <v>98.48</v>
      </c>
    </row>
    <row r="5391" spans="1:6" x14ac:dyDescent="0.25">
      <c r="A5391" t="s">
        <v>2151</v>
      </c>
      <c r="B5391" t="s">
        <v>41</v>
      </c>
      <c r="C5391" t="s">
        <v>223</v>
      </c>
      <c r="D5391" t="s">
        <v>3218</v>
      </c>
      <c r="E5391">
        <v>15.05</v>
      </c>
      <c r="F5391">
        <v>98.87</v>
      </c>
    </row>
    <row r="5392" spans="1:6" x14ac:dyDescent="0.25">
      <c r="A5392" t="s">
        <v>2151</v>
      </c>
      <c r="B5392" t="s">
        <v>41</v>
      </c>
      <c r="C5392" t="s">
        <v>223</v>
      </c>
      <c r="D5392" t="s">
        <v>3219</v>
      </c>
      <c r="E5392">
        <v>27.33</v>
      </c>
      <c r="F5392">
        <v>99.26</v>
      </c>
    </row>
    <row r="5393" spans="1:6" x14ac:dyDescent="0.25">
      <c r="A5393" t="s">
        <v>2152</v>
      </c>
      <c r="B5393" t="s">
        <v>41</v>
      </c>
      <c r="C5393" t="s">
        <v>224</v>
      </c>
      <c r="D5393" t="s">
        <v>3217</v>
      </c>
      <c r="E5393">
        <v>0</v>
      </c>
      <c r="F5393">
        <v>98.53</v>
      </c>
    </row>
    <row r="5394" spans="1:6" x14ac:dyDescent="0.25">
      <c r="A5394" t="s">
        <v>2152</v>
      </c>
      <c r="B5394" t="s">
        <v>41</v>
      </c>
      <c r="C5394" t="s">
        <v>224</v>
      </c>
      <c r="D5394" t="s">
        <v>3218</v>
      </c>
      <c r="E5394">
        <v>15.4</v>
      </c>
      <c r="F5394">
        <v>98.86</v>
      </c>
    </row>
    <row r="5395" spans="1:6" x14ac:dyDescent="0.25">
      <c r="A5395" t="s">
        <v>2152</v>
      </c>
      <c r="B5395" t="s">
        <v>41</v>
      </c>
      <c r="C5395" t="s">
        <v>224</v>
      </c>
      <c r="D5395" t="s">
        <v>3219</v>
      </c>
      <c r="E5395">
        <v>27.41</v>
      </c>
      <c r="F5395">
        <v>99.06</v>
      </c>
    </row>
    <row r="5396" spans="1:6" x14ac:dyDescent="0.25">
      <c r="A5396" t="s">
        <v>2153</v>
      </c>
      <c r="B5396" t="s">
        <v>41</v>
      </c>
      <c r="C5396" t="s">
        <v>225</v>
      </c>
      <c r="D5396" t="s">
        <v>3217</v>
      </c>
      <c r="E5396">
        <v>0</v>
      </c>
      <c r="F5396">
        <v>98.45</v>
      </c>
    </row>
    <row r="5397" spans="1:6" x14ac:dyDescent="0.25">
      <c r="A5397" t="s">
        <v>2153</v>
      </c>
      <c r="B5397" t="s">
        <v>41</v>
      </c>
      <c r="C5397" t="s">
        <v>225</v>
      </c>
      <c r="D5397" t="s">
        <v>3218</v>
      </c>
      <c r="E5397">
        <v>14.49</v>
      </c>
      <c r="F5397">
        <v>98.85</v>
      </c>
    </row>
    <row r="5398" spans="1:6" x14ac:dyDescent="0.25">
      <c r="A5398" t="s">
        <v>2153</v>
      </c>
      <c r="B5398" t="s">
        <v>41</v>
      </c>
      <c r="C5398" t="s">
        <v>225</v>
      </c>
      <c r="D5398" t="s">
        <v>3219</v>
      </c>
      <c r="E5398">
        <v>27.27</v>
      </c>
      <c r="F5398">
        <v>99.09</v>
      </c>
    </row>
    <row r="5399" spans="1:6" x14ac:dyDescent="0.25">
      <c r="A5399" t="s">
        <v>2154</v>
      </c>
      <c r="B5399" t="s">
        <v>41</v>
      </c>
      <c r="C5399" t="s">
        <v>241</v>
      </c>
      <c r="D5399" t="s">
        <v>3217</v>
      </c>
      <c r="E5399">
        <v>0</v>
      </c>
      <c r="F5399">
        <v>98.46</v>
      </c>
    </row>
    <row r="5400" spans="1:6" x14ac:dyDescent="0.25">
      <c r="A5400" t="s">
        <v>2154</v>
      </c>
      <c r="B5400" t="s">
        <v>41</v>
      </c>
      <c r="C5400" t="s">
        <v>241</v>
      </c>
      <c r="D5400" t="s">
        <v>3218</v>
      </c>
      <c r="E5400">
        <v>14.21</v>
      </c>
      <c r="F5400">
        <v>98.73</v>
      </c>
    </row>
    <row r="5401" spans="1:6" x14ac:dyDescent="0.25">
      <c r="A5401" t="s">
        <v>2154</v>
      </c>
      <c r="B5401" t="s">
        <v>41</v>
      </c>
      <c r="C5401" t="s">
        <v>241</v>
      </c>
      <c r="D5401" t="s">
        <v>3219</v>
      </c>
      <c r="E5401">
        <v>27.67</v>
      </c>
      <c r="F5401">
        <v>99.12</v>
      </c>
    </row>
    <row r="5402" spans="1:6" x14ac:dyDescent="0.25">
      <c r="A5402" t="s">
        <v>2155</v>
      </c>
      <c r="B5402" t="s">
        <v>41</v>
      </c>
      <c r="C5402" t="s">
        <v>242</v>
      </c>
      <c r="D5402" t="s">
        <v>3217</v>
      </c>
      <c r="E5402">
        <v>0</v>
      </c>
      <c r="F5402">
        <v>98.57</v>
      </c>
    </row>
    <row r="5403" spans="1:6" x14ac:dyDescent="0.25">
      <c r="A5403" t="s">
        <v>2155</v>
      </c>
      <c r="B5403" t="s">
        <v>41</v>
      </c>
      <c r="C5403" t="s">
        <v>242</v>
      </c>
      <c r="D5403" t="s">
        <v>3218</v>
      </c>
      <c r="E5403">
        <v>13.69</v>
      </c>
      <c r="F5403">
        <v>98.58</v>
      </c>
    </row>
    <row r="5404" spans="1:6" x14ac:dyDescent="0.25">
      <c r="A5404" t="s">
        <v>2155</v>
      </c>
      <c r="B5404" t="s">
        <v>41</v>
      </c>
      <c r="C5404" t="s">
        <v>242</v>
      </c>
      <c r="D5404" t="s">
        <v>3219</v>
      </c>
      <c r="E5404">
        <v>30.99</v>
      </c>
      <c r="F5404">
        <v>99.05</v>
      </c>
    </row>
    <row r="5405" spans="1:6" x14ac:dyDescent="0.25">
      <c r="A5405" t="s">
        <v>2156</v>
      </c>
      <c r="B5405" t="s">
        <v>41</v>
      </c>
      <c r="C5405" t="s">
        <v>243</v>
      </c>
      <c r="D5405" t="s">
        <v>3217</v>
      </c>
      <c r="E5405">
        <v>0</v>
      </c>
      <c r="F5405">
        <v>98.64</v>
      </c>
    </row>
    <row r="5406" spans="1:6" x14ac:dyDescent="0.25">
      <c r="A5406" t="s">
        <v>2156</v>
      </c>
      <c r="B5406" t="s">
        <v>41</v>
      </c>
      <c r="C5406" t="s">
        <v>243</v>
      </c>
      <c r="D5406" t="s">
        <v>3218</v>
      </c>
      <c r="E5406">
        <v>13.78</v>
      </c>
      <c r="F5406">
        <v>98.66</v>
      </c>
    </row>
    <row r="5407" spans="1:6" x14ac:dyDescent="0.25">
      <c r="A5407" t="s">
        <v>2156</v>
      </c>
      <c r="B5407" t="s">
        <v>41</v>
      </c>
      <c r="C5407" t="s">
        <v>243</v>
      </c>
      <c r="D5407" t="s">
        <v>3219</v>
      </c>
      <c r="E5407">
        <v>33.78</v>
      </c>
      <c r="F5407">
        <v>99.06</v>
      </c>
    </row>
    <row r="5408" spans="1:6" x14ac:dyDescent="0.25">
      <c r="A5408" t="s">
        <v>2157</v>
      </c>
      <c r="B5408" t="s">
        <v>41</v>
      </c>
      <c r="C5408" t="s">
        <v>244</v>
      </c>
      <c r="D5408" t="s">
        <v>3217</v>
      </c>
      <c r="E5408">
        <v>0</v>
      </c>
      <c r="F5408">
        <v>98.76</v>
      </c>
    </row>
    <row r="5409" spans="1:6" x14ac:dyDescent="0.25">
      <c r="A5409" t="s">
        <v>2157</v>
      </c>
      <c r="B5409" t="s">
        <v>41</v>
      </c>
      <c r="C5409" t="s">
        <v>244</v>
      </c>
      <c r="D5409" t="s">
        <v>3218</v>
      </c>
      <c r="E5409">
        <v>14.29</v>
      </c>
      <c r="F5409">
        <v>98.78</v>
      </c>
    </row>
    <row r="5410" spans="1:6" x14ac:dyDescent="0.25">
      <c r="A5410" t="s">
        <v>2157</v>
      </c>
      <c r="B5410" t="s">
        <v>41</v>
      </c>
      <c r="C5410" t="s">
        <v>244</v>
      </c>
      <c r="D5410" t="s">
        <v>3219</v>
      </c>
      <c r="E5410">
        <v>34.29</v>
      </c>
      <c r="F5410">
        <v>99.11</v>
      </c>
    </row>
    <row r="5411" spans="1:6" x14ac:dyDescent="0.25">
      <c r="A5411" t="s">
        <v>2158</v>
      </c>
      <c r="B5411" t="s">
        <v>41</v>
      </c>
      <c r="C5411" t="s">
        <v>245</v>
      </c>
      <c r="D5411" t="s">
        <v>3217</v>
      </c>
      <c r="E5411">
        <v>0</v>
      </c>
      <c r="F5411">
        <v>98.94</v>
      </c>
    </row>
    <row r="5412" spans="1:6" x14ac:dyDescent="0.25">
      <c r="A5412" t="s">
        <v>2158</v>
      </c>
      <c r="B5412" t="s">
        <v>41</v>
      </c>
      <c r="C5412" t="s">
        <v>245</v>
      </c>
      <c r="D5412" t="s">
        <v>3218</v>
      </c>
      <c r="E5412">
        <v>15.29</v>
      </c>
      <c r="F5412">
        <v>98.98</v>
      </c>
    </row>
    <row r="5413" spans="1:6" x14ac:dyDescent="0.25">
      <c r="A5413" t="s">
        <v>2158</v>
      </c>
      <c r="B5413" t="s">
        <v>41</v>
      </c>
      <c r="C5413" t="s">
        <v>245</v>
      </c>
      <c r="D5413" t="s">
        <v>3219</v>
      </c>
      <c r="E5413">
        <v>35.29</v>
      </c>
      <c r="F5413">
        <v>99.29</v>
      </c>
    </row>
    <row r="5414" spans="1:6" x14ac:dyDescent="0.25">
      <c r="A5414" t="s">
        <v>2159</v>
      </c>
      <c r="B5414" t="s">
        <v>41</v>
      </c>
      <c r="C5414" t="s">
        <v>246</v>
      </c>
      <c r="D5414" t="s">
        <v>3217</v>
      </c>
      <c r="E5414">
        <v>0</v>
      </c>
      <c r="F5414">
        <v>99.24</v>
      </c>
    </row>
    <row r="5415" spans="1:6" x14ac:dyDescent="0.25">
      <c r="A5415" t="s">
        <v>2159</v>
      </c>
      <c r="B5415" t="s">
        <v>41</v>
      </c>
      <c r="C5415" t="s">
        <v>246</v>
      </c>
      <c r="D5415" t="s">
        <v>3218</v>
      </c>
      <c r="E5415">
        <v>16.2</v>
      </c>
      <c r="F5415">
        <v>99.28</v>
      </c>
    </row>
    <row r="5416" spans="1:6" x14ac:dyDescent="0.25">
      <c r="A5416" t="s">
        <v>2159</v>
      </c>
      <c r="B5416" t="s">
        <v>41</v>
      </c>
      <c r="C5416" t="s">
        <v>246</v>
      </c>
      <c r="D5416" t="s">
        <v>3219</v>
      </c>
      <c r="E5416">
        <v>36.200000000000003</v>
      </c>
      <c r="F5416">
        <v>99.45</v>
      </c>
    </row>
    <row r="5417" spans="1:6" x14ac:dyDescent="0.25">
      <c r="A5417" t="s">
        <v>2160</v>
      </c>
      <c r="B5417" t="s">
        <v>41</v>
      </c>
      <c r="C5417" t="s">
        <v>247</v>
      </c>
      <c r="D5417" t="s">
        <v>3217</v>
      </c>
      <c r="E5417">
        <v>0</v>
      </c>
      <c r="F5417">
        <v>99.47</v>
      </c>
    </row>
    <row r="5418" spans="1:6" x14ac:dyDescent="0.25">
      <c r="A5418" t="s">
        <v>2160</v>
      </c>
      <c r="B5418" t="s">
        <v>41</v>
      </c>
      <c r="C5418" t="s">
        <v>247</v>
      </c>
      <c r="D5418" t="s">
        <v>3218</v>
      </c>
      <c r="E5418">
        <v>16.91</v>
      </c>
      <c r="F5418">
        <v>99.58</v>
      </c>
    </row>
    <row r="5419" spans="1:6" x14ac:dyDescent="0.25">
      <c r="A5419" t="s">
        <v>2160</v>
      </c>
      <c r="B5419" t="s">
        <v>41</v>
      </c>
      <c r="C5419" t="s">
        <v>247</v>
      </c>
      <c r="D5419" t="s">
        <v>3219</v>
      </c>
      <c r="E5419">
        <v>36.909999999999997</v>
      </c>
      <c r="F5419">
        <v>99.42</v>
      </c>
    </row>
    <row r="5420" spans="1:6" x14ac:dyDescent="0.25">
      <c r="A5420" t="s">
        <v>2161</v>
      </c>
      <c r="B5420" t="s">
        <v>41</v>
      </c>
      <c r="C5420" t="s">
        <v>248</v>
      </c>
      <c r="D5420" t="s">
        <v>3217</v>
      </c>
      <c r="E5420">
        <v>0</v>
      </c>
      <c r="F5420">
        <v>99.45</v>
      </c>
    </row>
    <row r="5421" spans="1:6" x14ac:dyDescent="0.25">
      <c r="A5421" t="s">
        <v>2161</v>
      </c>
      <c r="B5421" t="s">
        <v>41</v>
      </c>
      <c r="C5421" t="s">
        <v>248</v>
      </c>
      <c r="D5421" t="s">
        <v>3218</v>
      </c>
      <c r="E5421">
        <v>17.23</v>
      </c>
      <c r="F5421">
        <v>99.46</v>
      </c>
    </row>
    <row r="5422" spans="1:6" x14ac:dyDescent="0.25">
      <c r="A5422" t="s">
        <v>2161</v>
      </c>
      <c r="B5422" t="s">
        <v>41</v>
      </c>
      <c r="C5422" t="s">
        <v>248</v>
      </c>
      <c r="D5422" t="s">
        <v>3219</v>
      </c>
      <c r="E5422">
        <v>30.08</v>
      </c>
      <c r="F5422">
        <v>99.21</v>
      </c>
    </row>
    <row r="5423" spans="1:6" x14ac:dyDescent="0.25">
      <c r="A5423" t="s">
        <v>2162</v>
      </c>
      <c r="B5423" t="s">
        <v>41</v>
      </c>
      <c r="C5423" t="s">
        <v>249</v>
      </c>
      <c r="D5423" t="s">
        <v>3217</v>
      </c>
      <c r="E5423">
        <v>0</v>
      </c>
      <c r="F5423">
        <v>99.12</v>
      </c>
    </row>
    <row r="5424" spans="1:6" x14ac:dyDescent="0.25">
      <c r="A5424" t="s">
        <v>2162</v>
      </c>
      <c r="B5424" t="s">
        <v>41</v>
      </c>
      <c r="C5424" t="s">
        <v>249</v>
      </c>
      <c r="D5424" t="s">
        <v>3218</v>
      </c>
      <c r="E5424">
        <v>16.670000000000002</v>
      </c>
      <c r="F5424">
        <v>99.06</v>
      </c>
    </row>
    <row r="5425" spans="1:6" x14ac:dyDescent="0.25">
      <c r="A5425" t="s">
        <v>2162</v>
      </c>
      <c r="B5425" t="s">
        <v>41</v>
      </c>
      <c r="C5425" t="s">
        <v>249</v>
      </c>
      <c r="D5425" t="s">
        <v>3219</v>
      </c>
      <c r="E5425">
        <v>27.9</v>
      </c>
      <c r="F5425">
        <v>98.79</v>
      </c>
    </row>
    <row r="5426" spans="1:6" x14ac:dyDescent="0.25">
      <c r="A5426" t="s">
        <v>2163</v>
      </c>
      <c r="B5426" t="s">
        <v>41</v>
      </c>
      <c r="C5426" t="s">
        <v>250</v>
      </c>
      <c r="D5426" t="s">
        <v>3217</v>
      </c>
      <c r="E5426">
        <v>0</v>
      </c>
      <c r="F5426">
        <v>98.77</v>
      </c>
    </row>
    <row r="5427" spans="1:6" x14ac:dyDescent="0.25">
      <c r="A5427" t="s">
        <v>2163</v>
      </c>
      <c r="B5427" t="s">
        <v>41</v>
      </c>
      <c r="C5427" t="s">
        <v>250</v>
      </c>
      <c r="D5427" t="s">
        <v>3218</v>
      </c>
      <c r="E5427">
        <v>16.22</v>
      </c>
      <c r="F5427">
        <v>98.79</v>
      </c>
    </row>
    <row r="5428" spans="1:6" x14ac:dyDescent="0.25">
      <c r="A5428" t="s">
        <v>2163</v>
      </c>
      <c r="B5428" t="s">
        <v>41</v>
      </c>
      <c r="C5428" t="s">
        <v>250</v>
      </c>
      <c r="D5428" t="s">
        <v>3219</v>
      </c>
      <c r="E5428">
        <v>26.09</v>
      </c>
      <c r="F5428">
        <v>98.56</v>
      </c>
    </row>
    <row r="5429" spans="1:6" x14ac:dyDescent="0.25">
      <c r="A5429" t="s">
        <v>2164</v>
      </c>
      <c r="B5429" t="s">
        <v>41</v>
      </c>
      <c r="C5429" t="s">
        <v>251</v>
      </c>
      <c r="D5429" t="s">
        <v>3217</v>
      </c>
      <c r="E5429">
        <v>0</v>
      </c>
      <c r="F5429">
        <v>98.52</v>
      </c>
    </row>
    <row r="5430" spans="1:6" x14ac:dyDescent="0.25">
      <c r="A5430" t="s">
        <v>2164</v>
      </c>
      <c r="B5430" t="s">
        <v>41</v>
      </c>
      <c r="C5430" t="s">
        <v>251</v>
      </c>
      <c r="D5430" t="s">
        <v>3218</v>
      </c>
      <c r="E5430">
        <v>15.09</v>
      </c>
      <c r="F5430">
        <v>98.53</v>
      </c>
    </row>
    <row r="5431" spans="1:6" x14ac:dyDescent="0.25">
      <c r="A5431" t="s">
        <v>2164</v>
      </c>
      <c r="B5431" t="s">
        <v>41</v>
      </c>
      <c r="C5431" t="s">
        <v>251</v>
      </c>
      <c r="D5431" t="s">
        <v>3219</v>
      </c>
      <c r="E5431">
        <v>24.33</v>
      </c>
      <c r="F5431">
        <v>98.29</v>
      </c>
    </row>
    <row r="5432" spans="1:6" x14ac:dyDescent="0.25">
      <c r="A5432" t="s">
        <v>2165</v>
      </c>
      <c r="B5432" t="s">
        <v>41</v>
      </c>
      <c r="C5432" t="s">
        <v>252</v>
      </c>
      <c r="D5432" t="s">
        <v>3217</v>
      </c>
      <c r="E5432">
        <v>0</v>
      </c>
      <c r="F5432">
        <v>98.13</v>
      </c>
    </row>
    <row r="5433" spans="1:6" x14ac:dyDescent="0.25">
      <c r="A5433" t="s">
        <v>2165</v>
      </c>
      <c r="B5433" t="s">
        <v>41</v>
      </c>
      <c r="C5433" t="s">
        <v>252</v>
      </c>
      <c r="D5433" t="s">
        <v>3218</v>
      </c>
      <c r="E5433">
        <v>14.79</v>
      </c>
      <c r="F5433">
        <v>98.18</v>
      </c>
    </row>
    <row r="5434" spans="1:6" x14ac:dyDescent="0.25">
      <c r="A5434" t="s">
        <v>2165</v>
      </c>
      <c r="B5434" t="s">
        <v>41</v>
      </c>
      <c r="C5434" t="s">
        <v>252</v>
      </c>
      <c r="D5434" t="s">
        <v>3219</v>
      </c>
      <c r="E5434">
        <v>24.1</v>
      </c>
      <c r="F5434">
        <v>98.01</v>
      </c>
    </row>
    <row r="5435" spans="1:6" x14ac:dyDescent="0.25">
      <c r="A5435" t="s">
        <v>2166</v>
      </c>
      <c r="B5435" t="s">
        <v>41</v>
      </c>
      <c r="C5435" t="s">
        <v>253</v>
      </c>
      <c r="D5435" t="s">
        <v>3217</v>
      </c>
      <c r="E5435">
        <v>0</v>
      </c>
      <c r="F5435">
        <v>97.73</v>
      </c>
    </row>
    <row r="5436" spans="1:6" x14ac:dyDescent="0.25">
      <c r="A5436" t="s">
        <v>2166</v>
      </c>
      <c r="B5436" t="s">
        <v>41</v>
      </c>
      <c r="C5436" t="s">
        <v>253</v>
      </c>
      <c r="D5436" t="s">
        <v>3218</v>
      </c>
      <c r="E5436">
        <v>15.42</v>
      </c>
      <c r="F5436">
        <v>97.87</v>
      </c>
    </row>
    <row r="5437" spans="1:6" x14ac:dyDescent="0.25">
      <c r="A5437" t="s">
        <v>2166</v>
      </c>
      <c r="B5437" t="s">
        <v>41</v>
      </c>
      <c r="C5437" t="s">
        <v>253</v>
      </c>
      <c r="D5437" t="s">
        <v>3219</v>
      </c>
      <c r="E5437">
        <v>25.24</v>
      </c>
      <c r="F5437">
        <v>97.61</v>
      </c>
    </row>
    <row r="5438" spans="1:6" x14ac:dyDescent="0.25">
      <c r="A5438" t="s">
        <v>2167</v>
      </c>
      <c r="B5438" t="s">
        <v>41</v>
      </c>
      <c r="C5438" t="s">
        <v>254</v>
      </c>
      <c r="D5438" t="s">
        <v>3217</v>
      </c>
      <c r="E5438">
        <v>0</v>
      </c>
      <c r="F5438">
        <v>97.67</v>
      </c>
    </row>
    <row r="5439" spans="1:6" x14ac:dyDescent="0.25">
      <c r="A5439" t="s">
        <v>2167</v>
      </c>
      <c r="B5439" t="s">
        <v>41</v>
      </c>
      <c r="C5439" t="s">
        <v>254</v>
      </c>
      <c r="D5439" t="s">
        <v>3218</v>
      </c>
      <c r="E5439">
        <v>13.89</v>
      </c>
      <c r="F5439">
        <v>97.53</v>
      </c>
    </row>
    <row r="5440" spans="1:6" x14ac:dyDescent="0.25">
      <c r="A5440" t="s">
        <v>2167</v>
      </c>
      <c r="B5440" t="s">
        <v>41</v>
      </c>
      <c r="C5440" t="s">
        <v>254</v>
      </c>
      <c r="D5440" t="s">
        <v>3219</v>
      </c>
      <c r="E5440">
        <v>25.76</v>
      </c>
      <c r="F5440">
        <v>97.23</v>
      </c>
    </row>
    <row r="5441" spans="1:6" x14ac:dyDescent="0.25">
      <c r="A5441" t="s">
        <v>2168</v>
      </c>
      <c r="B5441" t="s">
        <v>41</v>
      </c>
      <c r="C5441" t="s">
        <v>255</v>
      </c>
      <c r="D5441" t="s">
        <v>3217</v>
      </c>
      <c r="E5441">
        <v>0</v>
      </c>
      <c r="F5441">
        <v>97.58</v>
      </c>
    </row>
    <row r="5442" spans="1:6" x14ac:dyDescent="0.25">
      <c r="A5442" t="s">
        <v>2168</v>
      </c>
      <c r="B5442" t="s">
        <v>41</v>
      </c>
      <c r="C5442" t="s">
        <v>255</v>
      </c>
      <c r="D5442" t="s">
        <v>3218</v>
      </c>
      <c r="E5442">
        <v>14.14</v>
      </c>
      <c r="F5442">
        <v>97.28</v>
      </c>
    </row>
    <row r="5443" spans="1:6" x14ac:dyDescent="0.25">
      <c r="A5443" t="s">
        <v>2168</v>
      </c>
      <c r="B5443" t="s">
        <v>41</v>
      </c>
      <c r="C5443" t="s">
        <v>255</v>
      </c>
      <c r="D5443" t="s">
        <v>3219</v>
      </c>
      <c r="E5443">
        <v>27.7</v>
      </c>
      <c r="F5443">
        <v>96.98</v>
      </c>
    </row>
    <row r="5444" spans="1:6" x14ac:dyDescent="0.25">
      <c r="A5444" t="s">
        <v>2169</v>
      </c>
      <c r="B5444" t="s">
        <v>41</v>
      </c>
      <c r="C5444" t="s">
        <v>256</v>
      </c>
      <c r="D5444" t="s">
        <v>3217</v>
      </c>
      <c r="E5444">
        <v>0</v>
      </c>
      <c r="F5444">
        <v>97.41</v>
      </c>
    </row>
    <row r="5445" spans="1:6" x14ac:dyDescent="0.25">
      <c r="A5445" t="s">
        <v>2169</v>
      </c>
      <c r="B5445" t="s">
        <v>41</v>
      </c>
      <c r="C5445" t="s">
        <v>256</v>
      </c>
      <c r="D5445" t="s">
        <v>3218</v>
      </c>
      <c r="E5445">
        <v>14.49</v>
      </c>
      <c r="F5445">
        <v>97.08</v>
      </c>
    </row>
    <row r="5446" spans="1:6" x14ac:dyDescent="0.25">
      <c r="A5446" t="s">
        <v>2169</v>
      </c>
      <c r="B5446" t="s">
        <v>41</v>
      </c>
      <c r="C5446" t="s">
        <v>256</v>
      </c>
      <c r="D5446" t="s">
        <v>3219</v>
      </c>
      <c r="E5446">
        <v>28.49</v>
      </c>
      <c r="F5446">
        <v>96.68</v>
      </c>
    </row>
    <row r="5447" spans="1:6" x14ac:dyDescent="0.25">
      <c r="A5447" t="s">
        <v>2170</v>
      </c>
      <c r="B5447" t="s">
        <v>41</v>
      </c>
      <c r="C5447" t="s">
        <v>257</v>
      </c>
      <c r="D5447" t="s">
        <v>3217</v>
      </c>
      <c r="E5447">
        <v>0</v>
      </c>
      <c r="F5447">
        <v>97.43</v>
      </c>
    </row>
    <row r="5448" spans="1:6" x14ac:dyDescent="0.25">
      <c r="A5448" t="s">
        <v>2170</v>
      </c>
      <c r="B5448" t="s">
        <v>41</v>
      </c>
      <c r="C5448" t="s">
        <v>257</v>
      </c>
      <c r="D5448" t="s">
        <v>3218</v>
      </c>
      <c r="E5448">
        <v>14.86</v>
      </c>
      <c r="F5448">
        <v>97.06</v>
      </c>
    </row>
    <row r="5449" spans="1:6" x14ac:dyDescent="0.25">
      <c r="A5449" t="s">
        <v>2170</v>
      </c>
      <c r="B5449" t="s">
        <v>41</v>
      </c>
      <c r="C5449" t="s">
        <v>257</v>
      </c>
      <c r="D5449" t="s">
        <v>3219</v>
      </c>
      <c r="E5449">
        <v>28.86</v>
      </c>
      <c r="F5449">
        <v>96.83</v>
      </c>
    </row>
    <row r="5450" spans="1:6" x14ac:dyDescent="0.25">
      <c r="A5450" t="s">
        <v>2171</v>
      </c>
      <c r="B5450" t="s">
        <v>41</v>
      </c>
      <c r="C5450" t="s">
        <v>258</v>
      </c>
      <c r="D5450" t="s">
        <v>3217</v>
      </c>
      <c r="E5450">
        <v>0</v>
      </c>
      <c r="F5450">
        <v>97.21</v>
      </c>
    </row>
    <row r="5451" spans="1:6" x14ac:dyDescent="0.25">
      <c r="A5451" t="s">
        <v>2171</v>
      </c>
      <c r="B5451" t="s">
        <v>41</v>
      </c>
      <c r="C5451" t="s">
        <v>258</v>
      </c>
      <c r="D5451" t="s">
        <v>3218</v>
      </c>
      <c r="E5451">
        <v>11.35</v>
      </c>
      <c r="F5451">
        <v>97.12</v>
      </c>
    </row>
    <row r="5452" spans="1:6" x14ac:dyDescent="0.25">
      <c r="A5452" t="s">
        <v>2171</v>
      </c>
      <c r="B5452" t="s">
        <v>41</v>
      </c>
      <c r="C5452" t="s">
        <v>258</v>
      </c>
      <c r="D5452" t="s">
        <v>3219</v>
      </c>
      <c r="E5452">
        <v>25.34</v>
      </c>
      <c r="F5452">
        <v>96.84</v>
      </c>
    </row>
    <row r="5453" spans="1:6" x14ac:dyDescent="0.25">
      <c r="A5453" t="s">
        <v>2172</v>
      </c>
      <c r="B5453" t="s">
        <v>41</v>
      </c>
      <c r="C5453" t="s">
        <v>259</v>
      </c>
      <c r="D5453" t="s">
        <v>3217</v>
      </c>
      <c r="E5453">
        <v>0</v>
      </c>
      <c r="F5453">
        <v>96.99</v>
      </c>
    </row>
    <row r="5454" spans="1:6" x14ac:dyDescent="0.25">
      <c r="A5454" t="s">
        <v>2172</v>
      </c>
      <c r="B5454" t="s">
        <v>41</v>
      </c>
      <c r="C5454" t="s">
        <v>259</v>
      </c>
      <c r="D5454" t="s">
        <v>3218</v>
      </c>
      <c r="E5454">
        <v>11.68</v>
      </c>
      <c r="F5454">
        <v>96.86</v>
      </c>
    </row>
    <row r="5455" spans="1:6" x14ac:dyDescent="0.25">
      <c r="A5455" t="s">
        <v>2172</v>
      </c>
      <c r="B5455" t="s">
        <v>41</v>
      </c>
      <c r="C5455" t="s">
        <v>259</v>
      </c>
      <c r="D5455" t="s">
        <v>3219</v>
      </c>
      <c r="E5455">
        <v>25.13</v>
      </c>
      <c r="F5455">
        <v>96.64</v>
      </c>
    </row>
    <row r="5456" spans="1:6" x14ac:dyDescent="0.25">
      <c r="A5456" t="s">
        <v>2173</v>
      </c>
      <c r="B5456" t="s">
        <v>41</v>
      </c>
      <c r="C5456" t="s">
        <v>260</v>
      </c>
      <c r="D5456" t="s">
        <v>3217</v>
      </c>
      <c r="E5456">
        <v>0</v>
      </c>
      <c r="F5456">
        <v>97</v>
      </c>
    </row>
    <row r="5457" spans="1:6" x14ac:dyDescent="0.25">
      <c r="A5457" t="s">
        <v>2173</v>
      </c>
      <c r="B5457" t="s">
        <v>41</v>
      </c>
      <c r="C5457" t="s">
        <v>260</v>
      </c>
      <c r="D5457" t="s">
        <v>3218</v>
      </c>
      <c r="E5457">
        <v>12</v>
      </c>
      <c r="F5457">
        <v>96.73</v>
      </c>
    </row>
    <row r="5458" spans="1:6" x14ac:dyDescent="0.25">
      <c r="A5458" t="s">
        <v>2173</v>
      </c>
      <c r="B5458" t="s">
        <v>41</v>
      </c>
      <c r="C5458" t="s">
        <v>260</v>
      </c>
      <c r="D5458" t="s">
        <v>3219</v>
      </c>
      <c r="E5458">
        <v>25.41</v>
      </c>
      <c r="F5458">
        <v>96.6</v>
      </c>
    </row>
    <row r="5459" spans="1:6" x14ac:dyDescent="0.25">
      <c r="A5459" t="s">
        <v>2174</v>
      </c>
      <c r="B5459" t="s">
        <v>41</v>
      </c>
      <c r="C5459" t="s">
        <v>261</v>
      </c>
      <c r="D5459" t="s">
        <v>3217</v>
      </c>
      <c r="E5459">
        <v>0</v>
      </c>
      <c r="F5459">
        <v>96.89</v>
      </c>
    </row>
    <row r="5460" spans="1:6" x14ac:dyDescent="0.25">
      <c r="A5460" t="s">
        <v>2174</v>
      </c>
      <c r="B5460" t="s">
        <v>41</v>
      </c>
      <c r="C5460" t="s">
        <v>261</v>
      </c>
      <c r="D5460" t="s">
        <v>3218</v>
      </c>
      <c r="E5460">
        <v>11.67</v>
      </c>
      <c r="F5460">
        <v>96.91</v>
      </c>
    </row>
    <row r="5461" spans="1:6" x14ac:dyDescent="0.25">
      <c r="A5461" t="s">
        <v>2174</v>
      </c>
      <c r="B5461" t="s">
        <v>41</v>
      </c>
      <c r="C5461" t="s">
        <v>261</v>
      </c>
      <c r="D5461" t="s">
        <v>3219</v>
      </c>
      <c r="E5461">
        <v>25.21</v>
      </c>
      <c r="F5461">
        <v>96.81</v>
      </c>
    </row>
    <row r="5462" spans="1:6" x14ac:dyDescent="0.25">
      <c r="A5462" t="s">
        <v>2175</v>
      </c>
      <c r="B5462" t="s">
        <v>41</v>
      </c>
      <c r="C5462" t="s">
        <v>262</v>
      </c>
      <c r="D5462" t="s">
        <v>3217</v>
      </c>
      <c r="E5462">
        <v>0</v>
      </c>
      <c r="F5462">
        <v>96.82</v>
      </c>
    </row>
    <row r="5463" spans="1:6" x14ac:dyDescent="0.25">
      <c r="A5463" t="s">
        <v>2175</v>
      </c>
      <c r="B5463" t="s">
        <v>41</v>
      </c>
      <c r="C5463" t="s">
        <v>262</v>
      </c>
      <c r="D5463" t="s">
        <v>3218</v>
      </c>
      <c r="E5463">
        <v>11.44</v>
      </c>
      <c r="F5463">
        <v>97.09</v>
      </c>
    </row>
    <row r="5464" spans="1:6" x14ac:dyDescent="0.25">
      <c r="A5464" t="s">
        <v>2175</v>
      </c>
      <c r="B5464" t="s">
        <v>41</v>
      </c>
      <c r="C5464" t="s">
        <v>262</v>
      </c>
      <c r="D5464" t="s">
        <v>3219</v>
      </c>
      <c r="E5464">
        <v>25.31</v>
      </c>
      <c r="F5464">
        <v>96.91</v>
      </c>
    </row>
    <row r="5465" spans="1:6" x14ac:dyDescent="0.25">
      <c r="A5465" t="s">
        <v>2176</v>
      </c>
      <c r="B5465" t="s">
        <v>41</v>
      </c>
      <c r="C5465" t="s">
        <v>263</v>
      </c>
      <c r="D5465" t="s">
        <v>3217</v>
      </c>
      <c r="E5465">
        <v>0</v>
      </c>
      <c r="F5465">
        <v>96.98</v>
      </c>
    </row>
    <row r="5466" spans="1:6" x14ac:dyDescent="0.25">
      <c r="A5466" t="s">
        <v>2176</v>
      </c>
      <c r="B5466" t="s">
        <v>41</v>
      </c>
      <c r="C5466" t="s">
        <v>263</v>
      </c>
      <c r="D5466" t="s">
        <v>3218</v>
      </c>
      <c r="E5466">
        <v>11.52</v>
      </c>
      <c r="F5466">
        <v>97.32</v>
      </c>
    </row>
    <row r="5467" spans="1:6" x14ac:dyDescent="0.25">
      <c r="A5467" t="s">
        <v>2176</v>
      </c>
      <c r="B5467" t="s">
        <v>41</v>
      </c>
      <c r="C5467" t="s">
        <v>263</v>
      </c>
      <c r="D5467" t="s">
        <v>3219</v>
      </c>
      <c r="E5467">
        <v>25.14</v>
      </c>
      <c r="F5467">
        <v>96.94</v>
      </c>
    </row>
    <row r="5468" spans="1:6" x14ac:dyDescent="0.25">
      <c r="A5468" t="s">
        <v>2177</v>
      </c>
      <c r="B5468" t="s">
        <v>41</v>
      </c>
      <c r="C5468" t="s">
        <v>264</v>
      </c>
      <c r="D5468" t="s">
        <v>3217</v>
      </c>
      <c r="E5468">
        <v>0</v>
      </c>
      <c r="F5468">
        <v>97.18</v>
      </c>
    </row>
    <row r="5469" spans="1:6" x14ac:dyDescent="0.25">
      <c r="A5469" t="s">
        <v>2177</v>
      </c>
      <c r="B5469" t="s">
        <v>41</v>
      </c>
      <c r="C5469" t="s">
        <v>264</v>
      </c>
      <c r="D5469" t="s">
        <v>3218</v>
      </c>
      <c r="E5469">
        <v>11.23</v>
      </c>
      <c r="F5469">
        <v>97.49</v>
      </c>
    </row>
    <row r="5470" spans="1:6" x14ac:dyDescent="0.25">
      <c r="A5470" t="s">
        <v>2177</v>
      </c>
      <c r="B5470" t="s">
        <v>41</v>
      </c>
      <c r="C5470" t="s">
        <v>264</v>
      </c>
      <c r="D5470" t="s">
        <v>3219</v>
      </c>
      <c r="E5470">
        <v>24.45</v>
      </c>
      <c r="F5470">
        <v>96.98</v>
      </c>
    </row>
    <row r="5471" spans="1:6" x14ac:dyDescent="0.25">
      <c r="A5471" t="s">
        <v>2178</v>
      </c>
      <c r="B5471" t="s">
        <v>41</v>
      </c>
      <c r="C5471" t="s">
        <v>265</v>
      </c>
      <c r="D5471" t="s">
        <v>3217</v>
      </c>
      <c r="E5471">
        <v>0</v>
      </c>
      <c r="F5471">
        <v>97.29</v>
      </c>
    </row>
    <row r="5472" spans="1:6" x14ac:dyDescent="0.25">
      <c r="A5472" t="s">
        <v>2178</v>
      </c>
      <c r="B5472" t="s">
        <v>41</v>
      </c>
      <c r="C5472" t="s">
        <v>265</v>
      </c>
      <c r="D5472" t="s">
        <v>3218</v>
      </c>
      <c r="E5472">
        <v>11.52</v>
      </c>
      <c r="F5472">
        <v>97.64</v>
      </c>
    </row>
    <row r="5473" spans="1:6" x14ac:dyDescent="0.25">
      <c r="A5473" t="s">
        <v>2178</v>
      </c>
      <c r="B5473" t="s">
        <v>41</v>
      </c>
      <c r="C5473" t="s">
        <v>265</v>
      </c>
      <c r="D5473" t="s">
        <v>3219</v>
      </c>
      <c r="E5473">
        <v>24.84</v>
      </c>
      <c r="F5473">
        <v>97.3</v>
      </c>
    </row>
    <row r="5474" spans="1:6" x14ac:dyDescent="0.25">
      <c r="A5474" t="s">
        <v>2179</v>
      </c>
      <c r="B5474" t="s">
        <v>41</v>
      </c>
      <c r="C5474" t="s">
        <v>266</v>
      </c>
      <c r="D5474" t="s">
        <v>3217</v>
      </c>
      <c r="E5474">
        <v>0</v>
      </c>
      <c r="F5474">
        <v>97.63</v>
      </c>
    </row>
    <row r="5475" spans="1:6" x14ac:dyDescent="0.25">
      <c r="A5475" t="s">
        <v>2179</v>
      </c>
      <c r="B5475" t="s">
        <v>41</v>
      </c>
      <c r="C5475" t="s">
        <v>266</v>
      </c>
      <c r="D5475" t="s">
        <v>3218</v>
      </c>
      <c r="E5475">
        <v>12.36</v>
      </c>
      <c r="F5475">
        <v>97.75</v>
      </c>
    </row>
    <row r="5476" spans="1:6" x14ac:dyDescent="0.25">
      <c r="A5476" t="s">
        <v>2179</v>
      </c>
      <c r="B5476" t="s">
        <v>41</v>
      </c>
      <c r="C5476" t="s">
        <v>266</v>
      </c>
      <c r="D5476" t="s">
        <v>3219</v>
      </c>
      <c r="E5476">
        <v>25.24</v>
      </c>
      <c r="F5476">
        <v>97.54</v>
      </c>
    </row>
    <row r="5477" spans="1:6" x14ac:dyDescent="0.25">
      <c r="A5477" t="s">
        <v>2180</v>
      </c>
      <c r="B5477" t="s">
        <v>41</v>
      </c>
      <c r="C5477" t="s">
        <v>267</v>
      </c>
      <c r="D5477" t="s">
        <v>3217</v>
      </c>
      <c r="E5477">
        <v>0</v>
      </c>
      <c r="F5477">
        <v>97.56</v>
      </c>
    </row>
    <row r="5478" spans="1:6" x14ac:dyDescent="0.25">
      <c r="A5478" t="s">
        <v>2180</v>
      </c>
      <c r="B5478" t="s">
        <v>41</v>
      </c>
      <c r="C5478" t="s">
        <v>267</v>
      </c>
      <c r="D5478" t="s">
        <v>3218</v>
      </c>
      <c r="E5478">
        <v>12.36</v>
      </c>
      <c r="F5478">
        <v>97.89</v>
      </c>
    </row>
    <row r="5479" spans="1:6" x14ac:dyDescent="0.25">
      <c r="A5479" t="s">
        <v>2180</v>
      </c>
      <c r="B5479" t="s">
        <v>41</v>
      </c>
      <c r="C5479" t="s">
        <v>267</v>
      </c>
      <c r="D5479" t="s">
        <v>3219</v>
      </c>
      <c r="E5479">
        <v>24.69</v>
      </c>
      <c r="F5479">
        <v>97.83</v>
      </c>
    </row>
    <row r="5480" spans="1:6" x14ac:dyDescent="0.25">
      <c r="A5480" t="s">
        <v>2181</v>
      </c>
      <c r="B5480" t="s">
        <v>41</v>
      </c>
      <c r="C5480" t="s">
        <v>268</v>
      </c>
      <c r="D5480" t="s">
        <v>3217</v>
      </c>
      <c r="E5480">
        <v>0</v>
      </c>
      <c r="F5480">
        <v>97.65</v>
      </c>
    </row>
    <row r="5481" spans="1:6" x14ac:dyDescent="0.25">
      <c r="A5481" t="s">
        <v>2181</v>
      </c>
      <c r="B5481" t="s">
        <v>41</v>
      </c>
      <c r="C5481" t="s">
        <v>268</v>
      </c>
      <c r="D5481" t="s">
        <v>3218</v>
      </c>
      <c r="E5481">
        <v>13.63</v>
      </c>
      <c r="F5481">
        <v>98.16</v>
      </c>
    </row>
    <row r="5482" spans="1:6" x14ac:dyDescent="0.25">
      <c r="A5482" t="s">
        <v>2181</v>
      </c>
      <c r="B5482" t="s">
        <v>41</v>
      </c>
      <c r="C5482" t="s">
        <v>268</v>
      </c>
      <c r="D5482" t="s">
        <v>3219</v>
      </c>
      <c r="E5482">
        <v>27.89</v>
      </c>
      <c r="F5482">
        <v>98.05</v>
      </c>
    </row>
    <row r="5483" spans="1:6" x14ac:dyDescent="0.25">
      <c r="A5483" t="s">
        <v>2182</v>
      </c>
      <c r="B5483" t="s">
        <v>41</v>
      </c>
      <c r="C5483" t="s">
        <v>269</v>
      </c>
      <c r="D5483" t="s">
        <v>3217</v>
      </c>
      <c r="E5483">
        <v>0</v>
      </c>
      <c r="F5483">
        <v>97.99</v>
      </c>
    </row>
    <row r="5484" spans="1:6" x14ac:dyDescent="0.25">
      <c r="A5484" t="s">
        <v>2182</v>
      </c>
      <c r="B5484" t="s">
        <v>41</v>
      </c>
      <c r="C5484" t="s">
        <v>269</v>
      </c>
      <c r="D5484" t="s">
        <v>3218</v>
      </c>
      <c r="E5484">
        <v>12.71</v>
      </c>
      <c r="F5484">
        <v>98.42</v>
      </c>
    </row>
    <row r="5485" spans="1:6" x14ac:dyDescent="0.25">
      <c r="A5485" t="s">
        <v>2182</v>
      </c>
      <c r="B5485" t="s">
        <v>41</v>
      </c>
      <c r="C5485" t="s">
        <v>269</v>
      </c>
      <c r="D5485" t="s">
        <v>3219</v>
      </c>
      <c r="E5485">
        <v>26.88</v>
      </c>
      <c r="F5485">
        <v>98.28</v>
      </c>
    </row>
    <row r="5486" spans="1:6" x14ac:dyDescent="0.25">
      <c r="A5486" t="s">
        <v>2183</v>
      </c>
      <c r="B5486" t="s">
        <v>41</v>
      </c>
      <c r="C5486" t="s">
        <v>270</v>
      </c>
      <c r="D5486" t="s">
        <v>3217</v>
      </c>
      <c r="E5486">
        <v>0</v>
      </c>
      <c r="F5486">
        <v>98.36</v>
      </c>
    </row>
    <row r="5487" spans="1:6" x14ac:dyDescent="0.25">
      <c r="A5487" t="s">
        <v>2183</v>
      </c>
      <c r="B5487" t="s">
        <v>41</v>
      </c>
      <c r="C5487" t="s">
        <v>270</v>
      </c>
      <c r="D5487" t="s">
        <v>3218</v>
      </c>
      <c r="E5487">
        <v>12.97</v>
      </c>
      <c r="F5487">
        <v>98.72</v>
      </c>
    </row>
    <row r="5488" spans="1:6" x14ac:dyDescent="0.25">
      <c r="A5488" t="s">
        <v>2183</v>
      </c>
      <c r="B5488" t="s">
        <v>41</v>
      </c>
      <c r="C5488" t="s">
        <v>270</v>
      </c>
      <c r="D5488" t="s">
        <v>3219</v>
      </c>
      <c r="E5488">
        <v>26.43</v>
      </c>
      <c r="F5488">
        <v>98.39</v>
      </c>
    </row>
    <row r="5489" spans="1:6" x14ac:dyDescent="0.25">
      <c r="A5489" t="s">
        <v>2184</v>
      </c>
      <c r="B5489" t="s">
        <v>41</v>
      </c>
      <c r="C5489" t="s">
        <v>271</v>
      </c>
      <c r="D5489" t="s">
        <v>3217</v>
      </c>
      <c r="E5489">
        <v>0</v>
      </c>
      <c r="F5489">
        <v>98.6</v>
      </c>
    </row>
    <row r="5490" spans="1:6" x14ac:dyDescent="0.25">
      <c r="A5490" t="s">
        <v>2184</v>
      </c>
      <c r="B5490" t="s">
        <v>41</v>
      </c>
      <c r="C5490" t="s">
        <v>271</v>
      </c>
      <c r="D5490" t="s">
        <v>3218</v>
      </c>
      <c r="E5490">
        <v>13.12</v>
      </c>
      <c r="F5490">
        <v>98.88</v>
      </c>
    </row>
    <row r="5491" spans="1:6" x14ac:dyDescent="0.25">
      <c r="A5491" t="s">
        <v>2184</v>
      </c>
      <c r="B5491" t="s">
        <v>41</v>
      </c>
      <c r="C5491" t="s">
        <v>271</v>
      </c>
      <c r="D5491" t="s">
        <v>3219</v>
      </c>
      <c r="E5491">
        <v>25.67</v>
      </c>
      <c r="F5491">
        <v>98.5</v>
      </c>
    </row>
    <row r="5492" spans="1:6" x14ac:dyDescent="0.25">
      <c r="A5492" t="s">
        <v>2185</v>
      </c>
      <c r="B5492" t="s">
        <v>41</v>
      </c>
      <c r="C5492" t="s">
        <v>272</v>
      </c>
      <c r="D5492" t="s">
        <v>3217</v>
      </c>
      <c r="E5492">
        <v>0</v>
      </c>
      <c r="F5492">
        <v>98.89</v>
      </c>
    </row>
    <row r="5493" spans="1:6" x14ac:dyDescent="0.25">
      <c r="A5493" t="s">
        <v>2185</v>
      </c>
      <c r="B5493" t="s">
        <v>41</v>
      </c>
      <c r="C5493" t="s">
        <v>272</v>
      </c>
      <c r="D5493" t="s">
        <v>3218</v>
      </c>
      <c r="E5493">
        <v>13.65</v>
      </c>
      <c r="F5493">
        <v>99.03</v>
      </c>
    </row>
    <row r="5494" spans="1:6" x14ac:dyDescent="0.25">
      <c r="A5494" t="s">
        <v>2185</v>
      </c>
      <c r="B5494" t="s">
        <v>41</v>
      </c>
      <c r="C5494" t="s">
        <v>272</v>
      </c>
      <c r="D5494" t="s">
        <v>3219</v>
      </c>
      <c r="E5494">
        <v>25.75</v>
      </c>
      <c r="F5494">
        <v>98.67</v>
      </c>
    </row>
    <row r="5495" spans="1:6" x14ac:dyDescent="0.25">
      <c r="A5495" t="s">
        <v>2186</v>
      </c>
      <c r="B5495" t="s">
        <v>41</v>
      </c>
      <c r="C5495" t="s">
        <v>273</v>
      </c>
      <c r="D5495" t="s">
        <v>3217</v>
      </c>
      <c r="E5495">
        <v>0</v>
      </c>
      <c r="F5495">
        <v>98.93</v>
      </c>
    </row>
    <row r="5496" spans="1:6" x14ac:dyDescent="0.25">
      <c r="A5496" t="s">
        <v>2186</v>
      </c>
      <c r="B5496" t="s">
        <v>41</v>
      </c>
      <c r="C5496" t="s">
        <v>273</v>
      </c>
      <c r="D5496" t="s">
        <v>3218</v>
      </c>
      <c r="E5496">
        <v>13.49</v>
      </c>
      <c r="F5496">
        <v>99.01</v>
      </c>
    </row>
    <row r="5497" spans="1:6" x14ac:dyDescent="0.25">
      <c r="A5497" t="s">
        <v>2186</v>
      </c>
      <c r="B5497" t="s">
        <v>41</v>
      </c>
      <c r="C5497" t="s">
        <v>273</v>
      </c>
      <c r="D5497" t="s">
        <v>3219</v>
      </c>
      <c r="E5497">
        <v>24.96</v>
      </c>
      <c r="F5497">
        <v>98.69</v>
      </c>
    </row>
    <row r="5498" spans="1:6" x14ac:dyDescent="0.25">
      <c r="A5498" t="s">
        <v>2187</v>
      </c>
      <c r="B5498" t="s">
        <v>41</v>
      </c>
      <c r="C5498" t="s">
        <v>274</v>
      </c>
      <c r="D5498" t="s">
        <v>3217</v>
      </c>
      <c r="E5498">
        <v>0</v>
      </c>
      <c r="F5498">
        <v>98.83</v>
      </c>
    </row>
    <row r="5499" spans="1:6" x14ac:dyDescent="0.25">
      <c r="A5499" t="s">
        <v>2187</v>
      </c>
      <c r="B5499" t="s">
        <v>41</v>
      </c>
      <c r="C5499" t="s">
        <v>274</v>
      </c>
      <c r="D5499" t="s">
        <v>3218</v>
      </c>
      <c r="E5499">
        <v>13.14</v>
      </c>
      <c r="F5499">
        <v>99.01</v>
      </c>
    </row>
    <row r="5500" spans="1:6" x14ac:dyDescent="0.25">
      <c r="A5500" t="s">
        <v>2187</v>
      </c>
      <c r="B5500" t="s">
        <v>41</v>
      </c>
      <c r="C5500" t="s">
        <v>274</v>
      </c>
      <c r="D5500" t="s">
        <v>3219</v>
      </c>
      <c r="E5500">
        <v>25</v>
      </c>
      <c r="F5500">
        <v>98.83</v>
      </c>
    </row>
    <row r="5501" spans="1:6" x14ac:dyDescent="0.25">
      <c r="A5501" t="s">
        <v>2188</v>
      </c>
      <c r="B5501" t="s">
        <v>41</v>
      </c>
      <c r="C5501" t="s">
        <v>275</v>
      </c>
      <c r="D5501" t="s">
        <v>3217</v>
      </c>
      <c r="E5501">
        <v>0</v>
      </c>
      <c r="F5501">
        <v>98.75</v>
      </c>
    </row>
    <row r="5502" spans="1:6" x14ac:dyDescent="0.25">
      <c r="A5502" t="s">
        <v>2188</v>
      </c>
      <c r="B5502" t="s">
        <v>41</v>
      </c>
      <c r="C5502" t="s">
        <v>275</v>
      </c>
      <c r="D5502" t="s">
        <v>3218</v>
      </c>
      <c r="E5502">
        <v>12.97</v>
      </c>
      <c r="F5502">
        <v>99.04</v>
      </c>
    </row>
    <row r="5503" spans="1:6" x14ac:dyDescent="0.25">
      <c r="A5503" t="s">
        <v>2188</v>
      </c>
      <c r="B5503" t="s">
        <v>41</v>
      </c>
      <c r="C5503" t="s">
        <v>275</v>
      </c>
      <c r="D5503" t="s">
        <v>3219</v>
      </c>
      <c r="E5503">
        <v>24.04</v>
      </c>
      <c r="F5503">
        <v>98.82</v>
      </c>
    </row>
    <row r="5504" spans="1:6" x14ac:dyDescent="0.25">
      <c r="A5504" t="s">
        <v>2189</v>
      </c>
      <c r="B5504" t="s">
        <v>41</v>
      </c>
      <c r="C5504" t="s">
        <v>276</v>
      </c>
      <c r="D5504" t="s">
        <v>3217</v>
      </c>
      <c r="E5504">
        <v>0</v>
      </c>
      <c r="F5504">
        <v>98.58</v>
      </c>
    </row>
    <row r="5505" spans="1:6" x14ac:dyDescent="0.25">
      <c r="A5505" t="s">
        <v>2189</v>
      </c>
      <c r="B5505" t="s">
        <v>41</v>
      </c>
      <c r="C5505" t="s">
        <v>276</v>
      </c>
      <c r="D5505" t="s">
        <v>3218</v>
      </c>
      <c r="E5505">
        <v>12.9</v>
      </c>
      <c r="F5505">
        <v>99.03</v>
      </c>
    </row>
    <row r="5506" spans="1:6" x14ac:dyDescent="0.25">
      <c r="A5506" t="s">
        <v>2189</v>
      </c>
      <c r="B5506" t="s">
        <v>41</v>
      </c>
      <c r="C5506" t="s">
        <v>276</v>
      </c>
      <c r="D5506" t="s">
        <v>3219</v>
      </c>
      <c r="E5506">
        <v>24.61</v>
      </c>
      <c r="F5506">
        <v>98.85</v>
      </c>
    </row>
    <row r="5507" spans="1:6" x14ac:dyDescent="0.25">
      <c r="A5507" t="s">
        <v>2190</v>
      </c>
      <c r="B5507" t="s">
        <v>41</v>
      </c>
      <c r="C5507" t="s">
        <v>277</v>
      </c>
      <c r="D5507" t="s">
        <v>3217</v>
      </c>
      <c r="E5507">
        <v>0</v>
      </c>
      <c r="F5507">
        <v>98.69</v>
      </c>
    </row>
    <row r="5508" spans="1:6" x14ac:dyDescent="0.25">
      <c r="A5508" t="s">
        <v>2190</v>
      </c>
      <c r="B5508" t="s">
        <v>41</v>
      </c>
      <c r="C5508" t="s">
        <v>277</v>
      </c>
      <c r="D5508" t="s">
        <v>3218</v>
      </c>
      <c r="E5508">
        <v>13.5</v>
      </c>
      <c r="F5508">
        <v>99.03</v>
      </c>
    </row>
    <row r="5509" spans="1:6" x14ac:dyDescent="0.25">
      <c r="A5509" t="s">
        <v>2190</v>
      </c>
      <c r="B5509" t="s">
        <v>41</v>
      </c>
      <c r="C5509" t="s">
        <v>277</v>
      </c>
      <c r="D5509" t="s">
        <v>3219</v>
      </c>
      <c r="E5509">
        <v>24.97</v>
      </c>
      <c r="F5509">
        <v>98.79</v>
      </c>
    </row>
    <row r="5510" spans="1:6" x14ac:dyDescent="0.25">
      <c r="A5510" t="s">
        <v>2191</v>
      </c>
      <c r="B5510" t="s">
        <v>41</v>
      </c>
      <c r="C5510" t="s">
        <v>278</v>
      </c>
      <c r="D5510" t="s">
        <v>3217</v>
      </c>
      <c r="E5510">
        <v>0</v>
      </c>
      <c r="F5510">
        <v>99.02</v>
      </c>
    </row>
    <row r="5511" spans="1:6" x14ac:dyDescent="0.25">
      <c r="A5511" t="s">
        <v>2191</v>
      </c>
      <c r="B5511" t="s">
        <v>41</v>
      </c>
      <c r="C5511" t="s">
        <v>278</v>
      </c>
      <c r="D5511" t="s">
        <v>3218</v>
      </c>
      <c r="E5511">
        <v>15.02</v>
      </c>
      <c r="F5511">
        <v>99.16</v>
      </c>
    </row>
    <row r="5512" spans="1:6" x14ac:dyDescent="0.25">
      <c r="A5512" t="s">
        <v>2191</v>
      </c>
      <c r="B5512" t="s">
        <v>41</v>
      </c>
      <c r="C5512" t="s">
        <v>278</v>
      </c>
      <c r="D5512" t="s">
        <v>3219</v>
      </c>
      <c r="E5512">
        <v>26.49</v>
      </c>
      <c r="F5512">
        <v>98.84</v>
      </c>
    </row>
    <row r="5513" spans="1:6" x14ac:dyDescent="0.25">
      <c r="A5513" t="s">
        <v>2192</v>
      </c>
      <c r="B5513" t="s">
        <v>41</v>
      </c>
      <c r="C5513" t="s">
        <v>279</v>
      </c>
      <c r="D5513" t="s">
        <v>3217</v>
      </c>
      <c r="E5513">
        <v>0</v>
      </c>
      <c r="F5513">
        <v>99.59</v>
      </c>
    </row>
    <row r="5514" spans="1:6" x14ac:dyDescent="0.25">
      <c r="A5514" t="s">
        <v>2192</v>
      </c>
      <c r="B5514" t="s">
        <v>41</v>
      </c>
      <c r="C5514" t="s">
        <v>279</v>
      </c>
      <c r="D5514" t="s">
        <v>3218</v>
      </c>
      <c r="E5514">
        <v>15.02</v>
      </c>
      <c r="F5514">
        <v>99.16</v>
      </c>
    </row>
    <row r="5515" spans="1:6" x14ac:dyDescent="0.25">
      <c r="A5515" t="s">
        <v>2192</v>
      </c>
      <c r="B5515" t="s">
        <v>41</v>
      </c>
      <c r="C5515" t="s">
        <v>279</v>
      </c>
      <c r="D5515" t="s">
        <v>3219</v>
      </c>
      <c r="E5515">
        <v>25.47</v>
      </c>
      <c r="F5515">
        <v>98.9</v>
      </c>
    </row>
    <row r="5516" spans="1:6" x14ac:dyDescent="0.25">
      <c r="A5516" t="s">
        <v>2193</v>
      </c>
      <c r="B5516" t="s">
        <v>41</v>
      </c>
      <c r="C5516" t="s">
        <v>280</v>
      </c>
      <c r="D5516" t="s">
        <v>3217</v>
      </c>
      <c r="E5516">
        <v>0</v>
      </c>
      <c r="F5516">
        <v>99.05</v>
      </c>
    </row>
    <row r="5517" spans="1:6" x14ac:dyDescent="0.25">
      <c r="A5517" t="s">
        <v>2193</v>
      </c>
      <c r="B5517" t="s">
        <v>41</v>
      </c>
      <c r="C5517" t="s">
        <v>280</v>
      </c>
      <c r="D5517" t="s">
        <v>3218</v>
      </c>
      <c r="E5517">
        <v>15.02</v>
      </c>
      <c r="F5517">
        <v>98.6</v>
      </c>
    </row>
    <row r="5518" spans="1:6" x14ac:dyDescent="0.25">
      <c r="A5518" t="s">
        <v>2193</v>
      </c>
      <c r="B5518" t="s">
        <v>41</v>
      </c>
      <c r="C5518" t="s">
        <v>280</v>
      </c>
      <c r="D5518" t="s">
        <v>3219</v>
      </c>
      <c r="E5518">
        <v>26.18</v>
      </c>
      <c r="F5518">
        <v>98.24</v>
      </c>
    </row>
    <row r="5519" spans="1:6" x14ac:dyDescent="0.25">
      <c r="A5519" t="s">
        <v>2194</v>
      </c>
      <c r="B5519" t="s">
        <v>41</v>
      </c>
      <c r="C5519" t="s">
        <v>281</v>
      </c>
      <c r="D5519" t="s">
        <v>3217</v>
      </c>
      <c r="E5519">
        <v>0</v>
      </c>
      <c r="F5519">
        <v>98.39</v>
      </c>
    </row>
    <row r="5520" spans="1:6" x14ac:dyDescent="0.25">
      <c r="A5520" t="s">
        <v>2194</v>
      </c>
      <c r="B5520" t="s">
        <v>41</v>
      </c>
      <c r="C5520" t="s">
        <v>281</v>
      </c>
      <c r="D5520" t="s">
        <v>3218</v>
      </c>
      <c r="E5520">
        <v>14.21</v>
      </c>
      <c r="F5520">
        <v>98.41</v>
      </c>
    </row>
    <row r="5521" spans="1:6" x14ac:dyDescent="0.25">
      <c r="A5521" t="s">
        <v>2194</v>
      </c>
      <c r="B5521" t="s">
        <v>41</v>
      </c>
      <c r="C5521" t="s">
        <v>281</v>
      </c>
      <c r="D5521" t="s">
        <v>3219</v>
      </c>
      <c r="E5521">
        <v>25.83</v>
      </c>
      <c r="F5521">
        <v>97.92</v>
      </c>
    </row>
    <row r="5522" spans="1:6" x14ac:dyDescent="0.25">
      <c r="A5522" t="s">
        <v>2195</v>
      </c>
      <c r="B5522" t="s">
        <v>41</v>
      </c>
      <c r="C5522" t="s">
        <v>282</v>
      </c>
      <c r="D5522" t="s">
        <v>3217</v>
      </c>
      <c r="E5522">
        <v>0</v>
      </c>
      <c r="F5522">
        <v>97.63</v>
      </c>
    </row>
    <row r="5523" spans="1:6" x14ac:dyDescent="0.25">
      <c r="A5523" t="s">
        <v>2195</v>
      </c>
      <c r="B5523" t="s">
        <v>41</v>
      </c>
      <c r="C5523" t="s">
        <v>282</v>
      </c>
      <c r="D5523" t="s">
        <v>3218</v>
      </c>
      <c r="E5523">
        <v>14.93</v>
      </c>
      <c r="F5523">
        <v>97.79</v>
      </c>
    </row>
    <row r="5524" spans="1:6" x14ac:dyDescent="0.25">
      <c r="A5524" t="s">
        <v>2195</v>
      </c>
      <c r="B5524" t="s">
        <v>41</v>
      </c>
      <c r="C5524" t="s">
        <v>282</v>
      </c>
      <c r="D5524" t="s">
        <v>3219</v>
      </c>
      <c r="E5524">
        <v>26.84</v>
      </c>
      <c r="F5524">
        <v>97.46</v>
      </c>
    </row>
    <row r="5525" spans="1:6" x14ac:dyDescent="0.25">
      <c r="A5525" t="s">
        <v>2196</v>
      </c>
      <c r="B5525" t="s">
        <v>41</v>
      </c>
      <c r="C5525" t="s">
        <v>283</v>
      </c>
      <c r="D5525" t="s">
        <v>3217</v>
      </c>
      <c r="E5525">
        <v>0</v>
      </c>
      <c r="F5525">
        <v>97.06</v>
      </c>
    </row>
    <row r="5526" spans="1:6" x14ac:dyDescent="0.25">
      <c r="A5526" t="s">
        <v>2196</v>
      </c>
      <c r="B5526" t="s">
        <v>41</v>
      </c>
      <c r="C5526" t="s">
        <v>283</v>
      </c>
      <c r="D5526" t="s">
        <v>3218</v>
      </c>
      <c r="E5526">
        <v>14.82</v>
      </c>
      <c r="F5526">
        <v>97.24</v>
      </c>
    </row>
    <row r="5527" spans="1:6" x14ac:dyDescent="0.25">
      <c r="A5527" t="s">
        <v>2196</v>
      </c>
      <c r="B5527" t="s">
        <v>41</v>
      </c>
      <c r="C5527" t="s">
        <v>283</v>
      </c>
      <c r="D5527" t="s">
        <v>3219</v>
      </c>
      <c r="E5527">
        <v>27.53</v>
      </c>
      <c r="F5527">
        <v>97.12</v>
      </c>
    </row>
    <row r="5528" spans="1:6" x14ac:dyDescent="0.25">
      <c r="A5528" t="s">
        <v>2197</v>
      </c>
      <c r="B5528" t="s">
        <v>41</v>
      </c>
      <c r="C5528" t="s">
        <v>284</v>
      </c>
      <c r="D5528" t="s">
        <v>3217</v>
      </c>
      <c r="E5528">
        <v>0</v>
      </c>
      <c r="F5528">
        <v>96.7</v>
      </c>
    </row>
    <row r="5529" spans="1:6" x14ac:dyDescent="0.25">
      <c r="A5529" t="s">
        <v>2197</v>
      </c>
      <c r="B5529" t="s">
        <v>41</v>
      </c>
      <c r="C5529" t="s">
        <v>284</v>
      </c>
      <c r="D5529" t="s">
        <v>3218</v>
      </c>
      <c r="E5529">
        <v>15.88</v>
      </c>
      <c r="F5529">
        <v>96.97</v>
      </c>
    </row>
    <row r="5530" spans="1:6" x14ac:dyDescent="0.25">
      <c r="A5530" t="s">
        <v>2197</v>
      </c>
      <c r="B5530" t="s">
        <v>41</v>
      </c>
      <c r="C5530" t="s">
        <v>284</v>
      </c>
      <c r="D5530" t="s">
        <v>3219</v>
      </c>
      <c r="E5530">
        <v>29.31</v>
      </c>
      <c r="F5530">
        <v>96.83</v>
      </c>
    </row>
    <row r="5531" spans="1:6" x14ac:dyDescent="0.25">
      <c r="A5531" t="s">
        <v>2198</v>
      </c>
      <c r="B5531" t="s">
        <v>41</v>
      </c>
      <c r="C5531" t="s">
        <v>285</v>
      </c>
      <c r="D5531" t="s">
        <v>3217</v>
      </c>
      <c r="E5531">
        <v>0</v>
      </c>
      <c r="F5531">
        <v>96.54</v>
      </c>
    </row>
    <row r="5532" spans="1:6" x14ac:dyDescent="0.25">
      <c r="A5532" t="s">
        <v>2198</v>
      </c>
      <c r="B5532" t="s">
        <v>41</v>
      </c>
      <c r="C5532" t="s">
        <v>285</v>
      </c>
      <c r="D5532" t="s">
        <v>3218</v>
      </c>
      <c r="E5532">
        <v>16.170000000000002</v>
      </c>
      <c r="F5532">
        <v>96.8</v>
      </c>
    </row>
    <row r="5533" spans="1:6" x14ac:dyDescent="0.25">
      <c r="A5533" t="s">
        <v>2198</v>
      </c>
      <c r="B5533" t="s">
        <v>41</v>
      </c>
      <c r="C5533" t="s">
        <v>285</v>
      </c>
      <c r="D5533" t="s">
        <v>3219</v>
      </c>
      <c r="E5533">
        <v>28.71</v>
      </c>
      <c r="F5533">
        <v>96.69</v>
      </c>
    </row>
    <row r="5534" spans="1:6" x14ac:dyDescent="0.25">
      <c r="A5534" t="s">
        <v>2199</v>
      </c>
      <c r="B5534" t="s">
        <v>41</v>
      </c>
      <c r="C5534" t="s">
        <v>286</v>
      </c>
      <c r="D5534" t="s">
        <v>3217</v>
      </c>
      <c r="E5534">
        <v>0</v>
      </c>
      <c r="F5534">
        <v>96.38</v>
      </c>
    </row>
    <row r="5535" spans="1:6" x14ac:dyDescent="0.25">
      <c r="A5535" t="s">
        <v>2199</v>
      </c>
      <c r="B5535" t="s">
        <v>41</v>
      </c>
      <c r="C5535" t="s">
        <v>286</v>
      </c>
      <c r="D5535" t="s">
        <v>3218</v>
      </c>
      <c r="E5535">
        <v>15.05</v>
      </c>
      <c r="F5535">
        <v>96.7</v>
      </c>
    </row>
    <row r="5536" spans="1:6" x14ac:dyDescent="0.25">
      <c r="A5536" t="s">
        <v>2199</v>
      </c>
      <c r="B5536" t="s">
        <v>41</v>
      </c>
      <c r="C5536" t="s">
        <v>286</v>
      </c>
      <c r="D5536" t="s">
        <v>3219</v>
      </c>
      <c r="E5536">
        <v>27.04</v>
      </c>
      <c r="F5536">
        <v>96.6</v>
      </c>
    </row>
    <row r="5537" spans="1:6" x14ac:dyDescent="0.25">
      <c r="A5537" t="s">
        <v>2200</v>
      </c>
      <c r="B5537" t="s">
        <v>41</v>
      </c>
      <c r="C5537" t="s">
        <v>287</v>
      </c>
      <c r="D5537" t="s">
        <v>3217</v>
      </c>
      <c r="E5537">
        <v>0</v>
      </c>
      <c r="F5537">
        <v>96.27</v>
      </c>
    </row>
    <row r="5538" spans="1:6" x14ac:dyDescent="0.25">
      <c r="A5538" t="s">
        <v>2200</v>
      </c>
      <c r="B5538" t="s">
        <v>41</v>
      </c>
      <c r="C5538" t="s">
        <v>287</v>
      </c>
      <c r="D5538" t="s">
        <v>3218</v>
      </c>
      <c r="E5538">
        <v>15.05</v>
      </c>
      <c r="F5538">
        <v>96.6</v>
      </c>
    </row>
    <row r="5539" spans="1:6" x14ac:dyDescent="0.25">
      <c r="A5539" t="s">
        <v>2200</v>
      </c>
      <c r="B5539" t="s">
        <v>41</v>
      </c>
      <c r="C5539" t="s">
        <v>287</v>
      </c>
      <c r="D5539" t="s">
        <v>3219</v>
      </c>
      <c r="E5539">
        <v>27.5</v>
      </c>
      <c r="F5539">
        <v>96.41</v>
      </c>
    </row>
    <row r="5540" spans="1:6" x14ac:dyDescent="0.25">
      <c r="A5540" t="s">
        <v>2201</v>
      </c>
      <c r="B5540" t="s">
        <v>41</v>
      </c>
      <c r="C5540" t="s">
        <v>288</v>
      </c>
      <c r="D5540" t="s">
        <v>3217</v>
      </c>
      <c r="E5540">
        <v>0</v>
      </c>
      <c r="F5540">
        <v>96.16</v>
      </c>
    </row>
    <row r="5541" spans="1:6" x14ac:dyDescent="0.25">
      <c r="A5541" t="s">
        <v>2201</v>
      </c>
      <c r="B5541" t="s">
        <v>41</v>
      </c>
      <c r="C5541" t="s">
        <v>288</v>
      </c>
      <c r="D5541" t="s">
        <v>3218</v>
      </c>
      <c r="E5541">
        <v>13.19</v>
      </c>
      <c r="F5541">
        <v>96.57</v>
      </c>
    </row>
    <row r="5542" spans="1:6" x14ac:dyDescent="0.25">
      <c r="A5542" t="s">
        <v>2201</v>
      </c>
      <c r="B5542" t="s">
        <v>41</v>
      </c>
      <c r="C5542" t="s">
        <v>288</v>
      </c>
      <c r="D5542" t="s">
        <v>3219</v>
      </c>
      <c r="E5542">
        <v>26.93</v>
      </c>
      <c r="F5542">
        <v>96.51</v>
      </c>
    </row>
    <row r="5543" spans="1:6" x14ac:dyDescent="0.25">
      <c r="A5543" t="s">
        <v>2202</v>
      </c>
      <c r="B5543" t="s">
        <v>41</v>
      </c>
      <c r="C5543" t="s">
        <v>289</v>
      </c>
      <c r="D5543" t="s">
        <v>3217</v>
      </c>
      <c r="E5543">
        <v>0</v>
      </c>
      <c r="F5543">
        <v>96.11</v>
      </c>
    </row>
    <row r="5544" spans="1:6" x14ac:dyDescent="0.25">
      <c r="A5544" t="s">
        <v>2202</v>
      </c>
      <c r="B5544" t="s">
        <v>41</v>
      </c>
      <c r="C5544" t="s">
        <v>289</v>
      </c>
      <c r="D5544" t="s">
        <v>3218</v>
      </c>
      <c r="E5544">
        <v>11.95</v>
      </c>
      <c r="F5544">
        <v>96.58</v>
      </c>
    </row>
    <row r="5545" spans="1:6" x14ac:dyDescent="0.25">
      <c r="A5545" t="s">
        <v>2202</v>
      </c>
      <c r="B5545" t="s">
        <v>41</v>
      </c>
      <c r="C5545" t="s">
        <v>289</v>
      </c>
      <c r="D5545" t="s">
        <v>3219</v>
      </c>
      <c r="E5545">
        <v>25.99</v>
      </c>
      <c r="F5545">
        <v>96.67</v>
      </c>
    </row>
    <row r="5546" spans="1:6" x14ac:dyDescent="0.25">
      <c r="A5546" t="s">
        <v>2203</v>
      </c>
      <c r="B5546" t="s">
        <v>41</v>
      </c>
      <c r="C5546" t="s">
        <v>290</v>
      </c>
      <c r="D5546" t="s">
        <v>3217</v>
      </c>
      <c r="E5546">
        <v>0</v>
      </c>
      <c r="F5546">
        <v>96.23</v>
      </c>
    </row>
    <row r="5547" spans="1:6" x14ac:dyDescent="0.25">
      <c r="A5547" t="s">
        <v>2203</v>
      </c>
      <c r="B5547" t="s">
        <v>41</v>
      </c>
      <c r="C5547" t="s">
        <v>290</v>
      </c>
      <c r="D5547" t="s">
        <v>3218</v>
      </c>
      <c r="E5547">
        <v>11.95</v>
      </c>
      <c r="F5547">
        <v>96.71</v>
      </c>
    </row>
    <row r="5548" spans="1:6" x14ac:dyDescent="0.25">
      <c r="A5548" t="s">
        <v>2203</v>
      </c>
      <c r="B5548" t="s">
        <v>41</v>
      </c>
      <c r="C5548" t="s">
        <v>290</v>
      </c>
      <c r="D5548" t="s">
        <v>3219</v>
      </c>
      <c r="E5548">
        <v>26.27</v>
      </c>
      <c r="F5548">
        <v>97.06</v>
      </c>
    </row>
    <row r="5549" spans="1:6" x14ac:dyDescent="0.25">
      <c r="A5549" t="s">
        <v>2204</v>
      </c>
      <c r="B5549" t="s">
        <v>41</v>
      </c>
      <c r="C5549" t="s">
        <v>291</v>
      </c>
      <c r="D5549" t="s">
        <v>3217</v>
      </c>
      <c r="E5549">
        <v>0</v>
      </c>
      <c r="F5549">
        <v>96.29</v>
      </c>
    </row>
    <row r="5550" spans="1:6" x14ac:dyDescent="0.25">
      <c r="A5550" t="s">
        <v>2204</v>
      </c>
      <c r="B5550" t="s">
        <v>41</v>
      </c>
      <c r="C5550" t="s">
        <v>291</v>
      </c>
      <c r="D5550" t="s">
        <v>3218</v>
      </c>
      <c r="E5550">
        <v>11.71</v>
      </c>
      <c r="F5550">
        <v>96.76</v>
      </c>
    </row>
    <row r="5551" spans="1:6" x14ac:dyDescent="0.25">
      <c r="A5551" t="s">
        <v>2204</v>
      </c>
      <c r="B5551" t="s">
        <v>41</v>
      </c>
      <c r="C5551" t="s">
        <v>291</v>
      </c>
      <c r="D5551" t="s">
        <v>3219</v>
      </c>
      <c r="E5551">
        <v>25.91</v>
      </c>
      <c r="F5551">
        <v>97.13</v>
      </c>
    </row>
    <row r="5552" spans="1:6" x14ac:dyDescent="0.25">
      <c r="A5552" t="s">
        <v>2205</v>
      </c>
      <c r="B5552" t="s">
        <v>41</v>
      </c>
      <c r="C5552" t="s">
        <v>292</v>
      </c>
      <c r="D5552" t="s">
        <v>3217</v>
      </c>
      <c r="E5552">
        <v>0</v>
      </c>
      <c r="F5552">
        <v>96.55</v>
      </c>
    </row>
    <row r="5553" spans="1:6" x14ac:dyDescent="0.25">
      <c r="A5553" t="s">
        <v>2205</v>
      </c>
      <c r="B5553" t="s">
        <v>41</v>
      </c>
      <c r="C5553" t="s">
        <v>292</v>
      </c>
      <c r="D5553" t="s">
        <v>3218</v>
      </c>
      <c r="E5553">
        <v>11.47</v>
      </c>
      <c r="F5553">
        <v>97.04</v>
      </c>
    </row>
    <row r="5554" spans="1:6" x14ac:dyDescent="0.25">
      <c r="A5554" t="s">
        <v>2205</v>
      </c>
      <c r="B5554" t="s">
        <v>41</v>
      </c>
      <c r="C5554" t="s">
        <v>292</v>
      </c>
      <c r="D5554" t="s">
        <v>3219</v>
      </c>
      <c r="E5554">
        <v>25.67</v>
      </c>
      <c r="F5554">
        <v>97.27</v>
      </c>
    </row>
    <row r="5555" spans="1:6" x14ac:dyDescent="0.25">
      <c r="A5555" t="s">
        <v>2206</v>
      </c>
      <c r="B5555" t="s">
        <v>41</v>
      </c>
      <c r="C5555" t="s">
        <v>293</v>
      </c>
      <c r="D5555" t="s">
        <v>3217</v>
      </c>
      <c r="E5555">
        <v>0</v>
      </c>
      <c r="F5555">
        <v>96.93</v>
      </c>
    </row>
    <row r="5556" spans="1:6" x14ac:dyDescent="0.25">
      <c r="A5556" t="s">
        <v>2206</v>
      </c>
      <c r="B5556" t="s">
        <v>41</v>
      </c>
      <c r="C5556" t="s">
        <v>293</v>
      </c>
      <c r="D5556" t="s">
        <v>3218</v>
      </c>
      <c r="E5556">
        <v>11.62</v>
      </c>
      <c r="F5556">
        <v>97.38</v>
      </c>
    </row>
    <row r="5557" spans="1:6" x14ac:dyDescent="0.25">
      <c r="A5557" t="s">
        <v>2206</v>
      </c>
      <c r="B5557" t="s">
        <v>41</v>
      </c>
      <c r="C5557" t="s">
        <v>293</v>
      </c>
      <c r="D5557" t="s">
        <v>3219</v>
      </c>
      <c r="E5557">
        <v>25.63</v>
      </c>
      <c r="F5557">
        <v>97.66</v>
      </c>
    </row>
    <row r="5558" spans="1:6" x14ac:dyDescent="0.25">
      <c r="A5558" t="s">
        <v>2207</v>
      </c>
      <c r="B5558" t="s">
        <v>41</v>
      </c>
      <c r="C5558" t="s">
        <v>294</v>
      </c>
      <c r="D5558" t="s">
        <v>3217</v>
      </c>
      <c r="E5558">
        <v>0</v>
      </c>
      <c r="F5558">
        <v>97.19</v>
      </c>
    </row>
    <row r="5559" spans="1:6" x14ac:dyDescent="0.25">
      <c r="A5559" t="s">
        <v>2207</v>
      </c>
      <c r="B5559" t="s">
        <v>41</v>
      </c>
      <c r="C5559" t="s">
        <v>294</v>
      </c>
      <c r="D5559" t="s">
        <v>3218</v>
      </c>
      <c r="E5559">
        <v>11.74</v>
      </c>
      <c r="F5559">
        <v>97.75</v>
      </c>
    </row>
    <row r="5560" spans="1:6" x14ac:dyDescent="0.25">
      <c r="A5560" t="s">
        <v>2207</v>
      </c>
      <c r="B5560" t="s">
        <v>41</v>
      </c>
      <c r="C5560" t="s">
        <v>294</v>
      </c>
      <c r="D5560" t="s">
        <v>3219</v>
      </c>
      <c r="E5560">
        <v>25.28</v>
      </c>
      <c r="F5560">
        <v>98.01</v>
      </c>
    </row>
    <row r="5561" spans="1:6" x14ac:dyDescent="0.25">
      <c r="A5561" t="s">
        <v>2208</v>
      </c>
      <c r="B5561" t="s">
        <v>41</v>
      </c>
      <c r="C5561" t="s">
        <v>295</v>
      </c>
      <c r="D5561" t="s">
        <v>3217</v>
      </c>
      <c r="E5561">
        <v>0</v>
      </c>
      <c r="F5561">
        <v>97.53</v>
      </c>
    </row>
    <row r="5562" spans="1:6" x14ac:dyDescent="0.25">
      <c r="A5562" t="s">
        <v>2208</v>
      </c>
      <c r="B5562" t="s">
        <v>41</v>
      </c>
      <c r="C5562" t="s">
        <v>295</v>
      </c>
      <c r="D5562" t="s">
        <v>3218</v>
      </c>
      <c r="E5562">
        <v>11.81</v>
      </c>
      <c r="F5562">
        <v>98.15</v>
      </c>
    </row>
    <row r="5563" spans="1:6" x14ac:dyDescent="0.25">
      <c r="A5563" t="s">
        <v>2208</v>
      </c>
      <c r="B5563" t="s">
        <v>41</v>
      </c>
      <c r="C5563" t="s">
        <v>295</v>
      </c>
      <c r="D5563" t="s">
        <v>3219</v>
      </c>
      <c r="E5563">
        <v>24.32</v>
      </c>
      <c r="F5563">
        <v>98.28</v>
      </c>
    </row>
    <row r="5564" spans="1:6" x14ac:dyDescent="0.25">
      <c r="A5564" t="s">
        <v>2209</v>
      </c>
      <c r="B5564" t="s">
        <v>41</v>
      </c>
      <c r="C5564" t="s">
        <v>296</v>
      </c>
      <c r="D5564" t="s">
        <v>3217</v>
      </c>
      <c r="E5564">
        <v>0</v>
      </c>
      <c r="F5564">
        <v>97.68</v>
      </c>
    </row>
    <row r="5565" spans="1:6" x14ac:dyDescent="0.25">
      <c r="A5565" t="s">
        <v>2209</v>
      </c>
      <c r="B5565" t="s">
        <v>41</v>
      </c>
      <c r="C5565" t="s">
        <v>296</v>
      </c>
      <c r="D5565" t="s">
        <v>3218</v>
      </c>
      <c r="E5565">
        <v>12.63</v>
      </c>
      <c r="F5565">
        <v>98.24</v>
      </c>
    </row>
    <row r="5566" spans="1:6" x14ac:dyDescent="0.25">
      <c r="A5566" t="s">
        <v>2209</v>
      </c>
      <c r="B5566" t="s">
        <v>41</v>
      </c>
      <c r="C5566" t="s">
        <v>296</v>
      </c>
      <c r="D5566" t="s">
        <v>3219</v>
      </c>
      <c r="E5566">
        <v>23.58</v>
      </c>
      <c r="F5566">
        <v>98.29</v>
      </c>
    </row>
    <row r="5567" spans="1:6" x14ac:dyDescent="0.25">
      <c r="A5567" t="s">
        <v>2210</v>
      </c>
      <c r="B5567" t="s">
        <v>41</v>
      </c>
      <c r="C5567" t="s">
        <v>297</v>
      </c>
      <c r="D5567" t="s">
        <v>3217</v>
      </c>
      <c r="E5567">
        <v>0</v>
      </c>
      <c r="F5567">
        <v>97.69</v>
      </c>
    </row>
    <row r="5568" spans="1:6" x14ac:dyDescent="0.25">
      <c r="A5568" t="s">
        <v>2210</v>
      </c>
      <c r="B5568" t="s">
        <v>41</v>
      </c>
      <c r="C5568" t="s">
        <v>297</v>
      </c>
      <c r="D5568" t="s">
        <v>3218</v>
      </c>
      <c r="E5568">
        <v>13.17</v>
      </c>
      <c r="F5568">
        <v>98.17</v>
      </c>
    </row>
    <row r="5569" spans="1:6" x14ac:dyDescent="0.25">
      <c r="A5569" t="s">
        <v>2210</v>
      </c>
      <c r="B5569" t="s">
        <v>41</v>
      </c>
      <c r="C5569" t="s">
        <v>297</v>
      </c>
      <c r="D5569" t="s">
        <v>3219</v>
      </c>
      <c r="E5569">
        <v>23.69</v>
      </c>
      <c r="F5569">
        <v>98.04</v>
      </c>
    </row>
    <row r="5570" spans="1:6" x14ac:dyDescent="0.25">
      <c r="A5570" t="s">
        <v>2211</v>
      </c>
      <c r="B5570" t="s">
        <v>41</v>
      </c>
      <c r="C5570" t="s">
        <v>298</v>
      </c>
      <c r="D5570" t="s">
        <v>3217</v>
      </c>
      <c r="E5570">
        <v>0</v>
      </c>
      <c r="F5570">
        <v>97.56</v>
      </c>
    </row>
    <row r="5571" spans="1:6" x14ac:dyDescent="0.25">
      <c r="A5571" t="s">
        <v>2211</v>
      </c>
      <c r="B5571" t="s">
        <v>41</v>
      </c>
      <c r="C5571" t="s">
        <v>298</v>
      </c>
      <c r="D5571" t="s">
        <v>3218</v>
      </c>
      <c r="E5571">
        <v>13.17</v>
      </c>
      <c r="F5571">
        <v>97.99</v>
      </c>
    </row>
    <row r="5572" spans="1:6" x14ac:dyDescent="0.25">
      <c r="A5572" t="s">
        <v>2211</v>
      </c>
      <c r="B5572" t="s">
        <v>41</v>
      </c>
      <c r="C5572" t="s">
        <v>298</v>
      </c>
      <c r="D5572" t="s">
        <v>3219</v>
      </c>
      <c r="E5572">
        <v>23.38</v>
      </c>
      <c r="F5572">
        <v>97.81</v>
      </c>
    </row>
    <row r="5573" spans="1:6" x14ac:dyDescent="0.25">
      <c r="A5573" t="s">
        <v>2212</v>
      </c>
      <c r="B5573" t="s">
        <v>41</v>
      </c>
      <c r="C5573" t="s">
        <v>299</v>
      </c>
      <c r="D5573" t="s">
        <v>3217</v>
      </c>
      <c r="E5573">
        <v>0</v>
      </c>
      <c r="F5573">
        <v>97.44</v>
      </c>
    </row>
    <row r="5574" spans="1:6" x14ac:dyDescent="0.25">
      <c r="A5574" t="s">
        <v>2212</v>
      </c>
      <c r="B5574" t="s">
        <v>41</v>
      </c>
      <c r="C5574" t="s">
        <v>299</v>
      </c>
      <c r="D5574" t="s">
        <v>3218</v>
      </c>
      <c r="E5574">
        <v>13.17</v>
      </c>
      <c r="F5574">
        <v>97.88</v>
      </c>
    </row>
    <row r="5575" spans="1:6" x14ac:dyDescent="0.25">
      <c r="A5575" t="s">
        <v>2212</v>
      </c>
      <c r="B5575" t="s">
        <v>41</v>
      </c>
      <c r="C5575" t="s">
        <v>299</v>
      </c>
      <c r="D5575" t="s">
        <v>3219</v>
      </c>
      <c r="E5575">
        <v>24.95</v>
      </c>
      <c r="F5575">
        <v>97.72</v>
      </c>
    </row>
    <row r="5576" spans="1:6" x14ac:dyDescent="0.25">
      <c r="A5576" t="s">
        <v>2213</v>
      </c>
      <c r="B5576" t="s">
        <v>41</v>
      </c>
      <c r="C5576" t="s">
        <v>300</v>
      </c>
      <c r="D5576" t="s">
        <v>3217</v>
      </c>
      <c r="E5576">
        <v>0</v>
      </c>
      <c r="F5576">
        <v>97.52</v>
      </c>
    </row>
    <row r="5577" spans="1:6" x14ac:dyDescent="0.25">
      <c r="A5577" t="s">
        <v>2213</v>
      </c>
      <c r="B5577" t="s">
        <v>41</v>
      </c>
      <c r="C5577" t="s">
        <v>300</v>
      </c>
      <c r="D5577" t="s">
        <v>3218</v>
      </c>
      <c r="E5577">
        <v>12.18</v>
      </c>
      <c r="F5577">
        <v>97.79</v>
      </c>
    </row>
    <row r="5578" spans="1:6" x14ac:dyDescent="0.25">
      <c r="A5578" t="s">
        <v>2213</v>
      </c>
      <c r="B5578" t="s">
        <v>41</v>
      </c>
      <c r="C5578" t="s">
        <v>300</v>
      </c>
      <c r="D5578" t="s">
        <v>3219</v>
      </c>
      <c r="E5578">
        <v>23.97</v>
      </c>
      <c r="F5578">
        <v>97.7</v>
      </c>
    </row>
    <row r="5579" spans="1:6" x14ac:dyDescent="0.25">
      <c r="A5579" t="s">
        <v>2214</v>
      </c>
      <c r="B5579" t="s">
        <v>41</v>
      </c>
      <c r="C5579" t="s">
        <v>301</v>
      </c>
      <c r="D5579" t="s">
        <v>3217</v>
      </c>
      <c r="E5579">
        <v>0</v>
      </c>
      <c r="F5579">
        <v>97.43</v>
      </c>
    </row>
    <row r="5580" spans="1:6" x14ac:dyDescent="0.25">
      <c r="A5580" t="s">
        <v>2214</v>
      </c>
      <c r="B5580" t="s">
        <v>41</v>
      </c>
      <c r="C5580" t="s">
        <v>301</v>
      </c>
      <c r="D5580" t="s">
        <v>3218</v>
      </c>
      <c r="E5580">
        <v>11.93</v>
      </c>
      <c r="F5580">
        <v>97.74</v>
      </c>
    </row>
    <row r="5581" spans="1:6" x14ac:dyDescent="0.25">
      <c r="A5581" t="s">
        <v>2214</v>
      </c>
      <c r="B5581" t="s">
        <v>41</v>
      </c>
      <c r="C5581" t="s">
        <v>301</v>
      </c>
      <c r="D5581" t="s">
        <v>3219</v>
      </c>
      <c r="E5581">
        <v>23.76</v>
      </c>
      <c r="F5581">
        <v>97.64</v>
      </c>
    </row>
    <row r="5582" spans="1:6" x14ac:dyDescent="0.25">
      <c r="A5582" t="s">
        <v>2215</v>
      </c>
      <c r="B5582" t="s">
        <v>41</v>
      </c>
      <c r="C5582" t="s">
        <v>302</v>
      </c>
      <c r="D5582" t="s">
        <v>3217</v>
      </c>
      <c r="E5582">
        <v>0</v>
      </c>
      <c r="F5582">
        <v>97.17</v>
      </c>
    </row>
    <row r="5583" spans="1:6" x14ac:dyDescent="0.25">
      <c r="A5583" t="s">
        <v>2215</v>
      </c>
      <c r="B5583" t="s">
        <v>41</v>
      </c>
      <c r="C5583" t="s">
        <v>302</v>
      </c>
      <c r="D5583" t="s">
        <v>3218</v>
      </c>
      <c r="E5583">
        <v>11.13</v>
      </c>
      <c r="F5583">
        <v>97.56</v>
      </c>
    </row>
    <row r="5584" spans="1:6" x14ac:dyDescent="0.25">
      <c r="A5584" t="s">
        <v>2215</v>
      </c>
      <c r="B5584" t="s">
        <v>41</v>
      </c>
      <c r="C5584" t="s">
        <v>302</v>
      </c>
      <c r="D5584" t="s">
        <v>3219</v>
      </c>
      <c r="E5584">
        <v>23.55</v>
      </c>
      <c r="F5584">
        <v>97.73</v>
      </c>
    </row>
    <row r="5585" spans="1:6" x14ac:dyDescent="0.25">
      <c r="A5585" t="s">
        <v>2216</v>
      </c>
      <c r="B5585" t="s">
        <v>41</v>
      </c>
      <c r="C5585" t="s">
        <v>303</v>
      </c>
      <c r="D5585" t="s">
        <v>3217</v>
      </c>
      <c r="E5585">
        <v>0</v>
      </c>
      <c r="F5585">
        <v>97.05</v>
      </c>
    </row>
    <row r="5586" spans="1:6" x14ac:dyDescent="0.25">
      <c r="A5586" t="s">
        <v>2216</v>
      </c>
      <c r="B5586" t="s">
        <v>41</v>
      </c>
      <c r="C5586" t="s">
        <v>303</v>
      </c>
      <c r="D5586" t="s">
        <v>3218</v>
      </c>
      <c r="E5586">
        <v>10.47</v>
      </c>
      <c r="F5586">
        <v>97.37</v>
      </c>
    </row>
    <row r="5587" spans="1:6" x14ac:dyDescent="0.25">
      <c r="A5587" t="s">
        <v>2216</v>
      </c>
      <c r="B5587" t="s">
        <v>41</v>
      </c>
      <c r="C5587" t="s">
        <v>303</v>
      </c>
      <c r="D5587" t="s">
        <v>3219</v>
      </c>
      <c r="E5587">
        <v>22.9</v>
      </c>
      <c r="F5587">
        <v>97.54</v>
      </c>
    </row>
    <row r="5588" spans="1:6" x14ac:dyDescent="0.25">
      <c r="A5588" t="s">
        <v>2217</v>
      </c>
      <c r="B5588" t="s">
        <v>41</v>
      </c>
      <c r="C5588" t="s">
        <v>304</v>
      </c>
      <c r="D5588" t="s">
        <v>3217</v>
      </c>
      <c r="E5588">
        <v>0</v>
      </c>
      <c r="F5588">
        <v>96.8</v>
      </c>
    </row>
    <row r="5589" spans="1:6" x14ac:dyDescent="0.25">
      <c r="A5589" t="s">
        <v>2217</v>
      </c>
      <c r="B5589" t="s">
        <v>41</v>
      </c>
      <c r="C5589" t="s">
        <v>304</v>
      </c>
      <c r="D5589" t="s">
        <v>3218</v>
      </c>
      <c r="E5589">
        <v>12.15</v>
      </c>
      <c r="F5589">
        <v>97.39</v>
      </c>
    </row>
    <row r="5590" spans="1:6" x14ac:dyDescent="0.25">
      <c r="A5590" t="s">
        <v>2217</v>
      </c>
      <c r="B5590" t="s">
        <v>41</v>
      </c>
      <c r="C5590" t="s">
        <v>304</v>
      </c>
      <c r="D5590" t="s">
        <v>3219</v>
      </c>
      <c r="E5590">
        <v>22.18</v>
      </c>
      <c r="F5590">
        <v>97.38</v>
      </c>
    </row>
    <row r="5591" spans="1:6" x14ac:dyDescent="0.25">
      <c r="A5591" t="s">
        <v>2218</v>
      </c>
      <c r="B5591" t="s">
        <v>41</v>
      </c>
      <c r="C5591" t="s">
        <v>305</v>
      </c>
      <c r="D5591" t="s">
        <v>3217</v>
      </c>
      <c r="E5591">
        <v>0</v>
      </c>
      <c r="F5591">
        <v>96.74</v>
      </c>
    </row>
    <row r="5592" spans="1:6" x14ac:dyDescent="0.25">
      <c r="A5592" t="s">
        <v>2218</v>
      </c>
      <c r="B5592" t="s">
        <v>41</v>
      </c>
      <c r="C5592" t="s">
        <v>305</v>
      </c>
      <c r="D5592" t="s">
        <v>3218</v>
      </c>
      <c r="E5592">
        <v>11.91</v>
      </c>
      <c r="F5592">
        <v>97.25</v>
      </c>
    </row>
    <row r="5593" spans="1:6" x14ac:dyDescent="0.25">
      <c r="A5593" t="s">
        <v>2218</v>
      </c>
      <c r="B5593" t="s">
        <v>41</v>
      </c>
      <c r="C5593" t="s">
        <v>305</v>
      </c>
      <c r="D5593" t="s">
        <v>3219</v>
      </c>
      <c r="E5593">
        <v>22.16</v>
      </c>
      <c r="F5593">
        <v>97.33</v>
      </c>
    </row>
    <row r="5594" spans="1:6" x14ac:dyDescent="0.25">
      <c r="A5594" t="s">
        <v>2219</v>
      </c>
      <c r="B5594" t="s">
        <v>41</v>
      </c>
      <c r="C5594" t="s">
        <v>306</v>
      </c>
      <c r="D5594" t="s">
        <v>3217</v>
      </c>
      <c r="E5594">
        <v>0</v>
      </c>
      <c r="F5594">
        <v>96.72</v>
      </c>
    </row>
    <row r="5595" spans="1:6" x14ac:dyDescent="0.25">
      <c r="A5595" t="s">
        <v>2219</v>
      </c>
      <c r="B5595" t="s">
        <v>41</v>
      </c>
      <c r="C5595" t="s">
        <v>306</v>
      </c>
      <c r="D5595" t="s">
        <v>3218</v>
      </c>
      <c r="E5595">
        <v>10.55</v>
      </c>
      <c r="F5595">
        <v>97.07</v>
      </c>
    </row>
    <row r="5596" spans="1:6" x14ac:dyDescent="0.25">
      <c r="A5596" t="s">
        <v>2219</v>
      </c>
      <c r="B5596" t="s">
        <v>41</v>
      </c>
      <c r="C5596" t="s">
        <v>306</v>
      </c>
      <c r="D5596" t="s">
        <v>3219</v>
      </c>
      <c r="E5596">
        <v>22.06</v>
      </c>
      <c r="F5596">
        <v>97.07</v>
      </c>
    </row>
    <row r="5597" spans="1:6" x14ac:dyDescent="0.25">
      <c r="A5597" t="s">
        <v>2220</v>
      </c>
      <c r="B5597" t="s">
        <v>41</v>
      </c>
      <c r="C5597" t="s">
        <v>307</v>
      </c>
      <c r="D5597" t="s">
        <v>3217</v>
      </c>
      <c r="E5597">
        <v>0</v>
      </c>
      <c r="F5597">
        <v>96.62</v>
      </c>
    </row>
    <row r="5598" spans="1:6" x14ac:dyDescent="0.25">
      <c r="A5598" t="s">
        <v>2220</v>
      </c>
      <c r="B5598" t="s">
        <v>41</v>
      </c>
      <c r="C5598" t="s">
        <v>307</v>
      </c>
      <c r="D5598" t="s">
        <v>3218</v>
      </c>
      <c r="E5598">
        <v>9.9600000000000009</v>
      </c>
      <c r="F5598">
        <v>96.91</v>
      </c>
    </row>
    <row r="5599" spans="1:6" x14ac:dyDescent="0.25">
      <c r="A5599" t="s">
        <v>2220</v>
      </c>
      <c r="B5599" t="s">
        <v>41</v>
      </c>
      <c r="C5599" t="s">
        <v>307</v>
      </c>
      <c r="D5599" t="s">
        <v>3219</v>
      </c>
      <c r="E5599">
        <v>22.46</v>
      </c>
      <c r="F5599">
        <v>96.98</v>
      </c>
    </row>
    <row r="5600" spans="1:6" x14ac:dyDescent="0.25">
      <c r="A5600" t="s">
        <v>2221</v>
      </c>
      <c r="B5600" t="s">
        <v>41</v>
      </c>
      <c r="C5600" t="s">
        <v>308</v>
      </c>
      <c r="D5600" t="s">
        <v>3217</v>
      </c>
      <c r="E5600">
        <v>0</v>
      </c>
      <c r="F5600">
        <v>96.46</v>
      </c>
    </row>
    <row r="5601" spans="1:6" x14ac:dyDescent="0.25">
      <c r="A5601" t="s">
        <v>2221</v>
      </c>
      <c r="B5601" t="s">
        <v>41</v>
      </c>
      <c r="C5601" t="s">
        <v>308</v>
      </c>
      <c r="D5601" t="s">
        <v>3218</v>
      </c>
      <c r="E5601">
        <v>9.8000000000000007</v>
      </c>
      <c r="F5601">
        <v>96.78</v>
      </c>
    </row>
    <row r="5602" spans="1:6" x14ac:dyDescent="0.25">
      <c r="A5602" t="s">
        <v>2221</v>
      </c>
      <c r="B5602" t="s">
        <v>41</v>
      </c>
      <c r="C5602" t="s">
        <v>308</v>
      </c>
      <c r="D5602" t="s">
        <v>3219</v>
      </c>
      <c r="E5602">
        <v>22.59</v>
      </c>
      <c r="F5602">
        <v>96.99</v>
      </c>
    </row>
    <row r="5603" spans="1:6" x14ac:dyDescent="0.25">
      <c r="A5603" t="s">
        <v>2222</v>
      </c>
      <c r="B5603" t="s">
        <v>41</v>
      </c>
      <c r="C5603" t="s">
        <v>309</v>
      </c>
      <c r="D5603" t="s">
        <v>3217</v>
      </c>
      <c r="E5603">
        <v>0</v>
      </c>
      <c r="F5603">
        <v>96.24</v>
      </c>
    </row>
    <row r="5604" spans="1:6" x14ac:dyDescent="0.25">
      <c r="A5604" t="s">
        <v>2222</v>
      </c>
      <c r="B5604" t="s">
        <v>41</v>
      </c>
      <c r="C5604" t="s">
        <v>309</v>
      </c>
      <c r="D5604" t="s">
        <v>3218</v>
      </c>
      <c r="E5604">
        <v>9.7100000000000009</v>
      </c>
      <c r="F5604">
        <v>96.65</v>
      </c>
    </row>
    <row r="5605" spans="1:6" x14ac:dyDescent="0.25">
      <c r="A5605" t="s">
        <v>2222</v>
      </c>
      <c r="B5605" t="s">
        <v>41</v>
      </c>
      <c r="C5605" t="s">
        <v>309</v>
      </c>
      <c r="D5605" t="s">
        <v>3219</v>
      </c>
      <c r="E5605">
        <v>22.99</v>
      </c>
      <c r="F5605">
        <v>96.95</v>
      </c>
    </row>
    <row r="5606" spans="1:6" x14ac:dyDescent="0.25">
      <c r="A5606" t="s">
        <v>2223</v>
      </c>
      <c r="B5606" t="s">
        <v>41</v>
      </c>
      <c r="C5606" t="s">
        <v>310</v>
      </c>
      <c r="D5606" t="s">
        <v>3217</v>
      </c>
      <c r="E5606">
        <v>0</v>
      </c>
      <c r="F5606">
        <v>96.28</v>
      </c>
    </row>
    <row r="5607" spans="1:6" x14ac:dyDescent="0.25">
      <c r="A5607" t="s">
        <v>2223</v>
      </c>
      <c r="B5607" t="s">
        <v>41</v>
      </c>
      <c r="C5607" t="s">
        <v>310</v>
      </c>
      <c r="D5607" t="s">
        <v>3218</v>
      </c>
      <c r="E5607">
        <v>9.0500000000000007</v>
      </c>
      <c r="F5607">
        <v>96.56</v>
      </c>
    </row>
    <row r="5608" spans="1:6" x14ac:dyDescent="0.25">
      <c r="A5608" t="s">
        <v>2223</v>
      </c>
      <c r="B5608" t="s">
        <v>41</v>
      </c>
      <c r="C5608" t="s">
        <v>310</v>
      </c>
      <c r="D5608" t="s">
        <v>3219</v>
      </c>
      <c r="E5608">
        <v>23.79</v>
      </c>
      <c r="F5608">
        <v>96.79</v>
      </c>
    </row>
    <row r="5609" spans="1:6" x14ac:dyDescent="0.25">
      <c r="A5609" t="s">
        <v>2224</v>
      </c>
      <c r="B5609" t="s">
        <v>41</v>
      </c>
      <c r="C5609" t="s">
        <v>311</v>
      </c>
      <c r="D5609" t="s">
        <v>3217</v>
      </c>
      <c r="E5609">
        <v>0</v>
      </c>
      <c r="F5609">
        <v>96.26</v>
      </c>
    </row>
    <row r="5610" spans="1:6" x14ac:dyDescent="0.25">
      <c r="A5610" t="s">
        <v>2224</v>
      </c>
      <c r="B5610" t="s">
        <v>41</v>
      </c>
      <c r="C5610" t="s">
        <v>311</v>
      </c>
      <c r="D5610" t="s">
        <v>3218</v>
      </c>
      <c r="E5610">
        <v>9.07</v>
      </c>
      <c r="F5610">
        <v>96.58</v>
      </c>
    </row>
    <row r="5611" spans="1:6" x14ac:dyDescent="0.25">
      <c r="A5611" t="s">
        <v>2224</v>
      </c>
      <c r="B5611" t="s">
        <v>41</v>
      </c>
      <c r="C5611" t="s">
        <v>311</v>
      </c>
      <c r="D5611" t="s">
        <v>3219</v>
      </c>
      <c r="E5611">
        <v>23.71</v>
      </c>
      <c r="F5611">
        <v>96.73</v>
      </c>
    </row>
    <row r="5612" spans="1:6" x14ac:dyDescent="0.25">
      <c r="A5612" t="s">
        <v>2225</v>
      </c>
      <c r="B5612" t="s">
        <v>41</v>
      </c>
      <c r="C5612" t="s">
        <v>312</v>
      </c>
      <c r="D5612" t="s">
        <v>3217</v>
      </c>
      <c r="E5612">
        <v>0</v>
      </c>
      <c r="F5612">
        <v>96.21</v>
      </c>
    </row>
    <row r="5613" spans="1:6" x14ac:dyDescent="0.25">
      <c r="A5613" t="s">
        <v>2225</v>
      </c>
      <c r="B5613" t="s">
        <v>41</v>
      </c>
      <c r="C5613" t="s">
        <v>312</v>
      </c>
      <c r="D5613" t="s">
        <v>3218</v>
      </c>
      <c r="E5613">
        <v>10.57</v>
      </c>
      <c r="F5613">
        <v>96.59</v>
      </c>
    </row>
    <row r="5614" spans="1:6" x14ac:dyDescent="0.25">
      <c r="A5614" t="s">
        <v>2225</v>
      </c>
      <c r="B5614" t="s">
        <v>41</v>
      </c>
      <c r="C5614" t="s">
        <v>312</v>
      </c>
      <c r="D5614" t="s">
        <v>3219</v>
      </c>
      <c r="E5614">
        <v>25.13</v>
      </c>
      <c r="F5614">
        <v>96.78</v>
      </c>
    </row>
    <row r="5615" spans="1:6" x14ac:dyDescent="0.25">
      <c r="A5615" t="s">
        <v>2226</v>
      </c>
      <c r="B5615" t="s">
        <v>41</v>
      </c>
      <c r="C5615" t="s">
        <v>313</v>
      </c>
      <c r="D5615" t="s">
        <v>3217</v>
      </c>
      <c r="E5615">
        <v>0</v>
      </c>
      <c r="F5615">
        <v>96.36</v>
      </c>
    </row>
    <row r="5616" spans="1:6" x14ac:dyDescent="0.25">
      <c r="A5616" t="s">
        <v>2226</v>
      </c>
      <c r="B5616" t="s">
        <v>41</v>
      </c>
      <c r="C5616" t="s">
        <v>313</v>
      </c>
      <c r="D5616" t="s">
        <v>3218</v>
      </c>
      <c r="E5616">
        <v>8.8000000000000007</v>
      </c>
      <c r="F5616">
        <v>96.73</v>
      </c>
    </row>
    <row r="5617" spans="1:6" x14ac:dyDescent="0.25">
      <c r="A5617" t="s">
        <v>2226</v>
      </c>
      <c r="B5617" t="s">
        <v>41</v>
      </c>
      <c r="C5617" t="s">
        <v>313</v>
      </c>
      <c r="D5617" t="s">
        <v>3219</v>
      </c>
      <c r="E5617">
        <v>23.11</v>
      </c>
      <c r="F5617">
        <v>96.83</v>
      </c>
    </row>
    <row r="5618" spans="1:6" x14ac:dyDescent="0.25">
      <c r="A5618" t="s">
        <v>2227</v>
      </c>
      <c r="B5618" t="s">
        <v>41</v>
      </c>
      <c r="C5618" t="s">
        <v>314</v>
      </c>
      <c r="D5618" t="s">
        <v>3217</v>
      </c>
      <c r="E5618">
        <v>0</v>
      </c>
      <c r="F5618">
        <v>96.49</v>
      </c>
    </row>
    <row r="5619" spans="1:6" x14ac:dyDescent="0.25">
      <c r="A5619" t="s">
        <v>2227</v>
      </c>
      <c r="B5619" t="s">
        <v>41</v>
      </c>
      <c r="C5619" t="s">
        <v>314</v>
      </c>
      <c r="D5619" t="s">
        <v>3218</v>
      </c>
      <c r="E5619">
        <v>9.69</v>
      </c>
      <c r="F5619">
        <v>96.85</v>
      </c>
    </row>
    <row r="5620" spans="1:6" x14ac:dyDescent="0.25">
      <c r="A5620" t="s">
        <v>2227</v>
      </c>
      <c r="B5620" t="s">
        <v>41</v>
      </c>
      <c r="C5620" t="s">
        <v>314</v>
      </c>
      <c r="D5620" t="s">
        <v>3219</v>
      </c>
      <c r="E5620">
        <v>25.35</v>
      </c>
      <c r="F5620">
        <v>96.93</v>
      </c>
    </row>
    <row r="5621" spans="1:6" x14ac:dyDescent="0.25">
      <c r="A5621" t="s">
        <v>2228</v>
      </c>
      <c r="B5621" t="s">
        <v>41</v>
      </c>
      <c r="C5621" t="s">
        <v>315</v>
      </c>
      <c r="D5621" t="s">
        <v>3217</v>
      </c>
      <c r="E5621">
        <v>0</v>
      </c>
      <c r="F5621">
        <v>96.73</v>
      </c>
    </row>
    <row r="5622" spans="1:6" x14ac:dyDescent="0.25">
      <c r="A5622" t="s">
        <v>2228</v>
      </c>
      <c r="B5622" t="s">
        <v>41</v>
      </c>
      <c r="C5622" t="s">
        <v>315</v>
      </c>
      <c r="D5622" t="s">
        <v>3218</v>
      </c>
      <c r="E5622">
        <v>8.8000000000000007</v>
      </c>
      <c r="F5622">
        <v>97.05</v>
      </c>
    </row>
    <row r="5623" spans="1:6" x14ac:dyDescent="0.25">
      <c r="A5623" t="s">
        <v>2228</v>
      </c>
      <c r="B5623" t="s">
        <v>41</v>
      </c>
      <c r="C5623" t="s">
        <v>315</v>
      </c>
      <c r="D5623" t="s">
        <v>3219</v>
      </c>
      <c r="E5623">
        <v>24.67</v>
      </c>
      <c r="F5623">
        <v>97.32</v>
      </c>
    </row>
    <row r="5624" spans="1:6" x14ac:dyDescent="0.25">
      <c r="A5624" t="s">
        <v>2229</v>
      </c>
      <c r="B5624" t="s">
        <v>41</v>
      </c>
      <c r="C5624" t="s">
        <v>316</v>
      </c>
      <c r="D5624" t="s">
        <v>3217</v>
      </c>
      <c r="E5624">
        <v>0</v>
      </c>
      <c r="F5624">
        <v>97.24</v>
      </c>
    </row>
    <row r="5625" spans="1:6" x14ac:dyDescent="0.25">
      <c r="A5625" t="s">
        <v>2229</v>
      </c>
      <c r="B5625" t="s">
        <v>41</v>
      </c>
      <c r="C5625" t="s">
        <v>316</v>
      </c>
      <c r="D5625" t="s">
        <v>3218</v>
      </c>
      <c r="E5625">
        <v>8.7100000000000009</v>
      </c>
      <c r="F5625">
        <v>97.41</v>
      </c>
    </row>
    <row r="5626" spans="1:6" x14ac:dyDescent="0.25">
      <c r="A5626" t="s">
        <v>2229</v>
      </c>
      <c r="B5626" t="s">
        <v>41</v>
      </c>
      <c r="C5626" t="s">
        <v>316</v>
      </c>
      <c r="D5626" t="s">
        <v>3219</v>
      </c>
      <c r="E5626">
        <v>24.37</v>
      </c>
      <c r="F5626">
        <v>97.52</v>
      </c>
    </row>
    <row r="5627" spans="1:6" x14ac:dyDescent="0.25">
      <c r="A5627" t="s">
        <v>2230</v>
      </c>
      <c r="B5627" t="s">
        <v>41</v>
      </c>
      <c r="C5627" t="s">
        <v>317</v>
      </c>
      <c r="D5627" t="s">
        <v>3217</v>
      </c>
      <c r="E5627">
        <v>0</v>
      </c>
      <c r="F5627">
        <v>97.57</v>
      </c>
    </row>
    <row r="5628" spans="1:6" x14ac:dyDescent="0.25">
      <c r="A5628" t="s">
        <v>2230</v>
      </c>
      <c r="B5628" t="s">
        <v>41</v>
      </c>
      <c r="C5628" t="s">
        <v>317</v>
      </c>
      <c r="D5628" t="s">
        <v>3218</v>
      </c>
      <c r="E5628">
        <v>8.09</v>
      </c>
      <c r="F5628">
        <v>97.75</v>
      </c>
    </row>
    <row r="5629" spans="1:6" x14ac:dyDescent="0.25">
      <c r="A5629" t="s">
        <v>2230</v>
      </c>
      <c r="B5629" t="s">
        <v>41</v>
      </c>
      <c r="C5629" t="s">
        <v>317</v>
      </c>
      <c r="D5629" t="s">
        <v>3219</v>
      </c>
      <c r="E5629">
        <v>23.35</v>
      </c>
      <c r="F5629">
        <v>97.81</v>
      </c>
    </row>
    <row r="5630" spans="1:6" x14ac:dyDescent="0.25">
      <c r="A5630" t="s">
        <v>2231</v>
      </c>
      <c r="B5630" t="s">
        <v>41</v>
      </c>
      <c r="C5630" t="s">
        <v>318</v>
      </c>
      <c r="D5630" t="s">
        <v>3217</v>
      </c>
      <c r="E5630">
        <v>0</v>
      </c>
      <c r="F5630">
        <v>97.79</v>
      </c>
    </row>
    <row r="5631" spans="1:6" x14ac:dyDescent="0.25">
      <c r="A5631" t="s">
        <v>2231</v>
      </c>
      <c r="B5631" t="s">
        <v>41</v>
      </c>
      <c r="C5631" t="s">
        <v>318</v>
      </c>
      <c r="D5631" t="s">
        <v>3218</v>
      </c>
      <c r="E5631">
        <v>8.64</v>
      </c>
      <c r="F5631">
        <v>97.96</v>
      </c>
    </row>
    <row r="5632" spans="1:6" x14ac:dyDescent="0.25">
      <c r="A5632" t="s">
        <v>2231</v>
      </c>
      <c r="B5632" t="s">
        <v>41</v>
      </c>
      <c r="C5632" t="s">
        <v>318</v>
      </c>
      <c r="D5632" t="s">
        <v>3219</v>
      </c>
      <c r="E5632">
        <v>23.16</v>
      </c>
      <c r="F5632">
        <v>98.08</v>
      </c>
    </row>
    <row r="5633" spans="1:6" x14ac:dyDescent="0.25">
      <c r="A5633" t="s">
        <v>2232</v>
      </c>
      <c r="B5633" t="s">
        <v>41</v>
      </c>
      <c r="C5633" t="s">
        <v>319</v>
      </c>
      <c r="D5633" t="s">
        <v>3217</v>
      </c>
      <c r="E5633">
        <v>0</v>
      </c>
      <c r="F5633">
        <v>97.98</v>
      </c>
    </row>
    <row r="5634" spans="1:6" x14ac:dyDescent="0.25">
      <c r="A5634" t="s">
        <v>2232</v>
      </c>
      <c r="B5634" t="s">
        <v>41</v>
      </c>
      <c r="C5634" t="s">
        <v>319</v>
      </c>
      <c r="D5634" t="s">
        <v>3218</v>
      </c>
      <c r="E5634">
        <v>9.42</v>
      </c>
      <c r="F5634">
        <v>98.18</v>
      </c>
    </row>
    <row r="5635" spans="1:6" x14ac:dyDescent="0.25">
      <c r="A5635" t="s">
        <v>2232</v>
      </c>
      <c r="B5635" t="s">
        <v>41</v>
      </c>
      <c r="C5635" t="s">
        <v>319</v>
      </c>
      <c r="D5635" t="s">
        <v>3219</v>
      </c>
      <c r="E5635">
        <v>24.59</v>
      </c>
      <c r="F5635">
        <v>98.25</v>
      </c>
    </row>
    <row r="5636" spans="1:6" x14ac:dyDescent="0.25">
      <c r="A5636" t="s">
        <v>2233</v>
      </c>
      <c r="B5636" t="s">
        <v>41</v>
      </c>
      <c r="C5636" t="s">
        <v>320</v>
      </c>
      <c r="D5636" t="s">
        <v>3217</v>
      </c>
      <c r="E5636">
        <v>0</v>
      </c>
      <c r="F5636">
        <v>98.11</v>
      </c>
    </row>
    <row r="5637" spans="1:6" x14ac:dyDescent="0.25">
      <c r="A5637" t="s">
        <v>2233</v>
      </c>
      <c r="B5637" t="s">
        <v>41</v>
      </c>
      <c r="C5637" t="s">
        <v>320</v>
      </c>
      <c r="D5637" t="s">
        <v>3218</v>
      </c>
      <c r="E5637">
        <v>10.43</v>
      </c>
      <c r="F5637">
        <v>98.27</v>
      </c>
    </row>
    <row r="5638" spans="1:6" x14ac:dyDescent="0.25">
      <c r="A5638" t="s">
        <v>2233</v>
      </c>
      <c r="B5638" t="s">
        <v>41</v>
      </c>
      <c r="C5638" t="s">
        <v>320</v>
      </c>
      <c r="D5638" t="s">
        <v>3219</v>
      </c>
      <c r="E5638">
        <v>26.22</v>
      </c>
      <c r="F5638">
        <v>98.46</v>
      </c>
    </row>
    <row r="5639" spans="1:6" x14ac:dyDescent="0.25">
      <c r="A5639" t="s">
        <v>2234</v>
      </c>
      <c r="B5639" t="s">
        <v>41</v>
      </c>
      <c r="C5639" t="s">
        <v>321</v>
      </c>
      <c r="D5639" t="s">
        <v>3217</v>
      </c>
      <c r="E5639">
        <v>0</v>
      </c>
      <c r="F5639">
        <v>98.27</v>
      </c>
    </row>
    <row r="5640" spans="1:6" x14ac:dyDescent="0.25">
      <c r="A5640" t="s">
        <v>2234</v>
      </c>
      <c r="B5640" t="s">
        <v>41</v>
      </c>
      <c r="C5640" t="s">
        <v>321</v>
      </c>
      <c r="D5640" t="s">
        <v>3218</v>
      </c>
      <c r="E5640">
        <v>12.32</v>
      </c>
      <c r="F5640">
        <v>98.4</v>
      </c>
    </row>
    <row r="5641" spans="1:6" x14ac:dyDescent="0.25">
      <c r="A5641" t="s">
        <v>2234</v>
      </c>
      <c r="B5641" t="s">
        <v>41</v>
      </c>
      <c r="C5641" t="s">
        <v>321</v>
      </c>
      <c r="D5641" t="s">
        <v>3219</v>
      </c>
      <c r="E5641">
        <v>29.1</v>
      </c>
      <c r="F5641">
        <v>98.55</v>
      </c>
    </row>
    <row r="5642" spans="1:6" x14ac:dyDescent="0.25">
      <c r="A5642" t="s">
        <v>2235</v>
      </c>
      <c r="B5642" t="s">
        <v>41</v>
      </c>
      <c r="C5642" t="s">
        <v>322</v>
      </c>
      <c r="D5642" t="s">
        <v>3217</v>
      </c>
      <c r="E5642">
        <v>0</v>
      </c>
      <c r="F5642">
        <v>98.47</v>
      </c>
    </row>
    <row r="5643" spans="1:6" x14ac:dyDescent="0.25">
      <c r="A5643" t="s">
        <v>2235</v>
      </c>
      <c r="B5643" t="s">
        <v>41</v>
      </c>
      <c r="C5643" t="s">
        <v>322</v>
      </c>
      <c r="D5643" t="s">
        <v>3218</v>
      </c>
      <c r="E5643">
        <v>13.24</v>
      </c>
      <c r="F5643">
        <v>98.53</v>
      </c>
    </row>
    <row r="5644" spans="1:6" x14ac:dyDescent="0.25">
      <c r="A5644" t="s">
        <v>2235</v>
      </c>
      <c r="B5644" t="s">
        <v>41</v>
      </c>
      <c r="C5644" t="s">
        <v>322</v>
      </c>
      <c r="D5644" t="s">
        <v>3219</v>
      </c>
      <c r="E5644">
        <v>30.42</v>
      </c>
      <c r="F5644">
        <v>98.67</v>
      </c>
    </row>
    <row r="5645" spans="1:6" x14ac:dyDescent="0.25">
      <c r="A5645" t="s">
        <v>2236</v>
      </c>
      <c r="B5645" t="s">
        <v>41</v>
      </c>
      <c r="C5645" t="s">
        <v>323</v>
      </c>
      <c r="D5645" t="s">
        <v>3217</v>
      </c>
      <c r="E5645">
        <v>0</v>
      </c>
      <c r="F5645">
        <v>98.56</v>
      </c>
    </row>
    <row r="5646" spans="1:6" x14ac:dyDescent="0.25">
      <c r="A5646" t="s">
        <v>2236</v>
      </c>
      <c r="B5646" t="s">
        <v>41</v>
      </c>
      <c r="C5646" t="s">
        <v>323</v>
      </c>
      <c r="D5646" t="s">
        <v>3218</v>
      </c>
      <c r="E5646">
        <v>12.76</v>
      </c>
      <c r="F5646">
        <v>98.61</v>
      </c>
    </row>
    <row r="5647" spans="1:6" x14ac:dyDescent="0.25">
      <c r="A5647" t="s">
        <v>2236</v>
      </c>
      <c r="B5647" t="s">
        <v>41</v>
      </c>
      <c r="C5647" t="s">
        <v>323</v>
      </c>
      <c r="D5647" t="s">
        <v>3219</v>
      </c>
      <c r="E5647">
        <v>29.33</v>
      </c>
      <c r="F5647">
        <v>98.72</v>
      </c>
    </row>
    <row r="5648" spans="1:6" x14ac:dyDescent="0.25">
      <c r="A5648" t="s">
        <v>2237</v>
      </c>
      <c r="B5648" t="s">
        <v>42</v>
      </c>
      <c r="C5648" t="s">
        <v>56</v>
      </c>
      <c r="D5648" t="s">
        <v>3217</v>
      </c>
      <c r="E5648">
        <v>0</v>
      </c>
      <c r="F5648">
        <v>43.63</v>
      </c>
    </row>
    <row r="5649" spans="1:6" x14ac:dyDescent="0.25">
      <c r="A5649" t="s">
        <v>2237</v>
      </c>
      <c r="B5649" t="s">
        <v>42</v>
      </c>
      <c r="C5649" t="s">
        <v>56</v>
      </c>
      <c r="D5649" t="s">
        <v>3218</v>
      </c>
      <c r="E5649">
        <v>20</v>
      </c>
      <c r="F5649">
        <v>42.96</v>
      </c>
    </row>
    <row r="5650" spans="1:6" x14ac:dyDescent="0.25">
      <c r="A5650" t="s">
        <v>2237</v>
      </c>
      <c r="B5650" t="s">
        <v>42</v>
      </c>
      <c r="C5650" t="s">
        <v>56</v>
      </c>
      <c r="D5650" t="s">
        <v>3219</v>
      </c>
      <c r="E5650">
        <v>40</v>
      </c>
      <c r="F5650">
        <v>42.14</v>
      </c>
    </row>
    <row r="5651" spans="1:6" x14ac:dyDescent="0.25">
      <c r="A5651" t="s">
        <v>2238</v>
      </c>
      <c r="B5651" t="s">
        <v>42</v>
      </c>
      <c r="C5651" t="s">
        <v>57</v>
      </c>
      <c r="D5651" t="s">
        <v>3217</v>
      </c>
      <c r="E5651">
        <v>0</v>
      </c>
      <c r="F5651">
        <v>43.48</v>
      </c>
    </row>
    <row r="5652" spans="1:6" x14ac:dyDescent="0.25">
      <c r="A5652" t="s">
        <v>2238</v>
      </c>
      <c r="B5652" t="s">
        <v>42</v>
      </c>
      <c r="C5652" t="s">
        <v>57</v>
      </c>
      <c r="D5652" t="s">
        <v>3218</v>
      </c>
      <c r="E5652">
        <v>20</v>
      </c>
      <c r="F5652">
        <v>42.77</v>
      </c>
    </row>
    <row r="5653" spans="1:6" x14ac:dyDescent="0.25">
      <c r="A5653" t="s">
        <v>2238</v>
      </c>
      <c r="B5653" t="s">
        <v>42</v>
      </c>
      <c r="C5653" t="s">
        <v>57</v>
      </c>
      <c r="D5653" t="s">
        <v>3219</v>
      </c>
      <c r="E5653">
        <v>40</v>
      </c>
      <c r="F5653">
        <v>42.12</v>
      </c>
    </row>
    <row r="5654" spans="1:6" x14ac:dyDescent="0.25">
      <c r="A5654" t="s">
        <v>2239</v>
      </c>
      <c r="B5654" t="s">
        <v>42</v>
      </c>
      <c r="C5654" t="s">
        <v>58</v>
      </c>
      <c r="D5654" t="s">
        <v>3217</v>
      </c>
      <c r="E5654">
        <v>0</v>
      </c>
      <c r="F5654">
        <v>43.15</v>
      </c>
    </row>
    <row r="5655" spans="1:6" x14ac:dyDescent="0.25">
      <c r="A5655" t="s">
        <v>2239</v>
      </c>
      <c r="B5655" t="s">
        <v>42</v>
      </c>
      <c r="C5655" t="s">
        <v>58</v>
      </c>
      <c r="D5655" t="s">
        <v>3218</v>
      </c>
      <c r="E5655">
        <v>20</v>
      </c>
      <c r="F5655">
        <v>42.77</v>
      </c>
    </row>
    <row r="5656" spans="1:6" x14ac:dyDescent="0.25">
      <c r="A5656" t="s">
        <v>2239</v>
      </c>
      <c r="B5656" t="s">
        <v>42</v>
      </c>
      <c r="C5656" t="s">
        <v>58</v>
      </c>
      <c r="D5656" t="s">
        <v>3219</v>
      </c>
      <c r="E5656">
        <v>40</v>
      </c>
      <c r="F5656">
        <v>42.37</v>
      </c>
    </row>
    <row r="5657" spans="1:6" x14ac:dyDescent="0.25">
      <c r="A5657" t="s">
        <v>2240</v>
      </c>
      <c r="B5657" t="s">
        <v>42</v>
      </c>
      <c r="C5657" t="s">
        <v>59</v>
      </c>
      <c r="D5657" t="s">
        <v>3217</v>
      </c>
      <c r="E5657">
        <v>0</v>
      </c>
      <c r="F5657">
        <v>43.37</v>
      </c>
    </row>
    <row r="5658" spans="1:6" x14ac:dyDescent="0.25">
      <c r="A5658" t="s">
        <v>2240</v>
      </c>
      <c r="B5658" t="s">
        <v>42</v>
      </c>
      <c r="C5658" t="s">
        <v>59</v>
      </c>
      <c r="D5658" t="s">
        <v>3218</v>
      </c>
      <c r="E5658">
        <v>20</v>
      </c>
      <c r="F5658">
        <v>42.93</v>
      </c>
    </row>
    <row r="5659" spans="1:6" x14ac:dyDescent="0.25">
      <c r="A5659" t="s">
        <v>2240</v>
      </c>
      <c r="B5659" t="s">
        <v>42</v>
      </c>
      <c r="C5659" t="s">
        <v>59</v>
      </c>
      <c r="D5659" t="s">
        <v>3219</v>
      </c>
      <c r="E5659">
        <v>38.520000000000003</v>
      </c>
      <c r="F5659">
        <v>42.59</v>
      </c>
    </row>
    <row r="5660" spans="1:6" x14ac:dyDescent="0.25">
      <c r="A5660" t="s">
        <v>2241</v>
      </c>
      <c r="B5660" t="s">
        <v>42</v>
      </c>
      <c r="C5660" t="s">
        <v>60</v>
      </c>
      <c r="D5660" t="s">
        <v>3217</v>
      </c>
      <c r="E5660">
        <v>0</v>
      </c>
      <c r="F5660">
        <v>43.76</v>
      </c>
    </row>
    <row r="5661" spans="1:6" x14ac:dyDescent="0.25">
      <c r="A5661" t="s">
        <v>2241</v>
      </c>
      <c r="B5661" t="s">
        <v>42</v>
      </c>
      <c r="C5661" t="s">
        <v>60</v>
      </c>
      <c r="D5661" t="s">
        <v>3218</v>
      </c>
      <c r="E5661">
        <v>18.52</v>
      </c>
      <c r="F5661">
        <v>43.34</v>
      </c>
    </row>
    <row r="5662" spans="1:6" x14ac:dyDescent="0.25">
      <c r="A5662" t="s">
        <v>2241</v>
      </c>
      <c r="B5662" t="s">
        <v>42</v>
      </c>
      <c r="C5662" t="s">
        <v>60</v>
      </c>
      <c r="D5662" t="s">
        <v>3219</v>
      </c>
      <c r="E5662">
        <v>36.21</v>
      </c>
      <c r="F5662">
        <v>42.73</v>
      </c>
    </row>
    <row r="5663" spans="1:6" x14ac:dyDescent="0.25">
      <c r="A5663" t="s">
        <v>2242</v>
      </c>
      <c r="B5663" t="s">
        <v>42</v>
      </c>
      <c r="C5663" t="s">
        <v>61</v>
      </c>
      <c r="D5663" t="s">
        <v>3217</v>
      </c>
      <c r="E5663">
        <v>0</v>
      </c>
      <c r="F5663">
        <v>44.15</v>
      </c>
    </row>
    <row r="5664" spans="1:6" x14ac:dyDescent="0.25">
      <c r="A5664" t="s">
        <v>2242</v>
      </c>
      <c r="B5664" t="s">
        <v>42</v>
      </c>
      <c r="C5664" t="s">
        <v>61</v>
      </c>
      <c r="D5664" t="s">
        <v>3218</v>
      </c>
      <c r="E5664">
        <v>18.43</v>
      </c>
      <c r="F5664">
        <v>43.71</v>
      </c>
    </row>
    <row r="5665" spans="1:6" x14ac:dyDescent="0.25">
      <c r="A5665" t="s">
        <v>2242</v>
      </c>
      <c r="B5665" t="s">
        <v>42</v>
      </c>
      <c r="C5665" t="s">
        <v>61</v>
      </c>
      <c r="D5665" t="s">
        <v>3219</v>
      </c>
      <c r="E5665">
        <v>35.270000000000003</v>
      </c>
      <c r="F5665">
        <v>43.44</v>
      </c>
    </row>
    <row r="5666" spans="1:6" x14ac:dyDescent="0.25">
      <c r="A5666" t="s">
        <v>2243</v>
      </c>
      <c r="B5666" t="s">
        <v>42</v>
      </c>
      <c r="C5666" t="s">
        <v>62</v>
      </c>
      <c r="D5666" t="s">
        <v>3217</v>
      </c>
      <c r="E5666">
        <v>0</v>
      </c>
      <c r="F5666">
        <v>44.53</v>
      </c>
    </row>
    <row r="5667" spans="1:6" x14ac:dyDescent="0.25">
      <c r="A5667" t="s">
        <v>2243</v>
      </c>
      <c r="B5667" t="s">
        <v>42</v>
      </c>
      <c r="C5667" t="s">
        <v>62</v>
      </c>
      <c r="D5667" t="s">
        <v>3218</v>
      </c>
      <c r="E5667">
        <v>16.940000000000001</v>
      </c>
      <c r="F5667">
        <v>44.3</v>
      </c>
    </row>
    <row r="5668" spans="1:6" x14ac:dyDescent="0.25">
      <c r="A5668" t="s">
        <v>2243</v>
      </c>
      <c r="B5668" t="s">
        <v>42</v>
      </c>
      <c r="C5668" t="s">
        <v>62</v>
      </c>
      <c r="D5668" t="s">
        <v>3219</v>
      </c>
      <c r="E5668">
        <v>34.39</v>
      </c>
      <c r="F5668">
        <v>44.45</v>
      </c>
    </row>
    <row r="5669" spans="1:6" x14ac:dyDescent="0.25">
      <c r="A5669" t="s">
        <v>2244</v>
      </c>
      <c r="B5669" t="s">
        <v>42</v>
      </c>
      <c r="C5669" t="s">
        <v>63</v>
      </c>
      <c r="D5669" t="s">
        <v>3217</v>
      </c>
      <c r="E5669">
        <v>0</v>
      </c>
      <c r="F5669">
        <v>45.27</v>
      </c>
    </row>
    <row r="5670" spans="1:6" x14ac:dyDescent="0.25">
      <c r="A5670" t="s">
        <v>2244</v>
      </c>
      <c r="B5670" t="s">
        <v>42</v>
      </c>
      <c r="C5670" t="s">
        <v>63</v>
      </c>
      <c r="D5670" t="s">
        <v>3218</v>
      </c>
      <c r="E5670">
        <v>16.739999999999998</v>
      </c>
      <c r="F5670">
        <v>45.08</v>
      </c>
    </row>
    <row r="5671" spans="1:6" x14ac:dyDescent="0.25">
      <c r="A5671" t="s">
        <v>2244</v>
      </c>
      <c r="B5671" t="s">
        <v>42</v>
      </c>
      <c r="C5671" t="s">
        <v>63</v>
      </c>
      <c r="D5671" t="s">
        <v>3219</v>
      </c>
      <c r="E5671">
        <v>34.72</v>
      </c>
      <c r="F5671">
        <v>45.32</v>
      </c>
    </row>
    <row r="5672" spans="1:6" x14ac:dyDescent="0.25">
      <c r="A5672" t="s">
        <v>2245</v>
      </c>
      <c r="B5672" t="s">
        <v>42</v>
      </c>
      <c r="C5672" t="s">
        <v>64</v>
      </c>
      <c r="D5672" t="s">
        <v>3217</v>
      </c>
      <c r="E5672">
        <v>0</v>
      </c>
      <c r="F5672">
        <v>46.09</v>
      </c>
    </row>
    <row r="5673" spans="1:6" x14ac:dyDescent="0.25">
      <c r="A5673" t="s">
        <v>2245</v>
      </c>
      <c r="B5673" t="s">
        <v>42</v>
      </c>
      <c r="C5673" t="s">
        <v>64</v>
      </c>
      <c r="D5673" t="s">
        <v>3218</v>
      </c>
      <c r="E5673">
        <v>16.43</v>
      </c>
      <c r="F5673">
        <v>46.02</v>
      </c>
    </row>
    <row r="5674" spans="1:6" x14ac:dyDescent="0.25">
      <c r="A5674" t="s">
        <v>2245</v>
      </c>
      <c r="B5674" t="s">
        <v>42</v>
      </c>
      <c r="C5674" t="s">
        <v>64</v>
      </c>
      <c r="D5674" t="s">
        <v>3219</v>
      </c>
      <c r="E5674">
        <v>33.43</v>
      </c>
      <c r="F5674">
        <v>46.23</v>
      </c>
    </row>
    <row r="5675" spans="1:6" x14ac:dyDescent="0.25">
      <c r="A5675" t="s">
        <v>2246</v>
      </c>
      <c r="B5675" t="s">
        <v>42</v>
      </c>
      <c r="C5675" t="s">
        <v>65</v>
      </c>
      <c r="D5675" t="s">
        <v>3217</v>
      </c>
      <c r="E5675">
        <v>0</v>
      </c>
      <c r="F5675">
        <v>47.12</v>
      </c>
    </row>
    <row r="5676" spans="1:6" x14ac:dyDescent="0.25">
      <c r="A5676" t="s">
        <v>2246</v>
      </c>
      <c r="B5676" t="s">
        <v>42</v>
      </c>
      <c r="C5676" t="s">
        <v>65</v>
      </c>
      <c r="D5676" t="s">
        <v>3218</v>
      </c>
      <c r="E5676">
        <v>16.43</v>
      </c>
      <c r="F5676">
        <v>47.1</v>
      </c>
    </row>
    <row r="5677" spans="1:6" x14ac:dyDescent="0.25">
      <c r="A5677" t="s">
        <v>2246</v>
      </c>
      <c r="B5677" t="s">
        <v>42</v>
      </c>
      <c r="C5677" t="s">
        <v>65</v>
      </c>
      <c r="D5677" t="s">
        <v>3219</v>
      </c>
      <c r="E5677">
        <v>35</v>
      </c>
      <c r="F5677">
        <v>47.4</v>
      </c>
    </row>
    <row r="5678" spans="1:6" x14ac:dyDescent="0.25">
      <c r="A5678" t="s">
        <v>2247</v>
      </c>
      <c r="B5678" t="s">
        <v>42</v>
      </c>
      <c r="C5678" t="s">
        <v>66</v>
      </c>
      <c r="D5678" t="s">
        <v>3217</v>
      </c>
      <c r="E5678">
        <v>0</v>
      </c>
      <c r="F5678">
        <v>48.27</v>
      </c>
    </row>
    <row r="5679" spans="1:6" x14ac:dyDescent="0.25">
      <c r="A5679" t="s">
        <v>2247</v>
      </c>
      <c r="B5679" t="s">
        <v>42</v>
      </c>
      <c r="C5679" t="s">
        <v>66</v>
      </c>
      <c r="D5679" t="s">
        <v>3218</v>
      </c>
      <c r="E5679">
        <v>15.09</v>
      </c>
      <c r="F5679">
        <v>48.35</v>
      </c>
    </row>
    <row r="5680" spans="1:6" x14ac:dyDescent="0.25">
      <c r="A5680" t="s">
        <v>2247</v>
      </c>
      <c r="B5680" t="s">
        <v>42</v>
      </c>
      <c r="C5680" t="s">
        <v>66</v>
      </c>
      <c r="D5680" t="s">
        <v>3219</v>
      </c>
      <c r="E5680">
        <v>35.090000000000003</v>
      </c>
      <c r="F5680">
        <v>48.56</v>
      </c>
    </row>
    <row r="5681" spans="1:6" x14ac:dyDescent="0.25">
      <c r="A5681" t="s">
        <v>2248</v>
      </c>
      <c r="B5681" t="s">
        <v>42</v>
      </c>
      <c r="C5681" t="s">
        <v>67</v>
      </c>
      <c r="D5681" t="s">
        <v>3217</v>
      </c>
      <c r="E5681">
        <v>0</v>
      </c>
      <c r="F5681">
        <v>49.98</v>
      </c>
    </row>
    <row r="5682" spans="1:6" x14ac:dyDescent="0.25">
      <c r="A5682" t="s">
        <v>2248</v>
      </c>
      <c r="B5682" t="s">
        <v>42</v>
      </c>
      <c r="C5682" t="s">
        <v>67</v>
      </c>
      <c r="D5682" t="s">
        <v>3218</v>
      </c>
      <c r="E5682">
        <v>14.83</v>
      </c>
      <c r="F5682">
        <v>49.48</v>
      </c>
    </row>
    <row r="5683" spans="1:6" x14ac:dyDescent="0.25">
      <c r="A5683" t="s">
        <v>2248</v>
      </c>
      <c r="B5683" t="s">
        <v>42</v>
      </c>
      <c r="C5683" t="s">
        <v>67</v>
      </c>
      <c r="D5683" t="s">
        <v>3219</v>
      </c>
      <c r="E5683">
        <v>34.83</v>
      </c>
      <c r="F5683">
        <v>49.3</v>
      </c>
    </row>
    <row r="5684" spans="1:6" x14ac:dyDescent="0.25">
      <c r="A5684" t="s">
        <v>2249</v>
      </c>
      <c r="B5684" t="s">
        <v>42</v>
      </c>
      <c r="C5684" t="s">
        <v>68</v>
      </c>
      <c r="D5684" t="s">
        <v>3217</v>
      </c>
      <c r="E5684">
        <v>0</v>
      </c>
      <c r="F5684">
        <v>50.5</v>
      </c>
    </row>
    <row r="5685" spans="1:6" x14ac:dyDescent="0.25">
      <c r="A5685" t="s">
        <v>2249</v>
      </c>
      <c r="B5685" t="s">
        <v>42</v>
      </c>
      <c r="C5685" t="s">
        <v>68</v>
      </c>
      <c r="D5685" t="s">
        <v>3218</v>
      </c>
      <c r="E5685">
        <v>14.54</v>
      </c>
      <c r="F5685">
        <v>50.4</v>
      </c>
    </row>
    <row r="5686" spans="1:6" x14ac:dyDescent="0.25">
      <c r="A5686" t="s">
        <v>2249</v>
      </c>
      <c r="B5686" t="s">
        <v>42</v>
      </c>
      <c r="C5686" t="s">
        <v>68</v>
      </c>
      <c r="D5686" t="s">
        <v>3219</v>
      </c>
      <c r="E5686">
        <v>29.59</v>
      </c>
      <c r="F5686">
        <v>49.84</v>
      </c>
    </row>
    <row r="5687" spans="1:6" x14ac:dyDescent="0.25">
      <c r="A5687" t="s">
        <v>2250</v>
      </c>
      <c r="B5687" t="s">
        <v>42</v>
      </c>
      <c r="C5687" t="s">
        <v>69</v>
      </c>
      <c r="D5687" t="s">
        <v>3217</v>
      </c>
      <c r="E5687">
        <v>0</v>
      </c>
      <c r="F5687">
        <v>51.14</v>
      </c>
    </row>
    <row r="5688" spans="1:6" x14ac:dyDescent="0.25">
      <c r="A5688" t="s">
        <v>2250</v>
      </c>
      <c r="B5688" t="s">
        <v>42</v>
      </c>
      <c r="C5688" t="s">
        <v>69</v>
      </c>
      <c r="D5688" t="s">
        <v>3218</v>
      </c>
      <c r="E5688">
        <v>14.83</v>
      </c>
      <c r="F5688">
        <v>50.79</v>
      </c>
    </row>
    <row r="5689" spans="1:6" x14ac:dyDescent="0.25">
      <c r="A5689" t="s">
        <v>2250</v>
      </c>
      <c r="B5689" t="s">
        <v>42</v>
      </c>
      <c r="C5689" t="s">
        <v>69</v>
      </c>
      <c r="D5689" t="s">
        <v>3219</v>
      </c>
      <c r="E5689">
        <v>28.04</v>
      </c>
      <c r="F5689">
        <v>50.6</v>
      </c>
    </row>
    <row r="5690" spans="1:6" x14ac:dyDescent="0.25">
      <c r="A5690" t="s">
        <v>2251</v>
      </c>
      <c r="B5690" t="s">
        <v>42</v>
      </c>
      <c r="C5690" t="s">
        <v>70</v>
      </c>
      <c r="D5690" t="s">
        <v>3217</v>
      </c>
      <c r="E5690">
        <v>0</v>
      </c>
      <c r="F5690">
        <v>51.49</v>
      </c>
    </row>
    <row r="5691" spans="1:6" x14ac:dyDescent="0.25">
      <c r="A5691" t="s">
        <v>2251</v>
      </c>
      <c r="B5691" t="s">
        <v>42</v>
      </c>
      <c r="C5691" t="s">
        <v>70</v>
      </c>
      <c r="D5691" t="s">
        <v>3218</v>
      </c>
      <c r="E5691">
        <v>14.54</v>
      </c>
      <c r="F5691">
        <v>51.4</v>
      </c>
    </row>
    <row r="5692" spans="1:6" x14ac:dyDescent="0.25">
      <c r="A5692" t="s">
        <v>2251</v>
      </c>
      <c r="B5692" t="s">
        <v>42</v>
      </c>
      <c r="C5692" t="s">
        <v>70</v>
      </c>
      <c r="D5692" t="s">
        <v>3219</v>
      </c>
      <c r="E5692">
        <v>27.48</v>
      </c>
      <c r="F5692">
        <v>51.23</v>
      </c>
    </row>
    <row r="5693" spans="1:6" x14ac:dyDescent="0.25">
      <c r="A5693" t="s">
        <v>2252</v>
      </c>
      <c r="B5693" t="s">
        <v>42</v>
      </c>
      <c r="C5693" t="s">
        <v>71</v>
      </c>
      <c r="D5693" t="s">
        <v>3217</v>
      </c>
      <c r="E5693">
        <v>0</v>
      </c>
      <c r="F5693">
        <v>51.85</v>
      </c>
    </row>
    <row r="5694" spans="1:6" x14ac:dyDescent="0.25">
      <c r="A5694" t="s">
        <v>2252</v>
      </c>
      <c r="B5694" t="s">
        <v>42</v>
      </c>
      <c r="C5694" t="s">
        <v>71</v>
      </c>
      <c r="D5694" t="s">
        <v>3218</v>
      </c>
      <c r="E5694">
        <v>13.72</v>
      </c>
      <c r="F5694">
        <v>51.84</v>
      </c>
    </row>
    <row r="5695" spans="1:6" x14ac:dyDescent="0.25">
      <c r="A5695" t="s">
        <v>2252</v>
      </c>
      <c r="B5695" t="s">
        <v>42</v>
      </c>
      <c r="C5695" t="s">
        <v>71</v>
      </c>
      <c r="D5695" t="s">
        <v>3219</v>
      </c>
      <c r="E5695">
        <v>26.49</v>
      </c>
      <c r="F5695">
        <v>51.76</v>
      </c>
    </row>
    <row r="5696" spans="1:6" x14ac:dyDescent="0.25">
      <c r="A5696" t="s">
        <v>2253</v>
      </c>
      <c r="B5696" t="s">
        <v>42</v>
      </c>
      <c r="C5696" t="s">
        <v>72</v>
      </c>
      <c r="D5696" t="s">
        <v>3217</v>
      </c>
      <c r="E5696">
        <v>0</v>
      </c>
      <c r="F5696">
        <v>51.94</v>
      </c>
    </row>
    <row r="5697" spans="1:6" x14ac:dyDescent="0.25">
      <c r="A5697" t="s">
        <v>2253</v>
      </c>
      <c r="B5697" t="s">
        <v>42</v>
      </c>
      <c r="C5697" t="s">
        <v>72</v>
      </c>
      <c r="D5697" t="s">
        <v>3218</v>
      </c>
      <c r="E5697">
        <v>13.47</v>
      </c>
      <c r="F5697">
        <v>52.1</v>
      </c>
    </row>
    <row r="5698" spans="1:6" x14ac:dyDescent="0.25">
      <c r="A5698" t="s">
        <v>2253</v>
      </c>
      <c r="B5698" t="s">
        <v>42</v>
      </c>
      <c r="C5698" t="s">
        <v>72</v>
      </c>
      <c r="D5698" t="s">
        <v>3219</v>
      </c>
      <c r="E5698">
        <v>26.44</v>
      </c>
      <c r="F5698">
        <v>51.89</v>
      </c>
    </row>
    <row r="5699" spans="1:6" x14ac:dyDescent="0.25">
      <c r="A5699" t="s">
        <v>2254</v>
      </c>
      <c r="B5699" t="s">
        <v>42</v>
      </c>
      <c r="C5699" t="s">
        <v>73</v>
      </c>
      <c r="D5699" t="s">
        <v>3217</v>
      </c>
      <c r="E5699">
        <v>0</v>
      </c>
      <c r="F5699">
        <v>52.12</v>
      </c>
    </row>
    <row r="5700" spans="1:6" x14ac:dyDescent="0.25">
      <c r="A5700" t="s">
        <v>2254</v>
      </c>
      <c r="B5700" t="s">
        <v>42</v>
      </c>
      <c r="C5700" t="s">
        <v>73</v>
      </c>
      <c r="D5700" t="s">
        <v>3218</v>
      </c>
      <c r="E5700">
        <v>13.55</v>
      </c>
      <c r="F5700">
        <v>52.12</v>
      </c>
    </row>
    <row r="5701" spans="1:6" x14ac:dyDescent="0.25">
      <c r="A5701" t="s">
        <v>2254</v>
      </c>
      <c r="B5701" t="s">
        <v>42</v>
      </c>
      <c r="C5701" t="s">
        <v>73</v>
      </c>
      <c r="D5701" t="s">
        <v>3219</v>
      </c>
      <c r="E5701">
        <v>28.47</v>
      </c>
      <c r="F5701">
        <v>51.58</v>
      </c>
    </row>
    <row r="5702" spans="1:6" x14ac:dyDescent="0.25">
      <c r="A5702" t="s">
        <v>2255</v>
      </c>
      <c r="B5702" t="s">
        <v>42</v>
      </c>
      <c r="C5702" t="s">
        <v>74</v>
      </c>
      <c r="D5702" t="s">
        <v>3217</v>
      </c>
      <c r="E5702">
        <v>0</v>
      </c>
      <c r="F5702">
        <v>51.89</v>
      </c>
    </row>
    <row r="5703" spans="1:6" x14ac:dyDescent="0.25">
      <c r="A5703" t="s">
        <v>2255</v>
      </c>
      <c r="B5703" t="s">
        <v>42</v>
      </c>
      <c r="C5703" t="s">
        <v>74</v>
      </c>
      <c r="D5703" t="s">
        <v>3218</v>
      </c>
      <c r="E5703">
        <v>13.64</v>
      </c>
      <c r="F5703">
        <v>51.88</v>
      </c>
    </row>
    <row r="5704" spans="1:6" x14ac:dyDescent="0.25">
      <c r="A5704" t="s">
        <v>2255</v>
      </c>
      <c r="B5704" t="s">
        <v>42</v>
      </c>
      <c r="C5704" t="s">
        <v>74</v>
      </c>
      <c r="D5704" t="s">
        <v>3219</v>
      </c>
      <c r="E5704">
        <v>28.67</v>
      </c>
      <c r="F5704">
        <v>51.51</v>
      </c>
    </row>
    <row r="5705" spans="1:6" x14ac:dyDescent="0.25">
      <c r="A5705" t="s">
        <v>2256</v>
      </c>
      <c r="B5705" t="s">
        <v>42</v>
      </c>
      <c r="C5705" t="s">
        <v>75</v>
      </c>
      <c r="D5705" t="s">
        <v>3217</v>
      </c>
      <c r="E5705">
        <v>0</v>
      </c>
      <c r="F5705">
        <v>51.68</v>
      </c>
    </row>
    <row r="5706" spans="1:6" x14ac:dyDescent="0.25">
      <c r="A5706" t="s">
        <v>2256</v>
      </c>
      <c r="B5706" t="s">
        <v>42</v>
      </c>
      <c r="C5706" t="s">
        <v>75</v>
      </c>
      <c r="D5706" t="s">
        <v>3218</v>
      </c>
      <c r="E5706">
        <v>14.34</v>
      </c>
      <c r="F5706">
        <v>51.69</v>
      </c>
    </row>
    <row r="5707" spans="1:6" x14ac:dyDescent="0.25">
      <c r="A5707" t="s">
        <v>2256</v>
      </c>
      <c r="B5707" t="s">
        <v>42</v>
      </c>
      <c r="C5707" t="s">
        <v>75</v>
      </c>
      <c r="D5707" t="s">
        <v>3219</v>
      </c>
      <c r="E5707">
        <v>29.26</v>
      </c>
      <c r="F5707">
        <v>51.35</v>
      </c>
    </row>
    <row r="5708" spans="1:6" x14ac:dyDescent="0.25">
      <c r="A5708" t="s">
        <v>2257</v>
      </c>
      <c r="B5708" t="s">
        <v>42</v>
      </c>
      <c r="C5708" t="s">
        <v>76</v>
      </c>
      <c r="D5708" t="s">
        <v>3217</v>
      </c>
      <c r="E5708">
        <v>0</v>
      </c>
      <c r="F5708">
        <v>51.59</v>
      </c>
    </row>
    <row r="5709" spans="1:6" x14ac:dyDescent="0.25">
      <c r="A5709" t="s">
        <v>2257</v>
      </c>
      <c r="B5709" t="s">
        <v>42</v>
      </c>
      <c r="C5709" t="s">
        <v>76</v>
      </c>
      <c r="D5709" t="s">
        <v>3218</v>
      </c>
      <c r="E5709">
        <v>14.79</v>
      </c>
      <c r="F5709">
        <v>51.68</v>
      </c>
    </row>
    <row r="5710" spans="1:6" x14ac:dyDescent="0.25">
      <c r="A5710" t="s">
        <v>2257</v>
      </c>
      <c r="B5710" t="s">
        <v>42</v>
      </c>
      <c r="C5710" t="s">
        <v>76</v>
      </c>
      <c r="D5710" t="s">
        <v>3219</v>
      </c>
      <c r="E5710">
        <v>29.61</v>
      </c>
      <c r="F5710">
        <v>51.21</v>
      </c>
    </row>
    <row r="5711" spans="1:6" x14ac:dyDescent="0.25">
      <c r="A5711" t="s">
        <v>2258</v>
      </c>
      <c r="B5711" t="s">
        <v>42</v>
      </c>
      <c r="C5711" t="s">
        <v>77</v>
      </c>
      <c r="D5711" t="s">
        <v>3217</v>
      </c>
      <c r="E5711">
        <v>0</v>
      </c>
      <c r="F5711">
        <v>51.5</v>
      </c>
    </row>
    <row r="5712" spans="1:6" x14ac:dyDescent="0.25">
      <c r="A5712" t="s">
        <v>2258</v>
      </c>
      <c r="B5712" t="s">
        <v>42</v>
      </c>
      <c r="C5712" t="s">
        <v>77</v>
      </c>
      <c r="D5712" t="s">
        <v>3218</v>
      </c>
      <c r="E5712">
        <v>13.97</v>
      </c>
      <c r="F5712">
        <v>51.65</v>
      </c>
    </row>
    <row r="5713" spans="1:6" x14ac:dyDescent="0.25">
      <c r="A5713" t="s">
        <v>2258</v>
      </c>
      <c r="B5713" t="s">
        <v>42</v>
      </c>
      <c r="C5713" t="s">
        <v>77</v>
      </c>
      <c r="D5713" t="s">
        <v>3219</v>
      </c>
      <c r="E5713">
        <v>26.61</v>
      </c>
      <c r="F5713">
        <v>51.2</v>
      </c>
    </row>
    <row r="5714" spans="1:6" x14ac:dyDescent="0.25">
      <c r="A5714" t="s">
        <v>2259</v>
      </c>
      <c r="B5714" t="s">
        <v>42</v>
      </c>
      <c r="C5714" t="s">
        <v>78</v>
      </c>
      <c r="D5714" t="s">
        <v>3217</v>
      </c>
      <c r="E5714">
        <v>0</v>
      </c>
      <c r="F5714">
        <v>51.58</v>
      </c>
    </row>
    <row r="5715" spans="1:6" x14ac:dyDescent="0.25">
      <c r="A5715" t="s">
        <v>2259</v>
      </c>
      <c r="B5715" t="s">
        <v>42</v>
      </c>
      <c r="C5715" t="s">
        <v>78</v>
      </c>
      <c r="D5715" t="s">
        <v>3218</v>
      </c>
      <c r="E5715">
        <v>12.4</v>
      </c>
      <c r="F5715">
        <v>51.74</v>
      </c>
    </row>
    <row r="5716" spans="1:6" x14ac:dyDescent="0.25">
      <c r="A5716" t="s">
        <v>2259</v>
      </c>
      <c r="B5716" t="s">
        <v>42</v>
      </c>
      <c r="C5716" t="s">
        <v>78</v>
      </c>
      <c r="D5716" t="s">
        <v>3219</v>
      </c>
      <c r="E5716">
        <v>25.04</v>
      </c>
      <c r="F5716">
        <v>51.34</v>
      </c>
    </row>
    <row r="5717" spans="1:6" x14ac:dyDescent="0.25">
      <c r="A5717" t="s">
        <v>2260</v>
      </c>
      <c r="B5717" t="s">
        <v>42</v>
      </c>
      <c r="C5717" t="s">
        <v>79</v>
      </c>
      <c r="D5717" t="s">
        <v>3217</v>
      </c>
      <c r="E5717">
        <v>0</v>
      </c>
      <c r="F5717">
        <v>51.49</v>
      </c>
    </row>
    <row r="5718" spans="1:6" x14ac:dyDescent="0.25">
      <c r="A5718" t="s">
        <v>2260</v>
      </c>
      <c r="B5718" t="s">
        <v>42</v>
      </c>
      <c r="C5718" t="s">
        <v>79</v>
      </c>
      <c r="D5718" t="s">
        <v>3218</v>
      </c>
      <c r="E5718">
        <v>11.34</v>
      </c>
      <c r="F5718">
        <v>51.97</v>
      </c>
    </row>
    <row r="5719" spans="1:6" x14ac:dyDescent="0.25">
      <c r="A5719" t="s">
        <v>2260</v>
      </c>
      <c r="B5719" t="s">
        <v>42</v>
      </c>
      <c r="C5719" t="s">
        <v>79</v>
      </c>
      <c r="D5719" t="s">
        <v>3219</v>
      </c>
      <c r="E5719">
        <v>22.97</v>
      </c>
      <c r="F5719">
        <v>51.63</v>
      </c>
    </row>
    <row r="5720" spans="1:6" x14ac:dyDescent="0.25">
      <c r="A5720" t="s">
        <v>2261</v>
      </c>
      <c r="B5720" t="s">
        <v>42</v>
      </c>
      <c r="C5720" t="s">
        <v>80</v>
      </c>
      <c r="D5720" t="s">
        <v>3217</v>
      </c>
      <c r="E5720">
        <v>0</v>
      </c>
      <c r="F5720">
        <v>51.45</v>
      </c>
    </row>
    <row r="5721" spans="1:6" x14ac:dyDescent="0.25">
      <c r="A5721" t="s">
        <v>2261</v>
      </c>
      <c r="B5721" t="s">
        <v>42</v>
      </c>
      <c r="C5721" t="s">
        <v>80</v>
      </c>
      <c r="D5721" t="s">
        <v>3218</v>
      </c>
      <c r="E5721">
        <v>11.58</v>
      </c>
      <c r="F5721">
        <v>51.72</v>
      </c>
    </row>
    <row r="5722" spans="1:6" x14ac:dyDescent="0.25">
      <c r="A5722" t="s">
        <v>2261</v>
      </c>
      <c r="B5722" t="s">
        <v>42</v>
      </c>
      <c r="C5722" t="s">
        <v>80</v>
      </c>
      <c r="D5722" t="s">
        <v>3219</v>
      </c>
      <c r="E5722">
        <v>31.58</v>
      </c>
      <c r="F5722">
        <v>51.42</v>
      </c>
    </row>
    <row r="5723" spans="1:6" x14ac:dyDescent="0.25">
      <c r="A5723" t="s">
        <v>2262</v>
      </c>
      <c r="B5723" t="s">
        <v>42</v>
      </c>
      <c r="C5723" t="s">
        <v>81</v>
      </c>
      <c r="D5723" t="s">
        <v>3217</v>
      </c>
      <c r="E5723">
        <v>0</v>
      </c>
      <c r="F5723">
        <v>51.45</v>
      </c>
    </row>
    <row r="5724" spans="1:6" x14ac:dyDescent="0.25">
      <c r="A5724" t="s">
        <v>2262</v>
      </c>
      <c r="B5724" t="s">
        <v>42</v>
      </c>
      <c r="C5724" t="s">
        <v>81</v>
      </c>
      <c r="D5724" t="s">
        <v>3218</v>
      </c>
      <c r="E5724">
        <v>11.24</v>
      </c>
      <c r="F5724">
        <v>51.63</v>
      </c>
    </row>
    <row r="5725" spans="1:6" x14ac:dyDescent="0.25">
      <c r="A5725" t="s">
        <v>2262</v>
      </c>
      <c r="B5725" t="s">
        <v>42</v>
      </c>
      <c r="C5725" t="s">
        <v>81</v>
      </c>
      <c r="D5725" t="s">
        <v>3219</v>
      </c>
      <c r="E5725">
        <v>31.24</v>
      </c>
      <c r="F5725">
        <v>51.37</v>
      </c>
    </row>
    <row r="5726" spans="1:6" x14ac:dyDescent="0.25">
      <c r="A5726" t="s">
        <v>2263</v>
      </c>
      <c r="B5726" t="s">
        <v>42</v>
      </c>
      <c r="C5726" t="s">
        <v>82</v>
      </c>
      <c r="D5726" t="s">
        <v>3217</v>
      </c>
      <c r="E5726">
        <v>0</v>
      </c>
      <c r="F5726">
        <v>51.29</v>
      </c>
    </row>
    <row r="5727" spans="1:6" x14ac:dyDescent="0.25">
      <c r="A5727" t="s">
        <v>2263</v>
      </c>
      <c r="B5727" t="s">
        <v>42</v>
      </c>
      <c r="C5727" t="s">
        <v>82</v>
      </c>
      <c r="D5727" t="s">
        <v>3218</v>
      </c>
      <c r="E5727">
        <v>12.3</v>
      </c>
      <c r="F5727">
        <v>51.63</v>
      </c>
    </row>
    <row r="5728" spans="1:6" x14ac:dyDescent="0.25">
      <c r="A5728" t="s">
        <v>2263</v>
      </c>
      <c r="B5728" t="s">
        <v>42</v>
      </c>
      <c r="C5728" t="s">
        <v>82</v>
      </c>
      <c r="D5728" t="s">
        <v>3219</v>
      </c>
      <c r="E5728">
        <v>32.299999999999997</v>
      </c>
      <c r="F5728">
        <v>51.56</v>
      </c>
    </row>
    <row r="5729" spans="1:6" x14ac:dyDescent="0.25">
      <c r="A5729" t="s">
        <v>2264</v>
      </c>
      <c r="B5729" t="s">
        <v>42</v>
      </c>
      <c r="C5729" t="s">
        <v>83</v>
      </c>
      <c r="D5729" t="s">
        <v>3217</v>
      </c>
      <c r="E5729">
        <v>0</v>
      </c>
      <c r="F5729">
        <v>51.27</v>
      </c>
    </row>
    <row r="5730" spans="1:6" x14ac:dyDescent="0.25">
      <c r="A5730" t="s">
        <v>2264</v>
      </c>
      <c r="B5730" t="s">
        <v>42</v>
      </c>
      <c r="C5730" t="s">
        <v>83</v>
      </c>
      <c r="D5730" t="s">
        <v>3218</v>
      </c>
      <c r="E5730">
        <v>12.3</v>
      </c>
      <c r="F5730">
        <v>51.68</v>
      </c>
    </row>
    <row r="5731" spans="1:6" x14ac:dyDescent="0.25">
      <c r="A5731" t="s">
        <v>2264</v>
      </c>
      <c r="B5731" t="s">
        <v>42</v>
      </c>
      <c r="C5731" t="s">
        <v>83</v>
      </c>
      <c r="D5731" t="s">
        <v>3219</v>
      </c>
      <c r="E5731">
        <v>32.299999999999997</v>
      </c>
      <c r="F5731">
        <v>51.79</v>
      </c>
    </row>
    <row r="5732" spans="1:6" x14ac:dyDescent="0.25">
      <c r="A5732" t="s">
        <v>2265</v>
      </c>
      <c r="B5732" t="s">
        <v>42</v>
      </c>
      <c r="C5732" t="s">
        <v>84</v>
      </c>
      <c r="D5732" t="s">
        <v>3217</v>
      </c>
      <c r="E5732">
        <v>0</v>
      </c>
      <c r="F5732">
        <v>51.16</v>
      </c>
    </row>
    <row r="5733" spans="1:6" x14ac:dyDescent="0.25">
      <c r="A5733" t="s">
        <v>2265</v>
      </c>
      <c r="B5733" t="s">
        <v>42</v>
      </c>
      <c r="C5733" t="s">
        <v>84</v>
      </c>
      <c r="D5733" t="s">
        <v>3218</v>
      </c>
      <c r="E5733">
        <v>13.2</v>
      </c>
      <c r="F5733">
        <v>51.63</v>
      </c>
    </row>
    <row r="5734" spans="1:6" x14ac:dyDescent="0.25">
      <c r="A5734" t="s">
        <v>2265</v>
      </c>
      <c r="B5734" t="s">
        <v>42</v>
      </c>
      <c r="C5734" t="s">
        <v>84</v>
      </c>
      <c r="D5734" t="s">
        <v>3219</v>
      </c>
      <c r="E5734">
        <v>31.79</v>
      </c>
      <c r="F5734">
        <v>51.64</v>
      </c>
    </row>
    <row r="5735" spans="1:6" x14ac:dyDescent="0.25">
      <c r="A5735" t="s">
        <v>2266</v>
      </c>
      <c r="B5735" t="s">
        <v>42</v>
      </c>
      <c r="C5735" t="s">
        <v>85</v>
      </c>
      <c r="D5735" t="s">
        <v>3217</v>
      </c>
      <c r="E5735">
        <v>0</v>
      </c>
      <c r="F5735">
        <v>51.13</v>
      </c>
    </row>
    <row r="5736" spans="1:6" x14ac:dyDescent="0.25">
      <c r="A5736" t="s">
        <v>2266</v>
      </c>
      <c r="B5736" t="s">
        <v>42</v>
      </c>
      <c r="C5736" t="s">
        <v>85</v>
      </c>
      <c r="D5736" t="s">
        <v>3218</v>
      </c>
      <c r="E5736">
        <v>13.72</v>
      </c>
      <c r="F5736">
        <v>51.55</v>
      </c>
    </row>
    <row r="5737" spans="1:6" x14ac:dyDescent="0.25">
      <c r="A5737" t="s">
        <v>2266</v>
      </c>
      <c r="B5737" t="s">
        <v>42</v>
      </c>
      <c r="C5737" t="s">
        <v>85</v>
      </c>
      <c r="D5737" t="s">
        <v>3219</v>
      </c>
      <c r="E5737">
        <v>32.32</v>
      </c>
      <c r="F5737">
        <v>51.89</v>
      </c>
    </row>
    <row r="5738" spans="1:6" x14ac:dyDescent="0.25">
      <c r="A5738" t="s">
        <v>2267</v>
      </c>
      <c r="B5738" t="s">
        <v>42</v>
      </c>
      <c r="C5738" t="s">
        <v>86</v>
      </c>
      <c r="D5738" t="s">
        <v>3217</v>
      </c>
      <c r="E5738">
        <v>0</v>
      </c>
      <c r="F5738">
        <v>51.12</v>
      </c>
    </row>
    <row r="5739" spans="1:6" x14ac:dyDescent="0.25">
      <c r="A5739" t="s">
        <v>2267</v>
      </c>
      <c r="B5739" t="s">
        <v>42</v>
      </c>
      <c r="C5739" t="s">
        <v>86</v>
      </c>
      <c r="D5739" t="s">
        <v>3218</v>
      </c>
      <c r="E5739">
        <v>13.88</v>
      </c>
      <c r="F5739">
        <v>51.54</v>
      </c>
    </row>
    <row r="5740" spans="1:6" x14ac:dyDescent="0.25">
      <c r="A5740" t="s">
        <v>2267</v>
      </c>
      <c r="B5740" t="s">
        <v>42</v>
      </c>
      <c r="C5740" t="s">
        <v>86</v>
      </c>
      <c r="D5740" t="s">
        <v>3219</v>
      </c>
      <c r="E5740">
        <v>29.45</v>
      </c>
      <c r="F5740">
        <v>51.53</v>
      </c>
    </row>
    <row r="5741" spans="1:6" x14ac:dyDescent="0.25">
      <c r="A5741" t="s">
        <v>2268</v>
      </c>
      <c r="B5741" t="s">
        <v>42</v>
      </c>
      <c r="C5741" t="s">
        <v>87</v>
      </c>
      <c r="D5741" t="s">
        <v>3217</v>
      </c>
      <c r="E5741">
        <v>0</v>
      </c>
      <c r="F5741">
        <v>51.4</v>
      </c>
    </row>
    <row r="5742" spans="1:6" x14ac:dyDescent="0.25">
      <c r="A5742" t="s">
        <v>2268</v>
      </c>
      <c r="B5742" t="s">
        <v>42</v>
      </c>
      <c r="C5742" t="s">
        <v>87</v>
      </c>
      <c r="D5742" t="s">
        <v>3218</v>
      </c>
      <c r="E5742">
        <v>14.31</v>
      </c>
      <c r="F5742">
        <v>51.6</v>
      </c>
    </row>
    <row r="5743" spans="1:6" x14ac:dyDescent="0.25">
      <c r="A5743" t="s">
        <v>2268</v>
      </c>
      <c r="B5743" t="s">
        <v>42</v>
      </c>
      <c r="C5743" t="s">
        <v>87</v>
      </c>
      <c r="D5743" t="s">
        <v>3219</v>
      </c>
      <c r="E5743">
        <v>26.35</v>
      </c>
      <c r="F5743">
        <v>51.32</v>
      </c>
    </row>
    <row r="5744" spans="1:6" x14ac:dyDescent="0.25">
      <c r="A5744" t="s">
        <v>2269</v>
      </c>
      <c r="B5744" t="s">
        <v>42</v>
      </c>
      <c r="C5744" t="s">
        <v>88</v>
      </c>
      <c r="D5744" t="s">
        <v>3217</v>
      </c>
      <c r="E5744">
        <v>0</v>
      </c>
      <c r="F5744">
        <v>51.41</v>
      </c>
    </row>
    <row r="5745" spans="1:6" x14ac:dyDescent="0.25">
      <c r="A5745" t="s">
        <v>2269</v>
      </c>
      <c r="B5745" t="s">
        <v>42</v>
      </c>
      <c r="C5745" t="s">
        <v>88</v>
      </c>
      <c r="D5745" t="s">
        <v>3218</v>
      </c>
      <c r="E5745">
        <v>15.81</v>
      </c>
      <c r="F5745">
        <v>51.71</v>
      </c>
    </row>
    <row r="5746" spans="1:6" x14ac:dyDescent="0.25">
      <c r="A5746" t="s">
        <v>2269</v>
      </c>
      <c r="B5746" t="s">
        <v>42</v>
      </c>
      <c r="C5746" t="s">
        <v>88</v>
      </c>
      <c r="D5746" t="s">
        <v>3219</v>
      </c>
      <c r="E5746">
        <v>26.91</v>
      </c>
      <c r="F5746">
        <v>51.36</v>
      </c>
    </row>
    <row r="5747" spans="1:6" x14ac:dyDescent="0.25">
      <c r="A5747" t="s">
        <v>2270</v>
      </c>
      <c r="B5747" t="s">
        <v>42</v>
      </c>
      <c r="C5747" t="s">
        <v>89</v>
      </c>
      <c r="D5747" t="s">
        <v>3217</v>
      </c>
      <c r="E5747">
        <v>0</v>
      </c>
      <c r="F5747">
        <v>51.56</v>
      </c>
    </row>
    <row r="5748" spans="1:6" x14ac:dyDescent="0.25">
      <c r="A5748" t="s">
        <v>2270</v>
      </c>
      <c r="B5748" t="s">
        <v>42</v>
      </c>
      <c r="C5748" t="s">
        <v>89</v>
      </c>
      <c r="D5748" t="s">
        <v>3218</v>
      </c>
      <c r="E5748">
        <v>15.81</v>
      </c>
      <c r="F5748">
        <v>51.9</v>
      </c>
    </row>
    <row r="5749" spans="1:6" x14ac:dyDescent="0.25">
      <c r="A5749" t="s">
        <v>2270</v>
      </c>
      <c r="B5749" t="s">
        <v>42</v>
      </c>
      <c r="C5749" t="s">
        <v>89</v>
      </c>
      <c r="D5749" t="s">
        <v>3219</v>
      </c>
      <c r="E5749">
        <v>26.67</v>
      </c>
      <c r="F5749">
        <v>51.57</v>
      </c>
    </row>
    <row r="5750" spans="1:6" x14ac:dyDescent="0.25">
      <c r="A5750" t="s">
        <v>2271</v>
      </c>
      <c r="B5750" t="s">
        <v>42</v>
      </c>
      <c r="C5750" t="s">
        <v>90</v>
      </c>
      <c r="D5750" t="s">
        <v>3217</v>
      </c>
      <c r="E5750">
        <v>0</v>
      </c>
      <c r="F5750">
        <v>51.59</v>
      </c>
    </row>
    <row r="5751" spans="1:6" x14ac:dyDescent="0.25">
      <c r="A5751" t="s">
        <v>2271</v>
      </c>
      <c r="B5751" t="s">
        <v>42</v>
      </c>
      <c r="C5751" t="s">
        <v>90</v>
      </c>
      <c r="D5751" t="s">
        <v>3218</v>
      </c>
      <c r="E5751">
        <v>16.72</v>
      </c>
      <c r="F5751">
        <v>52.07</v>
      </c>
    </row>
    <row r="5752" spans="1:6" x14ac:dyDescent="0.25">
      <c r="A5752" t="s">
        <v>2271</v>
      </c>
      <c r="B5752" t="s">
        <v>42</v>
      </c>
      <c r="C5752" t="s">
        <v>90</v>
      </c>
      <c r="D5752" t="s">
        <v>3219</v>
      </c>
      <c r="E5752">
        <v>27.82</v>
      </c>
      <c r="F5752">
        <v>52.09</v>
      </c>
    </row>
    <row r="5753" spans="1:6" x14ac:dyDescent="0.25">
      <c r="A5753" t="s">
        <v>2272</v>
      </c>
      <c r="B5753" t="s">
        <v>42</v>
      </c>
      <c r="C5753" t="s">
        <v>91</v>
      </c>
      <c r="D5753" t="s">
        <v>3217</v>
      </c>
      <c r="E5753">
        <v>0</v>
      </c>
      <c r="F5753">
        <v>51.68</v>
      </c>
    </row>
    <row r="5754" spans="1:6" x14ac:dyDescent="0.25">
      <c r="A5754" t="s">
        <v>2272</v>
      </c>
      <c r="B5754" t="s">
        <v>42</v>
      </c>
      <c r="C5754" t="s">
        <v>91</v>
      </c>
      <c r="D5754" t="s">
        <v>3218</v>
      </c>
      <c r="E5754">
        <v>17.25</v>
      </c>
      <c r="F5754">
        <v>52.12</v>
      </c>
    </row>
    <row r="5755" spans="1:6" x14ac:dyDescent="0.25">
      <c r="A5755" t="s">
        <v>2272</v>
      </c>
      <c r="B5755" t="s">
        <v>42</v>
      </c>
      <c r="C5755" t="s">
        <v>91</v>
      </c>
      <c r="D5755" t="s">
        <v>3219</v>
      </c>
      <c r="E5755">
        <v>30.41</v>
      </c>
      <c r="F5755">
        <v>52.17</v>
      </c>
    </row>
    <row r="5756" spans="1:6" x14ac:dyDescent="0.25">
      <c r="A5756" t="s">
        <v>2273</v>
      </c>
      <c r="B5756" t="s">
        <v>42</v>
      </c>
      <c r="C5756" t="s">
        <v>92</v>
      </c>
      <c r="D5756" t="s">
        <v>3217</v>
      </c>
      <c r="E5756">
        <v>0</v>
      </c>
      <c r="F5756">
        <v>51.65</v>
      </c>
    </row>
    <row r="5757" spans="1:6" x14ac:dyDescent="0.25">
      <c r="A5757" t="s">
        <v>2273</v>
      </c>
      <c r="B5757" t="s">
        <v>42</v>
      </c>
      <c r="C5757" t="s">
        <v>92</v>
      </c>
      <c r="D5757" t="s">
        <v>3218</v>
      </c>
      <c r="E5757">
        <v>16.72</v>
      </c>
      <c r="F5757">
        <v>52.04</v>
      </c>
    </row>
    <row r="5758" spans="1:6" x14ac:dyDescent="0.25">
      <c r="A5758" t="s">
        <v>2273</v>
      </c>
      <c r="B5758" t="s">
        <v>42</v>
      </c>
      <c r="C5758" t="s">
        <v>92</v>
      </c>
      <c r="D5758" t="s">
        <v>3219</v>
      </c>
      <c r="E5758">
        <v>32.24</v>
      </c>
      <c r="F5758">
        <v>53.46</v>
      </c>
    </row>
    <row r="5759" spans="1:6" x14ac:dyDescent="0.25">
      <c r="A5759" t="s">
        <v>2274</v>
      </c>
      <c r="B5759" t="s">
        <v>42</v>
      </c>
      <c r="C5759" t="s">
        <v>93</v>
      </c>
      <c r="D5759" t="s">
        <v>3217</v>
      </c>
      <c r="E5759">
        <v>0</v>
      </c>
      <c r="F5759">
        <v>51.73</v>
      </c>
    </row>
    <row r="5760" spans="1:6" x14ac:dyDescent="0.25">
      <c r="A5760" t="s">
        <v>2274</v>
      </c>
      <c r="B5760" t="s">
        <v>42</v>
      </c>
      <c r="C5760" t="s">
        <v>93</v>
      </c>
      <c r="D5760" t="s">
        <v>3218</v>
      </c>
      <c r="E5760">
        <v>17.18</v>
      </c>
      <c r="F5760">
        <v>52.17</v>
      </c>
    </row>
    <row r="5761" spans="1:6" x14ac:dyDescent="0.25">
      <c r="A5761" t="s">
        <v>2274</v>
      </c>
      <c r="B5761" t="s">
        <v>42</v>
      </c>
      <c r="C5761" t="s">
        <v>93</v>
      </c>
      <c r="D5761" t="s">
        <v>3219</v>
      </c>
      <c r="E5761">
        <v>32.700000000000003</v>
      </c>
      <c r="F5761">
        <v>51.92</v>
      </c>
    </row>
    <row r="5762" spans="1:6" x14ac:dyDescent="0.25">
      <c r="A5762" t="s">
        <v>2275</v>
      </c>
      <c r="B5762" t="s">
        <v>42</v>
      </c>
      <c r="C5762" t="s">
        <v>94</v>
      </c>
      <c r="D5762" t="s">
        <v>3217</v>
      </c>
      <c r="E5762">
        <v>0</v>
      </c>
      <c r="F5762">
        <v>52.18</v>
      </c>
    </row>
    <row r="5763" spans="1:6" x14ac:dyDescent="0.25">
      <c r="A5763" t="s">
        <v>2275</v>
      </c>
      <c r="B5763" t="s">
        <v>42</v>
      </c>
      <c r="C5763" t="s">
        <v>94</v>
      </c>
      <c r="D5763" t="s">
        <v>3218</v>
      </c>
      <c r="E5763">
        <v>15.22</v>
      </c>
      <c r="F5763">
        <v>52.38</v>
      </c>
    </row>
    <row r="5764" spans="1:6" x14ac:dyDescent="0.25">
      <c r="A5764" t="s">
        <v>2275</v>
      </c>
      <c r="B5764" t="s">
        <v>42</v>
      </c>
      <c r="C5764" t="s">
        <v>94</v>
      </c>
      <c r="D5764" t="s">
        <v>3219</v>
      </c>
      <c r="E5764">
        <v>30.74</v>
      </c>
      <c r="F5764">
        <v>52.01</v>
      </c>
    </row>
    <row r="5765" spans="1:6" x14ac:dyDescent="0.25">
      <c r="A5765" t="s">
        <v>2276</v>
      </c>
      <c r="B5765" t="s">
        <v>42</v>
      </c>
      <c r="C5765" t="s">
        <v>95</v>
      </c>
      <c r="D5765" t="s">
        <v>3217</v>
      </c>
      <c r="E5765">
        <v>0</v>
      </c>
      <c r="F5765">
        <v>52.43</v>
      </c>
    </row>
    <row r="5766" spans="1:6" x14ac:dyDescent="0.25">
      <c r="A5766" t="s">
        <v>2276</v>
      </c>
      <c r="B5766" t="s">
        <v>42</v>
      </c>
      <c r="C5766" t="s">
        <v>95</v>
      </c>
      <c r="D5766" t="s">
        <v>3218</v>
      </c>
      <c r="E5766">
        <v>13.83</v>
      </c>
      <c r="F5766">
        <v>52.56</v>
      </c>
    </row>
    <row r="5767" spans="1:6" x14ac:dyDescent="0.25">
      <c r="A5767" t="s">
        <v>2276</v>
      </c>
      <c r="B5767" t="s">
        <v>42</v>
      </c>
      <c r="C5767" t="s">
        <v>95</v>
      </c>
      <c r="D5767" t="s">
        <v>3219</v>
      </c>
      <c r="E5767">
        <v>29.51</v>
      </c>
      <c r="F5767">
        <v>52.29</v>
      </c>
    </row>
    <row r="5768" spans="1:6" x14ac:dyDescent="0.25">
      <c r="A5768" t="s">
        <v>2277</v>
      </c>
      <c r="B5768" t="s">
        <v>42</v>
      </c>
      <c r="C5768" t="s">
        <v>96</v>
      </c>
      <c r="D5768" t="s">
        <v>3217</v>
      </c>
      <c r="E5768">
        <v>0</v>
      </c>
      <c r="F5768">
        <v>52.65</v>
      </c>
    </row>
    <row r="5769" spans="1:6" x14ac:dyDescent="0.25">
      <c r="A5769" t="s">
        <v>2277</v>
      </c>
      <c r="B5769" t="s">
        <v>42</v>
      </c>
      <c r="C5769" t="s">
        <v>96</v>
      </c>
      <c r="D5769" t="s">
        <v>3218</v>
      </c>
      <c r="E5769">
        <v>15.22</v>
      </c>
      <c r="F5769">
        <v>52.79</v>
      </c>
    </row>
    <row r="5770" spans="1:6" x14ac:dyDescent="0.25">
      <c r="A5770" t="s">
        <v>2277</v>
      </c>
      <c r="B5770" t="s">
        <v>42</v>
      </c>
      <c r="C5770" t="s">
        <v>96</v>
      </c>
      <c r="D5770" t="s">
        <v>3219</v>
      </c>
      <c r="E5770">
        <v>30.26</v>
      </c>
      <c r="F5770">
        <v>52.54</v>
      </c>
    </row>
    <row r="5771" spans="1:6" x14ac:dyDescent="0.25">
      <c r="A5771" t="s">
        <v>2278</v>
      </c>
      <c r="B5771" t="s">
        <v>42</v>
      </c>
      <c r="C5771" t="s">
        <v>97</v>
      </c>
      <c r="D5771" t="s">
        <v>3217</v>
      </c>
      <c r="E5771">
        <v>0</v>
      </c>
      <c r="F5771">
        <v>52.96</v>
      </c>
    </row>
    <row r="5772" spans="1:6" x14ac:dyDescent="0.25">
      <c r="A5772" t="s">
        <v>2278</v>
      </c>
      <c r="B5772" t="s">
        <v>42</v>
      </c>
      <c r="C5772" t="s">
        <v>97</v>
      </c>
      <c r="D5772" t="s">
        <v>3218</v>
      </c>
      <c r="E5772">
        <v>15.54</v>
      </c>
      <c r="F5772">
        <v>53.07</v>
      </c>
    </row>
    <row r="5773" spans="1:6" x14ac:dyDescent="0.25">
      <c r="A5773" t="s">
        <v>2278</v>
      </c>
      <c r="B5773" t="s">
        <v>42</v>
      </c>
      <c r="C5773" t="s">
        <v>97</v>
      </c>
      <c r="D5773" t="s">
        <v>3219</v>
      </c>
      <c r="E5773">
        <v>30.23</v>
      </c>
      <c r="F5773">
        <v>52.9</v>
      </c>
    </row>
    <row r="5774" spans="1:6" x14ac:dyDescent="0.25">
      <c r="A5774" t="s">
        <v>2279</v>
      </c>
      <c r="B5774" t="s">
        <v>42</v>
      </c>
      <c r="C5774" t="s">
        <v>98</v>
      </c>
      <c r="D5774" t="s">
        <v>3217</v>
      </c>
      <c r="E5774">
        <v>0</v>
      </c>
      <c r="F5774">
        <v>53.33</v>
      </c>
    </row>
    <row r="5775" spans="1:6" x14ac:dyDescent="0.25">
      <c r="A5775" t="s">
        <v>2279</v>
      </c>
      <c r="B5775" t="s">
        <v>42</v>
      </c>
      <c r="C5775" t="s">
        <v>98</v>
      </c>
      <c r="D5775" t="s">
        <v>3218</v>
      </c>
      <c r="E5775">
        <v>15.54</v>
      </c>
      <c r="F5775">
        <v>53.48</v>
      </c>
    </row>
    <row r="5776" spans="1:6" x14ac:dyDescent="0.25">
      <c r="A5776" t="s">
        <v>2279</v>
      </c>
      <c r="B5776" t="s">
        <v>42</v>
      </c>
      <c r="C5776" t="s">
        <v>98</v>
      </c>
      <c r="D5776" t="s">
        <v>3219</v>
      </c>
      <c r="E5776">
        <v>30.42</v>
      </c>
      <c r="F5776">
        <v>53.27</v>
      </c>
    </row>
    <row r="5777" spans="1:6" x14ac:dyDescent="0.25">
      <c r="A5777" t="s">
        <v>2280</v>
      </c>
      <c r="B5777" t="s">
        <v>42</v>
      </c>
      <c r="C5777" t="s">
        <v>99</v>
      </c>
      <c r="D5777" t="s">
        <v>3217</v>
      </c>
      <c r="E5777">
        <v>0</v>
      </c>
      <c r="F5777">
        <v>53.88</v>
      </c>
    </row>
    <row r="5778" spans="1:6" x14ac:dyDescent="0.25">
      <c r="A5778" t="s">
        <v>2280</v>
      </c>
      <c r="B5778" t="s">
        <v>42</v>
      </c>
      <c r="C5778" t="s">
        <v>99</v>
      </c>
      <c r="D5778" t="s">
        <v>3218</v>
      </c>
      <c r="E5778">
        <v>15.85</v>
      </c>
      <c r="F5778">
        <v>54.07</v>
      </c>
    </row>
    <row r="5779" spans="1:6" x14ac:dyDescent="0.25">
      <c r="A5779" t="s">
        <v>2280</v>
      </c>
      <c r="B5779" t="s">
        <v>42</v>
      </c>
      <c r="C5779" t="s">
        <v>99</v>
      </c>
      <c r="D5779" t="s">
        <v>3219</v>
      </c>
      <c r="E5779">
        <v>31.26</v>
      </c>
      <c r="F5779">
        <v>53.95</v>
      </c>
    </row>
    <row r="5780" spans="1:6" x14ac:dyDescent="0.25">
      <c r="A5780" t="s">
        <v>2281</v>
      </c>
      <c r="B5780" t="s">
        <v>42</v>
      </c>
      <c r="C5780" t="s">
        <v>100</v>
      </c>
      <c r="D5780" t="s">
        <v>3217</v>
      </c>
      <c r="E5780">
        <v>0</v>
      </c>
      <c r="F5780">
        <v>54.47</v>
      </c>
    </row>
    <row r="5781" spans="1:6" x14ac:dyDescent="0.25">
      <c r="A5781" t="s">
        <v>2281</v>
      </c>
      <c r="B5781" t="s">
        <v>42</v>
      </c>
      <c r="C5781" t="s">
        <v>100</v>
      </c>
      <c r="D5781" t="s">
        <v>3218</v>
      </c>
      <c r="E5781">
        <v>15.45</v>
      </c>
      <c r="F5781">
        <v>54.75</v>
      </c>
    </row>
    <row r="5782" spans="1:6" x14ac:dyDescent="0.25">
      <c r="A5782" t="s">
        <v>2281</v>
      </c>
      <c r="B5782" t="s">
        <v>42</v>
      </c>
      <c r="C5782" t="s">
        <v>100</v>
      </c>
      <c r="D5782" t="s">
        <v>3219</v>
      </c>
      <c r="E5782">
        <v>30.64</v>
      </c>
      <c r="F5782">
        <v>54.72</v>
      </c>
    </row>
    <row r="5783" spans="1:6" x14ac:dyDescent="0.25">
      <c r="A5783" t="s">
        <v>2282</v>
      </c>
      <c r="B5783" t="s">
        <v>42</v>
      </c>
      <c r="C5783" t="s">
        <v>101</v>
      </c>
      <c r="D5783" t="s">
        <v>3217</v>
      </c>
      <c r="E5783">
        <v>0</v>
      </c>
      <c r="F5783">
        <v>55.37</v>
      </c>
    </row>
    <row r="5784" spans="1:6" x14ac:dyDescent="0.25">
      <c r="A5784" t="s">
        <v>2282</v>
      </c>
      <c r="B5784" t="s">
        <v>42</v>
      </c>
      <c r="C5784" t="s">
        <v>101</v>
      </c>
      <c r="D5784" t="s">
        <v>3218</v>
      </c>
      <c r="E5784">
        <v>15.01</v>
      </c>
      <c r="F5784">
        <v>55.69</v>
      </c>
    </row>
    <row r="5785" spans="1:6" x14ac:dyDescent="0.25">
      <c r="A5785" t="s">
        <v>2282</v>
      </c>
      <c r="B5785" t="s">
        <v>42</v>
      </c>
      <c r="C5785" t="s">
        <v>101</v>
      </c>
      <c r="D5785" t="s">
        <v>3219</v>
      </c>
      <c r="E5785">
        <v>31.73</v>
      </c>
      <c r="F5785">
        <v>55.53</v>
      </c>
    </row>
    <row r="5786" spans="1:6" x14ac:dyDescent="0.25">
      <c r="A5786" t="s">
        <v>2283</v>
      </c>
      <c r="B5786" t="s">
        <v>42</v>
      </c>
      <c r="C5786" t="s">
        <v>102</v>
      </c>
      <c r="D5786" t="s">
        <v>3217</v>
      </c>
      <c r="E5786">
        <v>0</v>
      </c>
      <c r="F5786">
        <v>56.55</v>
      </c>
    </row>
    <row r="5787" spans="1:6" x14ac:dyDescent="0.25">
      <c r="A5787" t="s">
        <v>2283</v>
      </c>
      <c r="B5787" t="s">
        <v>42</v>
      </c>
      <c r="C5787" t="s">
        <v>102</v>
      </c>
      <c r="D5787" t="s">
        <v>3218</v>
      </c>
      <c r="E5787">
        <v>14.01</v>
      </c>
      <c r="F5787">
        <v>56.65</v>
      </c>
    </row>
    <row r="5788" spans="1:6" x14ac:dyDescent="0.25">
      <c r="A5788" t="s">
        <v>2283</v>
      </c>
      <c r="B5788" t="s">
        <v>42</v>
      </c>
      <c r="C5788" t="s">
        <v>102</v>
      </c>
      <c r="D5788" t="s">
        <v>3219</v>
      </c>
      <c r="E5788">
        <v>30.73</v>
      </c>
      <c r="F5788">
        <v>56.91</v>
      </c>
    </row>
    <row r="5789" spans="1:6" x14ac:dyDescent="0.25">
      <c r="A5789" t="s">
        <v>2284</v>
      </c>
      <c r="B5789" t="s">
        <v>42</v>
      </c>
      <c r="C5789" t="s">
        <v>103</v>
      </c>
      <c r="D5789" t="s">
        <v>3217</v>
      </c>
      <c r="E5789">
        <v>0</v>
      </c>
      <c r="F5789">
        <v>57.58</v>
      </c>
    </row>
    <row r="5790" spans="1:6" x14ac:dyDescent="0.25">
      <c r="A5790" t="s">
        <v>2284</v>
      </c>
      <c r="B5790" t="s">
        <v>42</v>
      </c>
      <c r="C5790" t="s">
        <v>103</v>
      </c>
      <c r="D5790" t="s">
        <v>3218</v>
      </c>
      <c r="E5790">
        <v>14.31</v>
      </c>
      <c r="F5790">
        <v>57.85</v>
      </c>
    </row>
    <row r="5791" spans="1:6" x14ac:dyDescent="0.25">
      <c r="A5791" t="s">
        <v>2284</v>
      </c>
      <c r="B5791" t="s">
        <v>42</v>
      </c>
      <c r="C5791" t="s">
        <v>103</v>
      </c>
      <c r="D5791" t="s">
        <v>3219</v>
      </c>
      <c r="E5791">
        <v>31.03</v>
      </c>
      <c r="F5791">
        <v>57.8</v>
      </c>
    </row>
    <row r="5792" spans="1:6" x14ac:dyDescent="0.25">
      <c r="A5792" t="s">
        <v>2285</v>
      </c>
      <c r="B5792" t="s">
        <v>42</v>
      </c>
      <c r="C5792" t="s">
        <v>104</v>
      </c>
      <c r="D5792" t="s">
        <v>3217</v>
      </c>
      <c r="E5792">
        <v>0</v>
      </c>
      <c r="F5792">
        <v>58.73</v>
      </c>
    </row>
    <row r="5793" spans="1:6" x14ac:dyDescent="0.25">
      <c r="A5793" t="s">
        <v>2285</v>
      </c>
      <c r="B5793" t="s">
        <v>42</v>
      </c>
      <c r="C5793" t="s">
        <v>104</v>
      </c>
      <c r="D5793" t="s">
        <v>3218</v>
      </c>
      <c r="E5793">
        <v>14.22</v>
      </c>
      <c r="F5793">
        <v>58.9</v>
      </c>
    </row>
    <row r="5794" spans="1:6" x14ac:dyDescent="0.25">
      <c r="A5794" t="s">
        <v>2285</v>
      </c>
      <c r="B5794" t="s">
        <v>42</v>
      </c>
      <c r="C5794" t="s">
        <v>104</v>
      </c>
      <c r="D5794" t="s">
        <v>3219</v>
      </c>
      <c r="E5794">
        <v>29.27</v>
      </c>
      <c r="F5794">
        <v>58.97</v>
      </c>
    </row>
    <row r="5795" spans="1:6" x14ac:dyDescent="0.25">
      <c r="A5795" t="s">
        <v>2286</v>
      </c>
      <c r="B5795" t="s">
        <v>42</v>
      </c>
      <c r="C5795" t="s">
        <v>105</v>
      </c>
      <c r="D5795" t="s">
        <v>3217</v>
      </c>
      <c r="E5795">
        <v>0</v>
      </c>
      <c r="F5795">
        <v>59.86</v>
      </c>
    </row>
    <row r="5796" spans="1:6" x14ac:dyDescent="0.25">
      <c r="A5796" t="s">
        <v>2286</v>
      </c>
      <c r="B5796" t="s">
        <v>42</v>
      </c>
      <c r="C5796" t="s">
        <v>105</v>
      </c>
      <c r="D5796" t="s">
        <v>3218</v>
      </c>
      <c r="E5796">
        <v>15.46</v>
      </c>
      <c r="F5796">
        <v>60.17</v>
      </c>
    </row>
    <row r="5797" spans="1:6" x14ac:dyDescent="0.25">
      <c r="A5797" t="s">
        <v>2286</v>
      </c>
      <c r="B5797" t="s">
        <v>42</v>
      </c>
      <c r="C5797" t="s">
        <v>105</v>
      </c>
      <c r="D5797" t="s">
        <v>3219</v>
      </c>
      <c r="E5797">
        <v>31.33</v>
      </c>
      <c r="F5797">
        <v>60.2</v>
      </c>
    </row>
    <row r="5798" spans="1:6" x14ac:dyDescent="0.25">
      <c r="A5798" t="s">
        <v>2287</v>
      </c>
      <c r="B5798" t="s">
        <v>42</v>
      </c>
      <c r="C5798" t="s">
        <v>106</v>
      </c>
      <c r="D5798" t="s">
        <v>3217</v>
      </c>
      <c r="E5798">
        <v>0</v>
      </c>
      <c r="F5798">
        <v>61.02</v>
      </c>
    </row>
    <row r="5799" spans="1:6" x14ac:dyDescent="0.25">
      <c r="A5799" t="s">
        <v>2287</v>
      </c>
      <c r="B5799" t="s">
        <v>42</v>
      </c>
      <c r="C5799" t="s">
        <v>106</v>
      </c>
      <c r="D5799" t="s">
        <v>3218</v>
      </c>
      <c r="E5799">
        <v>16.48</v>
      </c>
      <c r="F5799">
        <v>61.44</v>
      </c>
    </row>
    <row r="5800" spans="1:6" x14ac:dyDescent="0.25">
      <c r="A5800" t="s">
        <v>2287</v>
      </c>
      <c r="B5800" t="s">
        <v>42</v>
      </c>
      <c r="C5800" t="s">
        <v>106</v>
      </c>
      <c r="D5800" t="s">
        <v>3219</v>
      </c>
      <c r="E5800">
        <v>32.299999999999997</v>
      </c>
      <c r="F5800">
        <v>61.26</v>
      </c>
    </row>
    <row r="5801" spans="1:6" x14ac:dyDescent="0.25">
      <c r="A5801" t="s">
        <v>2288</v>
      </c>
      <c r="B5801" t="s">
        <v>42</v>
      </c>
      <c r="C5801" t="s">
        <v>108</v>
      </c>
      <c r="D5801" t="s">
        <v>3217</v>
      </c>
      <c r="E5801">
        <v>0</v>
      </c>
      <c r="F5801">
        <v>61.99</v>
      </c>
    </row>
    <row r="5802" spans="1:6" x14ac:dyDescent="0.25">
      <c r="A5802" t="s">
        <v>2288</v>
      </c>
      <c r="B5802" t="s">
        <v>42</v>
      </c>
      <c r="C5802" t="s">
        <v>108</v>
      </c>
      <c r="D5802" t="s">
        <v>3218</v>
      </c>
      <c r="E5802">
        <v>16.36</v>
      </c>
      <c r="F5802">
        <v>62.52</v>
      </c>
    </row>
    <row r="5803" spans="1:6" x14ac:dyDescent="0.25">
      <c r="A5803" t="s">
        <v>2288</v>
      </c>
      <c r="B5803" t="s">
        <v>42</v>
      </c>
      <c r="C5803" t="s">
        <v>108</v>
      </c>
      <c r="D5803" t="s">
        <v>3219</v>
      </c>
      <c r="E5803">
        <v>31.86</v>
      </c>
      <c r="F5803">
        <v>62.24</v>
      </c>
    </row>
    <row r="5804" spans="1:6" x14ac:dyDescent="0.25">
      <c r="A5804" t="s">
        <v>2289</v>
      </c>
      <c r="B5804" t="s">
        <v>42</v>
      </c>
      <c r="C5804" t="s">
        <v>109</v>
      </c>
      <c r="D5804" t="s">
        <v>3217</v>
      </c>
      <c r="E5804">
        <v>0</v>
      </c>
      <c r="F5804">
        <v>63.11</v>
      </c>
    </row>
    <row r="5805" spans="1:6" x14ac:dyDescent="0.25">
      <c r="A5805" t="s">
        <v>2289</v>
      </c>
      <c r="B5805" t="s">
        <v>42</v>
      </c>
      <c r="C5805" t="s">
        <v>109</v>
      </c>
      <c r="D5805" t="s">
        <v>3218</v>
      </c>
      <c r="E5805">
        <v>16.399999999999999</v>
      </c>
      <c r="F5805">
        <v>63.59</v>
      </c>
    </row>
    <row r="5806" spans="1:6" x14ac:dyDescent="0.25">
      <c r="A5806" t="s">
        <v>2289</v>
      </c>
      <c r="B5806" t="s">
        <v>42</v>
      </c>
      <c r="C5806" t="s">
        <v>109</v>
      </c>
      <c r="D5806" t="s">
        <v>3219</v>
      </c>
      <c r="E5806">
        <v>31.22</v>
      </c>
      <c r="F5806">
        <v>63.33</v>
      </c>
    </row>
    <row r="5807" spans="1:6" x14ac:dyDescent="0.25">
      <c r="A5807" t="s">
        <v>2290</v>
      </c>
      <c r="B5807" t="s">
        <v>42</v>
      </c>
      <c r="C5807" t="s">
        <v>110</v>
      </c>
      <c r="D5807" t="s">
        <v>3217</v>
      </c>
      <c r="E5807">
        <v>0</v>
      </c>
      <c r="F5807">
        <v>64.150000000000006</v>
      </c>
    </row>
    <row r="5808" spans="1:6" x14ac:dyDescent="0.25">
      <c r="A5808" t="s">
        <v>2290</v>
      </c>
      <c r="B5808" t="s">
        <v>42</v>
      </c>
      <c r="C5808" t="s">
        <v>110</v>
      </c>
      <c r="D5808" t="s">
        <v>3218</v>
      </c>
      <c r="E5808">
        <v>17.579999999999998</v>
      </c>
      <c r="F5808">
        <v>64.38</v>
      </c>
    </row>
    <row r="5809" spans="1:6" x14ac:dyDescent="0.25">
      <c r="A5809" t="s">
        <v>2290</v>
      </c>
      <c r="B5809" t="s">
        <v>42</v>
      </c>
      <c r="C5809" t="s">
        <v>110</v>
      </c>
      <c r="D5809" t="s">
        <v>3219</v>
      </c>
      <c r="E5809">
        <v>31.38</v>
      </c>
      <c r="F5809">
        <v>64.38</v>
      </c>
    </row>
    <row r="5810" spans="1:6" x14ac:dyDescent="0.25">
      <c r="A5810" t="s">
        <v>2291</v>
      </c>
      <c r="B5810" t="s">
        <v>42</v>
      </c>
      <c r="C5810" t="s">
        <v>111</v>
      </c>
      <c r="D5810" t="s">
        <v>3217</v>
      </c>
      <c r="E5810">
        <v>0</v>
      </c>
      <c r="F5810">
        <v>65.040000000000006</v>
      </c>
    </row>
    <row r="5811" spans="1:6" x14ac:dyDescent="0.25">
      <c r="A5811" t="s">
        <v>2291</v>
      </c>
      <c r="B5811" t="s">
        <v>42</v>
      </c>
      <c r="C5811" t="s">
        <v>111</v>
      </c>
      <c r="D5811" t="s">
        <v>3218</v>
      </c>
      <c r="E5811">
        <v>16.61</v>
      </c>
      <c r="F5811">
        <v>65.33</v>
      </c>
    </row>
    <row r="5812" spans="1:6" x14ac:dyDescent="0.25">
      <c r="A5812" t="s">
        <v>2291</v>
      </c>
      <c r="B5812" t="s">
        <v>42</v>
      </c>
      <c r="C5812" t="s">
        <v>111</v>
      </c>
      <c r="D5812" t="s">
        <v>3219</v>
      </c>
      <c r="E5812">
        <v>30.64</v>
      </c>
      <c r="F5812">
        <v>65.12</v>
      </c>
    </row>
    <row r="5813" spans="1:6" x14ac:dyDescent="0.25">
      <c r="A5813" t="s">
        <v>2292</v>
      </c>
      <c r="B5813" t="s">
        <v>42</v>
      </c>
      <c r="C5813" t="s">
        <v>112</v>
      </c>
      <c r="D5813" t="s">
        <v>3217</v>
      </c>
      <c r="E5813">
        <v>0</v>
      </c>
      <c r="F5813">
        <v>65.91</v>
      </c>
    </row>
    <row r="5814" spans="1:6" x14ac:dyDescent="0.25">
      <c r="A5814" t="s">
        <v>2292</v>
      </c>
      <c r="B5814" t="s">
        <v>42</v>
      </c>
      <c r="C5814" t="s">
        <v>112</v>
      </c>
      <c r="D5814" t="s">
        <v>3218</v>
      </c>
      <c r="E5814">
        <v>16.61</v>
      </c>
      <c r="F5814">
        <v>66.2</v>
      </c>
    </row>
    <row r="5815" spans="1:6" x14ac:dyDescent="0.25">
      <c r="A5815" t="s">
        <v>2292</v>
      </c>
      <c r="B5815" t="s">
        <v>42</v>
      </c>
      <c r="C5815" t="s">
        <v>112</v>
      </c>
      <c r="D5815" t="s">
        <v>3219</v>
      </c>
      <c r="E5815">
        <v>30.64</v>
      </c>
      <c r="F5815">
        <v>66.040000000000006</v>
      </c>
    </row>
    <row r="5816" spans="1:6" x14ac:dyDescent="0.25">
      <c r="A5816" t="s">
        <v>2293</v>
      </c>
      <c r="B5816" t="s">
        <v>42</v>
      </c>
      <c r="C5816" t="s">
        <v>113</v>
      </c>
      <c r="D5816" t="s">
        <v>3217</v>
      </c>
      <c r="E5816">
        <v>0</v>
      </c>
      <c r="F5816">
        <v>66.63</v>
      </c>
    </row>
    <row r="5817" spans="1:6" x14ac:dyDescent="0.25">
      <c r="A5817" t="s">
        <v>2293</v>
      </c>
      <c r="B5817" t="s">
        <v>42</v>
      </c>
      <c r="C5817" t="s">
        <v>113</v>
      </c>
      <c r="D5817" t="s">
        <v>3218</v>
      </c>
      <c r="E5817">
        <v>16.260000000000002</v>
      </c>
      <c r="F5817">
        <v>66.92</v>
      </c>
    </row>
    <row r="5818" spans="1:6" x14ac:dyDescent="0.25">
      <c r="A5818" t="s">
        <v>2293</v>
      </c>
      <c r="B5818" t="s">
        <v>42</v>
      </c>
      <c r="C5818" t="s">
        <v>113</v>
      </c>
      <c r="D5818" t="s">
        <v>3219</v>
      </c>
      <c r="E5818">
        <v>30.29</v>
      </c>
      <c r="F5818">
        <v>67.02</v>
      </c>
    </row>
    <row r="5819" spans="1:6" x14ac:dyDescent="0.25">
      <c r="A5819" t="s">
        <v>2294</v>
      </c>
      <c r="B5819" t="s">
        <v>42</v>
      </c>
      <c r="C5819" t="s">
        <v>114</v>
      </c>
      <c r="D5819" t="s">
        <v>3217</v>
      </c>
      <c r="E5819">
        <v>0</v>
      </c>
      <c r="F5819">
        <v>67.37</v>
      </c>
    </row>
    <row r="5820" spans="1:6" x14ac:dyDescent="0.25">
      <c r="A5820" t="s">
        <v>2294</v>
      </c>
      <c r="B5820" t="s">
        <v>42</v>
      </c>
      <c r="C5820" t="s">
        <v>114</v>
      </c>
      <c r="D5820" t="s">
        <v>3218</v>
      </c>
      <c r="E5820">
        <v>15.11</v>
      </c>
      <c r="F5820">
        <v>67.58</v>
      </c>
    </row>
    <row r="5821" spans="1:6" x14ac:dyDescent="0.25">
      <c r="A5821" t="s">
        <v>2294</v>
      </c>
      <c r="B5821" t="s">
        <v>42</v>
      </c>
      <c r="C5821" t="s">
        <v>114</v>
      </c>
      <c r="D5821" t="s">
        <v>3219</v>
      </c>
      <c r="E5821">
        <v>28.56</v>
      </c>
      <c r="F5821">
        <v>67.89</v>
      </c>
    </row>
    <row r="5822" spans="1:6" x14ac:dyDescent="0.25">
      <c r="A5822" t="s">
        <v>2295</v>
      </c>
      <c r="B5822" t="s">
        <v>42</v>
      </c>
      <c r="C5822" t="s">
        <v>115</v>
      </c>
      <c r="D5822" t="s">
        <v>3217</v>
      </c>
      <c r="E5822">
        <v>0</v>
      </c>
      <c r="F5822">
        <v>68.290000000000006</v>
      </c>
    </row>
    <row r="5823" spans="1:6" x14ac:dyDescent="0.25">
      <c r="A5823" t="s">
        <v>2295</v>
      </c>
      <c r="B5823" t="s">
        <v>42</v>
      </c>
      <c r="C5823" t="s">
        <v>115</v>
      </c>
      <c r="D5823" t="s">
        <v>3218</v>
      </c>
      <c r="E5823">
        <v>15.66</v>
      </c>
      <c r="F5823">
        <v>68.36</v>
      </c>
    </row>
    <row r="5824" spans="1:6" x14ac:dyDescent="0.25">
      <c r="A5824" t="s">
        <v>2295</v>
      </c>
      <c r="B5824" t="s">
        <v>42</v>
      </c>
      <c r="C5824" t="s">
        <v>115</v>
      </c>
      <c r="D5824" t="s">
        <v>3219</v>
      </c>
      <c r="E5824">
        <v>30.45</v>
      </c>
      <c r="F5824">
        <v>68.64</v>
      </c>
    </row>
    <row r="5825" spans="1:6" x14ac:dyDescent="0.25">
      <c r="A5825" t="s">
        <v>2296</v>
      </c>
      <c r="B5825" t="s">
        <v>42</v>
      </c>
      <c r="C5825" t="s">
        <v>324</v>
      </c>
      <c r="D5825" t="s">
        <v>3217</v>
      </c>
      <c r="E5825">
        <v>0</v>
      </c>
      <c r="F5825">
        <v>68.97</v>
      </c>
    </row>
    <row r="5826" spans="1:6" x14ac:dyDescent="0.25">
      <c r="A5826" t="s">
        <v>2296</v>
      </c>
      <c r="B5826" t="s">
        <v>42</v>
      </c>
      <c r="C5826" t="s">
        <v>324</v>
      </c>
      <c r="D5826" t="s">
        <v>3218</v>
      </c>
      <c r="E5826">
        <v>15.66</v>
      </c>
      <c r="F5826">
        <v>68.87</v>
      </c>
    </row>
    <row r="5827" spans="1:6" x14ac:dyDescent="0.25">
      <c r="A5827" t="s">
        <v>2296</v>
      </c>
      <c r="B5827" t="s">
        <v>42</v>
      </c>
      <c r="C5827" t="s">
        <v>324</v>
      </c>
      <c r="D5827" t="s">
        <v>3219</v>
      </c>
      <c r="E5827">
        <v>29.1</v>
      </c>
      <c r="F5827">
        <v>69</v>
      </c>
    </row>
    <row r="5828" spans="1:6" x14ac:dyDescent="0.25">
      <c r="A5828" t="s">
        <v>2297</v>
      </c>
      <c r="B5828" t="s">
        <v>43</v>
      </c>
      <c r="C5828" t="s">
        <v>56</v>
      </c>
      <c r="D5828" t="s">
        <v>3217</v>
      </c>
      <c r="E5828">
        <v>0</v>
      </c>
      <c r="F5828">
        <v>99.64</v>
      </c>
    </row>
    <row r="5829" spans="1:6" x14ac:dyDescent="0.25">
      <c r="A5829" t="s">
        <v>2297</v>
      </c>
      <c r="B5829" t="s">
        <v>43</v>
      </c>
      <c r="C5829" t="s">
        <v>56</v>
      </c>
      <c r="D5829" t="s">
        <v>3218</v>
      </c>
      <c r="E5829">
        <v>15.66</v>
      </c>
      <c r="F5829">
        <v>99.23</v>
      </c>
    </row>
    <row r="5830" spans="1:6" x14ac:dyDescent="0.25">
      <c r="A5830" t="s">
        <v>2297</v>
      </c>
      <c r="B5830" t="s">
        <v>43</v>
      </c>
      <c r="C5830" t="s">
        <v>56</v>
      </c>
      <c r="D5830" t="s">
        <v>3219</v>
      </c>
      <c r="E5830">
        <v>29.02</v>
      </c>
      <c r="F5830">
        <v>98.74</v>
      </c>
    </row>
    <row r="5831" spans="1:6" x14ac:dyDescent="0.25">
      <c r="A5831" t="s">
        <v>2298</v>
      </c>
      <c r="B5831" t="s">
        <v>43</v>
      </c>
      <c r="C5831" t="s">
        <v>57</v>
      </c>
      <c r="D5831" t="s">
        <v>3217</v>
      </c>
      <c r="E5831">
        <v>0</v>
      </c>
      <c r="F5831">
        <v>97.52</v>
      </c>
    </row>
    <row r="5832" spans="1:6" x14ac:dyDescent="0.25">
      <c r="A5832" t="s">
        <v>2298</v>
      </c>
      <c r="B5832" t="s">
        <v>43</v>
      </c>
      <c r="C5832" t="s">
        <v>57</v>
      </c>
      <c r="D5832" t="s">
        <v>3218</v>
      </c>
      <c r="E5832">
        <v>13.95</v>
      </c>
      <c r="F5832">
        <v>97.37</v>
      </c>
    </row>
    <row r="5833" spans="1:6" x14ac:dyDescent="0.25">
      <c r="A5833" t="s">
        <v>2298</v>
      </c>
      <c r="B5833" t="s">
        <v>43</v>
      </c>
      <c r="C5833" t="s">
        <v>57</v>
      </c>
      <c r="D5833" t="s">
        <v>3219</v>
      </c>
      <c r="E5833">
        <v>26.11</v>
      </c>
      <c r="F5833">
        <v>97.42</v>
      </c>
    </row>
    <row r="5834" spans="1:6" x14ac:dyDescent="0.25">
      <c r="A5834" t="s">
        <v>2299</v>
      </c>
      <c r="B5834" t="s">
        <v>43</v>
      </c>
      <c r="C5834" t="s">
        <v>58</v>
      </c>
      <c r="D5834" t="s">
        <v>3217</v>
      </c>
      <c r="E5834">
        <v>0</v>
      </c>
      <c r="F5834">
        <v>95.92</v>
      </c>
    </row>
    <row r="5835" spans="1:6" x14ac:dyDescent="0.25">
      <c r="A5835" t="s">
        <v>2299</v>
      </c>
      <c r="B5835" t="s">
        <v>43</v>
      </c>
      <c r="C5835" t="s">
        <v>58</v>
      </c>
      <c r="D5835" t="s">
        <v>3218</v>
      </c>
      <c r="E5835">
        <v>12.83</v>
      </c>
      <c r="F5835">
        <v>96.19</v>
      </c>
    </row>
    <row r="5836" spans="1:6" x14ac:dyDescent="0.25">
      <c r="A5836" t="s">
        <v>2299</v>
      </c>
      <c r="B5836" t="s">
        <v>43</v>
      </c>
      <c r="C5836" t="s">
        <v>58</v>
      </c>
      <c r="D5836" t="s">
        <v>3219</v>
      </c>
      <c r="E5836">
        <v>23.32</v>
      </c>
      <c r="F5836">
        <v>96.16</v>
      </c>
    </row>
    <row r="5837" spans="1:6" x14ac:dyDescent="0.25">
      <c r="A5837" t="s">
        <v>2300</v>
      </c>
      <c r="B5837" t="s">
        <v>43</v>
      </c>
      <c r="C5837" t="s">
        <v>59</v>
      </c>
      <c r="D5837" t="s">
        <v>3217</v>
      </c>
      <c r="E5837">
        <v>0</v>
      </c>
      <c r="F5837">
        <v>94.54</v>
      </c>
    </row>
    <row r="5838" spans="1:6" x14ac:dyDescent="0.25">
      <c r="A5838" t="s">
        <v>2300</v>
      </c>
      <c r="B5838" t="s">
        <v>43</v>
      </c>
      <c r="C5838" t="s">
        <v>59</v>
      </c>
      <c r="D5838" t="s">
        <v>3218</v>
      </c>
      <c r="E5838">
        <v>13.95</v>
      </c>
      <c r="F5838">
        <v>94.74</v>
      </c>
    </row>
    <row r="5839" spans="1:6" x14ac:dyDescent="0.25">
      <c r="A5839" t="s">
        <v>2300</v>
      </c>
      <c r="B5839" t="s">
        <v>43</v>
      </c>
      <c r="C5839" t="s">
        <v>59</v>
      </c>
      <c r="D5839" t="s">
        <v>3219</v>
      </c>
      <c r="E5839">
        <v>23.77</v>
      </c>
      <c r="F5839">
        <v>94.62</v>
      </c>
    </row>
    <row r="5840" spans="1:6" x14ac:dyDescent="0.25">
      <c r="A5840" t="s">
        <v>2301</v>
      </c>
      <c r="B5840" t="s">
        <v>43</v>
      </c>
      <c r="C5840" t="s">
        <v>60</v>
      </c>
      <c r="D5840" t="s">
        <v>3217</v>
      </c>
      <c r="E5840">
        <v>0</v>
      </c>
      <c r="F5840">
        <v>92.88</v>
      </c>
    </row>
    <row r="5841" spans="1:6" x14ac:dyDescent="0.25">
      <c r="A5841" t="s">
        <v>2301</v>
      </c>
      <c r="B5841" t="s">
        <v>43</v>
      </c>
      <c r="C5841" t="s">
        <v>60</v>
      </c>
      <c r="D5841" t="s">
        <v>3218</v>
      </c>
      <c r="E5841">
        <v>13.72</v>
      </c>
      <c r="F5841">
        <v>93.19</v>
      </c>
    </row>
    <row r="5842" spans="1:6" x14ac:dyDescent="0.25">
      <c r="A5842" t="s">
        <v>2301</v>
      </c>
      <c r="B5842" t="s">
        <v>43</v>
      </c>
      <c r="C5842" t="s">
        <v>60</v>
      </c>
      <c r="D5842" t="s">
        <v>3219</v>
      </c>
      <c r="E5842">
        <v>24.96</v>
      </c>
      <c r="F5842">
        <v>93.02</v>
      </c>
    </row>
    <row r="5843" spans="1:6" x14ac:dyDescent="0.25">
      <c r="A5843" t="s">
        <v>2302</v>
      </c>
      <c r="B5843" t="s">
        <v>43</v>
      </c>
      <c r="C5843" t="s">
        <v>61</v>
      </c>
      <c r="D5843" t="s">
        <v>3217</v>
      </c>
      <c r="E5843">
        <v>0</v>
      </c>
      <c r="F5843">
        <v>91.37</v>
      </c>
    </row>
    <row r="5844" spans="1:6" x14ac:dyDescent="0.25">
      <c r="A5844" t="s">
        <v>2302</v>
      </c>
      <c r="B5844" t="s">
        <v>43</v>
      </c>
      <c r="C5844" t="s">
        <v>61</v>
      </c>
      <c r="D5844" t="s">
        <v>3218</v>
      </c>
      <c r="E5844">
        <v>13.77</v>
      </c>
      <c r="F5844">
        <v>91.66</v>
      </c>
    </row>
    <row r="5845" spans="1:6" x14ac:dyDescent="0.25">
      <c r="A5845" t="s">
        <v>2302</v>
      </c>
      <c r="B5845" t="s">
        <v>43</v>
      </c>
      <c r="C5845" t="s">
        <v>61</v>
      </c>
      <c r="D5845" t="s">
        <v>3219</v>
      </c>
      <c r="E5845">
        <v>26.56</v>
      </c>
      <c r="F5845">
        <v>91.41</v>
      </c>
    </row>
    <row r="5846" spans="1:6" x14ac:dyDescent="0.25">
      <c r="A5846" t="s">
        <v>2303</v>
      </c>
      <c r="B5846" t="s">
        <v>43</v>
      </c>
      <c r="C5846" t="s">
        <v>62</v>
      </c>
      <c r="D5846" t="s">
        <v>3217</v>
      </c>
      <c r="E5846">
        <v>0</v>
      </c>
      <c r="F5846">
        <v>89.72</v>
      </c>
    </row>
    <row r="5847" spans="1:6" x14ac:dyDescent="0.25">
      <c r="A5847" t="s">
        <v>2303</v>
      </c>
      <c r="B5847" t="s">
        <v>43</v>
      </c>
      <c r="C5847" t="s">
        <v>62</v>
      </c>
      <c r="D5847" t="s">
        <v>3218</v>
      </c>
      <c r="E5847">
        <v>13.83</v>
      </c>
      <c r="F5847">
        <v>90.02</v>
      </c>
    </row>
    <row r="5848" spans="1:6" x14ac:dyDescent="0.25">
      <c r="A5848" t="s">
        <v>2303</v>
      </c>
      <c r="B5848" t="s">
        <v>43</v>
      </c>
      <c r="C5848" t="s">
        <v>62</v>
      </c>
      <c r="D5848" t="s">
        <v>3219</v>
      </c>
      <c r="E5848">
        <v>27.52</v>
      </c>
      <c r="F5848">
        <v>89.77</v>
      </c>
    </row>
    <row r="5849" spans="1:6" x14ac:dyDescent="0.25">
      <c r="A5849" t="s">
        <v>2304</v>
      </c>
      <c r="B5849" t="s">
        <v>43</v>
      </c>
      <c r="C5849" t="s">
        <v>63</v>
      </c>
      <c r="D5849" t="s">
        <v>3217</v>
      </c>
      <c r="E5849">
        <v>0</v>
      </c>
      <c r="F5849">
        <v>88.13</v>
      </c>
    </row>
    <row r="5850" spans="1:6" x14ac:dyDescent="0.25">
      <c r="A5850" t="s">
        <v>2304</v>
      </c>
      <c r="B5850" t="s">
        <v>43</v>
      </c>
      <c r="C5850" t="s">
        <v>63</v>
      </c>
      <c r="D5850" t="s">
        <v>3218</v>
      </c>
      <c r="E5850">
        <v>14.24</v>
      </c>
      <c r="F5850">
        <v>88.47</v>
      </c>
    </row>
    <row r="5851" spans="1:6" x14ac:dyDescent="0.25">
      <c r="A5851" t="s">
        <v>2304</v>
      </c>
      <c r="B5851" t="s">
        <v>43</v>
      </c>
      <c r="C5851" t="s">
        <v>63</v>
      </c>
      <c r="D5851" t="s">
        <v>3219</v>
      </c>
      <c r="E5851">
        <v>28.69</v>
      </c>
      <c r="F5851">
        <v>88.13</v>
      </c>
    </row>
    <row r="5852" spans="1:6" x14ac:dyDescent="0.25">
      <c r="A5852" t="s">
        <v>2305</v>
      </c>
      <c r="B5852" t="s">
        <v>43</v>
      </c>
      <c r="C5852" t="s">
        <v>64</v>
      </c>
      <c r="D5852" t="s">
        <v>3217</v>
      </c>
      <c r="E5852">
        <v>0</v>
      </c>
      <c r="F5852">
        <v>86.69</v>
      </c>
    </row>
    <row r="5853" spans="1:6" x14ac:dyDescent="0.25">
      <c r="A5853" t="s">
        <v>2305</v>
      </c>
      <c r="B5853" t="s">
        <v>43</v>
      </c>
      <c r="C5853" t="s">
        <v>64</v>
      </c>
      <c r="D5853" t="s">
        <v>3218</v>
      </c>
      <c r="E5853">
        <v>14.93</v>
      </c>
      <c r="F5853">
        <v>87.02</v>
      </c>
    </row>
    <row r="5854" spans="1:6" x14ac:dyDescent="0.25">
      <c r="A5854" t="s">
        <v>2305</v>
      </c>
      <c r="B5854" t="s">
        <v>43</v>
      </c>
      <c r="C5854" t="s">
        <v>64</v>
      </c>
      <c r="D5854" t="s">
        <v>3219</v>
      </c>
      <c r="E5854">
        <v>29.75</v>
      </c>
      <c r="F5854">
        <v>86.73</v>
      </c>
    </row>
    <row r="5855" spans="1:6" x14ac:dyDescent="0.25">
      <c r="A5855" t="s">
        <v>2306</v>
      </c>
      <c r="B5855" t="s">
        <v>43</v>
      </c>
      <c r="C5855" t="s">
        <v>65</v>
      </c>
      <c r="D5855" t="s">
        <v>3217</v>
      </c>
      <c r="E5855">
        <v>0</v>
      </c>
      <c r="F5855">
        <v>85.28</v>
      </c>
    </row>
    <row r="5856" spans="1:6" x14ac:dyDescent="0.25">
      <c r="A5856" t="s">
        <v>2306</v>
      </c>
      <c r="B5856" t="s">
        <v>43</v>
      </c>
      <c r="C5856" t="s">
        <v>65</v>
      </c>
      <c r="D5856" t="s">
        <v>3218</v>
      </c>
      <c r="E5856">
        <v>15.02</v>
      </c>
      <c r="F5856">
        <v>85.49</v>
      </c>
    </row>
    <row r="5857" spans="1:6" x14ac:dyDescent="0.25">
      <c r="A5857" t="s">
        <v>2306</v>
      </c>
      <c r="B5857" t="s">
        <v>43</v>
      </c>
      <c r="C5857" t="s">
        <v>65</v>
      </c>
      <c r="D5857" t="s">
        <v>3219</v>
      </c>
      <c r="E5857">
        <v>29.84</v>
      </c>
      <c r="F5857">
        <v>85.24</v>
      </c>
    </row>
    <row r="5858" spans="1:6" x14ac:dyDescent="0.25">
      <c r="A5858" t="s">
        <v>2307</v>
      </c>
      <c r="B5858" t="s">
        <v>43</v>
      </c>
      <c r="C5858" t="s">
        <v>66</v>
      </c>
      <c r="D5858" t="s">
        <v>3217</v>
      </c>
      <c r="E5858">
        <v>0</v>
      </c>
      <c r="F5858">
        <v>83.59</v>
      </c>
    </row>
    <row r="5859" spans="1:6" x14ac:dyDescent="0.25">
      <c r="A5859" t="s">
        <v>2307</v>
      </c>
      <c r="B5859" t="s">
        <v>43</v>
      </c>
      <c r="C5859" t="s">
        <v>66</v>
      </c>
      <c r="D5859" t="s">
        <v>3218</v>
      </c>
      <c r="E5859">
        <v>14.73</v>
      </c>
      <c r="F5859">
        <v>83.85</v>
      </c>
    </row>
    <row r="5860" spans="1:6" x14ac:dyDescent="0.25">
      <c r="A5860" t="s">
        <v>2307</v>
      </c>
      <c r="B5860" t="s">
        <v>43</v>
      </c>
      <c r="C5860" t="s">
        <v>66</v>
      </c>
      <c r="D5860" t="s">
        <v>3219</v>
      </c>
      <c r="E5860">
        <v>29.08</v>
      </c>
      <c r="F5860">
        <v>83.68</v>
      </c>
    </row>
    <row r="5861" spans="1:6" x14ac:dyDescent="0.25">
      <c r="A5861" t="s">
        <v>2308</v>
      </c>
      <c r="B5861" t="s">
        <v>43</v>
      </c>
      <c r="C5861" t="s">
        <v>67</v>
      </c>
      <c r="D5861" t="s">
        <v>3217</v>
      </c>
      <c r="E5861">
        <v>0</v>
      </c>
      <c r="F5861">
        <v>81.94</v>
      </c>
    </row>
    <row r="5862" spans="1:6" x14ac:dyDescent="0.25">
      <c r="A5862" t="s">
        <v>2308</v>
      </c>
      <c r="B5862" t="s">
        <v>43</v>
      </c>
      <c r="C5862" t="s">
        <v>67</v>
      </c>
      <c r="D5862" t="s">
        <v>3218</v>
      </c>
      <c r="E5862">
        <v>14.55</v>
      </c>
      <c r="F5862">
        <v>82.25</v>
      </c>
    </row>
    <row r="5863" spans="1:6" x14ac:dyDescent="0.25">
      <c r="A5863" t="s">
        <v>2308</v>
      </c>
      <c r="B5863" t="s">
        <v>43</v>
      </c>
      <c r="C5863" t="s">
        <v>67</v>
      </c>
      <c r="D5863" t="s">
        <v>3219</v>
      </c>
      <c r="E5863">
        <v>29.29</v>
      </c>
      <c r="F5863">
        <v>81.96</v>
      </c>
    </row>
    <row r="5864" spans="1:6" x14ac:dyDescent="0.25">
      <c r="A5864" t="s">
        <v>2309</v>
      </c>
      <c r="B5864" t="s">
        <v>43</v>
      </c>
      <c r="C5864" t="s">
        <v>68</v>
      </c>
      <c r="D5864" t="s">
        <v>3217</v>
      </c>
      <c r="E5864">
        <v>0</v>
      </c>
      <c r="F5864">
        <v>80.52</v>
      </c>
    </row>
    <row r="5865" spans="1:6" x14ac:dyDescent="0.25">
      <c r="A5865" t="s">
        <v>2309</v>
      </c>
      <c r="B5865" t="s">
        <v>43</v>
      </c>
      <c r="C5865" t="s">
        <v>68</v>
      </c>
      <c r="D5865" t="s">
        <v>3218</v>
      </c>
      <c r="E5865">
        <v>14.42</v>
      </c>
      <c r="F5865">
        <v>80.7</v>
      </c>
    </row>
    <row r="5866" spans="1:6" x14ac:dyDescent="0.25">
      <c r="A5866" t="s">
        <v>2309</v>
      </c>
      <c r="B5866" t="s">
        <v>43</v>
      </c>
      <c r="C5866" t="s">
        <v>68</v>
      </c>
      <c r="D5866" t="s">
        <v>3219</v>
      </c>
      <c r="E5866">
        <v>29.44</v>
      </c>
      <c r="F5866">
        <v>80.44</v>
      </c>
    </row>
    <row r="5867" spans="1:6" x14ac:dyDescent="0.25">
      <c r="A5867" t="s">
        <v>2310</v>
      </c>
      <c r="B5867" t="s">
        <v>43</v>
      </c>
      <c r="C5867" t="s">
        <v>69</v>
      </c>
      <c r="D5867" t="s">
        <v>3217</v>
      </c>
      <c r="E5867">
        <v>0</v>
      </c>
      <c r="F5867">
        <v>79.22</v>
      </c>
    </row>
    <row r="5868" spans="1:6" x14ac:dyDescent="0.25">
      <c r="A5868" t="s">
        <v>2310</v>
      </c>
      <c r="B5868" t="s">
        <v>43</v>
      </c>
      <c r="C5868" t="s">
        <v>69</v>
      </c>
      <c r="D5868" t="s">
        <v>3218</v>
      </c>
      <c r="E5868">
        <v>14.29</v>
      </c>
      <c r="F5868">
        <v>79.34</v>
      </c>
    </row>
    <row r="5869" spans="1:6" x14ac:dyDescent="0.25">
      <c r="A5869" t="s">
        <v>2310</v>
      </c>
      <c r="B5869" t="s">
        <v>43</v>
      </c>
      <c r="C5869" t="s">
        <v>69</v>
      </c>
      <c r="D5869" t="s">
        <v>3219</v>
      </c>
      <c r="E5869">
        <v>29.46</v>
      </c>
      <c r="F5869">
        <v>79.099999999999994</v>
      </c>
    </row>
    <row r="5870" spans="1:6" x14ac:dyDescent="0.25">
      <c r="A5870" t="s">
        <v>2311</v>
      </c>
      <c r="B5870" t="s">
        <v>43</v>
      </c>
      <c r="C5870" t="s">
        <v>70</v>
      </c>
      <c r="D5870" t="s">
        <v>3217</v>
      </c>
      <c r="E5870">
        <v>0</v>
      </c>
      <c r="F5870">
        <v>77.66</v>
      </c>
    </row>
    <row r="5871" spans="1:6" x14ac:dyDescent="0.25">
      <c r="A5871" t="s">
        <v>2311</v>
      </c>
      <c r="B5871" t="s">
        <v>43</v>
      </c>
      <c r="C5871" t="s">
        <v>70</v>
      </c>
      <c r="D5871" t="s">
        <v>3218</v>
      </c>
      <c r="E5871">
        <v>14.34</v>
      </c>
      <c r="F5871">
        <v>77.91</v>
      </c>
    </row>
    <row r="5872" spans="1:6" x14ac:dyDescent="0.25">
      <c r="A5872" t="s">
        <v>2311</v>
      </c>
      <c r="B5872" t="s">
        <v>43</v>
      </c>
      <c r="C5872" t="s">
        <v>70</v>
      </c>
      <c r="D5872" t="s">
        <v>3219</v>
      </c>
      <c r="E5872">
        <v>29.28</v>
      </c>
      <c r="F5872">
        <v>77.66</v>
      </c>
    </row>
    <row r="5873" spans="1:6" x14ac:dyDescent="0.25">
      <c r="A5873" t="s">
        <v>2312</v>
      </c>
      <c r="B5873" t="s">
        <v>43</v>
      </c>
      <c r="C5873" t="s">
        <v>71</v>
      </c>
      <c r="D5873" t="s">
        <v>3217</v>
      </c>
      <c r="E5873">
        <v>0</v>
      </c>
      <c r="F5873">
        <v>76.400000000000006</v>
      </c>
    </row>
    <row r="5874" spans="1:6" x14ac:dyDescent="0.25">
      <c r="A5874" t="s">
        <v>2312</v>
      </c>
      <c r="B5874" t="s">
        <v>43</v>
      </c>
      <c r="C5874" t="s">
        <v>71</v>
      </c>
      <c r="D5874" t="s">
        <v>3218</v>
      </c>
      <c r="E5874">
        <v>15.55</v>
      </c>
      <c r="F5874">
        <v>76.37</v>
      </c>
    </row>
    <row r="5875" spans="1:6" x14ac:dyDescent="0.25">
      <c r="A5875" t="s">
        <v>2312</v>
      </c>
      <c r="B5875" t="s">
        <v>43</v>
      </c>
      <c r="C5875" t="s">
        <v>71</v>
      </c>
      <c r="D5875" t="s">
        <v>3219</v>
      </c>
      <c r="E5875">
        <v>30.37</v>
      </c>
      <c r="F5875">
        <v>76.03</v>
      </c>
    </row>
    <row r="5876" spans="1:6" x14ac:dyDescent="0.25">
      <c r="A5876" t="s">
        <v>2313</v>
      </c>
      <c r="B5876" t="s">
        <v>43</v>
      </c>
      <c r="C5876" t="s">
        <v>72</v>
      </c>
      <c r="D5876" t="s">
        <v>3217</v>
      </c>
      <c r="E5876">
        <v>0</v>
      </c>
      <c r="F5876">
        <v>74.86</v>
      </c>
    </row>
    <row r="5877" spans="1:6" x14ac:dyDescent="0.25">
      <c r="A5877" t="s">
        <v>2313</v>
      </c>
      <c r="B5877" t="s">
        <v>43</v>
      </c>
      <c r="C5877" t="s">
        <v>72</v>
      </c>
      <c r="D5877" t="s">
        <v>3218</v>
      </c>
      <c r="E5877">
        <v>15.67</v>
      </c>
      <c r="F5877">
        <v>74.73</v>
      </c>
    </row>
    <row r="5878" spans="1:6" x14ac:dyDescent="0.25">
      <c r="A5878" t="s">
        <v>2313</v>
      </c>
      <c r="B5878" t="s">
        <v>43</v>
      </c>
      <c r="C5878" t="s">
        <v>72</v>
      </c>
      <c r="D5878" t="s">
        <v>3219</v>
      </c>
      <c r="E5878">
        <v>30.94</v>
      </c>
      <c r="F5878">
        <v>74.45</v>
      </c>
    </row>
    <row r="5879" spans="1:6" x14ac:dyDescent="0.25">
      <c r="A5879" t="s">
        <v>2314</v>
      </c>
      <c r="B5879" t="s">
        <v>43</v>
      </c>
      <c r="C5879" t="s">
        <v>73</v>
      </c>
      <c r="D5879" t="s">
        <v>3217</v>
      </c>
      <c r="E5879">
        <v>0</v>
      </c>
      <c r="F5879">
        <v>73.3</v>
      </c>
    </row>
    <row r="5880" spans="1:6" x14ac:dyDescent="0.25">
      <c r="A5880" t="s">
        <v>2314</v>
      </c>
      <c r="B5880" t="s">
        <v>43</v>
      </c>
      <c r="C5880" t="s">
        <v>73</v>
      </c>
      <c r="D5880" t="s">
        <v>3218</v>
      </c>
      <c r="E5880">
        <v>15.55</v>
      </c>
      <c r="F5880">
        <v>73.180000000000007</v>
      </c>
    </row>
    <row r="5881" spans="1:6" x14ac:dyDescent="0.25">
      <c r="A5881" t="s">
        <v>2314</v>
      </c>
      <c r="B5881" t="s">
        <v>43</v>
      </c>
      <c r="C5881" t="s">
        <v>73</v>
      </c>
      <c r="D5881" t="s">
        <v>3219</v>
      </c>
      <c r="E5881">
        <v>31.24</v>
      </c>
      <c r="F5881">
        <v>72.98</v>
      </c>
    </row>
    <row r="5882" spans="1:6" x14ac:dyDescent="0.25">
      <c r="A5882" t="s">
        <v>2315</v>
      </c>
      <c r="B5882" t="s">
        <v>43</v>
      </c>
      <c r="C5882" t="s">
        <v>74</v>
      </c>
      <c r="D5882" t="s">
        <v>3217</v>
      </c>
      <c r="E5882">
        <v>0</v>
      </c>
      <c r="F5882">
        <v>71.930000000000007</v>
      </c>
    </row>
    <row r="5883" spans="1:6" x14ac:dyDescent="0.25">
      <c r="A5883" t="s">
        <v>2315</v>
      </c>
      <c r="B5883" t="s">
        <v>43</v>
      </c>
      <c r="C5883" t="s">
        <v>74</v>
      </c>
      <c r="D5883" t="s">
        <v>3218</v>
      </c>
      <c r="E5883">
        <v>15.07</v>
      </c>
      <c r="F5883">
        <v>71.66</v>
      </c>
    </row>
    <row r="5884" spans="1:6" x14ac:dyDescent="0.25">
      <c r="A5884" t="s">
        <v>2315</v>
      </c>
      <c r="B5884" t="s">
        <v>43</v>
      </c>
      <c r="C5884" t="s">
        <v>74</v>
      </c>
      <c r="D5884" t="s">
        <v>3219</v>
      </c>
      <c r="E5884">
        <v>31.09</v>
      </c>
      <c r="F5884">
        <v>71.45</v>
      </c>
    </row>
    <row r="5885" spans="1:6" x14ac:dyDescent="0.25">
      <c r="A5885" t="s">
        <v>2316</v>
      </c>
      <c r="B5885" t="s">
        <v>43</v>
      </c>
      <c r="C5885" t="s">
        <v>75</v>
      </c>
      <c r="D5885" t="s">
        <v>3217</v>
      </c>
      <c r="E5885">
        <v>0</v>
      </c>
      <c r="F5885">
        <v>70.41</v>
      </c>
    </row>
    <row r="5886" spans="1:6" x14ac:dyDescent="0.25">
      <c r="A5886" t="s">
        <v>2316</v>
      </c>
      <c r="B5886" t="s">
        <v>43</v>
      </c>
      <c r="C5886" t="s">
        <v>75</v>
      </c>
      <c r="D5886" t="s">
        <v>3218</v>
      </c>
      <c r="E5886">
        <v>14.74</v>
      </c>
      <c r="F5886">
        <v>70.209999999999994</v>
      </c>
    </row>
    <row r="5887" spans="1:6" x14ac:dyDescent="0.25">
      <c r="A5887" t="s">
        <v>2316</v>
      </c>
      <c r="B5887" t="s">
        <v>43</v>
      </c>
      <c r="C5887" t="s">
        <v>75</v>
      </c>
      <c r="D5887" t="s">
        <v>3219</v>
      </c>
      <c r="E5887">
        <v>30.3</v>
      </c>
      <c r="F5887">
        <v>70.03</v>
      </c>
    </row>
    <row r="5888" spans="1:6" x14ac:dyDescent="0.25">
      <c r="A5888" t="s">
        <v>2317</v>
      </c>
      <c r="B5888" t="s">
        <v>43</v>
      </c>
      <c r="C5888" t="s">
        <v>76</v>
      </c>
      <c r="D5888" t="s">
        <v>3217</v>
      </c>
      <c r="E5888">
        <v>0</v>
      </c>
      <c r="F5888">
        <v>68.900000000000006</v>
      </c>
    </row>
    <row r="5889" spans="1:6" x14ac:dyDescent="0.25">
      <c r="A5889" t="s">
        <v>2317</v>
      </c>
      <c r="B5889" t="s">
        <v>43</v>
      </c>
      <c r="C5889" t="s">
        <v>76</v>
      </c>
      <c r="D5889" t="s">
        <v>3218</v>
      </c>
      <c r="E5889">
        <v>16.04</v>
      </c>
      <c r="F5889">
        <v>68.95</v>
      </c>
    </row>
    <row r="5890" spans="1:6" x14ac:dyDescent="0.25">
      <c r="A5890" t="s">
        <v>2317</v>
      </c>
      <c r="B5890" t="s">
        <v>43</v>
      </c>
      <c r="C5890" t="s">
        <v>76</v>
      </c>
      <c r="D5890" t="s">
        <v>3219</v>
      </c>
      <c r="E5890">
        <v>32.07</v>
      </c>
      <c r="F5890">
        <v>68.58</v>
      </c>
    </row>
    <row r="5891" spans="1:6" x14ac:dyDescent="0.25">
      <c r="A5891" t="s">
        <v>2318</v>
      </c>
      <c r="B5891" t="s">
        <v>43</v>
      </c>
      <c r="C5891" t="s">
        <v>77</v>
      </c>
      <c r="D5891" t="s">
        <v>3217</v>
      </c>
      <c r="E5891">
        <v>0</v>
      </c>
      <c r="F5891">
        <v>67.53</v>
      </c>
    </row>
    <row r="5892" spans="1:6" x14ac:dyDescent="0.25">
      <c r="A5892" t="s">
        <v>2318</v>
      </c>
      <c r="B5892" t="s">
        <v>43</v>
      </c>
      <c r="C5892" t="s">
        <v>77</v>
      </c>
      <c r="D5892" t="s">
        <v>3218</v>
      </c>
      <c r="E5892">
        <v>16.04</v>
      </c>
      <c r="F5892">
        <v>67.44</v>
      </c>
    </row>
    <row r="5893" spans="1:6" x14ac:dyDescent="0.25">
      <c r="A5893" t="s">
        <v>2318</v>
      </c>
      <c r="B5893" t="s">
        <v>43</v>
      </c>
      <c r="C5893" t="s">
        <v>77</v>
      </c>
      <c r="D5893" t="s">
        <v>3219</v>
      </c>
      <c r="E5893">
        <v>36.04</v>
      </c>
      <c r="F5893">
        <v>66.489999999999995</v>
      </c>
    </row>
    <row r="5894" spans="1:6" x14ac:dyDescent="0.25">
      <c r="A5894" t="s">
        <v>2319</v>
      </c>
      <c r="B5894" t="s">
        <v>43</v>
      </c>
      <c r="C5894" t="s">
        <v>78</v>
      </c>
      <c r="D5894" t="s">
        <v>3217</v>
      </c>
      <c r="E5894">
        <v>0</v>
      </c>
      <c r="F5894">
        <v>66.22</v>
      </c>
    </row>
    <row r="5895" spans="1:6" x14ac:dyDescent="0.25">
      <c r="A5895" t="s">
        <v>2319</v>
      </c>
      <c r="B5895" t="s">
        <v>43</v>
      </c>
      <c r="C5895" t="s">
        <v>78</v>
      </c>
      <c r="D5895" t="s">
        <v>3218</v>
      </c>
      <c r="E5895">
        <v>16.04</v>
      </c>
      <c r="F5895">
        <v>66.45</v>
      </c>
    </row>
    <row r="5896" spans="1:6" x14ac:dyDescent="0.25">
      <c r="A5896" t="s">
        <v>2319</v>
      </c>
      <c r="B5896" t="s">
        <v>43</v>
      </c>
      <c r="C5896" t="s">
        <v>78</v>
      </c>
      <c r="D5896" t="s">
        <v>3219</v>
      </c>
      <c r="E5896">
        <v>36.04</v>
      </c>
      <c r="F5896">
        <v>65.61</v>
      </c>
    </row>
    <row r="5897" spans="1:6" x14ac:dyDescent="0.25">
      <c r="A5897" t="s">
        <v>2320</v>
      </c>
      <c r="B5897" t="s">
        <v>43</v>
      </c>
      <c r="C5897" t="s">
        <v>79</v>
      </c>
      <c r="D5897" t="s">
        <v>3217</v>
      </c>
      <c r="E5897">
        <v>0</v>
      </c>
      <c r="F5897">
        <v>65.3</v>
      </c>
    </row>
    <row r="5898" spans="1:6" x14ac:dyDescent="0.25">
      <c r="A5898" t="s">
        <v>2320</v>
      </c>
      <c r="B5898" t="s">
        <v>43</v>
      </c>
      <c r="C5898" t="s">
        <v>79</v>
      </c>
      <c r="D5898" t="s">
        <v>3218</v>
      </c>
      <c r="E5898">
        <v>15.63</v>
      </c>
      <c r="F5898">
        <v>65.12</v>
      </c>
    </row>
    <row r="5899" spans="1:6" x14ac:dyDescent="0.25">
      <c r="A5899" t="s">
        <v>2320</v>
      </c>
      <c r="B5899" t="s">
        <v>43</v>
      </c>
      <c r="C5899" t="s">
        <v>79</v>
      </c>
      <c r="D5899" t="s">
        <v>3219</v>
      </c>
      <c r="E5899">
        <v>35.630000000000003</v>
      </c>
      <c r="F5899">
        <v>64.650000000000006</v>
      </c>
    </row>
    <row r="5900" spans="1:6" x14ac:dyDescent="0.25">
      <c r="A5900" t="s">
        <v>2321</v>
      </c>
      <c r="B5900" t="s">
        <v>43</v>
      </c>
      <c r="C5900" t="s">
        <v>80</v>
      </c>
      <c r="D5900" t="s">
        <v>3217</v>
      </c>
      <c r="E5900">
        <v>0</v>
      </c>
      <c r="F5900">
        <v>64.19</v>
      </c>
    </row>
    <row r="5901" spans="1:6" x14ac:dyDescent="0.25">
      <c r="A5901" t="s">
        <v>2321</v>
      </c>
      <c r="B5901" t="s">
        <v>43</v>
      </c>
      <c r="C5901" t="s">
        <v>80</v>
      </c>
      <c r="D5901" t="s">
        <v>3218</v>
      </c>
      <c r="E5901">
        <v>14.56</v>
      </c>
      <c r="F5901">
        <v>63.88</v>
      </c>
    </row>
    <row r="5902" spans="1:6" x14ac:dyDescent="0.25">
      <c r="A5902" t="s">
        <v>2321</v>
      </c>
      <c r="B5902" t="s">
        <v>43</v>
      </c>
      <c r="C5902" t="s">
        <v>80</v>
      </c>
      <c r="D5902" t="s">
        <v>3219</v>
      </c>
      <c r="E5902">
        <v>34.56</v>
      </c>
      <c r="F5902">
        <v>63.7</v>
      </c>
    </row>
    <row r="5903" spans="1:6" x14ac:dyDescent="0.25">
      <c r="A5903" t="s">
        <v>2322</v>
      </c>
      <c r="B5903" t="s">
        <v>43</v>
      </c>
      <c r="C5903" t="s">
        <v>81</v>
      </c>
      <c r="D5903" t="s">
        <v>3217</v>
      </c>
      <c r="E5903">
        <v>0</v>
      </c>
      <c r="F5903">
        <v>62.93</v>
      </c>
    </row>
    <row r="5904" spans="1:6" x14ac:dyDescent="0.25">
      <c r="A5904" t="s">
        <v>2322</v>
      </c>
      <c r="B5904" t="s">
        <v>43</v>
      </c>
      <c r="C5904" t="s">
        <v>81</v>
      </c>
      <c r="D5904" t="s">
        <v>3218</v>
      </c>
      <c r="E5904">
        <v>14.46</v>
      </c>
      <c r="F5904">
        <v>62.7</v>
      </c>
    </row>
    <row r="5905" spans="1:6" x14ac:dyDescent="0.25">
      <c r="A5905" t="s">
        <v>2322</v>
      </c>
      <c r="B5905" t="s">
        <v>43</v>
      </c>
      <c r="C5905" t="s">
        <v>81</v>
      </c>
      <c r="D5905" t="s">
        <v>3219</v>
      </c>
      <c r="E5905">
        <v>28.57</v>
      </c>
      <c r="F5905">
        <v>62.53</v>
      </c>
    </row>
    <row r="5906" spans="1:6" x14ac:dyDescent="0.25">
      <c r="A5906" t="s">
        <v>2323</v>
      </c>
      <c r="B5906" t="s">
        <v>43</v>
      </c>
      <c r="C5906" t="s">
        <v>82</v>
      </c>
      <c r="D5906" t="s">
        <v>3217</v>
      </c>
      <c r="E5906">
        <v>0</v>
      </c>
      <c r="F5906">
        <v>61.64</v>
      </c>
    </row>
    <row r="5907" spans="1:6" x14ac:dyDescent="0.25">
      <c r="A5907" t="s">
        <v>2323</v>
      </c>
      <c r="B5907" t="s">
        <v>43</v>
      </c>
      <c r="C5907" t="s">
        <v>82</v>
      </c>
      <c r="D5907" t="s">
        <v>3218</v>
      </c>
      <c r="E5907">
        <v>12.55</v>
      </c>
      <c r="F5907">
        <v>61.78</v>
      </c>
    </row>
    <row r="5908" spans="1:6" x14ac:dyDescent="0.25">
      <c r="A5908" t="s">
        <v>2323</v>
      </c>
      <c r="B5908" t="s">
        <v>43</v>
      </c>
      <c r="C5908" t="s">
        <v>82</v>
      </c>
      <c r="D5908" t="s">
        <v>3219</v>
      </c>
      <c r="E5908">
        <v>26.28</v>
      </c>
      <c r="F5908">
        <v>61.08</v>
      </c>
    </row>
    <row r="5909" spans="1:6" x14ac:dyDescent="0.25">
      <c r="A5909" t="s">
        <v>2324</v>
      </c>
      <c r="B5909" t="s">
        <v>43</v>
      </c>
      <c r="C5909" t="s">
        <v>83</v>
      </c>
      <c r="D5909" t="s">
        <v>3217</v>
      </c>
      <c r="E5909">
        <v>0</v>
      </c>
      <c r="F5909">
        <v>60.32</v>
      </c>
    </row>
    <row r="5910" spans="1:6" x14ac:dyDescent="0.25">
      <c r="A5910" t="s">
        <v>2324</v>
      </c>
      <c r="B5910" t="s">
        <v>43</v>
      </c>
      <c r="C5910" t="s">
        <v>83</v>
      </c>
      <c r="D5910" t="s">
        <v>3218</v>
      </c>
      <c r="E5910">
        <v>11.5</v>
      </c>
      <c r="F5910">
        <v>60.25</v>
      </c>
    </row>
    <row r="5911" spans="1:6" x14ac:dyDescent="0.25">
      <c r="A5911" t="s">
        <v>2324</v>
      </c>
      <c r="B5911" t="s">
        <v>43</v>
      </c>
      <c r="C5911" t="s">
        <v>83</v>
      </c>
      <c r="D5911" t="s">
        <v>3219</v>
      </c>
      <c r="E5911">
        <v>24.58</v>
      </c>
      <c r="F5911">
        <v>59.76</v>
      </c>
    </row>
    <row r="5912" spans="1:6" x14ac:dyDescent="0.25">
      <c r="A5912" t="s">
        <v>2325</v>
      </c>
      <c r="B5912" t="s">
        <v>43</v>
      </c>
      <c r="C5912" t="s">
        <v>84</v>
      </c>
      <c r="D5912" t="s">
        <v>3217</v>
      </c>
      <c r="E5912">
        <v>0</v>
      </c>
      <c r="F5912">
        <v>59.1</v>
      </c>
    </row>
    <row r="5913" spans="1:6" x14ac:dyDescent="0.25">
      <c r="A5913" t="s">
        <v>2325</v>
      </c>
      <c r="B5913" t="s">
        <v>43</v>
      </c>
      <c r="C5913" t="s">
        <v>84</v>
      </c>
      <c r="D5913" t="s">
        <v>3218</v>
      </c>
      <c r="E5913">
        <v>11.81</v>
      </c>
      <c r="F5913">
        <v>58.99</v>
      </c>
    </row>
    <row r="5914" spans="1:6" x14ac:dyDescent="0.25">
      <c r="A5914" t="s">
        <v>2325</v>
      </c>
      <c r="B5914" t="s">
        <v>43</v>
      </c>
      <c r="C5914" t="s">
        <v>84</v>
      </c>
      <c r="D5914" t="s">
        <v>3219</v>
      </c>
      <c r="E5914">
        <v>25.55</v>
      </c>
      <c r="F5914">
        <v>58.38</v>
      </c>
    </row>
    <row r="5915" spans="1:6" x14ac:dyDescent="0.25">
      <c r="A5915" t="s">
        <v>2326</v>
      </c>
      <c r="B5915" t="s">
        <v>43</v>
      </c>
      <c r="C5915" t="s">
        <v>85</v>
      </c>
      <c r="D5915" t="s">
        <v>3217</v>
      </c>
      <c r="E5915">
        <v>0</v>
      </c>
      <c r="F5915">
        <v>57.74</v>
      </c>
    </row>
    <row r="5916" spans="1:6" x14ac:dyDescent="0.25">
      <c r="A5916" t="s">
        <v>2326</v>
      </c>
      <c r="B5916" t="s">
        <v>43</v>
      </c>
      <c r="C5916" t="s">
        <v>85</v>
      </c>
      <c r="D5916" t="s">
        <v>3218</v>
      </c>
      <c r="E5916">
        <v>10.54</v>
      </c>
      <c r="F5916">
        <v>57.73</v>
      </c>
    </row>
    <row r="5917" spans="1:6" x14ac:dyDescent="0.25">
      <c r="A5917" t="s">
        <v>2326</v>
      </c>
      <c r="B5917" t="s">
        <v>43</v>
      </c>
      <c r="C5917" t="s">
        <v>85</v>
      </c>
      <c r="D5917" t="s">
        <v>3219</v>
      </c>
      <c r="E5917">
        <v>23.73</v>
      </c>
      <c r="F5917">
        <v>56.98</v>
      </c>
    </row>
    <row r="5918" spans="1:6" x14ac:dyDescent="0.25">
      <c r="A5918" t="s">
        <v>2327</v>
      </c>
      <c r="B5918" t="s">
        <v>43</v>
      </c>
      <c r="C5918" t="s">
        <v>86</v>
      </c>
      <c r="D5918" t="s">
        <v>3217</v>
      </c>
      <c r="E5918">
        <v>0</v>
      </c>
      <c r="F5918">
        <v>56.13</v>
      </c>
    </row>
    <row r="5919" spans="1:6" x14ac:dyDescent="0.25">
      <c r="A5919" t="s">
        <v>2327</v>
      </c>
      <c r="B5919" t="s">
        <v>43</v>
      </c>
      <c r="C5919" t="s">
        <v>86</v>
      </c>
      <c r="D5919" t="s">
        <v>3218</v>
      </c>
      <c r="E5919">
        <v>11.03</v>
      </c>
      <c r="F5919">
        <v>56.16</v>
      </c>
    </row>
    <row r="5920" spans="1:6" x14ac:dyDescent="0.25">
      <c r="A5920" t="s">
        <v>2327</v>
      </c>
      <c r="B5920" t="s">
        <v>43</v>
      </c>
      <c r="C5920" t="s">
        <v>86</v>
      </c>
      <c r="D5920" t="s">
        <v>3219</v>
      </c>
      <c r="E5920">
        <v>23.62</v>
      </c>
      <c r="F5920">
        <v>55.87</v>
      </c>
    </row>
    <row r="5921" spans="1:6" x14ac:dyDescent="0.25">
      <c r="A5921" t="s">
        <v>2328</v>
      </c>
      <c r="B5921" t="s">
        <v>43</v>
      </c>
      <c r="C5921" t="s">
        <v>87</v>
      </c>
      <c r="D5921" t="s">
        <v>3217</v>
      </c>
      <c r="E5921">
        <v>0</v>
      </c>
      <c r="F5921">
        <v>54.43</v>
      </c>
    </row>
    <row r="5922" spans="1:6" x14ac:dyDescent="0.25">
      <c r="A5922" t="s">
        <v>2328</v>
      </c>
      <c r="B5922" t="s">
        <v>43</v>
      </c>
      <c r="C5922" t="s">
        <v>87</v>
      </c>
      <c r="D5922" t="s">
        <v>3218</v>
      </c>
      <c r="E5922">
        <v>12.43</v>
      </c>
      <c r="F5922">
        <v>54.61</v>
      </c>
    </row>
    <row r="5923" spans="1:6" x14ac:dyDescent="0.25">
      <c r="A5923" t="s">
        <v>2328</v>
      </c>
      <c r="B5923" t="s">
        <v>43</v>
      </c>
      <c r="C5923" t="s">
        <v>87</v>
      </c>
      <c r="D5923" t="s">
        <v>3219</v>
      </c>
      <c r="E5923">
        <v>25.41</v>
      </c>
      <c r="F5923">
        <v>54.52</v>
      </c>
    </row>
    <row r="5924" spans="1:6" x14ac:dyDescent="0.25">
      <c r="A5924" t="s">
        <v>2329</v>
      </c>
      <c r="B5924" t="s">
        <v>43</v>
      </c>
      <c r="C5924" t="s">
        <v>88</v>
      </c>
      <c r="D5924" t="s">
        <v>3217</v>
      </c>
      <c r="E5924">
        <v>0</v>
      </c>
      <c r="F5924">
        <v>53.04</v>
      </c>
    </row>
    <row r="5925" spans="1:6" x14ac:dyDescent="0.25">
      <c r="A5925" t="s">
        <v>2329</v>
      </c>
      <c r="B5925" t="s">
        <v>43</v>
      </c>
      <c r="C5925" t="s">
        <v>88</v>
      </c>
      <c r="D5925" t="s">
        <v>3218</v>
      </c>
      <c r="E5925">
        <v>13.07</v>
      </c>
      <c r="F5925">
        <v>53.28</v>
      </c>
    </row>
    <row r="5926" spans="1:6" x14ac:dyDescent="0.25">
      <c r="A5926" t="s">
        <v>2329</v>
      </c>
      <c r="B5926" t="s">
        <v>43</v>
      </c>
      <c r="C5926" t="s">
        <v>88</v>
      </c>
      <c r="D5926" t="s">
        <v>3219</v>
      </c>
      <c r="E5926">
        <v>26.4</v>
      </c>
      <c r="F5926">
        <v>53.19</v>
      </c>
    </row>
    <row r="5927" spans="1:6" x14ac:dyDescent="0.25">
      <c r="A5927" t="s">
        <v>2330</v>
      </c>
      <c r="B5927" t="s">
        <v>43</v>
      </c>
      <c r="C5927" t="s">
        <v>89</v>
      </c>
      <c r="D5927" t="s">
        <v>3217</v>
      </c>
      <c r="E5927">
        <v>0</v>
      </c>
      <c r="F5927">
        <v>52.01</v>
      </c>
    </row>
    <row r="5928" spans="1:6" x14ac:dyDescent="0.25">
      <c r="A5928" t="s">
        <v>2330</v>
      </c>
      <c r="B5928" t="s">
        <v>43</v>
      </c>
      <c r="C5928" t="s">
        <v>89</v>
      </c>
      <c r="D5928" t="s">
        <v>3218</v>
      </c>
      <c r="E5928">
        <v>12.22</v>
      </c>
      <c r="F5928">
        <v>52.11</v>
      </c>
    </row>
    <row r="5929" spans="1:6" x14ac:dyDescent="0.25">
      <c r="A5929" t="s">
        <v>2330</v>
      </c>
      <c r="B5929" t="s">
        <v>43</v>
      </c>
      <c r="C5929" t="s">
        <v>89</v>
      </c>
      <c r="D5929" t="s">
        <v>3219</v>
      </c>
      <c r="E5929">
        <v>27.24</v>
      </c>
      <c r="F5929">
        <v>51.9</v>
      </c>
    </row>
    <row r="5930" spans="1:6" x14ac:dyDescent="0.25">
      <c r="A5930" t="s">
        <v>2331</v>
      </c>
      <c r="B5930" t="s">
        <v>43</v>
      </c>
      <c r="C5930" t="s">
        <v>90</v>
      </c>
      <c r="D5930" t="s">
        <v>3217</v>
      </c>
      <c r="E5930">
        <v>0</v>
      </c>
      <c r="F5930">
        <v>51.01</v>
      </c>
    </row>
    <row r="5931" spans="1:6" x14ac:dyDescent="0.25">
      <c r="A5931" t="s">
        <v>2331</v>
      </c>
      <c r="B5931" t="s">
        <v>43</v>
      </c>
      <c r="C5931" t="s">
        <v>90</v>
      </c>
      <c r="D5931" t="s">
        <v>3218</v>
      </c>
      <c r="E5931">
        <v>11.79</v>
      </c>
      <c r="F5931">
        <v>50.95</v>
      </c>
    </row>
    <row r="5932" spans="1:6" x14ac:dyDescent="0.25">
      <c r="A5932" t="s">
        <v>2331</v>
      </c>
      <c r="B5932" t="s">
        <v>43</v>
      </c>
      <c r="C5932" t="s">
        <v>90</v>
      </c>
      <c r="D5932" t="s">
        <v>3219</v>
      </c>
      <c r="E5932">
        <v>26.8</v>
      </c>
      <c r="F5932">
        <v>50.57</v>
      </c>
    </row>
    <row r="5933" spans="1:6" x14ac:dyDescent="0.25">
      <c r="A5933" t="s">
        <v>2332</v>
      </c>
      <c r="B5933" t="s">
        <v>43</v>
      </c>
      <c r="C5933" t="s">
        <v>91</v>
      </c>
      <c r="D5933" t="s">
        <v>3217</v>
      </c>
      <c r="E5933">
        <v>0</v>
      </c>
      <c r="F5933">
        <v>49.47</v>
      </c>
    </row>
    <row r="5934" spans="1:6" x14ac:dyDescent="0.25">
      <c r="A5934" t="s">
        <v>2332</v>
      </c>
      <c r="B5934" t="s">
        <v>43</v>
      </c>
      <c r="C5934" t="s">
        <v>91</v>
      </c>
      <c r="D5934" t="s">
        <v>3218</v>
      </c>
      <c r="E5934">
        <v>13.15</v>
      </c>
      <c r="F5934">
        <v>49.56</v>
      </c>
    </row>
    <row r="5935" spans="1:6" x14ac:dyDescent="0.25">
      <c r="A5935" t="s">
        <v>2332</v>
      </c>
      <c r="B5935" t="s">
        <v>43</v>
      </c>
      <c r="C5935" t="s">
        <v>91</v>
      </c>
      <c r="D5935" t="s">
        <v>3219</v>
      </c>
      <c r="E5935">
        <v>29.44</v>
      </c>
      <c r="F5935">
        <v>49.27</v>
      </c>
    </row>
    <row r="5936" spans="1:6" x14ac:dyDescent="0.25">
      <c r="A5936" t="s">
        <v>2333</v>
      </c>
      <c r="B5936" t="s">
        <v>43</v>
      </c>
      <c r="C5936" t="s">
        <v>92</v>
      </c>
      <c r="D5936" t="s">
        <v>3217</v>
      </c>
      <c r="E5936">
        <v>0</v>
      </c>
      <c r="F5936">
        <v>48.25</v>
      </c>
    </row>
    <row r="5937" spans="1:6" x14ac:dyDescent="0.25">
      <c r="A5937" t="s">
        <v>2333</v>
      </c>
      <c r="B5937" t="s">
        <v>43</v>
      </c>
      <c r="C5937" t="s">
        <v>92</v>
      </c>
      <c r="D5937" t="s">
        <v>3218</v>
      </c>
      <c r="E5937">
        <v>14.69</v>
      </c>
      <c r="F5937">
        <v>48.2</v>
      </c>
    </row>
    <row r="5938" spans="1:6" x14ac:dyDescent="0.25">
      <c r="A5938" t="s">
        <v>2333</v>
      </c>
      <c r="B5938" t="s">
        <v>43</v>
      </c>
      <c r="C5938" t="s">
        <v>92</v>
      </c>
      <c r="D5938" t="s">
        <v>3219</v>
      </c>
      <c r="E5938">
        <v>29.61</v>
      </c>
      <c r="F5938">
        <v>47.88</v>
      </c>
    </row>
    <row r="5939" spans="1:6" x14ac:dyDescent="0.25">
      <c r="A5939" t="s">
        <v>2334</v>
      </c>
      <c r="B5939" t="s">
        <v>43</v>
      </c>
      <c r="C5939" t="s">
        <v>93</v>
      </c>
      <c r="D5939" t="s">
        <v>3217</v>
      </c>
      <c r="E5939">
        <v>0</v>
      </c>
      <c r="F5939">
        <v>47.12</v>
      </c>
    </row>
    <row r="5940" spans="1:6" x14ac:dyDescent="0.25">
      <c r="A5940" t="s">
        <v>2334</v>
      </c>
      <c r="B5940" t="s">
        <v>43</v>
      </c>
      <c r="C5940" t="s">
        <v>93</v>
      </c>
      <c r="D5940" t="s">
        <v>3218</v>
      </c>
      <c r="E5940">
        <v>14.39</v>
      </c>
      <c r="F5940">
        <v>47.03</v>
      </c>
    </row>
    <row r="5941" spans="1:6" x14ac:dyDescent="0.25">
      <c r="A5941" t="s">
        <v>2334</v>
      </c>
      <c r="B5941" t="s">
        <v>43</v>
      </c>
      <c r="C5941" t="s">
        <v>93</v>
      </c>
      <c r="D5941" t="s">
        <v>3219</v>
      </c>
      <c r="E5941">
        <v>27.24</v>
      </c>
      <c r="F5941">
        <v>46.56</v>
      </c>
    </row>
    <row r="5942" spans="1:6" x14ac:dyDescent="0.25">
      <c r="A5942" t="s">
        <v>2335</v>
      </c>
      <c r="B5942" t="s">
        <v>43</v>
      </c>
      <c r="C5942" t="s">
        <v>94</v>
      </c>
      <c r="D5942" t="s">
        <v>3217</v>
      </c>
      <c r="E5942">
        <v>0</v>
      </c>
      <c r="F5942">
        <v>45.81</v>
      </c>
    </row>
    <row r="5943" spans="1:6" x14ac:dyDescent="0.25">
      <c r="A5943" t="s">
        <v>2335</v>
      </c>
      <c r="B5943" t="s">
        <v>43</v>
      </c>
      <c r="C5943" t="s">
        <v>94</v>
      </c>
      <c r="D5943" t="s">
        <v>3218</v>
      </c>
      <c r="E5943">
        <v>13.77</v>
      </c>
      <c r="F5943">
        <v>45.81</v>
      </c>
    </row>
    <row r="5944" spans="1:6" x14ac:dyDescent="0.25">
      <c r="A5944" t="s">
        <v>2335</v>
      </c>
      <c r="B5944" t="s">
        <v>43</v>
      </c>
      <c r="C5944" t="s">
        <v>94</v>
      </c>
      <c r="D5944" t="s">
        <v>3219</v>
      </c>
      <c r="E5944">
        <v>26</v>
      </c>
      <c r="F5944">
        <v>45.56</v>
      </c>
    </row>
    <row r="5945" spans="1:6" x14ac:dyDescent="0.25">
      <c r="A5945" t="s">
        <v>2336</v>
      </c>
      <c r="B5945" t="s">
        <v>43</v>
      </c>
      <c r="C5945" t="s">
        <v>95</v>
      </c>
      <c r="D5945" t="s">
        <v>3217</v>
      </c>
      <c r="E5945">
        <v>0</v>
      </c>
      <c r="F5945">
        <v>44.19</v>
      </c>
    </row>
    <row r="5946" spans="1:6" x14ac:dyDescent="0.25">
      <c r="A5946" t="s">
        <v>2336</v>
      </c>
      <c r="B5946" t="s">
        <v>43</v>
      </c>
      <c r="C5946" t="s">
        <v>95</v>
      </c>
      <c r="D5946" t="s">
        <v>3218</v>
      </c>
      <c r="E5946">
        <v>13.78</v>
      </c>
      <c r="F5946">
        <v>44.48</v>
      </c>
    </row>
    <row r="5947" spans="1:6" x14ac:dyDescent="0.25">
      <c r="A5947" t="s">
        <v>2336</v>
      </c>
      <c r="B5947" t="s">
        <v>43</v>
      </c>
      <c r="C5947" t="s">
        <v>95</v>
      </c>
      <c r="D5947" t="s">
        <v>3219</v>
      </c>
      <c r="E5947">
        <v>26.89</v>
      </c>
      <c r="F5947">
        <v>44.09</v>
      </c>
    </row>
    <row r="5948" spans="1:6" x14ac:dyDescent="0.25">
      <c r="A5948" t="s">
        <v>2337</v>
      </c>
      <c r="B5948" t="s">
        <v>43</v>
      </c>
      <c r="C5948" t="s">
        <v>96</v>
      </c>
      <c r="D5948" t="s">
        <v>3217</v>
      </c>
      <c r="E5948">
        <v>0</v>
      </c>
      <c r="F5948">
        <v>43.17</v>
      </c>
    </row>
    <row r="5949" spans="1:6" x14ac:dyDescent="0.25">
      <c r="A5949" t="s">
        <v>2337</v>
      </c>
      <c r="B5949" t="s">
        <v>43</v>
      </c>
      <c r="C5949" t="s">
        <v>96</v>
      </c>
      <c r="D5949" t="s">
        <v>3218</v>
      </c>
      <c r="E5949">
        <v>14.09</v>
      </c>
      <c r="F5949">
        <v>42.97</v>
      </c>
    </row>
    <row r="5950" spans="1:6" x14ac:dyDescent="0.25">
      <c r="A5950" t="s">
        <v>2337</v>
      </c>
      <c r="B5950" t="s">
        <v>43</v>
      </c>
      <c r="C5950" t="s">
        <v>96</v>
      </c>
      <c r="D5950" t="s">
        <v>3219</v>
      </c>
      <c r="E5950">
        <v>28.53</v>
      </c>
      <c r="F5950">
        <v>42.26</v>
      </c>
    </row>
    <row r="5951" spans="1:6" x14ac:dyDescent="0.25">
      <c r="A5951" t="s">
        <v>2338</v>
      </c>
      <c r="B5951" t="s">
        <v>43</v>
      </c>
      <c r="C5951" t="s">
        <v>97</v>
      </c>
      <c r="D5951" t="s">
        <v>3217</v>
      </c>
      <c r="E5951">
        <v>0</v>
      </c>
      <c r="F5951">
        <v>42.09</v>
      </c>
    </row>
    <row r="5952" spans="1:6" x14ac:dyDescent="0.25">
      <c r="A5952" t="s">
        <v>2338</v>
      </c>
      <c r="B5952" t="s">
        <v>43</v>
      </c>
      <c r="C5952" t="s">
        <v>97</v>
      </c>
      <c r="D5952" t="s">
        <v>3218</v>
      </c>
      <c r="E5952">
        <v>13.71</v>
      </c>
      <c r="F5952">
        <v>41.92</v>
      </c>
    </row>
    <row r="5953" spans="1:6" x14ac:dyDescent="0.25">
      <c r="A5953" t="s">
        <v>2338</v>
      </c>
      <c r="B5953" t="s">
        <v>43</v>
      </c>
      <c r="C5953" t="s">
        <v>97</v>
      </c>
      <c r="D5953" t="s">
        <v>3219</v>
      </c>
      <c r="E5953">
        <v>29.48</v>
      </c>
      <c r="F5953">
        <v>41.26</v>
      </c>
    </row>
    <row r="5954" spans="1:6" x14ac:dyDescent="0.25">
      <c r="A5954" t="s">
        <v>2339</v>
      </c>
      <c r="B5954" t="s">
        <v>43</v>
      </c>
      <c r="C5954" t="s">
        <v>98</v>
      </c>
      <c r="D5954" t="s">
        <v>3217</v>
      </c>
      <c r="E5954">
        <v>0</v>
      </c>
      <c r="F5954">
        <v>41.3</v>
      </c>
    </row>
    <row r="5955" spans="1:6" x14ac:dyDescent="0.25">
      <c r="A5955" t="s">
        <v>2339</v>
      </c>
      <c r="B5955" t="s">
        <v>43</v>
      </c>
      <c r="C5955" t="s">
        <v>98</v>
      </c>
      <c r="D5955" t="s">
        <v>3218</v>
      </c>
      <c r="E5955">
        <v>13.34</v>
      </c>
      <c r="F5955">
        <v>41.16</v>
      </c>
    </row>
    <row r="5956" spans="1:6" x14ac:dyDescent="0.25">
      <c r="A5956" t="s">
        <v>2339</v>
      </c>
      <c r="B5956" t="s">
        <v>43</v>
      </c>
      <c r="C5956" t="s">
        <v>98</v>
      </c>
      <c r="D5956" t="s">
        <v>3219</v>
      </c>
      <c r="E5956">
        <v>28.85</v>
      </c>
      <c r="F5956">
        <v>40.39</v>
      </c>
    </row>
    <row r="5957" spans="1:6" x14ac:dyDescent="0.25">
      <c r="A5957" t="s">
        <v>2340</v>
      </c>
      <c r="B5957" t="s">
        <v>43</v>
      </c>
      <c r="C5957" t="s">
        <v>99</v>
      </c>
      <c r="D5957" t="s">
        <v>3217</v>
      </c>
      <c r="E5957">
        <v>0</v>
      </c>
      <c r="F5957">
        <v>40.659999999999997</v>
      </c>
    </row>
    <row r="5958" spans="1:6" x14ac:dyDescent="0.25">
      <c r="A5958" t="s">
        <v>2340</v>
      </c>
      <c r="B5958" t="s">
        <v>43</v>
      </c>
      <c r="C5958" t="s">
        <v>99</v>
      </c>
      <c r="D5958" t="s">
        <v>3218</v>
      </c>
      <c r="E5958">
        <v>12.58</v>
      </c>
      <c r="F5958">
        <v>40.51</v>
      </c>
    </row>
    <row r="5959" spans="1:6" x14ac:dyDescent="0.25">
      <c r="A5959" t="s">
        <v>2340</v>
      </c>
      <c r="B5959" t="s">
        <v>43</v>
      </c>
      <c r="C5959" t="s">
        <v>99</v>
      </c>
      <c r="D5959" t="s">
        <v>3219</v>
      </c>
      <c r="E5959">
        <v>28.64</v>
      </c>
      <c r="F5959">
        <v>40.11</v>
      </c>
    </row>
    <row r="5960" spans="1:6" x14ac:dyDescent="0.25">
      <c r="A5960" t="s">
        <v>2341</v>
      </c>
      <c r="B5960" t="s">
        <v>43</v>
      </c>
      <c r="C5960" t="s">
        <v>100</v>
      </c>
      <c r="D5960" t="s">
        <v>3217</v>
      </c>
      <c r="E5960">
        <v>0</v>
      </c>
      <c r="F5960">
        <v>40.06</v>
      </c>
    </row>
    <row r="5961" spans="1:6" x14ac:dyDescent="0.25">
      <c r="A5961" t="s">
        <v>2341</v>
      </c>
      <c r="B5961" t="s">
        <v>43</v>
      </c>
      <c r="C5961" t="s">
        <v>100</v>
      </c>
      <c r="D5961" t="s">
        <v>3218</v>
      </c>
      <c r="E5961">
        <v>12.4</v>
      </c>
      <c r="F5961">
        <v>40.090000000000003</v>
      </c>
    </row>
    <row r="5962" spans="1:6" x14ac:dyDescent="0.25">
      <c r="A5962" t="s">
        <v>2341</v>
      </c>
      <c r="B5962" t="s">
        <v>43</v>
      </c>
      <c r="C5962" t="s">
        <v>100</v>
      </c>
      <c r="D5962" t="s">
        <v>3219</v>
      </c>
      <c r="E5962">
        <v>27.56</v>
      </c>
      <c r="F5962">
        <v>39.79</v>
      </c>
    </row>
    <row r="5963" spans="1:6" x14ac:dyDescent="0.25">
      <c r="A5963" t="s">
        <v>2342</v>
      </c>
      <c r="B5963" t="s">
        <v>43</v>
      </c>
      <c r="C5963" t="s">
        <v>101</v>
      </c>
      <c r="D5963" t="s">
        <v>3217</v>
      </c>
      <c r="E5963">
        <v>0</v>
      </c>
      <c r="F5963">
        <v>39.5</v>
      </c>
    </row>
    <row r="5964" spans="1:6" x14ac:dyDescent="0.25">
      <c r="A5964" t="s">
        <v>2342</v>
      </c>
      <c r="B5964" t="s">
        <v>43</v>
      </c>
      <c r="C5964" t="s">
        <v>101</v>
      </c>
      <c r="D5964" t="s">
        <v>3218</v>
      </c>
      <c r="E5964">
        <v>12.48</v>
      </c>
      <c r="F5964">
        <v>39.619999999999997</v>
      </c>
    </row>
    <row r="5965" spans="1:6" x14ac:dyDescent="0.25">
      <c r="A5965" t="s">
        <v>2342</v>
      </c>
      <c r="B5965" t="s">
        <v>43</v>
      </c>
      <c r="C5965" t="s">
        <v>101</v>
      </c>
      <c r="D5965" t="s">
        <v>3219</v>
      </c>
      <c r="E5965">
        <v>26.24</v>
      </c>
      <c r="F5965">
        <v>39.56</v>
      </c>
    </row>
    <row r="5966" spans="1:6" x14ac:dyDescent="0.25">
      <c r="A5966" t="s">
        <v>2343</v>
      </c>
      <c r="B5966" t="s">
        <v>43</v>
      </c>
      <c r="C5966" t="s">
        <v>102</v>
      </c>
      <c r="D5966" t="s">
        <v>3217</v>
      </c>
      <c r="E5966">
        <v>0</v>
      </c>
      <c r="F5966">
        <v>39.39</v>
      </c>
    </row>
    <row r="5967" spans="1:6" x14ac:dyDescent="0.25">
      <c r="A5967" t="s">
        <v>2343</v>
      </c>
      <c r="B5967" t="s">
        <v>43</v>
      </c>
      <c r="C5967" t="s">
        <v>102</v>
      </c>
      <c r="D5967" t="s">
        <v>3218</v>
      </c>
      <c r="E5967">
        <v>11.19</v>
      </c>
      <c r="F5967">
        <v>39.47</v>
      </c>
    </row>
    <row r="5968" spans="1:6" x14ac:dyDescent="0.25">
      <c r="A5968" t="s">
        <v>2343</v>
      </c>
      <c r="B5968" t="s">
        <v>43</v>
      </c>
      <c r="C5968" t="s">
        <v>102</v>
      </c>
      <c r="D5968" t="s">
        <v>3219</v>
      </c>
      <c r="E5968">
        <v>24.69</v>
      </c>
      <c r="F5968">
        <v>39.299999999999997</v>
      </c>
    </row>
    <row r="5969" spans="1:6" x14ac:dyDescent="0.25">
      <c r="A5969" t="s">
        <v>2344</v>
      </c>
      <c r="B5969" t="s">
        <v>43</v>
      </c>
      <c r="C5969" t="s">
        <v>103</v>
      </c>
      <c r="D5969" t="s">
        <v>3217</v>
      </c>
      <c r="E5969">
        <v>0</v>
      </c>
      <c r="F5969">
        <v>39.450000000000003</v>
      </c>
    </row>
    <row r="5970" spans="1:6" x14ac:dyDescent="0.25">
      <c r="A5970" t="s">
        <v>2344</v>
      </c>
      <c r="B5970" t="s">
        <v>43</v>
      </c>
      <c r="C5970" t="s">
        <v>103</v>
      </c>
      <c r="D5970" t="s">
        <v>3218</v>
      </c>
      <c r="E5970">
        <v>9.89</v>
      </c>
      <c r="F5970">
        <v>39.51</v>
      </c>
    </row>
    <row r="5971" spans="1:6" x14ac:dyDescent="0.25">
      <c r="A5971" t="s">
        <v>2344</v>
      </c>
      <c r="B5971" t="s">
        <v>43</v>
      </c>
      <c r="C5971" t="s">
        <v>103</v>
      </c>
      <c r="D5971" t="s">
        <v>3219</v>
      </c>
      <c r="E5971">
        <v>23.49</v>
      </c>
      <c r="F5971">
        <v>39.47</v>
      </c>
    </row>
    <row r="5972" spans="1:6" x14ac:dyDescent="0.25">
      <c r="A5972" t="s">
        <v>2345</v>
      </c>
      <c r="B5972" t="s">
        <v>43</v>
      </c>
      <c r="C5972" t="s">
        <v>104</v>
      </c>
      <c r="D5972" t="s">
        <v>3217</v>
      </c>
      <c r="E5972">
        <v>0</v>
      </c>
      <c r="F5972">
        <v>39.61</v>
      </c>
    </row>
    <row r="5973" spans="1:6" x14ac:dyDescent="0.25">
      <c r="A5973" t="s">
        <v>2345</v>
      </c>
      <c r="B5973" t="s">
        <v>43</v>
      </c>
      <c r="C5973" t="s">
        <v>104</v>
      </c>
      <c r="D5973" t="s">
        <v>3218</v>
      </c>
      <c r="E5973">
        <v>10.77</v>
      </c>
      <c r="F5973">
        <v>39.659999999999997</v>
      </c>
    </row>
    <row r="5974" spans="1:6" x14ac:dyDescent="0.25">
      <c r="A5974" t="s">
        <v>2345</v>
      </c>
      <c r="B5974" t="s">
        <v>43</v>
      </c>
      <c r="C5974" t="s">
        <v>104</v>
      </c>
      <c r="D5974" t="s">
        <v>3219</v>
      </c>
      <c r="E5974">
        <v>24.38</v>
      </c>
      <c r="F5974">
        <v>39.479999999999997</v>
      </c>
    </row>
    <row r="5975" spans="1:6" x14ac:dyDescent="0.25">
      <c r="A5975" t="s">
        <v>2346</v>
      </c>
      <c r="B5975" t="s">
        <v>43</v>
      </c>
      <c r="C5975" t="s">
        <v>105</v>
      </c>
      <c r="D5975" t="s">
        <v>3217</v>
      </c>
      <c r="E5975">
        <v>0</v>
      </c>
      <c r="F5975">
        <v>39.69</v>
      </c>
    </row>
    <row r="5976" spans="1:6" x14ac:dyDescent="0.25">
      <c r="A5976" t="s">
        <v>2346</v>
      </c>
      <c r="B5976" t="s">
        <v>43</v>
      </c>
      <c r="C5976" t="s">
        <v>105</v>
      </c>
      <c r="D5976" t="s">
        <v>3218</v>
      </c>
      <c r="E5976">
        <v>11.87</v>
      </c>
      <c r="F5976">
        <v>39.869999999999997</v>
      </c>
    </row>
    <row r="5977" spans="1:6" x14ac:dyDescent="0.25">
      <c r="A5977" t="s">
        <v>2346</v>
      </c>
      <c r="B5977" t="s">
        <v>43</v>
      </c>
      <c r="C5977" t="s">
        <v>105</v>
      </c>
      <c r="D5977" t="s">
        <v>3219</v>
      </c>
      <c r="E5977">
        <v>24.83</v>
      </c>
      <c r="F5977">
        <v>39.56</v>
      </c>
    </row>
    <row r="5978" spans="1:6" x14ac:dyDescent="0.25">
      <c r="A5978" t="s">
        <v>2347</v>
      </c>
      <c r="B5978" t="s">
        <v>43</v>
      </c>
      <c r="C5978" t="s">
        <v>106</v>
      </c>
      <c r="D5978" t="s">
        <v>3217</v>
      </c>
      <c r="E5978">
        <v>0</v>
      </c>
      <c r="F5978">
        <v>40.090000000000003</v>
      </c>
    </row>
    <row r="5979" spans="1:6" x14ac:dyDescent="0.25">
      <c r="A5979" t="s">
        <v>2347</v>
      </c>
      <c r="B5979" t="s">
        <v>43</v>
      </c>
      <c r="C5979" t="s">
        <v>106</v>
      </c>
      <c r="D5979" t="s">
        <v>3218</v>
      </c>
      <c r="E5979">
        <v>12.19</v>
      </c>
      <c r="F5979">
        <v>40.17</v>
      </c>
    </row>
    <row r="5980" spans="1:6" x14ac:dyDescent="0.25">
      <c r="A5980" t="s">
        <v>2347</v>
      </c>
      <c r="B5980" t="s">
        <v>43</v>
      </c>
      <c r="C5980" t="s">
        <v>106</v>
      </c>
      <c r="D5980" t="s">
        <v>3219</v>
      </c>
      <c r="E5980">
        <v>24.75</v>
      </c>
      <c r="F5980">
        <v>40.049999999999997</v>
      </c>
    </row>
    <row r="5981" spans="1:6" x14ac:dyDescent="0.25">
      <c r="A5981" t="s">
        <v>2348</v>
      </c>
      <c r="B5981" t="s">
        <v>43</v>
      </c>
      <c r="C5981" t="s">
        <v>108</v>
      </c>
      <c r="D5981" t="s">
        <v>3217</v>
      </c>
      <c r="E5981">
        <v>0</v>
      </c>
      <c r="F5981">
        <v>40.520000000000003</v>
      </c>
    </row>
    <row r="5982" spans="1:6" x14ac:dyDescent="0.25">
      <c r="A5982" t="s">
        <v>2348</v>
      </c>
      <c r="B5982" t="s">
        <v>43</v>
      </c>
      <c r="C5982" t="s">
        <v>108</v>
      </c>
      <c r="D5982" t="s">
        <v>3218</v>
      </c>
      <c r="E5982">
        <v>13.17</v>
      </c>
      <c r="F5982">
        <v>40.659999999999997</v>
      </c>
    </row>
    <row r="5983" spans="1:6" x14ac:dyDescent="0.25">
      <c r="A5983" t="s">
        <v>2348</v>
      </c>
      <c r="B5983" t="s">
        <v>43</v>
      </c>
      <c r="C5983" t="s">
        <v>108</v>
      </c>
      <c r="D5983" t="s">
        <v>3219</v>
      </c>
      <c r="E5983">
        <v>24.86</v>
      </c>
      <c r="F5983">
        <v>40.61</v>
      </c>
    </row>
    <row r="5984" spans="1:6" x14ac:dyDescent="0.25">
      <c r="A5984" t="s">
        <v>2349</v>
      </c>
      <c r="B5984" t="s">
        <v>43</v>
      </c>
      <c r="C5984" t="s">
        <v>109</v>
      </c>
      <c r="D5984" t="s">
        <v>3217</v>
      </c>
      <c r="E5984">
        <v>0</v>
      </c>
      <c r="F5984">
        <v>40.98</v>
      </c>
    </row>
    <row r="5985" spans="1:6" x14ac:dyDescent="0.25">
      <c r="A5985" t="s">
        <v>2349</v>
      </c>
      <c r="B5985" t="s">
        <v>43</v>
      </c>
      <c r="C5985" t="s">
        <v>109</v>
      </c>
      <c r="D5985" t="s">
        <v>3218</v>
      </c>
      <c r="E5985">
        <v>13.73</v>
      </c>
      <c r="F5985">
        <v>41.2</v>
      </c>
    </row>
    <row r="5986" spans="1:6" x14ac:dyDescent="0.25">
      <c r="A5986" t="s">
        <v>2349</v>
      </c>
      <c r="B5986" t="s">
        <v>43</v>
      </c>
      <c r="C5986" t="s">
        <v>109</v>
      </c>
      <c r="D5986" t="s">
        <v>3219</v>
      </c>
      <c r="E5986">
        <v>25.07</v>
      </c>
      <c r="F5986">
        <v>41.18</v>
      </c>
    </row>
    <row r="5987" spans="1:6" x14ac:dyDescent="0.25">
      <c r="A5987" t="s">
        <v>2350</v>
      </c>
      <c r="B5987" t="s">
        <v>43</v>
      </c>
      <c r="C5987" t="s">
        <v>110</v>
      </c>
      <c r="D5987" t="s">
        <v>3217</v>
      </c>
      <c r="E5987">
        <v>0</v>
      </c>
      <c r="F5987">
        <v>41.73</v>
      </c>
    </row>
    <row r="5988" spans="1:6" x14ac:dyDescent="0.25">
      <c r="A5988" t="s">
        <v>2350</v>
      </c>
      <c r="B5988" t="s">
        <v>43</v>
      </c>
      <c r="C5988" t="s">
        <v>110</v>
      </c>
      <c r="D5988" t="s">
        <v>3218</v>
      </c>
      <c r="E5988">
        <v>13.73</v>
      </c>
      <c r="F5988">
        <v>41.94</v>
      </c>
    </row>
    <row r="5989" spans="1:6" x14ac:dyDescent="0.25">
      <c r="A5989" t="s">
        <v>2350</v>
      </c>
      <c r="B5989" t="s">
        <v>43</v>
      </c>
      <c r="C5989" t="s">
        <v>110</v>
      </c>
      <c r="D5989" t="s">
        <v>3219</v>
      </c>
      <c r="E5989">
        <v>25.6</v>
      </c>
      <c r="F5989">
        <v>41.94</v>
      </c>
    </row>
    <row r="5990" spans="1:6" x14ac:dyDescent="0.25">
      <c r="A5990" t="s">
        <v>2351</v>
      </c>
      <c r="B5990" t="s">
        <v>43</v>
      </c>
      <c r="C5990" t="s">
        <v>111</v>
      </c>
      <c r="D5990" t="s">
        <v>3217</v>
      </c>
      <c r="E5990">
        <v>0</v>
      </c>
      <c r="F5990">
        <v>42.52</v>
      </c>
    </row>
    <row r="5991" spans="1:6" x14ac:dyDescent="0.25">
      <c r="A5991" t="s">
        <v>2351</v>
      </c>
      <c r="B5991" t="s">
        <v>43</v>
      </c>
      <c r="C5991" t="s">
        <v>111</v>
      </c>
      <c r="D5991" t="s">
        <v>3218</v>
      </c>
      <c r="E5991">
        <v>13.98</v>
      </c>
      <c r="F5991">
        <v>42.77</v>
      </c>
    </row>
    <row r="5992" spans="1:6" x14ac:dyDescent="0.25">
      <c r="A5992" t="s">
        <v>2351</v>
      </c>
      <c r="B5992" t="s">
        <v>43</v>
      </c>
      <c r="C5992" t="s">
        <v>111</v>
      </c>
      <c r="D5992" t="s">
        <v>3219</v>
      </c>
      <c r="E5992">
        <v>25.47</v>
      </c>
      <c r="F5992">
        <v>42.72</v>
      </c>
    </row>
    <row r="5993" spans="1:6" x14ac:dyDescent="0.25">
      <c r="A5993" t="s">
        <v>2352</v>
      </c>
      <c r="B5993" t="s">
        <v>43</v>
      </c>
      <c r="C5993" t="s">
        <v>112</v>
      </c>
      <c r="D5993" t="s">
        <v>3217</v>
      </c>
      <c r="E5993">
        <v>0</v>
      </c>
      <c r="F5993">
        <v>43.57</v>
      </c>
    </row>
    <row r="5994" spans="1:6" x14ac:dyDescent="0.25">
      <c r="A5994" t="s">
        <v>2352</v>
      </c>
      <c r="B5994" t="s">
        <v>43</v>
      </c>
      <c r="C5994" t="s">
        <v>112</v>
      </c>
      <c r="D5994" t="s">
        <v>3218</v>
      </c>
      <c r="E5994">
        <v>13.72</v>
      </c>
      <c r="F5994">
        <v>43.63</v>
      </c>
    </row>
    <row r="5995" spans="1:6" x14ac:dyDescent="0.25">
      <c r="A5995" t="s">
        <v>2352</v>
      </c>
      <c r="B5995" t="s">
        <v>43</v>
      </c>
      <c r="C5995" t="s">
        <v>112</v>
      </c>
      <c r="D5995" t="s">
        <v>3219</v>
      </c>
      <c r="E5995">
        <v>25.55</v>
      </c>
      <c r="F5995">
        <v>43.59</v>
      </c>
    </row>
    <row r="5996" spans="1:6" x14ac:dyDescent="0.25">
      <c r="A5996" t="s">
        <v>2353</v>
      </c>
      <c r="B5996" t="s">
        <v>43</v>
      </c>
      <c r="C5996" t="s">
        <v>113</v>
      </c>
      <c r="D5996" t="s">
        <v>3217</v>
      </c>
      <c r="E5996">
        <v>0</v>
      </c>
      <c r="F5996">
        <v>44.64</v>
      </c>
    </row>
    <row r="5997" spans="1:6" x14ac:dyDescent="0.25">
      <c r="A5997" t="s">
        <v>2353</v>
      </c>
      <c r="B5997" t="s">
        <v>43</v>
      </c>
      <c r="C5997" t="s">
        <v>113</v>
      </c>
      <c r="D5997" t="s">
        <v>3218</v>
      </c>
      <c r="E5997">
        <v>14.09</v>
      </c>
      <c r="F5997">
        <v>44.7</v>
      </c>
    </row>
    <row r="5998" spans="1:6" x14ac:dyDescent="0.25">
      <c r="A5998" t="s">
        <v>2353</v>
      </c>
      <c r="B5998" t="s">
        <v>43</v>
      </c>
      <c r="C5998" t="s">
        <v>113</v>
      </c>
      <c r="D5998" t="s">
        <v>3219</v>
      </c>
      <c r="E5998">
        <v>27.19</v>
      </c>
      <c r="F5998">
        <v>44.4</v>
      </c>
    </row>
    <row r="5999" spans="1:6" x14ac:dyDescent="0.25">
      <c r="A5999" t="s">
        <v>2354</v>
      </c>
      <c r="B5999" t="s">
        <v>43</v>
      </c>
      <c r="C5999" t="s">
        <v>114</v>
      </c>
      <c r="D5999" t="s">
        <v>3217</v>
      </c>
      <c r="E5999">
        <v>0</v>
      </c>
      <c r="F5999">
        <v>45.68</v>
      </c>
    </row>
    <row r="6000" spans="1:6" x14ac:dyDescent="0.25">
      <c r="A6000" t="s">
        <v>2354</v>
      </c>
      <c r="B6000" t="s">
        <v>43</v>
      </c>
      <c r="C6000" t="s">
        <v>114</v>
      </c>
      <c r="D6000" t="s">
        <v>3218</v>
      </c>
      <c r="E6000">
        <v>13.86</v>
      </c>
      <c r="F6000">
        <v>45.59</v>
      </c>
    </row>
    <row r="6001" spans="1:6" x14ac:dyDescent="0.25">
      <c r="A6001" t="s">
        <v>2354</v>
      </c>
      <c r="B6001" t="s">
        <v>43</v>
      </c>
      <c r="C6001" t="s">
        <v>114</v>
      </c>
      <c r="D6001" t="s">
        <v>3219</v>
      </c>
      <c r="E6001">
        <v>26.5</v>
      </c>
      <c r="F6001">
        <v>45.14</v>
      </c>
    </row>
    <row r="6002" spans="1:6" x14ac:dyDescent="0.25">
      <c r="A6002" t="s">
        <v>2355</v>
      </c>
      <c r="B6002" t="s">
        <v>43</v>
      </c>
      <c r="C6002" t="s">
        <v>115</v>
      </c>
      <c r="D6002" t="s">
        <v>3217</v>
      </c>
      <c r="E6002">
        <v>0</v>
      </c>
      <c r="F6002">
        <v>46.37</v>
      </c>
    </row>
    <row r="6003" spans="1:6" x14ac:dyDescent="0.25">
      <c r="A6003" t="s">
        <v>2355</v>
      </c>
      <c r="B6003" t="s">
        <v>43</v>
      </c>
      <c r="C6003" t="s">
        <v>115</v>
      </c>
      <c r="D6003" t="s">
        <v>3218</v>
      </c>
      <c r="E6003">
        <v>13.76</v>
      </c>
      <c r="F6003">
        <v>46.22</v>
      </c>
    </row>
    <row r="6004" spans="1:6" x14ac:dyDescent="0.25">
      <c r="A6004" t="s">
        <v>2355</v>
      </c>
      <c r="B6004" t="s">
        <v>43</v>
      </c>
      <c r="C6004" t="s">
        <v>115</v>
      </c>
      <c r="D6004" t="s">
        <v>3219</v>
      </c>
      <c r="E6004">
        <v>27.81</v>
      </c>
      <c r="F6004">
        <v>45.91</v>
      </c>
    </row>
    <row r="6005" spans="1:6" x14ac:dyDescent="0.25">
      <c r="A6005" t="s">
        <v>2356</v>
      </c>
      <c r="B6005" t="s">
        <v>43</v>
      </c>
      <c r="C6005" t="s">
        <v>325</v>
      </c>
      <c r="D6005" t="s">
        <v>3217</v>
      </c>
      <c r="E6005">
        <v>0</v>
      </c>
      <c r="F6005">
        <v>46.79</v>
      </c>
    </row>
    <row r="6006" spans="1:6" x14ac:dyDescent="0.25">
      <c r="A6006" t="s">
        <v>2356</v>
      </c>
      <c r="B6006" t="s">
        <v>43</v>
      </c>
      <c r="C6006" t="s">
        <v>325</v>
      </c>
      <c r="D6006" t="s">
        <v>3218</v>
      </c>
      <c r="E6006">
        <v>13.08</v>
      </c>
      <c r="F6006">
        <v>46.62</v>
      </c>
    </row>
    <row r="6007" spans="1:6" x14ac:dyDescent="0.25">
      <c r="A6007" t="s">
        <v>2356</v>
      </c>
      <c r="B6007" t="s">
        <v>43</v>
      </c>
      <c r="C6007" t="s">
        <v>325</v>
      </c>
      <c r="D6007" t="s">
        <v>3219</v>
      </c>
      <c r="E6007">
        <v>29.87</v>
      </c>
      <c r="F6007">
        <v>46.34</v>
      </c>
    </row>
    <row r="6008" spans="1:6" x14ac:dyDescent="0.25">
      <c r="A6008" t="s">
        <v>2357</v>
      </c>
      <c r="B6008" t="s">
        <v>44</v>
      </c>
      <c r="C6008" t="s">
        <v>56</v>
      </c>
      <c r="D6008" t="s">
        <v>3217</v>
      </c>
      <c r="E6008">
        <v>0</v>
      </c>
      <c r="F6008">
        <v>2.4500000000000002</v>
      </c>
    </row>
    <row r="6009" spans="1:6" x14ac:dyDescent="0.25">
      <c r="A6009" t="s">
        <v>2357</v>
      </c>
      <c r="B6009" t="s">
        <v>44</v>
      </c>
      <c r="C6009" t="s">
        <v>56</v>
      </c>
      <c r="D6009" t="s">
        <v>3218</v>
      </c>
      <c r="E6009">
        <v>14.95</v>
      </c>
      <c r="F6009">
        <v>2.63</v>
      </c>
    </row>
    <row r="6010" spans="1:6" x14ac:dyDescent="0.25">
      <c r="A6010" t="s">
        <v>2357</v>
      </c>
      <c r="B6010" t="s">
        <v>44</v>
      </c>
      <c r="C6010" t="s">
        <v>56</v>
      </c>
      <c r="D6010" t="s">
        <v>3219</v>
      </c>
      <c r="E6010">
        <v>33.06</v>
      </c>
      <c r="F6010">
        <v>3.17</v>
      </c>
    </row>
    <row r="6011" spans="1:6" x14ac:dyDescent="0.25">
      <c r="A6011" t="s">
        <v>2358</v>
      </c>
      <c r="B6011" t="s">
        <v>44</v>
      </c>
      <c r="C6011" t="s">
        <v>57</v>
      </c>
      <c r="D6011" t="s">
        <v>3217</v>
      </c>
      <c r="E6011">
        <v>0</v>
      </c>
      <c r="F6011">
        <v>1.93</v>
      </c>
    </row>
    <row r="6012" spans="1:6" x14ac:dyDescent="0.25">
      <c r="A6012" t="s">
        <v>2358</v>
      </c>
      <c r="B6012" t="s">
        <v>44</v>
      </c>
      <c r="C6012" t="s">
        <v>57</v>
      </c>
      <c r="D6012" t="s">
        <v>3218</v>
      </c>
      <c r="E6012">
        <v>14.95</v>
      </c>
      <c r="F6012">
        <v>1.85</v>
      </c>
    </row>
    <row r="6013" spans="1:6" x14ac:dyDescent="0.25">
      <c r="A6013" t="s">
        <v>2358</v>
      </c>
      <c r="B6013" t="s">
        <v>44</v>
      </c>
      <c r="C6013" t="s">
        <v>57</v>
      </c>
      <c r="D6013" t="s">
        <v>3219</v>
      </c>
      <c r="E6013">
        <v>33.06</v>
      </c>
      <c r="F6013">
        <v>2.58</v>
      </c>
    </row>
    <row r="6014" spans="1:6" x14ac:dyDescent="0.25">
      <c r="A6014" t="s">
        <v>2359</v>
      </c>
      <c r="B6014" t="s">
        <v>44</v>
      </c>
      <c r="C6014" t="s">
        <v>58</v>
      </c>
      <c r="D6014" t="s">
        <v>3217</v>
      </c>
      <c r="E6014">
        <v>0</v>
      </c>
      <c r="F6014">
        <v>1.1100000000000001</v>
      </c>
    </row>
    <row r="6015" spans="1:6" x14ac:dyDescent="0.25">
      <c r="A6015" t="s">
        <v>2359</v>
      </c>
      <c r="B6015" t="s">
        <v>44</v>
      </c>
      <c r="C6015" t="s">
        <v>58</v>
      </c>
      <c r="D6015" t="s">
        <v>3218</v>
      </c>
      <c r="E6015">
        <v>15.31</v>
      </c>
      <c r="F6015">
        <v>1.22</v>
      </c>
    </row>
    <row r="6016" spans="1:6" x14ac:dyDescent="0.25">
      <c r="A6016" t="s">
        <v>2359</v>
      </c>
      <c r="B6016" t="s">
        <v>44</v>
      </c>
      <c r="C6016" t="s">
        <v>58</v>
      </c>
      <c r="D6016" t="s">
        <v>3219</v>
      </c>
      <c r="E6016">
        <v>33.42</v>
      </c>
      <c r="F6016">
        <v>1.52</v>
      </c>
    </row>
    <row r="6017" spans="1:6" x14ac:dyDescent="0.25">
      <c r="A6017" t="s">
        <v>2360</v>
      </c>
      <c r="B6017" t="s">
        <v>44</v>
      </c>
      <c r="C6017" t="s">
        <v>59</v>
      </c>
      <c r="D6017" t="s">
        <v>3217</v>
      </c>
      <c r="E6017">
        <v>0</v>
      </c>
      <c r="F6017">
        <v>0.26</v>
      </c>
    </row>
    <row r="6018" spans="1:6" x14ac:dyDescent="0.25">
      <c r="A6018" t="s">
        <v>2360</v>
      </c>
      <c r="B6018" t="s">
        <v>44</v>
      </c>
      <c r="C6018" t="s">
        <v>59</v>
      </c>
      <c r="D6018" t="s">
        <v>3218</v>
      </c>
      <c r="E6018">
        <v>17.5</v>
      </c>
      <c r="F6018">
        <v>0.62</v>
      </c>
    </row>
    <row r="6019" spans="1:6" x14ac:dyDescent="0.25">
      <c r="A6019" t="s">
        <v>2360</v>
      </c>
      <c r="B6019" t="s">
        <v>44</v>
      </c>
      <c r="C6019" t="s">
        <v>59</v>
      </c>
      <c r="D6019" t="s">
        <v>3219</v>
      </c>
      <c r="E6019">
        <v>31.84</v>
      </c>
      <c r="F6019">
        <v>0.8</v>
      </c>
    </row>
    <row r="6020" spans="1:6" x14ac:dyDescent="0.25">
      <c r="A6020" t="s">
        <v>2361</v>
      </c>
      <c r="B6020" t="s">
        <v>44</v>
      </c>
      <c r="C6020" t="s">
        <v>60</v>
      </c>
      <c r="D6020" t="s">
        <v>3217</v>
      </c>
      <c r="E6020">
        <v>0</v>
      </c>
      <c r="F6020">
        <v>-0.74</v>
      </c>
    </row>
    <row r="6021" spans="1:6" x14ac:dyDescent="0.25">
      <c r="A6021" t="s">
        <v>2361</v>
      </c>
      <c r="B6021" t="s">
        <v>44</v>
      </c>
      <c r="C6021" t="s">
        <v>60</v>
      </c>
      <c r="D6021" t="s">
        <v>3218</v>
      </c>
      <c r="E6021">
        <v>18.3</v>
      </c>
      <c r="F6021">
        <v>-0.38</v>
      </c>
    </row>
    <row r="6022" spans="1:6" x14ac:dyDescent="0.25">
      <c r="A6022" t="s">
        <v>2361</v>
      </c>
      <c r="B6022" t="s">
        <v>44</v>
      </c>
      <c r="C6022" t="s">
        <v>60</v>
      </c>
      <c r="D6022" t="s">
        <v>3219</v>
      </c>
      <c r="E6022">
        <v>30.7</v>
      </c>
      <c r="F6022">
        <v>-0.4</v>
      </c>
    </row>
    <row r="6023" spans="1:6" x14ac:dyDescent="0.25">
      <c r="A6023" t="s">
        <v>2362</v>
      </c>
      <c r="B6023" t="s">
        <v>44</v>
      </c>
      <c r="C6023" t="s">
        <v>61</v>
      </c>
      <c r="D6023" t="s">
        <v>3217</v>
      </c>
      <c r="E6023">
        <v>0</v>
      </c>
      <c r="F6023">
        <v>-1.85</v>
      </c>
    </row>
    <row r="6024" spans="1:6" x14ac:dyDescent="0.25">
      <c r="A6024" t="s">
        <v>2362</v>
      </c>
      <c r="B6024" t="s">
        <v>44</v>
      </c>
      <c r="C6024" t="s">
        <v>61</v>
      </c>
      <c r="D6024" t="s">
        <v>3218</v>
      </c>
      <c r="E6024">
        <v>17.399999999999999</v>
      </c>
      <c r="F6024">
        <v>-1.49</v>
      </c>
    </row>
    <row r="6025" spans="1:6" x14ac:dyDescent="0.25">
      <c r="A6025" t="s">
        <v>2362</v>
      </c>
      <c r="B6025" t="s">
        <v>44</v>
      </c>
      <c r="C6025" t="s">
        <v>61</v>
      </c>
      <c r="D6025" t="s">
        <v>3219</v>
      </c>
      <c r="E6025">
        <v>29.79</v>
      </c>
      <c r="F6025">
        <v>-1.42</v>
      </c>
    </row>
    <row r="6026" spans="1:6" x14ac:dyDescent="0.25">
      <c r="A6026" t="s">
        <v>2363</v>
      </c>
      <c r="B6026" t="s">
        <v>44</v>
      </c>
      <c r="C6026" t="s">
        <v>62</v>
      </c>
      <c r="D6026" t="s">
        <v>3217</v>
      </c>
      <c r="E6026">
        <v>0</v>
      </c>
      <c r="F6026">
        <v>-2.9</v>
      </c>
    </row>
    <row r="6027" spans="1:6" x14ac:dyDescent="0.25">
      <c r="A6027" t="s">
        <v>2363</v>
      </c>
      <c r="B6027" t="s">
        <v>44</v>
      </c>
      <c r="C6027" t="s">
        <v>62</v>
      </c>
      <c r="D6027" t="s">
        <v>3218</v>
      </c>
      <c r="E6027">
        <v>16.690000000000001</v>
      </c>
      <c r="F6027">
        <v>-2.42</v>
      </c>
    </row>
    <row r="6028" spans="1:6" x14ac:dyDescent="0.25">
      <c r="A6028" t="s">
        <v>2363</v>
      </c>
      <c r="B6028" t="s">
        <v>44</v>
      </c>
      <c r="C6028" t="s">
        <v>62</v>
      </c>
      <c r="D6028" t="s">
        <v>3219</v>
      </c>
      <c r="E6028">
        <v>29.67</v>
      </c>
      <c r="F6028">
        <v>-2.5499999999999998</v>
      </c>
    </row>
    <row r="6029" spans="1:6" x14ac:dyDescent="0.25">
      <c r="A6029" t="s">
        <v>2364</v>
      </c>
      <c r="B6029" t="s">
        <v>44</v>
      </c>
      <c r="C6029" t="s">
        <v>63</v>
      </c>
      <c r="D6029" t="s">
        <v>3217</v>
      </c>
      <c r="E6029">
        <v>0</v>
      </c>
      <c r="F6029">
        <v>-3.88</v>
      </c>
    </row>
    <row r="6030" spans="1:6" x14ac:dyDescent="0.25">
      <c r="A6030" t="s">
        <v>2364</v>
      </c>
      <c r="B6030" t="s">
        <v>44</v>
      </c>
      <c r="C6030" t="s">
        <v>63</v>
      </c>
      <c r="D6030" t="s">
        <v>3218</v>
      </c>
      <c r="E6030">
        <v>16.23</v>
      </c>
      <c r="F6030">
        <v>-3.39</v>
      </c>
    </row>
    <row r="6031" spans="1:6" x14ac:dyDescent="0.25">
      <c r="A6031" t="s">
        <v>2364</v>
      </c>
      <c r="B6031" t="s">
        <v>44</v>
      </c>
      <c r="C6031" t="s">
        <v>63</v>
      </c>
      <c r="D6031" t="s">
        <v>3219</v>
      </c>
      <c r="E6031">
        <v>29.39</v>
      </c>
      <c r="F6031">
        <v>-3.38</v>
      </c>
    </row>
    <row r="6032" spans="1:6" x14ac:dyDescent="0.25">
      <c r="A6032" t="s">
        <v>2365</v>
      </c>
      <c r="B6032" t="s">
        <v>44</v>
      </c>
      <c r="C6032" t="s">
        <v>64</v>
      </c>
      <c r="D6032" t="s">
        <v>3217</v>
      </c>
      <c r="E6032">
        <v>0</v>
      </c>
      <c r="F6032">
        <v>-4.7300000000000004</v>
      </c>
    </row>
    <row r="6033" spans="1:6" x14ac:dyDescent="0.25">
      <c r="A6033" t="s">
        <v>2365</v>
      </c>
      <c r="B6033" t="s">
        <v>44</v>
      </c>
      <c r="C6033" t="s">
        <v>64</v>
      </c>
      <c r="D6033" t="s">
        <v>3218</v>
      </c>
      <c r="E6033">
        <v>16.670000000000002</v>
      </c>
      <c r="F6033">
        <v>-4.0999999999999996</v>
      </c>
    </row>
    <row r="6034" spans="1:6" x14ac:dyDescent="0.25">
      <c r="A6034" t="s">
        <v>2365</v>
      </c>
      <c r="B6034" t="s">
        <v>44</v>
      </c>
      <c r="C6034" t="s">
        <v>64</v>
      </c>
      <c r="D6034" t="s">
        <v>3219</v>
      </c>
      <c r="E6034">
        <v>30.16</v>
      </c>
      <c r="F6034">
        <v>-4.1900000000000004</v>
      </c>
    </row>
    <row r="6035" spans="1:6" x14ac:dyDescent="0.25">
      <c r="A6035" t="s">
        <v>2366</v>
      </c>
      <c r="B6035" t="s">
        <v>44</v>
      </c>
      <c r="C6035" t="s">
        <v>65</v>
      </c>
      <c r="D6035" t="s">
        <v>3217</v>
      </c>
      <c r="E6035">
        <v>0</v>
      </c>
      <c r="F6035">
        <v>-5.05</v>
      </c>
    </row>
    <row r="6036" spans="1:6" x14ac:dyDescent="0.25">
      <c r="A6036" t="s">
        <v>2366</v>
      </c>
      <c r="B6036" t="s">
        <v>44</v>
      </c>
      <c r="C6036" t="s">
        <v>65</v>
      </c>
      <c r="D6036" t="s">
        <v>3218</v>
      </c>
      <c r="E6036">
        <v>16.89</v>
      </c>
      <c r="F6036">
        <v>-4.79</v>
      </c>
    </row>
    <row r="6037" spans="1:6" x14ac:dyDescent="0.25">
      <c r="A6037" t="s">
        <v>2366</v>
      </c>
      <c r="B6037" t="s">
        <v>44</v>
      </c>
      <c r="C6037" t="s">
        <v>65</v>
      </c>
      <c r="D6037" t="s">
        <v>3219</v>
      </c>
      <c r="E6037">
        <v>31.08</v>
      </c>
      <c r="F6037">
        <v>-4.93</v>
      </c>
    </row>
    <row r="6038" spans="1:6" x14ac:dyDescent="0.25">
      <c r="A6038" t="s">
        <v>2367</v>
      </c>
      <c r="B6038" t="s">
        <v>44</v>
      </c>
      <c r="C6038" t="s">
        <v>66</v>
      </c>
      <c r="D6038" t="s">
        <v>3217</v>
      </c>
      <c r="E6038">
        <v>0</v>
      </c>
      <c r="F6038">
        <v>-5.51</v>
      </c>
    </row>
    <row r="6039" spans="1:6" x14ac:dyDescent="0.25">
      <c r="A6039" t="s">
        <v>2367</v>
      </c>
      <c r="B6039" t="s">
        <v>44</v>
      </c>
      <c r="C6039" t="s">
        <v>66</v>
      </c>
      <c r="D6039" t="s">
        <v>3218</v>
      </c>
      <c r="E6039">
        <v>16.48</v>
      </c>
      <c r="F6039">
        <v>-5.39</v>
      </c>
    </row>
    <row r="6040" spans="1:6" x14ac:dyDescent="0.25">
      <c r="A6040" t="s">
        <v>2367</v>
      </c>
      <c r="B6040" t="s">
        <v>44</v>
      </c>
      <c r="C6040" t="s">
        <v>66</v>
      </c>
      <c r="D6040" t="s">
        <v>3219</v>
      </c>
      <c r="E6040">
        <v>32.4</v>
      </c>
      <c r="F6040">
        <v>-5.39</v>
      </c>
    </row>
    <row r="6041" spans="1:6" x14ac:dyDescent="0.25">
      <c r="A6041" t="s">
        <v>2368</v>
      </c>
      <c r="B6041" t="s">
        <v>44</v>
      </c>
      <c r="C6041" t="s">
        <v>67</v>
      </c>
      <c r="D6041" t="s">
        <v>3217</v>
      </c>
      <c r="E6041">
        <v>0</v>
      </c>
      <c r="F6041">
        <v>-5.93</v>
      </c>
    </row>
    <row r="6042" spans="1:6" x14ac:dyDescent="0.25">
      <c r="A6042" t="s">
        <v>2368</v>
      </c>
      <c r="B6042" t="s">
        <v>44</v>
      </c>
      <c r="C6042" t="s">
        <v>67</v>
      </c>
      <c r="D6042" t="s">
        <v>3218</v>
      </c>
      <c r="E6042">
        <v>15.65</v>
      </c>
      <c r="F6042">
        <v>-5.98</v>
      </c>
    </row>
    <row r="6043" spans="1:6" x14ac:dyDescent="0.25">
      <c r="A6043" t="s">
        <v>2368</v>
      </c>
      <c r="B6043" t="s">
        <v>44</v>
      </c>
      <c r="C6043" t="s">
        <v>67</v>
      </c>
      <c r="D6043" t="s">
        <v>3219</v>
      </c>
      <c r="E6043">
        <v>31.94</v>
      </c>
      <c r="F6043">
        <v>-5.72</v>
      </c>
    </row>
    <row r="6044" spans="1:6" x14ac:dyDescent="0.25">
      <c r="A6044" t="s">
        <v>2369</v>
      </c>
      <c r="B6044" t="s">
        <v>44</v>
      </c>
      <c r="C6044" t="s">
        <v>68</v>
      </c>
      <c r="D6044" t="s">
        <v>3217</v>
      </c>
      <c r="E6044">
        <v>0</v>
      </c>
      <c r="F6044">
        <v>-6.46</v>
      </c>
    </row>
    <row r="6045" spans="1:6" x14ac:dyDescent="0.25">
      <c r="A6045" t="s">
        <v>2369</v>
      </c>
      <c r="B6045" t="s">
        <v>44</v>
      </c>
      <c r="C6045" t="s">
        <v>68</v>
      </c>
      <c r="D6045" t="s">
        <v>3218</v>
      </c>
      <c r="E6045">
        <v>16.48</v>
      </c>
      <c r="F6045">
        <v>-6.4</v>
      </c>
    </row>
    <row r="6046" spans="1:6" x14ac:dyDescent="0.25">
      <c r="A6046" t="s">
        <v>2369</v>
      </c>
      <c r="B6046" t="s">
        <v>44</v>
      </c>
      <c r="C6046" t="s">
        <v>68</v>
      </c>
      <c r="D6046" t="s">
        <v>3219</v>
      </c>
      <c r="E6046">
        <v>32.58</v>
      </c>
      <c r="F6046">
        <v>-6.35</v>
      </c>
    </row>
    <row r="6047" spans="1:6" x14ac:dyDescent="0.25">
      <c r="A6047" t="s">
        <v>2370</v>
      </c>
      <c r="B6047" t="s">
        <v>44</v>
      </c>
      <c r="C6047" t="s">
        <v>69</v>
      </c>
      <c r="D6047" t="s">
        <v>3217</v>
      </c>
      <c r="E6047">
        <v>0</v>
      </c>
      <c r="F6047">
        <v>-7.06</v>
      </c>
    </row>
    <row r="6048" spans="1:6" x14ac:dyDescent="0.25">
      <c r="A6048" t="s">
        <v>2370</v>
      </c>
      <c r="B6048" t="s">
        <v>44</v>
      </c>
      <c r="C6048" t="s">
        <v>69</v>
      </c>
      <c r="D6048" t="s">
        <v>3218</v>
      </c>
      <c r="E6048">
        <v>15.65</v>
      </c>
      <c r="F6048">
        <v>-7.06</v>
      </c>
    </row>
    <row r="6049" spans="1:6" x14ac:dyDescent="0.25">
      <c r="A6049" t="s">
        <v>2370</v>
      </c>
      <c r="B6049" t="s">
        <v>44</v>
      </c>
      <c r="C6049" t="s">
        <v>69</v>
      </c>
      <c r="D6049" t="s">
        <v>3219</v>
      </c>
      <c r="E6049">
        <v>30.84</v>
      </c>
      <c r="F6049">
        <v>-6.87</v>
      </c>
    </row>
    <row r="6050" spans="1:6" x14ac:dyDescent="0.25">
      <c r="A6050" t="s">
        <v>2371</v>
      </c>
      <c r="B6050" t="s">
        <v>44</v>
      </c>
      <c r="C6050" t="s">
        <v>70</v>
      </c>
      <c r="D6050" t="s">
        <v>3217</v>
      </c>
      <c r="E6050">
        <v>0</v>
      </c>
      <c r="F6050">
        <v>-7.81</v>
      </c>
    </row>
    <row r="6051" spans="1:6" x14ac:dyDescent="0.25">
      <c r="A6051" t="s">
        <v>2371</v>
      </c>
      <c r="B6051" t="s">
        <v>44</v>
      </c>
      <c r="C6051" t="s">
        <v>70</v>
      </c>
      <c r="D6051" t="s">
        <v>3218</v>
      </c>
      <c r="E6051">
        <v>14.76</v>
      </c>
      <c r="F6051">
        <v>-8.11</v>
      </c>
    </row>
    <row r="6052" spans="1:6" x14ac:dyDescent="0.25">
      <c r="A6052" t="s">
        <v>2371</v>
      </c>
      <c r="B6052" t="s">
        <v>44</v>
      </c>
      <c r="C6052" t="s">
        <v>70</v>
      </c>
      <c r="D6052" t="s">
        <v>3219</v>
      </c>
      <c r="E6052">
        <v>29.94</v>
      </c>
      <c r="F6052">
        <v>-8.3699999999999992</v>
      </c>
    </row>
    <row r="6053" spans="1:6" x14ac:dyDescent="0.25">
      <c r="A6053" t="s">
        <v>2372</v>
      </c>
      <c r="B6053" t="s">
        <v>44</v>
      </c>
      <c r="C6053" t="s">
        <v>71</v>
      </c>
      <c r="D6053" t="s">
        <v>3217</v>
      </c>
      <c r="E6053">
        <v>0</v>
      </c>
      <c r="F6053">
        <v>-9.6199999999999992</v>
      </c>
    </row>
    <row r="6054" spans="1:6" x14ac:dyDescent="0.25">
      <c r="A6054" t="s">
        <v>2372</v>
      </c>
      <c r="B6054" t="s">
        <v>44</v>
      </c>
      <c r="C6054" t="s">
        <v>71</v>
      </c>
      <c r="D6054" t="s">
        <v>3218</v>
      </c>
      <c r="E6054">
        <v>13.89</v>
      </c>
      <c r="F6054">
        <v>-9.42</v>
      </c>
    </row>
    <row r="6055" spans="1:6" x14ac:dyDescent="0.25">
      <c r="A6055" t="s">
        <v>2372</v>
      </c>
      <c r="B6055" t="s">
        <v>44</v>
      </c>
      <c r="C6055" t="s">
        <v>71</v>
      </c>
      <c r="D6055" t="s">
        <v>3219</v>
      </c>
      <c r="E6055">
        <v>27.59</v>
      </c>
      <c r="F6055">
        <v>-9.81</v>
      </c>
    </row>
    <row r="6056" spans="1:6" x14ac:dyDescent="0.25">
      <c r="A6056" t="s">
        <v>2373</v>
      </c>
      <c r="B6056" t="s">
        <v>44</v>
      </c>
      <c r="C6056" t="s">
        <v>72</v>
      </c>
      <c r="D6056" t="s">
        <v>3217</v>
      </c>
      <c r="E6056">
        <v>0</v>
      </c>
      <c r="F6056">
        <v>-11.14</v>
      </c>
    </row>
    <row r="6057" spans="1:6" x14ac:dyDescent="0.25">
      <c r="A6057" t="s">
        <v>2373</v>
      </c>
      <c r="B6057" t="s">
        <v>44</v>
      </c>
      <c r="C6057" t="s">
        <v>72</v>
      </c>
      <c r="D6057" t="s">
        <v>3218</v>
      </c>
      <c r="E6057">
        <v>12.84</v>
      </c>
      <c r="F6057">
        <v>-11.19</v>
      </c>
    </row>
    <row r="6058" spans="1:6" x14ac:dyDescent="0.25">
      <c r="A6058" t="s">
        <v>2373</v>
      </c>
      <c r="B6058" t="s">
        <v>44</v>
      </c>
      <c r="C6058" t="s">
        <v>72</v>
      </c>
      <c r="D6058" t="s">
        <v>3219</v>
      </c>
      <c r="E6058">
        <v>25.2</v>
      </c>
      <c r="F6058">
        <v>-11.5</v>
      </c>
    </row>
    <row r="6059" spans="1:6" x14ac:dyDescent="0.25">
      <c r="A6059" t="s">
        <v>2374</v>
      </c>
      <c r="B6059" t="s">
        <v>44</v>
      </c>
      <c r="C6059" t="s">
        <v>73</v>
      </c>
      <c r="D6059" t="s">
        <v>3217</v>
      </c>
      <c r="E6059">
        <v>0</v>
      </c>
      <c r="F6059">
        <v>-12.62</v>
      </c>
    </row>
    <row r="6060" spans="1:6" x14ac:dyDescent="0.25">
      <c r="A6060" t="s">
        <v>2374</v>
      </c>
      <c r="B6060" t="s">
        <v>44</v>
      </c>
      <c r="C6060" t="s">
        <v>73</v>
      </c>
      <c r="D6060" t="s">
        <v>3218</v>
      </c>
      <c r="E6060">
        <v>13.89</v>
      </c>
      <c r="F6060">
        <v>-12.73</v>
      </c>
    </row>
    <row r="6061" spans="1:6" x14ac:dyDescent="0.25">
      <c r="A6061" t="s">
        <v>2374</v>
      </c>
      <c r="B6061" t="s">
        <v>44</v>
      </c>
      <c r="C6061" t="s">
        <v>73</v>
      </c>
      <c r="D6061" t="s">
        <v>3219</v>
      </c>
      <c r="E6061">
        <v>27.41</v>
      </c>
      <c r="F6061">
        <v>-13.15</v>
      </c>
    </row>
    <row r="6062" spans="1:6" x14ac:dyDescent="0.25">
      <c r="A6062" t="s">
        <v>2375</v>
      </c>
      <c r="B6062" t="s">
        <v>44</v>
      </c>
      <c r="C6062" t="s">
        <v>74</v>
      </c>
      <c r="D6062" t="s">
        <v>3217</v>
      </c>
      <c r="E6062">
        <v>0</v>
      </c>
      <c r="F6062">
        <v>-14.35</v>
      </c>
    </row>
    <row r="6063" spans="1:6" x14ac:dyDescent="0.25">
      <c r="A6063" t="s">
        <v>2375</v>
      </c>
      <c r="B6063" t="s">
        <v>44</v>
      </c>
      <c r="C6063" t="s">
        <v>74</v>
      </c>
      <c r="D6063" t="s">
        <v>3218</v>
      </c>
      <c r="E6063">
        <v>12.84</v>
      </c>
      <c r="F6063">
        <v>-14.25</v>
      </c>
    </row>
    <row r="6064" spans="1:6" x14ac:dyDescent="0.25">
      <c r="A6064" t="s">
        <v>2375</v>
      </c>
      <c r="B6064" t="s">
        <v>44</v>
      </c>
      <c r="C6064" t="s">
        <v>74</v>
      </c>
      <c r="D6064" t="s">
        <v>3219</v>
      </c>
      <c r="E6064">
        <v>27.18</v>
      </c>
      <c r="F6064">
        <v>-14.55</v>
      </c>
    </row>
    <row r="6065" spans="1:6" x14ac:dyDescent="0.25">
      <c r="A6065" t="s">
        <v>2376</v>
      </c>
      <c r="B6065" t="s">
        <v>44</v>
      </c>
      <c r="C6065" t="s">
        <v>75</v>
      </c>
      <c r="D6065" t="s">
        <v>3217</v>
      </c>
      <c r="E6065">
        <v>0</v>
      </c>
      <c r="F6065">
        <v>-15.92</v>
      </c>
    </row>
    <row r="6066" spans="1:6" x14ac:dyDescent="0.25">
      <c r="A6066" t="s">
        <v>2376</v>
      </c>
      <c r="B6066" t="s">
        <v>44</v>
      </c>
      <c r="C6066" t="s">
        <v>75</v>
      </c>
      <c r="D6066" t="s">
        <v>3218</v>
      </c>
      <c r="E6066">
        <v>11.77</v>
      </c>
      <c r="F6066">
        <v>-15.84</v>
      </c>
    </row>
    <row r="6067" spans="1:6" x14ac:dyDescent="0.25">
      <c r="A6067" t="s">
        <v>2376</v>
      </c>
      <c r="B6067" t="s">
        <v>44</v>
      </c>
      <c r="C6067" t="s">
        <v>75</v>
      </c>
      <c r="D6067" t="s">
        <v>3219</v>
      </c>
      <c r="E6067">
        <v>26.88</v>
      </c>
      <c r="F6067">
        <v>-16.2</v>
      </c>
    </row>
    <row r="6068" spans="1:6" x14ac:dyDescent="0.25">
      <c r="A6068" t="s">
        <v>2377</v>
      </c>
      <c r="B6068" t="s">
        <v>44</v>
      </c>
      <c r="C6068" t="s">
        <v>76</v>
      </c>
      <c r="D6068" t="s">
        <v>3217</v>
      </c>
      <c r="E6068">
        <v>0</v>
      </c>
      <c r="F6068">
        <v>-17.5</v>
      </c>
    </row>
    <row r="6069" spans="1:6" x14ac:dyDescent="0.25">
      <c r="A6069" t="s">
        <v>2377</v>
      </c>
      <c r="B6069" t="s">
        <v>44</v>
      </c>
      <c r="C6069" t="s">
        <v>76</v>
      </c>
      <c r="D6069" t="s">
        <v>3218</v>
      </c>
      <c r="E6069">
        <v>11.55</v>
      </c>
      <c r="F6069">
        <v>-17.25</v>
      </c>
    </row>
    <row r="6070" spans="1:6" x14ac:dyDescent="0.25">
      <c r="A6070" t="s">
        <v>2377</v>
      </c>
      <c r="B6070" t="s">
        <v>44</v>
      </c>
      <c r="C6070" t="s">
        <v>76</v>
      </c>
      <c r="D6070" t="s">
        <v>3219</v>
      </c>
      <c r="E6070">
        <v>26.81</v>
      </c>
      <c r="F6070">
        <v>-17.45</v>
      </c>
    </row>
    <row r="6071" spans="1:6" x14ac:dyDescent="0.25">
      <c r="A6071" t="s">
        <v>2378</v>
      </c>
      <c r="B6071" t="s">
        <v>44</v>
      </c>
      <c r="C6071" t="s">
        <v>77</v>
      </c>
      <c r="D6071" t="s">
        <v>3217</v>
      </c>
      <c r="E6071">
        <v>0</v>
      </c>
      <c r="F6071">
        <v>-18.989999999999998</v>
      </c>
    </row>
    <row r="6072" spans="1:6" x14ac:dyDescent="0.25">
      <c r="A6072" t="s">
        <v>2378</v>
      </c>
      <c r="B6072" t="s">
        <v>44</v>
      </c>
      <c r="C6072" t="s">
        <v>77</v>
      </c>
      <c r="D6072" t="s">
        <v>3218</v>
      </c>
      <c r="E6072">
        <v>12.09</v>
      </c>
      <c r="F6072">
        <v>-18.670000000000002</v>
      </c>
    </row>
    <row r="6073" spans="1:6" x14ac:dyDescent="0.25">
      <c r="A6073" t="s">
        <v>2378</v>
      </c>
      <c r="B6073" t="s">
        <v>44</v>
      </c>
      <c r="C6073" t="s">
        <v>77</v>
      </c>
      <c r="D6073" t="s">
        <v>3219</v>
      </c>
      <c r="E6073">
        <v>26.69</v>
      </c>
      <c r="F6073">
        <v>-18.71</v>
      </c>
    </row>
    <row r="6074" spans="1:6" x14ac:dyDescent="0.25">
      <c r="A6074" t="s">
        <v>2379</v>
      </c>
      <c r="B6074" t="s">
        <v>44</v>
      </c>
      <c r="C6074" t="s">
        <v>78</v>
      </c>
      <c r="D6074" t="s">
        <v>3217</v>
      </c>
      <c r="E6074">
        <v>0</v>
      </c>
      <c r="F6074">
        <v>-20.27</v>
      </c>
    </row>
    <row r="6075" spans="1:6" x14ac:dyDescent="0.25">
      <c r="A6075" t="s">
        <v>2379</v>
      </c>
      <c r="B6075" t="s">
        <v>44</v>
      </c>
      <c r="C6075" t="s">
        <v>78</v>
      </c>
      <c r="D6075" t="s">
        <v>3218</v>
      </c>
      <c r="E6075">
        <v>12.04</v>
      </c>
      <c r="F6075">
        <v>-20.079999999999998</v>
      </c>
    </row>
    <row r="6076" spans="1:6" x14ac:dyDescent="0.25">
      <c r="A6076" t="s">
        <v>2379</v>
      </c>
      <c r="B6076" t="s">
        <v>44</v>
      </c>
      <c r="C6076" t="s">
        <v>78</v>
      </c>
      <c r="D6076" t="s">
        <v>3219</v>
      </c>
      <c r="E6076">
        <v>25.31</v>
      </c>
      <c r="F6076">
        <v>-19.87</v>
      </c>
    </row>
    <row r="6077" spans="1:6" x14ac:dyDescent="0.25">
      <c r="A6077" t="s">
        <v>2380</v>
      </c>
      <c r="B6077" t="s">
        <v>44</v>
      </c>
      <c r="C6077" t="s">
        <v>79</v>
      </c>
      <c r="D6077" t="s">
        <v>3217</v>
      </c>
      <c r="E6077">
        <v>0</v>
      </c>
      <c r="F6077">
        <v>-21.67</v>
      </c>
    </row>
    <row r="6078" spans="1:6" x14ac:dyDescent="0.25">
      <c r="A6078" t="s">
        <v>2380</v>
      </c>
      <c r="B6078" t="s">
        <v>44</v>
      </c>
      <c r="C6078" t="s">
        <v>79</v>
      </c>
      <c r="D6078" t="s">
        <v>3218</v>
      </c>
      <c r="E6078">
        <v>12.25</v>
      </c>
      <c r="F6078">
        <v>-21.15</v>
      </c>
    </row>
    <row r="6079" spans="1:6" x14ac:dyDescent="0.25">
      <c r="A6079" t="s">
        <v>2380</v>
      </c>
      <c r="B6079" t="s">
        <v>44</v>
      </c>
      <c r="C6079" t="s">
        <v>79</v>
      </c>
      <c r="D6079" t="s">
        <v>3219</v>
      </c>
      <c r="E6079">
        <v>24.52</v>
      </c>
      <c r="F6079">
        <v>-21.07</v>
      </c>
    </row>
    <row r="6080" spans="1:6" x14ac:dyDescent="0.25">
      <c r="A6080" t="s">
        <v>2381</v>
      </c>
      <c r="B6080" t="s">
        <v>44</v>
      </c>
      <c r="C6080" t="s">
        <v>80</v>
      </c>
      <c r="D6080" t="s">
        <v>3217</v>
      </c>
      <c r="E6080">
        <v>0</v>
      </c>
      <c r="F6080">
        <v>-22.73</v>
      </c>
    </row>
    <row r="6081" spans="1:6" x14ac:dyDescent="0.25">
      <c r="A6081" t="s">
        <v>2381</v>
      </c>
      <c r="B6081" t="s">
        <v>44</v>
      </c>
      <c r="C6081" t="s">
        <v>80</v>
      </c>
      <c r="D6081" t="s">
        <v>3218</v>
      </c>
      <c r="E6081">
        <v>12.69</v>
      </c>
      <c r="F6081">
        <v>-22.3</v>
      </c>
    </row>
    <row r="6082" spans="1:6" x14ac:dyDescent="0.25">
      <c r="A6082" t="s">
        <v>2381</v>
      </c>
      <c r="B6082" t="s">
        <v>44</v>
      </c>
      <c r="C6082" t="s">
        <v>80</v>
      </c>
      <c r="D6082" t="s">
        <v>3219</v>
      </c>
      <c r="E6082">
        <v>24.53</v>
      </c>
      <c r="F6082">
        <v>-22.4</v>
      </c>
    </row>
    <row r="6083" spans="1:6" x14ac:dyDescent="0.25">
      <c r="A6083" t="s">
        <v>2382</v>
      </c>
      <c r="B6083" t="s">
        <v>44</v>
      </c>
      <c r="C6083" t="s">
        <v>81</v>
      </c>
      <c r="D6083" t="s">
        <v>3217</v>
      </c>
      <c r="E6083">
        <v>0</v>
      </c>
      <c r="F6083">
        <v>-23.71</v>
      </c>
    </row>
    <row r="6084" spans="1:6" x14ac:dyDescent="0.25">
      <c r="A6084" t="s">
        <v>2382</v>
      </c>
      <c r="B6084" t="s">
        <v>44</v>
      </c>
      <c r="C6084" t="s">
        <v>81</v>
      </c>
      <c r="D6084" t="s">
        <v>3218</v>
      </c>
      <c r="E6084">
        <v>13.93</v>
      </c>
      <c r="F6084">
        <v>-23.31</v>
      </c>
    </row>
    <row r="6085" spans="1:6" x14ac:dyDescent="0.25">
      <c r="A6085" t="s">
        <v>2382</v>
      </c>
      <c r="B6085" t="s">
        <v>44</v>
      </c>
      <c r="C6085" t="s">
        <v>81</v>
      </c>
      <c r="D6085" t="s">
        <v>3219</v>
      </c>
      <c r="E6085">
        <v>26.57</v>
      </c>
      <c r="F6085">
        <v>-23.55</v>
      </c>
    </row>
    <row r="6086" spans="1:6" x14ac:dyDescent="0.25">
      <c r="A6086" t="s">
        <v>2383</v>
      </c>
      <c r="B6086" t="s">
        <v>44</v>
      </c>
      <c r="C6086" t="s">
        <v>82</v>
      </c>
      <c r="D6086" t="s">
        <v>3217</v>
      </c>
      <c r="E6086">
        <v>0</v>
      </c>
      <c r="F6086">
        <v>-24.54</v>
      </c>
    </row>
    <row r="6087" spans="1:6" x14ac:dyDescent="0.25">
      <c r="A6087" t="s">
        <v>2383</v>
      </c>
      <c r="B6087" t="s">
        <v>44</v>
      </c>
      <c r="C6087" t="s">
        <v>82</v>
      </c>
      <c r="D6087" t="s">
        <v>3218</v>
      </c>
      <c r="E6087">
        <v>13.4</v>
      </c>
      <c r="F6087">
        <v>-24.19</v>
      </c>
    </row>
    <row r="6088" spans="1:6" x14ac:dyDescent="0.25">
      <c r="A6088" t="s">
        <v>2383</v>
      </c>
      <c r="B6088" t="s">
        <v>44</v>
      </c>
      <c r="C6088" t="s">
        <v>82</v>
      </c>
      <c r="D6088" t="s">
        <v>3219</v>
      </c>
      <c r="E6088">
        <v>26.78</v>
      </c>
      <c r="F6088">
        <v>-24.31</v>
      </c>
    </row>
    <row r="6089" spans="1:6" x14ac:dyDescent="0.25">
      <c r="A6089" t="s">
        <v>2384</v>
      </c>
      <c r="B6089" t="s">
        <v>44</v>
      </c>
      <c r="C6089" t="s">
        <v>83</v>
      </c>
      <c r="D6089" t="s">
        <v>3217</v>
      </c>
      <c r="E6089">
        <v>0</v>
      </c>
      <c r="F6089">
        <v>-24.94</v>
      </c>
    </row>
    <row r="6090" spans="1:6" x14ac:dyDescent="0.25">
      <c r="A6090" t="s">
        <v>2384</v>
      </c>
      <c r="B6090" t="s">
        <v>44</v>
      </c>
      <c r="C6090" t="s">
        <v>83</v>
      </c>
      <c r="D6090" t="s">
        <v>3218</v>
      </c>
      <c r="E6090">
        <v>12.34</v>
      </c>
      <c r="F6090">
        <v>-24.89</v>
      </c>
    </row>
    <row r="6091" spans="1:6" x14ac:dyDescent="0.25">
      <c r="A6091" t="s">
        <v>2384</v>
      </c>
      <c r="B6091" t="s">
        <v>44</v>
      </c>
      <c r="C6091" t="s">
        <v>83</v>
      </c>
      <c r="D6091" t="s">
        <v>3219</v>
      </c>
      <c r="E6091">
        <v>25.79</v>
      </c>
      <c r="F6091">
        <v>-24.7</v>
      </c>
    </row>
    <row r="6092" spans="1:6" x14ac:dyDescent="0.25">
      <c r="A6092" t="s">
        <v>2385</v>
      </c>
      <c r="B6092" t="s">
        <v>44</v>
      </c>
      <c r="C6092" t="s">
        <v>84</v>
      </c>
      <c r="D6092" t="s">
        <v>3217</v>
      </c>
      <c r="E6092">
        <v>0</v>
      </c>
      <c r="F6092">
        <v>-25.32</v>
      </c>
    </row>
    <row r="6093" spans="1:6" x14ac:dyDescent="0.25">
      <c r="A6093" t="s">
        <v>2385</v>
      </c>
      <c r="B6093" t="s">
        <v>44</v>
      </c>
      <c r="C6093" t="s">
        <v>84</v>
      </c>
      <c r="D6093" t="s">
        <v>3218</v>
      </c>
      <c r="E6093">
        <v>10.94</v>
      </c>
      <c r="F6093">
        <v>-25.14</v>
      </c>
    </row>
    <row r="6094" spans="1:6" x14ac:dyDescent="0.25">
      <c r="A6094" t="s">
        <v>2385</v>
      </c>
      <c r="B6094" t="s">
        <v>44</v>
      </c>
      <c r="C6094" t="s">
        <v>84</v>
      </c>
      <c r="D6094" t="s">
        <v>3219</v>
      </c>
      <c r="E6094">
        <v>30.94</v>
      </c>
      <c r="F6094">
        <v>-25.44</v>
      </c>
    </row>
    <row r="6095" spans="1:6" x14ac:dyDescent="0.25">
      <c r="A6095" t="s">
        <v>2386</v>
      </c>
      <c r="B6095" t="s">
        <v>44</v>
      </c>
      <c r="C6095" t="s">
        <v>85</v>
      </c>
      <c r="D6095" t="s">
        <v>3217</v>
      </c>
      <c r="E6095">
        <v>0</v>
      </c>
      <c r="F6095">
        <v>-25.51</v>
      </c>
    </row>
    <row r="6096" spans="1:6" x14ac:dyDescent="0.25">
      <c r="A6096" t="s">
        <v>2386</v>
      </c>
      <c r="B6096" t="s">
        <v>44</v>
      </c>
      <c r="C6096" t="s">
        <v>85</v>
      </c>
      <c r="D6096" t="s">
        <v>3218</v>
      </c>
      <c r="E6096">
        <v>12.23</v>
      </c>
      <c r="F6096">
        <v>-25.6</v>
      </c>
    </row>
    <row r="6097" spans="1:6" x14ac:dyDescent="0.25">
      <c r="A6097" t="s">
        <v>2386</v>
      </c>
      <c r="B6097" t="s">
        <v>44</v>
      </c>
      <c r="C6097" t="s">
        <v>85</v>
      </c>
      <c r="D6097" t="s">
        <v>3219</v>
      </c>
      <c r="E6097">
        <v>32.229999999999997</v>
      </c>
      <c r="F6097">
        <v>-26.39</v>
      </c>
    </row>
    <row r="6098" spans="1:6" x14ac:dyDescent="0.25">
      <c r="A6098" t="s">
        <v>2387</v>
      </c>
      <c r="B6098" t="s">
        <v>44</v>
      </c>
      <c r="C6098" t="s">
        <v>86</v>
      </c>
      <c r="D6098" t="s">
        <v>3217</v>
      </c>
      <c r="E6098">
        <v>0</v>
      </c>
      <c r="F6098">
        <v>-25.67</v>
      </c>
    </row>
    <row r="6099" spans="1:6" x14ac:dyDescent="0.25">
      <c r="A6099" t="s">
        <v>2387</v>
      </c>
      <c r="B6099" t="s">
        <v>44</v>
      </c>
      <c r="C6099" t="s">
        <v>86</v>
      </c>
      <c r="D6099" t="s">
        <v>3218</v>
      </c>
      <c r="E6099">
        <v>13.31</v>
      </c>
      <c r="F6099">
        <v>-25.71</v>
      </c>
    </row>
    <row r="6100" spans="1:6" x14ac:dyDescent="0.25">
      <c r="A6100" t="s">
        <v>2387</v>
      </c>
      <c r="B6100" t="s">
        <v>44</v>
      </c>
      <c r="C6100" t="s">
        <v>86</v>
      </c>
      <c r="D6100" t="s">
        <v>3219</v>
      </c>
      <c r="E6100">
        <v>33.31</v>
      </c>
      <c r="F6100">
        <v>-26.96</v>
      </c>
    </row>
    <row r="6101" spans="1:6" x14ac:dyDescent="0.25">
      <c r="A6101" t="s">
        <v>2388</v>
      </c>
      <c r="B6101" t="s">
        <v>44</v>
      </c>
      <c r="C6101" t="s">
        <v>87</v>
      </c>
      <c r="D6101" t="s">
        <v>3217</v>
      </c>
      <c r="E6101">
        <v>0</v>
      </c>
      <c r="F6101">
        <v>-25.77</v>
      </c>
    </row>
    <row r="6102" spans="1:6" x14ac:dyDescent="0.25">
      <c r="A6102" t="s">
        <v>2388</v>
      </c>
      <c r="B6102" t="s">
        <v>44</v>
      </c>
      <c r="C6102" t="s">
        <v>87</v>
      </c>
      <c r="D6102" t="s">
        <v>3218</v>
      </c>
      <c r="E6102">
        <v>12.28</v>
      </c>
      <c r="F6102">
        <v>-25.8</v>
      </c>
    </row>
    <row r="6103" spans="1:6" x14ac:dyDescent="0.25">
      <c r="A6103" t="s">
        <v>2388</v>
      </c>
      <c r="B6103" t="s">
        <v>44</v>
      </c>
      <c r="C6103" t="s">
        <v>87</v>
      </c>
      <c r="D6103" t="s">
        <v>3219</v>
      </c>
      <c r="E6103">
        <v>25.28</v>
      </c>
      <c r="F6103">
        <v>-26.2</v>
      </c>
    </row>
    <row r="6104" spans="1:6" x14ac:dyDescent="0.25">
      <c r="A6104" t="s">
        <v>2389</v>
      </c>
      <c r="B6104" t="s">
        <v>44</v>
      </c>
      <c r="C6104" t="s">
        <v>88</v>
      </c>
      <c r="D6104" t="s">
        <v>3217</v>
      </c>
      <c r="E6104">
        <v>0</v>
      </c>
      <c r="F6104">
        <v>-25.86</v>
      </c>
    </row>
    <row r="6105" spans="1:6" x14ac:dyDescent="0.25">
      <c r="A6105" t="s">
        <v>2389</v>
      </c>
      <c r="B6105" t="s">
        <v>44</v>
      </c>
      <c r="C6105" t="s">
        <v>88</v>
      </c>
      <c r="D6105" t="s">
        <v>3218</v>
      </c>
      <c r="E6105">
        <v>12.3</v>
      </c>
      <c r="F6105">
        <v>-25.84</v>
      </c>
    </row>
    <row r="6106" spans="1:6" x14ac:dyDescent="0.25">
      <c r="A6106" t="s">
        <v>2389</v>
      </c>
      <c r="B6106" t="s">
        <v>44</v>
      </c>
      <c r="C6106" t="s">
        <v>88</v>
      </c>
      <c r="D6106" t="s">
        <v>3219</v>
      </c>
      <c r="E6106">
        <v>26.01</v>
      </c>
      <c r="F6106">
        <v>-26.23</v>
      </c>
    </row>
    <row r="6107" spans="1:6" x14ac:dyDescent="0.25">
      <c r="A6107" t="s">
        <v>2390</v>
      </c>
      <c r="B6107" t="s">
        <v>44</v>
      </c>
      <c r="C6107" t="s">
        <v>89</v>
      </c>
      <c r="D6107" t="s">
        <v>3217</v>
      </c>
      <c r="E6107">
        <v>0</v>
      </c>
      <c r="F6107">
        <v>-25.9</v>
      </c>
    </row>
    <row r="6108" spans="1:6" x14ac:dyDescent="0.25">
      <c r="A6108" t="s">
        <v>2390</v>
      </c>
      <c r="B6108" t="s">
        <v>44</v>
      </c>
      <c r="C6108" t="s">
        <v>89</v>
      </c>
      <c r="D6108" t="s">
        <v>3218</v>
      </c>
      <c r="E6108">
        <v>12.46</v>
      </c>
      <c r="F6108">
        <v>-25.79</v>
      </c>
    </row>
    <row r="6109" spans="1:6" x14ac:dyDescent="0.25">
      <c r="A6109" t="s">
        <v>2390</v>
      </c>
      <c r="B6109" t="s">
        <v>44</v>
      </c>
      <c r="C6109" t="s">
        <v>89</v>
      </c>
      <c r="D6109" t="s">
        <v>3219</v>
      </c>
      <c r="E6109">
        <v>26.16</v>
      </c>
      <c r="F6109">
        <v>-26.28</v>
      </c>
    </row>
    <row r="6110" spans="1:6" x14ac:dyDescent="0.25">
      <c r="A6110" t="s">
        <v>2391</v>
      </c>
      <c r="B6110" t="s">
        <v>44</v>
      </c>
      <c r="C6110" t="s">
        <v>90</v>
      </c>
      <c r="D6110" t="s">
        <v>3217</v>
      </c>
      <c r="E6110">
        <v>0</v>
      </c>
      <c r="F6110">
        <v>-25.53</v>
      </c>
    </row>
    <row r="6111" spans="1:6" x14ac:dyDescent="0.25">
      <c r="A6111" t="s">
        <v>2391</v>
      </c>
      <c r="B6111" t="s">
        <v>44</v>
      </c>
      <c r="C6111" t="s">
        <v>90</v>
      </c>
      <c r="D6111" t="s">
        <v>3218</v>
      </c>
      <c r="E6111">
        <v>11.94</v>
      </c>
      <c r="F6111">
        <v>-25.72</v>
      </c>
    </row>
    <row r="6112" spans="1:6" x14ac:dyDescent="0.25">
      <c r="A6112" t="s">
        <v>2391</v>
      </c>
      <c r="B6112" t="s">
        <v>44</v>
      </c>
      <c r="C6112" t="s">
        <v>90</v>
      </c>
      <c r="D6112" t="s">
        <v>3219</v>
      </c>
      <c r="E6112">
        <v>26.77</v>
      </c>
      <c r="F6112">
        <v>-26.16</v>
      </c>
    </row>
    <row r="6113" spans="1:6" x14ac:dyDescent="0.25">
      <c r="A6113" t="s">
        <v>2392</v>
      </c>
      <c r="B6113" t="s">
        <v>44</v>
      </c>
      <c r="C6113" t="s">
        <v>91</v>
      </c>
      <c r="D6113" t="s">
        <v>3217</v>
      </c>
      <c r="E6113">
        <v>0</v>
      </c>
      <c r="F6113">
        <v>-25.31</v>
      </c>
    </row>
    <row r="6114" spans="1:6" x14ac:dyDescent="0.25">
      <c r="A6114" t="s">
        <v>2392</v>
      </c>
      <c r="B6114" t="s">
        <v>44</v>
      </c>
      <c r="C6114" t="s">
        <v>91</v>
      </c>
      <c r="D6114" t="s">
        <v>3218</v>
      </c>
      <c r="E6114">
        <v>12.76</v>
      </c>
      <c r="F6114">
        <v>-25.48</v>
      </c>
    </row>
    <row r="6115" spans="1:6" x14ac:dyDescent="0.25">
      <c r="A6115" t="s">
        <v>2392</v>
      </c>
      <c r="B6115" t="s">
        <v>44</v>
      </c>
      <c r="C6115" t="s">
        <v>91</v>
      </c>
      <c r="D6115" t="s">
        <v>3219</v>
      </c>
      <c r="E6115">
        <v>27.54</v>
      </c>
      <c r="F6115">
        <v>-26.04</v>
      </c>
    </row>
    <row r="6116" spans="1:6" x14ac:dyDescent="0.25">
      <c r="A6116" t="s">
        <v>2393</v>
      </c>
      <c r="B6116" t="s">
        <v>44</v>
      </c>
      <c r="C6116" t="s">
        <v>92</v>
      </c>
      <c r="D6116" t="s">
        <v>3217</v>
      </c>
      <c r="E6116">
        <v>0</v>
      </c>
      <c r="F6116">
        <v>-25.05</v>
      </c>
    </row>
    <row r="6117" spans="1:6" x14ac:dyDescent="0.25">
      <c r="A6117" t="s">
        <v>2393</v>
      </c>
      <c r="B6117" t="s">
        <v>44</v>
      </c>
      <c r="C6117" t="s">
        <v>92</v>
      </c>
      <c r="D6117" t="s">
        <v>3218</v>
      </c>
      <c r="E6117">
        <v>12.95</v>
      </c>
      <c r="F6117">
        <v>-25.3</v>
      </c>
    </row>
    <row r="6118" spans="1:6" x14ac:dyDescent="0.25">
      <c r="A6118" t="s">
        <v>2393</v>
      </c>
      <c r="B6118" t="s">
        <v>44</v>
      </c>
      <c r="C6118" t="s">
        <v>92</v>
      </c>
      <c r="D6118" t="s">
        <v>3219</v>
      </c>
      <c r="E6118">
        <v>27.85</v>
      </c>
      <c r="F6118">
        <v>-25.8</v>
      </c>
    </row>
    <row r="6119" spans="1:6" x14ac:dyDescent="0.25">
      <c r="A6119" t="s">
        <v>2394</v>
      </c>
      <c r="B6119" t="s">
        <v>44</v>
      </c>
      <c r="C6119" t="s">
        <v>93</v>
      </c>
      <c r="D6119" t="s">
        <v>3217</v>
      </c>
      <c r="E6119">
        <v>0</v>
      </c>
      <c r="F6119">
        <v>-24.74</v>
      </c>
    </row>
    <row r="6120" spans="1:6" x14ac:dyDescent="0.25">
      <c r="A6120" t="s">
        <v>2394</v>
      </c>
      <c r="B6120" t="s">
        <v>44</v>
      </c>
      <c r="C6120" t="s">
        <v>93</v>
      </c>
      <c r="D6120" t="s">
        <v>3218</v>
      </c>
      <c r="E6120">
        <v>14.37</v>
      </c>
      <c r="F6120">
        <v>-24.97</v>
      </c>
    </row>
    <row r="6121" spans="1:6" x14ac:dyDescent="0.25">
      <c r="A6121" t="s">
        <v>2394</v>
      </c>
      <c r="B6121" t="s">
        <v>44</v>
      </c>
      <c r="C6121" t="s">
        <v>93</v>
      </c>
      <c r="D6121" t="s">
        <v>3219</v>
      </c>
      <c r="E6121">
        <v>29.92</v>
      </c>
      <c r="F6121">
        <v>-25.43</v>
      </c>
    </row>
    <row r="6122" spans="1:6" x14ac:dyDescent="0.25">
      <c r="A6122" t="s">
        <v>2395</v>
      </c>
      <c r="B6122" t="s">
        <v>44</v>
      </c>
      <c r="C6122" t="s">
        <v>94</v>
      </c>
      <c r="D6122" t="s">
        <v>3217</v>
      </c>
      <c r="E6122">
        <v>0</v>
      </c>
      <c r="F6122">
        <v>-24.5</v>
      </c>
    </row>
    <row r="6123" spans="1:6" x14ac:dyDescent="0.25">
      <c r="A6123" t="s">
        <v>2395</v>
      </c>
      <c r="B6123" t="s">
        <v>44</v>
      </c>
      <c r="C6123" t="s">
        <v>94</v>
      </c>
      <c r="D6123" t="s">
        <v>3218</v>
      </c>
      <c r="E6123">
        <v>15.18</v>
      </c>
      <c r="F6123">
        <v>-24.7</v>
      </c>
    </row>
    <row r="6124" spans="1:6" x14ac:dyDescent="0.25">
      <c r="A6124" t="s">
        <v>2395</v>
      </c>
      <c r="B6124" t="s">
        <v>44</v>
      </c>
      <c r="C6124" t="s">
        <v>94</v>
      </c>
      <c r="D6124" t="s">
        <v>3219</v>
      </c>
      <c r="E6124">
        <v>30.67</v>
      </c>
      <c r="F6124">
        <v>-25.01</v>
      </c>
    </row>
    <row r="6125" spans="1:6" x14ac:dyDescent="0.25">
      <c r="A6125" t="s">
        <v>2396</v>
      </c>
      <c r="B6125" t="s">
        <v>44</v>
      </c>
      <c r="C6125" t="s">
        <v>95</v>
      </c>
      <c r="D6125" t="s">
        <v>3217</v>
      </c>
      <c r="E6125">
        <v>0</v>
      </c>
      <c r="F6125">
        <v>-23.8</v>
      </c>
    </row>
    <row r="6126" spans="1:6" x14ac:dyDescent="0.25">
      <c r="A6126" t="s">
        <v>2396</v>
      </c>
      <c r="B6126" t="s">
        <v>44</v>
      </c>
      <c r="C6126" t="s">
        <v>95</v>
      </c>
      <c r="D6126" t="s">
        <v>3218</v>
      </c>
      <c r="E6126">
        <v>15.51</v>
      </c>
      <c r="F6126">
        <v>-24.27</v>
      </c>
    </row>
    <row r="6127" spans="1:6" x14ac:dyDescent="0.25">
      <c r="A6127" t="s">
        <v>2396</v>
      </c>
      <c r="B6127" t="s">
        <v>44</v>
      </c>
      <c r="C6127" t="s">
        <v>95</v>
      </c>
      <c r="D6127" t="s">
        <v>3219</v>
      </c>
      <c r="E6127">
        <v>31.85</v>
      </c>
      <c r="F6127">
        <v>-24.54</v>
      </c>
    </row>
    <row r="6128" spans="1:6" x14ac:dyDescent="0.25">
      <c r="A6128" t="s">
        <v>2397</v>
      </c>
      <c r="B6128" t="s">
        <v>44</v>
      </c>
      <c r="C6128" t="s">
        <v>96</v>
      </c>
      <c r="D6128" t="s">
        <v>3217</v>
      </c>
      <c r="E6128">
        <v>0</v>
      </c>
      <c r="F6128">
        <v>-23.35</v>
      </c>
    </row>
    <row r="6129" spans="1:6" x14ac:dyDescent="0.25">
      <c r="A6129" t="s">
        <v>2397</v>
      </c>
      <c r="B6129" t="s">
        <v>44</v>
      </c>
      <c r="C6129" t="s">
        <v>96</v>
      </c>
      <c r="D6129" t="s">
        <v>3218</v>
      </c>
      <c r="E6129">
        <v>14.48</v>
      </c>
      <c r="F6129">
        <v>-23.56</v>
      </c>
    </row>
    <row r="6130" spans="1:6" x14ac:dyDescent="0.25">
      <c r="A6130" t="s">
        <v>2397</v>
      </c>
      <c r="B6130" t="s">
        <v>44</v>
      </c>
      <c r="C6130" t="s">
        <v>96</v>
      </c>
      <c r="D6130" t="s">
        <v>3219</v>
      </c>
      <c r="E6130">
        <v>31.69</v>
      </c>
      <c r="F6130">
        <v>-24.03</v>
      </c>
    </row>
    <row r="6131" spans="1:6" x14ac:dyDescent="0.25">
      <c r="A6131" t="s">
        <v>2398</v>
      </c>
      <c r="B6131" t="s">
        <v>44</v>
      </c>
      <c r="C6131" t="s">
        <v>97</v>
      </c>
      <c r="D6131" t="s">
        <v>3217</v>
      </c>
      <c r="E6131">
        <v>0</v>
      </c>
      <c r="F6131">
        <v>-22.96</v>
      </c>
    </row>
    <row r="6132" spans="1:6" x14ac:dyDescent="0.25">
      <c r="A6132" t="s">
        <v>2398</v>
      </c>
      <c r="B6132" t="s">
        <v>44</v>
      </c>
      <c r="C6132" t="s">
        <v>97</v>
      </c>
      <c r="D6132" t="s">
        <v>3218</v>
      </c>
      <c r="E6132">
        <v>13.34</v>
      </c>
      <c r="F6132">
        <v>-23.19</v>
      </c>
    </row>
    <row r="6133" spans="1:6" x14ac:dyDescent="0.25">
      <c r="A6133" t="s">
        <v>2398</v>
      </c>
      <c r="B6133" t="s">
        <v>44</v>
      </c>
      <c r="C6133" t="s">
        <v>97</v>
      </c>
      <c r="D6133" t="s">
        <v>3219</v>
      </c>
      <c r="E6133">
        <v>31.01</v>
      </c>
      <c r="F6133">
        <v>-23.58</v>
      </c>
    </row>
    <row r="6134" spans="1:6" x14ac:dyDescent="0.25">
      <c r="A6134" t="s">
        <v>2399</v>
      </c>
      <c r="B6134" t="s">
        <v>44</v>
      </c>
      <c r="C6134" t="s">
        <v>98</v>
      </c>
      <c r="D6134" t="s">
        <v>3217</v>
      </c>
      <c r="E6134">
        <v>0</v>
      </c>
      <c r="F6134">
        <v>-22.75</v>
      </c>
    </row>
    <row r="6135" spans="1:6" x14ac:dyDescent="0.25">
      <c r="A6135" t="s">
        <v>2399</v>
      </c>
      <c r="B6135" t="s">
        <v>44</v>
      </c>
      <c r="C6135" t="s">
        <v>98</v>
      </c>
      <c r="D6135" t="s">
        <v>3218</v>
      </c>
      <c r="E6135">
        <v>12.54</v>
      </c>
      <c r="F6135">
        <v>-22.9</v>
      </c>
    </row>
    <row r="6136" spans="1:6" x14ac:dyDescent="0.25">
      <c r="A6136" t="s">
        <v>2399</v>
      </c>
      <c r="B6136" t="s">
        <v>44</v>
      </c>
      <c r="C6136" t="s">
        <v>98</v>
      </c>
      <c r="D6136" t="s">
        <v>3219</v>
      </c>
      <c r="E6136">
        <v>28.83</v>
      </c>
      <c r="F6136">
        <v>-23.21</v>
      </c>
    </row>
    <row r="6137" spans="1:6" x14ac:dyDescent="0.25">
      <c r="A6137" t="s">
        <v>2400</v>
      </c>
      <c r="B6137" t="s">
        <v>44</v>
      </c>
      <c r="C6137" t="s">
        <v>99</v>
      </c>
      <c r="D6137" t="s">
        <v>3217</v>
      </c>
      <c r="E6137">
        <v>0</v>
      </c>
      <c r="F6137">
        <v>-22.65</v>
      </c>
    </row>
    <row r="6138" spans="1:6" x14ac:dyDescent="0.25">
      <c r="A6138" t="s">
        <v>2400</v>
      </c>
      <c r="B6138" t="s">
        <v>44</v>
      </c>
      <c r="C6138" t="s">
        <v>99</v>
      </c>
      <c r="D6138" t="s">
        <v>3218</v>
      </c>
      <c r="E6138">
        <v>11.32</v>
      </c>
      <c r="F6138">
        <v>-22.8</v>
      </c>
    </row>
    <row r="6139" spans="1:6" x14ac:dyDescent="0.25">
      <c r="A6139" t="s">
        <v>2400</v>
      </c>
      <c r="B6139" t="s">
        <v>44</v>
      </c>
      <c r="C6139" t="s">
        <v>99</v>
      </c>
      <c r="D6139" t="s">
        <v>3219</v>
      </c>
      <c r="E6139">
        <v>27.04</v>
      </c>
      <c r="F6139">
        <v>-23.06</v>
      </c>
    </row>
    <row r="6140" spans="1:6" x14ac:dyDescent="0.25">
      <c r="A6140" t="s">
        <v>2401</v>
      </c>
      <c r="B6140" t="s">
        <v>44</v>
      </c>
      <c r="C6140" t="s">
        <v>100</v>
      </c>
      <c r="D6140" t="s">
        <v>3217</v>
      </c>
      <c r="E6140">
        <v>0</v>
      </c>
      <c r="F6140">
        <v>-22.56</v>
      </c>
    </row>
    <row r="6141" spans="1:6" x14ac:dyDescent="0.25">
      <c r="A6141" t="s">
        <v>2401</v>
      </c>
      <c r="B6141" t="s">
        <v>44</v>
      </c>
      <c r="C6141" t="s">
        <v>100</v>
      </c>
      <c r="D6141" t="s">
        <v>3218</v>
      </c>
      <c r="E6141">
        <v>12.26</v>
      </c>
      <c r="F6141">
        <v>-22.73</v>
      </c>
    </row>
    <row r="6142" spans="1:6" x14ac:dyDescent="0.25">
      <c r="A6142" t="s">
        <v>2401</v>
      </c>
      <c r="B6142" t="s">
        <v>44</v>
      </c>
      <c r="C6142" t="s">
        <v>100</v>
      </c>
      <c r="D6142" t="s">
        <v>3219</v>
      </c>
      <c r="E6142">
        <v>28.13</v>
      </c>
      <c r="F6142">
        <v>-22.96</v>
      </c>
    </row>
    <row r="6143" spans="1:6" x14ac:dyDescent="0.25">
      <c r="A6143" t="s">
        <v>2402</v>
      </c>
      <c r="B6143" t="s">
        <v>44</v>
      </c>
      <c r="C6143" t="s">
        <v>101</v>
      </c>
      <c r="D6143" t="s">
        <v>3217</v>
      </c>
      <c r="E6143">
        <v>0</v>
      </c>
      <c r="F6143">
        <v>-22.44</v>
      </c>
    </row>
    <row r="6144" spans="1:6" x14ac:dyDescent="0.25">
      <c r="A6144" t="s">
        <v>2402</v>
      </c>
      <c r="B6144" t="s">
        <v>44</v>
      </c>
      <c r="C6144" t="s">
        <v>101</v>
      </c>
      <c r="D6144" t="s">
        <v>3218</v>
      </c>
      <c r="E6144">
        <v>12.62</v>
      </c>
      <c r="F6144">
        <v>-22.55</v>
      </c>
    </row>
    <row r="6145" spans="1:6" x14ac:dyDescent="0.25">
      <c r="A6145" t="s">
        <v>2402</v>
      </c>
      <c r="B6145" t="s">
        <v>44</v>
      </c>
      <c r="C6145" t="s">
        <v>101</v>
      </c>
      <c r="D6145" t="s">
        <v>3219</v>
      </c>
      <c r="E6145">
        <v>27.83</v>
      </c>
      <c r="F6145">
        <v>-22.74</v>
      </c>
    </row>
    <row r="6146" spans="1:6" x14ac:dyDescent="0.25">
      <c r="A6146" t="s">
        <v>2403</v>
      </c>
      <c r="B6146" t="s">
        <v>44</v>
      </c>
      <c r="C6146" t="s">
        <v>102</v>
      </c>
      <c r="D6146" t="s">
        <v>3217</v>
      </c>
      <c r="E6146">
        <v>0</v>
      </c>
      <c r="F6146">
        <v>-22.2</v>
      </c>
    </row>
    <row r="6147" spans="1:6" x14ac:dyDescent="0.25">
      <c r="A6147" t="s">
        <v>2403</v>
      </c>
      <c r="B6147" t="s">
        <v>44</v>
      </c>
      <c r="C6147" t="s">
        <v>102</v>
      </c>
      <c r="D6147" t="s">
        <v>3218</v>
      </c>
      <c r="E6147">
        <v>11.78</v>
      </c>
      <c r="F6147">
        <v>-22.34</v>
      </c>
    </row>
    <row r="6148" spans="1:6" x14ac:dyDescent="0.25">
      <c r="A6148" t="s">
        <v>2403</v>
      </c>
      <c r="B6148" t="s">
        <v>44</v>
      </c>
      <c r="C6148" t="s">
        <v>102</v>
      </c>
      <c r="D6148" t="s">
        <v>3219</v>
      </c>
      <c r="E6148">
        <v>26.83</v>
      </c>
      <c r="F6148">
        <v>-22.7</v>
      </c>
    </row>
    <row r="6149" spans="1:6" x14ac:dyDescent="0.25">
      <c r="A6149" t="s">
        <v>2404</v>
      </c>
      <c r="B6149" t="s">
        <v>44</v>
      </c>
      <c r="C6149" t="s">
        <v>103</v>
      </c>
      <c r="D6149" t="s">
        <v>3217</v>
      </c>
      <c r="E6149">
        <v>0</v>
      </c>
      <c r="F6149">
        <v>-22.01</v>
      </c>
    </row>
    <row r="6150" spans="1:6" x14ac:dyDescent="0.25">
      <c r="A6150" t="s">
        <v>2404</v>
      </c>
      <c r="B6150" t="s">
        <v>44</v>
      </c>
      <c r="C6150" t="s">
        <v>103</v>
      </c>
      <c r="D6150" t="s">
        <v>3218</v>
      </c>
      <c r="E6150">
        <v>12.9</v>
      </c>
      <c r="F6150">
        <v>-21.98</v>
      </c>
    </row>
    <row r="6151" spans="1:6" x14ac:dyDescent="0.25">
      <c r="A6151" t="s">
        <v>2404</v>
      </c>
      <c r="B6151" t="s">
        <v>44</v>
      </c>
      <c r="C6151" t="s">
        <v>103</v>
      </c>
      <c r="D6151" t="s">
        <v>3219</v>
      </c>
      <c r="E6151">
        <v>28.32</v>
      </c>
      <c r="F6151">
        <v>-22.39</v>
      </c>
    </row>
    <row r="6152" spans="1:6" x14ac:dyDescent="0.25">
      <c r="A6152" t="s">
        <v>2405</v>
      </c>
      <c r="B6152" t="s">
        <v>44</v>
      </c>
      <c r="C6152" t="s">
        <v>104</v>
      </c>
      <c r="D6152" t="s">
        <v>3217</v>
      </c>
      <c r="E6152">
        <v>0</v>
      </c>
      <c r="F6152">
        <v>-21.75</v>
      </c>
    </row>
    <row r="6153" spans="1:6" x14ac:dyDescent="0.25">
      <c r="A6153" t="s">
        <v>2405</v>
      </c>
      <c r="B6153" t="s">
        <v>44</v>
      </c>
      <c r="C6153" t="s">
        <v>104</v>
      </c>
      <c r="D6153" t="s">
        <v>3218</v>
      </c>
      <c r="E6153">
        <v>13.7</v>
      </c>
      <c r="F6153">
        <v>-21.76</v>
      </c>
    </row>
    <row r="6154" spans="1:6" x14ac:dyDescent="0.25">
      <c r="A6154" t="s">
        <v>2405</v>
      </c>
      <c r="B6154" t="s">
        <v>44</v>
      </c>
      <c r="C6154" t="s">
        <v>104</v>
      </c>
      <c r="D6154" t="s">
        <v>3219</v>
      </c>
      <c r="E6154">
        <v>29</v>
      </c>
      <c r="F6154">
        <v>-22.05</v>
      </c>
    </row>
    <row r="6155" spans="1:6" x14ac:dyDescent="0.25">
      <c r="A6155" t="s">
        <v>2406</v>
      </c>
      <c r="B6155" t="s">
        <v>44</v>
      </c>
      <c r="C6155" t="s">
        <v>105</v>
      </c>
      <c r="D6155" t="s">
        <v>3217</v>
      </c>
      <c r="E6155">
        <v>0</v>
      </c>
      <c r="F6155">
        <v>-21.37</v>
      </c>
    </row>
    <row r="6156" spans="1:6" x14ac:dyDescent="0.25">
      <c r="A6156" t="s">
        <v>2406</v>
      </c>
      <c r="B6156" t="s">
        <v>44</v>
      </c>
      <c r="C6156" t="s">
        <v>105</v>
      </c>
      <c r="D6156" t="s">
        <v>3218</v>
      </c>
      <c r="E6156">
        <v>15.17</v>
      </c>
      <c r="F6156">
        <v>-21.45</v>
      </c>
    </row>
    <row r="6157" spans="1:6" x14ac:dyDescent="0.25">
      <c r="A6157" t="s">
        <v>2406</v>
      </c>
      <c r="B6157" t="s">
        <v>44</v>
      </c>
      <c r="C6157" t="s">
        <v>105</v>
      </c>
      <c r="D6157" t="s">
        <v>3219</v>
      </c>
      <c r="E6157">
        <v>31.31</v>
      </c>
      <c r="F6157">
        <v>-21.7</v>
      </c>
    </row>
    <row r="6158" spans="1:6" x14ac:dyDescent="0.25">
      <c r="A6158" t="s">
        <v>2407</v>
      </c>
      <c r="B6158" t="s">
        <v>44</v>
      </c>
      <c r="C6158" t="s">
        <v>106</v>
      </c>
      <c r="D6158" t="s">
        <v>3217</v>
      </c>
      <c r="E6158">
        <v>0</v>
      </c>
      <c r="F6158">
        <v>-21.05</v>
      </c>
    </row>
    <row r="6159" spans="1:6" x14ac:dyDescent="0.25">
      <c r="A6159" t="s">
        <v>2407</v>
      </c>
      <c r="B6159" t="s">
        <v>44</v>
      </c>
      <c r="C6159" t="s">
        <v>106</v>
      </c>
      <c r="D6159" t="s">
        <v>3218</v>
      </c>
      <c r="E6159">
        <v>16.07</v>
      </c>
      <c r="F6159">
        <v>-21.22</v>
      </c>
    </row>
    <row r="6160" spans="1:6" x14ac:dyDescent="0.25">
      <c r="A6160" t="s">
        <v>2407</v>
      </c>
      <c r="B6160" t="s">
        <v>44</v>
      </c>
      <c r="C6160" t="s">
        <v>106</v>
      </c>
      <c r="D6160" t="s">
        <v>3219</v>
      </c>
      <c r="E6160">
        <v>32.81</v>
      </c>
      <c r="F6160">
        <v>-21.38</v>
      </c>
    </row>
    <row r="6161" spans="1:6" x14ac:dyDescent="0.25">
      <c r="A6161" t="s">
        <v>2408</v>
      </c>
      <c r="B6161" t="s">
        <v>44</v>
      </c>
      <c r="C6161" t="s">
        <v>108</v>
      </c>
      <c r="D6161" t="s">
        <v>3217</v>
      </c>
      <c r="E6161">
        <v>0</v>
      </c>
      <c r="F6161">
        <v>-20.91</v>
      </c>
    </row>
    <row r="6162" spans="1:6" x14ac:dyDescent="0.25">
      <c r="A6162" t="s">
        <v>2408</v>
      </c>
      <c r="B6162" t="s">
        <v>44</v>
      </c>
      <c r="C6162" t="s">
        <v>108</v>
      </c>
      <c r="D6162" t="s">
        <v>3218</v>
      </c>
      <c r="E6162">
        <v>15.57</v>
      </c>
      <c r="F6162">
        <v>-20.94</v>
      </c>
    </row>
    <row r="6163" spans="1:6" x14ac:dyDescent="0.25">
      <c r="A6163" t="s">
        <v>2408</v>
      </c>
      <c r="B6163" t="s">
        <v>44</v>
      </c>
      <c r="C6163" t="s">
        <v>108</v>
      </c>
      <c r="D6163" t="s">
        <v>3219</v>
      </c>
      <c r="E6163">
        <v>31.71</v>
      </c>
      <c r="F6163">
        <v>-21.04</v>
      </c>
    </row>
    <row r="6164" spans="1:6" x14ac:dyDescent="0.25">
      <c r="A6164" t="s">
        <v>2409</v>
      </c>
      <c r="B6164" t="s">
        <v>44</v>
      </c>
      <c r="C6164" t="s">
        <v>109</v>
      </c>
      <c r="D6164" t="s">
        <v>3217</v>
      </c>
      <c r="E6164">
        <v>0</v>
      </c>
      <c r="F6164">
        <v>-20.66</v>
      </c>
    </row>
    <row r="6165" spans="1:6" x14ac:dyDescent="0.25">
      <c r="A6165" t="s">
        <v>2409</v>
      </c>
      <c r="B6165" t="s">
        <v>44</v>
      </c>
      <c r="C6165" t="s">
        <v>109</v>
      </c>
      <c r="D6165" t="s">
        <v>3218</v>
      </c>
      <c r="E6165">
        <v>14.24</v>
      </c>
      <c r="F6165">
        <v>-20.67</v>
      </c>
    </row>
    <row r="6166" spans="1:6" x14ac:dyDescent="0.25">
      <c r="A6166" t="s">
        <v>2409</v>
      </c>
      <c r="B6166" t="s">
        <v>44</v>
      </c>
      <c r="C6166" t="s">
        <v>109</v>
      </c>
      <c r="D6166" t="s">
        <v>3219</v>
      </c>
      <c r="E6166">
        <v>31.25</v>
      </c>
      <c r="F6166">
        <v>-20.54</v>
      </c>
    </row>
    <row r="6167" spans="1:6" x14ac:dyDescent="0.25">
      <c r="A6167" t="s">
        <v>2410</v>
      </c>
      <c r="B6167" t="s">
        <v>44</v>
      </c>
      <c r="C6167" t="s">
        <v>110</v>
      </c>
      <c r="D6167" t="s">
        <v>3217</v>
      </c>
      <c r="E6167">
        <v>0</v>
      </c>
      <c r="F6167">
        <v>-20.350000000000001</v>
      </c>
    </row>
    <row r="6168" spans="1:6" x14ac:dyDescent="0.25">
      <c r="A6168" t="s">
        <v>2410</v>
      </c>
      <c r="B6168" t="s">
        <v>44</v>
      </c>
      <c r="C6168" t="s">
        <v>110</v>
      </c>
      <c r="D6168" t="s">
        <v>3218</v>
      </c>
      <c r="E6168">
        <v>12.58</v>
      </c>
      <c r="F6168">
        <v>-20.34</v>
      </c>
    </row>
    <row r="6169" spans="1:6" x14ac:dyDescent="0.25">
      <c r="A6169" t="s">
        <v>2410</v>
      </c>
      <c r="B6169" t="s">
        <v>44</v>
      </c>
      <c r="C6169" t="s">
        <v>110</v>
      </c>
      <c r="D6169" t="s">
        <v>3219</v>
      </c>
      <c r="E6169">
        <v>27.5</v>
      </c>
      <c r="F6169">
        <v>-20.57</v>
      </c>
    </row>
    <row r="6170" spans="1:6" x14ac:dyDescent="0.25">
      <c r="A6170" t="s">
        <v>2411</v>
      </c>
      <c r="B6170" t="s">
        <v>44</v>
      </c>
      <c r="C6170" t="s">
        <v>111</v>
      </c>
      <c r="D6170" t="s">
        <v>3217</v>
      </c>
      <c r="E6170">
        <v>0</v>
      </c>
      <c r="F6170">
        <v>-19.88</v>
      </c>
    </row>
    <row r="6171" spans="1:6" x14ac:dyDescent="0.25">
      <c r="A6171" t="s">
        <v>2411</v>
      </c>
      <c r="B6171" t="s">
        <v>44</v>
      </c>
      <c r="C6171" t="s">
        <v>111</v>
      </c>
      <c r="D6171" t="s">
        <v>3218</v>
      </c>
      <c r="E6171">
        <v>13.19</v>
      </c>
      <c r="F6171">
        <v>-19.87</v>
      </c>
    </row>
    <row r="6172" spans="1:6" x14ac:dyDescent="0.25">
      <c r="A6172" t="s">
        <v>2411</v>
      </c>
      <c r="B6172" t="s">
        <v>44</v>
      </c>
      <c r="C6172" t="s">
        <v>111</v>
      </c>
      <c r="D6172" t="s">
        <v>3219</v>
      </c>
      <c r="E6172">
        <v>28.1</v>
      </c>
      <c r="F6172">
        <v>-19.95</v>
      </c>
    </row>
    <row r="6173" spans="1:6" x14ac:dyDescent="0.25">
      <c r="A6173" t="s">
        <v>2412</v>
      </c>
      <c r="B6173" t="s">
        <v>44</v>
      </c>
      <c r="C6173" t="s">
        <v>112</v>
      </c>
      <c r="D6173" t="s">
        <v>3217</v>
      </c>
      <c r="E6173">
        <v>0</v>
      </c>
      <c r="F6173">
        <v>-19.239999999999998</v>
      </c>
    </row>
    <row r="6174" spans="1:6" x14ac:dyDescent="0.25">
      <c r="A6174" t="s">
        <v>2412</v>
      </c>
      <c r="B6174" t="s">
        <v>44</v>
      </c>
      <c r="C6174" t="s">
        <v>112</v>
      </c>
      <c r="D6174" t="s">
        <v>3218</v>
      </c>
      <c r="E6174">
        <v>13.1</v>
      </c>
      <c r="F6174">
        <v>-19.21</v>
      </c>
    </row>
    <row r="6175" spans="1:6" x14ac:dyDescent="0.25">
      <c r="A6175" t="s">
        <v>2412</v>
      </c>
      <c r="B6175" t="s">
        <v>44</v>
      </c>
      <c r="C6175" t="s">
        <v>112</v>
      </c>
      <c r="D6175" t="s">
        <v>3219</v>
      </c>
      <c r="E6175">
        <v>27.06</v>
      </c>
      <c r="F6175">
        <v>-19.77</v>
      </c>
    </row>
    <row r="6176" spans="1:6" x14ac:dyDescent="0.25">
      <c r="A6176" t="s">
        <v>2413</v>
      </c>
      <c r="B6176" t="s">
        <v>44</v>
      </c>
      <c r="C6176" t="s">
        <v>113</v>
      </c>
      <c r="D6176" t="s">
        <v>3217</v>
      </c>
      <c r="E6176">
        <v>0</v>
      </c>
      <c r="F6176">
        <v>-18.559999999999999</v>
      </c>
    </row>
    <row r="6177" spans="1:6" x14ac:dyDescent="0.25">
      <c r="A6177" t="s">
        <v>2413</v>
      </c>
      <c r="B6177" t="s">
        <v>44</v>
      </c>
      <c r="C6177" t="s">
        <v>113</v>
      </c>
      <c r="D6177" t="s">
        <v>3218</v>
      </c>
      <c r="E6177">
        <v>14.51</v>
      </c>
      <c r="F6177">
        <v>-18.809999999999999</v>
      </c>
    </row>
    <row r="6178" spans="1:6" x14ac:dyDescent="0.25">
      <c r="A6178" t="s">
        <v>2413</v>
      </c>
      <c r="B6178" t="s">
        <v>44</v>
      </c>
      <c r="C6178" t="s">
        <v>113</v>
      </c>
      <c r="D6178" t="s">
        <v>3219</v>
      </c>
      <c r="E6178">
        <v>29.46</v>
      </c>
      <c r="F6178">
        <v>-19.170000000000002</v>
      </c>
    </row>
    <row r="6179" spans="1:6" x14ac:dyDescent="0.25">
      <c r="A6179" t="s">
        <v>2414</v>
      </c>
      <c r="B6179" t="s">
        <v>44</v>
      </c>
      <c r="C6179" t="s">
        <v>114</v>
      </c>
      <c r="D6179" t="s">
        <v>3217</v>
      </c>
      <c r="E6179">
        <v>0</v>
      </c>
      <c r="F6179">
        <v>-18.100000000000001</v>
      </c>
    </row>
    <row r="6180" spans="1:6" x14ac:dyDescent="0.25">
      <c r="A6180" t="s">
        <v>2414</v>
      </c>
      <c r="B6180" t="s">
        <v>44</v>
      </c>
      <c r="C6180" t="s">
        <v>114</v>
      </c>
      <c r="D6180" t="s">
        <v>3218</v>
      </c>
      <c r="E6180">
        <v>14.51</v>
      </c>
      <c r="F6180">
        <v>-18.36</v>
      </c>
    </row>
    <row r="6181" spans="1:6" x14ac:dyDescent="0.25">
      <c r="A6181" t="s">
        <v>2414</v>
      </c>
      <c r="B6181" t="s">
        <v>44</v>
      </c>
      <c r="C6181" t="s">
        <v>114</v>
      </c>
      <c r="D6181" t="s">
        <v>3219</v>
      </c>
      <c r="E6181">
        <v>29.46</v>
      </c>
      <c r="F6181">
        <v>-18.72</v>
      </c>
    </row>
    <row r="6182" spans="1:6" x14ac:dyDescent="0.25">
      <c r="A6182" t="s">
        <v>2415</v>
      </c>
      <c r="B6182" t="s">
        <v>44</v>
      </c>
      <c r="C6182" t="s">
        <v>115</v>
      </c>
      <c r="D6182" t="s">
        <v>3217</v>
      </c>
      <c r="E6182">
        <v>0</v>
      </c>
      <c r="F6182">
        <v>-17.82</v>
      </c>
    </row>
    <row r="6183" spans="1:6" x14ac:dyDescent="0.25">
      <c r="A6183" t="s">
        <v>2415</v>
      </c>
      <c r="B6183" t="s">
        <v>44</v>
      </c>
      <c r="C6183" t="s">
        <v>115</v>
      </c>
      <c r="D6183" t="s">
        <v>3218</v>
      </c>
      <c r="E6183">
        <v>14.51</v>
      </c>
      <c r="F6183">
        <v>-17.899999999999999</v>
      </c>
    </row>
    <row r="6184" spans="1:6" x14ac:dyDescent="0.25">
      <c r="A6184" t="s">
        <v>2415</v>
      </c>
      <c r="B6184" t="s">
        <v>44</v>
      </c>
      <c r="C6184" t="s">
        <v>115</v>
      </c>
      <c r="D6184" t="s">
        <v>3219</v>
      </c>
      <c r="E6184">
        <v>30.6</v>
      </c>
      <c r="F6184">
        <v>-18.57</v>
      </c>
    </row>
    <row r="6185" spans="1:6" x14ac:dyDescent="0.25">
      <c r="A6185" t="s">
        <v>2416</v>
      </c>
      <c r="B6185" t="s">
        <v>44</v>
      </c>
      <c r="C6185" t="s">
        <v>116</v>
      </c>
      <c r="D6185" t="s">
        <v>3217</v>
      </c>
      <c r="E6185">
        <v>0</v>
      </c>
      <c r="F6185">
        <v>-18.11</v>
      </c>
    </row>
    <row r="6186" spans="1:6" x14ac:dyDescent="0.25">
      <c r="A6186" t="s">
        <v>2416</v>
      </c>
      <c r="B6186" t="s">
        <v>44</v>
      </c>
      <c r="C6186" t="s">
        <v>116</v>
      </c>
      <c r="D6186" t="s">
        <v>3218</v>
      </c>
      <c r="E6186">
        <v>14.49</v>
      </c>
      <c r="F6186">
        <v>-18.3</v>
      </c>
    </row>
    <row r="6187" spans="1:6" x14ac:dyDescent="0.25">
      <c r="A6187" t="s">
        <v>2416</v>
      </c>
      <c r="B6187" t="s">
        <v>44</v>
      </c>
      <c r="C6187" t="s">
        <v>116</v>
      </c>
      <c r="D6187" t="s">
        <v>3219</v>
      </c>
      <c r="E6187">
        <v>30.58</v>
      </c>
      <c r="F6187">
        <v>-17.54</v>
      </c>
    </row>
    <row r="6188" spans="1:6" x14ac:dyDescent="0.25">
      <c r="A6188" t="s">
        <v>2417</v>
      </c>
      <c r="B6188" t="s">
        <v>44</v>
      </c>
      <c r="C6188" t="s">
        <v>117</v>
      </c>
      <c r="D6188" t="s">
        <v>3217</v>
      </c>
      <c r="E6188">
        <v>0</v>
      </c>
      <c r="F6188">
        <v>-18.32</v>
      </c>
    </row>
    <row r="6189" spans="1:6" x14ac:dyDescent="0.25">
      <c r="A6189" t="s">
        <v>2417</v>
      </c>
      <c r="B6189" t="s">
        <v>44</v>
      </c>
      <c r="C6189" t="s">
        <v>117</v>
      </c>
      <c r="D6189" t="s">
        <v>3218</v>
      </c>
      <c r="E6189">
        <v>15.43</v>
      </c>
      <c r="F6189">
        <v>-18.489999999999998</v>
      </c>
    </row>
    <row r="6190" spans="1:6" x14ac:dyDescent="0.25">
      <c r="A6190" t="s">
        <v>2417</v>
      </c>
      <c r="B6190" t="s">
        <v>44</v>
      </c>
      <c r="C6190" t="s">
        <v>117</v>
      </c>
      <c r="D6190" t="s">
        <v>3219</v>
      </c>
      <c r="E6190">
        <v>25.55</v>
      </c>
      <c r="F6190">
        <v>-18.88</v>
      </c>
    </row>
    <row r="6191" spans="1:6" x14ac:dyDescent="0.25">
      <c r="A6191" t="s">
        <v>2418</v>
      </c>
      <c r="B6191" t="s">
        <v>44</v>
      </c>
      <c r="C6191" t="s">
        <v>118</v>
      </c>
      <c r="D6191" t="s">
        <v>3217</v>
      </c>
      <c r="E6191">
        <v>0</v>
      </c>
      <c r="F6191">
        <v>-18.260000000000002</v>
      </c>
    </row>
    <row r="6192" spans="1:6" x14ac:dyDescent="0.25">
      <c r="A6192" t="s">
        <v>2418</v>
      </c>
      <c r="B6192" t="s">
        <v>44</v>
      </c>
      <c r="C6192" t="s">
        <v>118</v>
      </c>
      <c r="D6192" t="s">
        <v>3218</v>
      </c>
      <c r="E6192">
        <v>17.04</v>
      </c>
      <c r="F6192">
        <v>-18.32</v>
      </c>
    </row>
    <row r="6193" spans="1:6" x14ac:dyDescent="0.25">
      <c r="A6193" t="s">
        <v>2418</v>
      </c>
      <c r="B6193" t="s">
        <v>44</v>
      </c>
      <c r="C6193" t="s">
        <v>118</v>
      </c>
      <c r="D6193" t="s">
        <v>3219</v>
      </c>
      <c r="E6193">
        <v>28.11</v>
      </c>
      <c r="F6193">
        <v>-18.73</v>
      </c>
    </row>
    <row r="6194" spans="1:6" x14ac:dyDescent="0.25">
      <c r="A6194" t="s">
        <v>2419</v>
      </c>
      <c r="B6194" t="s">
        <v>44</v>
      </c>
      <c r="C6194" t="s">
        <v>119</v>
      </c>
      <c r="D6194" t="s">
        <v>3217</v>
      </c>
      <c r="E6194">
        <v>0</v>
      </c>
      <c r="F6194">
        <v>-18.149999999999999</v>
      </c>
    </row>
    <row r="6195" spans="1:6" x14ac:dyDescent="0.25">
      <c r="A6195" t="s">
        <v>2419</v>
      </c>
      <c r="B6195" t="s">
        <v>44</v>
      </c>
      <c r="C6195" t="s">
        <v>119</v>
      </c>
      <c r="D6195" t="s">
        <v>3218</v>
      </c>
      <c r="E6195">
        <v>17.329999999999998</v>
      </c>
      <c r="F6195">
        <v>-18.3</v>
      </c>
    </row>
    <row r="6196" spans="1:6" x14ac:dyDescent="0.25">
      <c r="A6196" t="s">
        <v>2419</v>
      </c>
      <c r="B6196" t="s">
        <v>44</v>
      </c>
      <c r="C6196" t="s">
        <v>119</v>
      </c>
      <c r="D6196" t="s">
        <v>3219</v>
      </c>
      <c r="E6196">
        <v>28.39</v>
      </c>
      <c r="F6196">
        <v>-18.5</v>
      </c>
    </row>
    <row r="6197" spans="1:6" x14ac:dyDescent="0.25">
      <c r="A6197" t="s">
        <v>2420</v>
      </c>
      <c r="B6197" t="s">
        <v>44</v>
      </c>
      <c r="C6197" t="s">
        <v>120</v>
      </c>
      <c r="D6197" t="s">
        <v>3217</v>
      </c>
      <c r="E6197">
        <v>0</v>
      </c>
      <c r="F6197">
        <v>-17.940000000000001</v>
      </c>
    </row>
    <row r="6198" spans="1:6" x14ac:dyDescent="0.25">
      <c r="A6198" t="s">
        <v>2420</v>
      </c>
      <c r="B6198" t="s">
        <v>44</v>
      </c>
      <c r="C6198" t="s">
        <v>120</v>
      </c>
      <c r="D6198" t="s">
        <v>3218</v>
      </c>
      <c r="E6198">
        <v>17.11</v>
      </c>
      <c r="F6198">
        <v>-18.04</v>
      </c>
    </row>
    <row r="6199" spans="1:6" x14ac:dyDescent="0.25">
      <c r="A6199" t="s">
        <v>2420</v>
      </c>
      <c r="B6199" t="s">
        <v>44</v>
      </c>
      <c r="C6199" t="s">
        <v>120</v>
      </c>
      <c r="D6199" t="s">
        <v>3219</v>
      </c>
      <c r="E6199">
        <v>28.53</v>
      </c>
      <c r="F6199">
        <v>-18.18</v>
      </c>
    </row>
    <row r="6200" spans="1:6" x14ac:dyDescent="0.25">
      <c r="A6200" t="s">
        <v>2421</v>
      </c>
      <c r="B6200" t="s">
        <v>44</v>
      </c>
      <c r="C6200" t="s">
        <v>121</v>
      </c>
      <c r="D6200" t="s">
        <v>3217</v>
      </c>
      <c r="E6200">
        <v>0</v>
      </c>
      <c r="F6200">
        <v>-17.62</v>
      </c>
    </row>
    <row r="6201" spans="1:6" x14ac:dyDescent="0.25">
      <c r="A6201" t="s">
        <v>2421</v>
      </c>
      <c r="B6201" t="s">
        <v>44</v>
      </c>
      <c r="C6201" t="s">
        <v>121</v>
      </c>
      <c r="D6201" t="s">
        <v>3218</v>
      </c>
      <c r="E6201">
        <v>17.03</v>
      </c>
      <c r="F6201">
        <v>-17.66</v>
      </c>
    </row>
    <row r="6202" spans="1:6" x14ac:dyDescent="0.25">
      <c r="A6202" t="s">
        <v>2421</v>
      </c>
      <c r="B6202" t="s">
        <v>44</v>
      </c>
      <c r="C6202" t="s">
        <v>121</v>
      </c>
      <c r="D6202" t="s">
        <v>3219</v>
      </c>
      <c r="E6202">
        <v>27.79</v>
      </c>
      <c r="F6202">
        <v>-17.95</v>
      </c>
    </row>
    <row r="6203" spans="1:6" x14ac:dyDescent="0.25">
      <c r="A6203" t="s">
        <v>2422</v>
      </c>
      <c r="B6203" t="s">
        <v>44</v>
      </c>
      <c r="C6203" t="s">
        <v>123</v>
      </c>
      <c r="D6203" t="s">
        <v>3217</v>
      </c>
      <c r="E6203">
        <v>0</v>
      </c>
      <c r="F6203">
        <v>-17.11</v>
      </c>
    </row>
    <row r="6204" spans="1:6" x14ac:dyDescent="0.25">
      <c r="A6204" t="s">
        <v>2422</v>
      </c>
      <c r="B6204" t="s">
        <v>44</v>
      </c>
      <c r="C6204" t="s">
        <v>123</v>
      </c>
      <c r="D6204" t="s">
        <v>3218</v>
      </c>
      <c r="E6204">
        <v>15.7</v>
      </c>
      <c r="F6204">
        <v>-17.22</v>
      </c>
    </row>
    <row r="6205" spans="1:6" x14ac:dyDescent="0.25">
      <c r="A6205" t="s">
        <v>2422</v>
      </c>
      <c r="B6205" t="s">
        <v>44</v>
      </c>
      <c r="C6205" t="s">
        <v>123</v>
      </c>
      <c r="D6205" t="s">
        <v>3219</v>
      </c>
      <c r="E6205">
        <v>26.25</v>
      </c>
      <c r="F6205">
        <v>-17.5</v>
      </c>
    </row>
    <row r="6206" spans="1:6" x14ac:dyDescent="0.25">
      <c r="A6206" t="s">
        <v>2423</v>
      </c>
      <c r="B6206" t="s">
        <v>44</v>
      </c>
      <c r="C6206" t="s">
        <v>124</v>
      </c>
      <c r="D6206" t="s">
        <v>3217</v>
      </c>
      <c r="E6206">
        <v>0</v>
      </c>
      <c r="F6206">
        <v>-16.579999999999998</v>
      </c>
    </row>
    <row r="6207" spans="1:6" x14ac:dyDescent="0.25">
      <c r="A6207" t="s">
        <v>2423</v>
      </c>
      <c r="B6207" t="s">
        <v>44</v>
      </c>
      <c r="C6207" t="s">
        <v>124</v>
      </c>
      <c r="D6207" t="s">
        <v>3218</v>
      </c>
      <c r="E6207">
        <v>14.15</v>
      </c>
      <c r="F6207">
        <v>-16.739999999999998</v>
      </c>
    </row>
    <row r="6208" spans="1:6" x14ac:dyDescent="0.25">
      <c r="A6208" t="s">
        <v>2423</v>
      </c>
      <c r="B6208" t="s">
        <v>44</v>
      </c>
      <c r="C6208" t="s">
        <v>124</v>
      </c>
      <c r="D6208" t="s">
        <v>3219</v>
      </c>
      <c r="E6208">
        <v>25.58</v>
      </c>
      <c r="F6208">
        <v>-17.14</v>
      </c>
    </row>
    <row r="6209" spans="1:6" x14ac:dyDescent="0.25">
      <c r="A6209" t="s">
        <v>2424</v>
      </c>
      <c r="B6209" t="s">
        <v>44</v>
      </c>
      <c r="C6209" t="s">
        <v>125</v>
      </c>
      <c r="D6209" t="s">
        <v>3217</v>
      </c>
      <c r="E6209">
        <v>0</v>
      </c>
      <c r="F6209">
        <v>-16.29</v>
      </c>
    </row>
    <row r="6210" spans="1:6" x14ac:dyDescent="0.25">
      <c r="A6210" t="s">
        <v>2424</v>
      </c>
      <c r="B6210" t="s">
        <v>44</v>
      </c>
      <c r="C6210" t="s">
        <v>125</v>
      </c>
      <c r="D6210" t="s">
        <v>3218</v>
      </c>
      <c r="E6210">
        <v>14.15</v>
      </c>
      <c r="F6210">
        <v>-16.38</v>
      </c>
    </row>
    <row r="6211" spans="1:6" x14ac:dyDescent="0.25">
      <c r="A6211" t="s">
        <v>2424</v>
      </c>
      <c r="B6211" t="s">
        <v>44</v>
      </c>
      <c r="C6211" t="s">
        <v>125</v>
      </c>
      <c r="D6211" t="s">
        <v>3219</v>
      </c>
      <c r="E6211">
        <v>30.49</v>
      </c>
      <c r="F6211">
        <v>-16.73</v>
      </c>
    </row>
    <row r="6212" spans="1:6" x14ac:dyDescent="0.25">
      <c r="A6212" t="s">
        <v>2425</v>
      </c>
      <c r="B6212" t="s">
        <v>44</v>
      </c>
      <c r="C6212" t="s">
        <v>126</v>
      </c>
      <c r="D6212" t="s">
        <v>3217</v>
      </c>
      <c r="E6212">
        <v>0</v>
      </c>
      <c r="F6212">
        <v>-16.05</v>
      </c>
    </row>
    <row r="6213" spans="1:6" x14ac:dyDescent="0.25">
      <c r="A6213" t="s">
        <v>2425</v>
      </c>
      <c r="B6213" t="s">
        <v>44</v>
      </c>
      <c r="C6213" t="s">
        <v>126</v>
      </c>
      <c r="D6213" t="s">
        <v>3218</v>
      </c>
      <c r="E6213">
        <v>14.1</v>
      </c>
      <c r="F6213">
        <v>-16.2</v>
      </c>
    </row>
    <row r="6214" spans="1:6" x14ac:dyDescent="0.25">
      <c r="A6214" t="s">
        <v>2425</v>
      </c>
      <c r="B6214" t="s">
        <v>44</v>
      </c>
      <c r="C6214" t="s">
        <v>126</v>
      </c>
      <c r="D6214" t="s">
        <v>3219</v>
      </c>
      <c r="E6214">
        <v>30.44</v>
      </c>
      <c r="F6214">
        <v>-16.36</v>
      </c>
    </row>
    <row r="6215" spans="1:6" x14ac:dyDescent="0.25">
      <c r="A6215" t="s">
        <v>2426</v>
      </c>
      <c r="B6215" t="s">
        <v>44</v>
      </c>
      <c r="C6215" t="s">
        <v>127</v>
      </c>
      <c r="D6215" t="s">
        <v>3217</v>
      </c>
      <c r="E6215">
        <v>0</v>
      </c>
      <c r="F6215">
        <v>-15.71</v>
      </c>
    </row>
    <row r="6216" spans="1:6" x14ac:dyDescent="0.25">
      <c r="A6216" t="s">
        <v>2426</v>
      </c>
      <c r="B6216" t="s">
        <v>44</v>
      </c>
      <c r="C6216" t="s">
        <v>127</v>
      </c>
      <c r="D6216" t="s">
        <v>3218</v>
      </c>
      <c r="E6216">
        <v>14.93</v>
      </c>
      <c r="F6216">
        <v>-15.94</v>
      </c>
    </row>
    <row r="6217" spans="1:6" x14ac:dyDescent="0.25">
      <c r="A6217" t="s">
        <v>2426</v>
      </c>
      <c r="B6217" t="s">
        <v>44</v>
      </c>
      <c r="C6217" t="s">
        <v>127</v>
      </c>
      <c r="D6217" t="s">
        <v>3219</v>
      </c>
      <c r="E6217">
        <v>31.28</v>
      </c>
      <c r="F6217">
        <v>-16.04</v>
      </c>
    </row>
    <row r="6218" spans="1:6" x14ac:dyDescent="0.25">
      <c r="A6218" t="s">
        <v>2427</v>
      </c>
      <c r="B6218" t="s">
        <v>44</v>
      </c>
      <c r="C6218" t="s">
        <v>326</v>
      </c>
      <c r="D6218" t="s">
        <v>3217</v>
      </c>
      <c r="E6218">
        <v>0</v>
      </c>
      <c r="F6218">
        <v>-15.36</v>
      </c>
    </row>
    <row r="6219" spans="1:6" x14ac:dyDescent="0.25">
      <c r="A6219" t="s">
        <v>2427</v>
      </c>
      <c r="B6219" t="s">
        <v>44</v>
      </c>
      <c r="C6219" t="s">
        <v>326</v>
      </c>
      <c r="D6219" t="s">
        <v>3218</v>
      </c>
      <c r="E6219">
        <v>14.63</v>
      </c>
      <c r="F6219">
        <v>-15.63</v>
      </c>
    </row>
    <row r="6220" spans="1:6" x14ac:dyDescent="0.25">
      <c r="A6220" t="s">
        <v>2427</v>
      </c>
      <c r="B6220" t="s">
        <v>44</v>
      </c>
      <c r="C6220" t="s">
        <v>326</v>
      </c>
      <c r="D6220" t="s">
        <v>3219</v>
      </c>
      <c r="E6220">
        <v>30.45</v>
      </c>
      <c r="F6220">
        <v>-16.11</v>
      </c>
    </row>
    <row r="6221" spans="1:6" x14ac:dyDescent="0.25">
      <c r="A6221" t="s">
        <v>2428</v>
      </c>
      <c r="B6221" t="s">
        <v>45</v>
      </c>
      <c r="C6221" t="s">
        <v>56</v>
      </c>
      <c r="D6221" t="s">
        <v>3217</v>
      </c>
      <c r="E6221">
        <v>0</v>
      </c>
      <c r="F6221">
        <v>69.61</v>
      </c>
    </row>
    <row r="6222" spans="1:6" x14ac:dyDescent="0.25">
      <c r="A6222" t="s">
        <v>2428</v>
      </c>
      <c r="B6222" t="s">
        <v>45</v>
      </c>
      <c r="C6222" t="s">
        <v>56</v>
      </c>
      <c r="D6222" t="s">
        <v>3218</v>
      </c>
      <c r="E6222">
        <v>13.57</v>
      </c>
      <c r="F6222">
        <v>69.959999999999994</v>
      </c>
    </row>
    <row r="6223" spans="1:6" x14ac:dyDescent="0.25">
      <c r="A6223" t="s">
        <v>2428</v>
      </c>
      <c r="B6223" t="s">
        <v>45</v>
      </c>
      <c r="C6223" t="s">
        <v>56</v>
      </c>
      <c r="D6223" t="s">
        <v>3219</v>
      </c>
      <c r="E6223">
        <v>29.91</v>
      </c>
      <c r="F6223">
        <v>69.760000000000005</v>
      </c>
    </row>
    <row r="6224" spans="1:6" x14ac:dyDescent="0.25">
      <c r="A6224" t="s">
        <v>2429</v>
      </c>
      <c r="B6224" t="s">
        <v>45</v>
      </c>
      <c r="C6224" t="s">
        <v>57</v>
      </c>
      <c r="D6224" t="s">
        <v>3217</v>
      </c>
      <c r="E6224">
        <v>0</v>
      </c>
      <c r="F6224">
        <v>68.95</v>
      </c>
    </row>
    <row r="6225" spans="1:6" x14ac:dyDescent="0.25">
      <c r="A6225" t="s">
        <v>2429</v>
      </c>
      <c r="B6225" t="s">
        <v>45</v>
      </c>
      <c r="C6225" t="s">
        <v>57</v>
      </c>
      <c r="D6225" t="s">
        <v>3218</v>
      </c>
      <c r="E6225">
        <v>13.81</v>
      </c>
      <c r="F6225">
        <v>69.150000000000006</v>
      </c>
    </row>
    <row r="6226" spans="1:6" x14ac:dyDescent="0.25">
      <c r="A6226" t="s">
        <v>2429</v>
      </c>
      <c r="B6226" t="s">
        <v>45</v>
      </c>
      <c r="C6226" t="s">
        <v>57</v>
      </c>
      <c r="D6226" t="s">
        <v>3219</v>
      </c>
      <c r="E6226">
        <v>30.97</v>
      </c>
      <c r="F6226">
        <v>68.95</v>
      </c>
    </row>
    <row r="6227" spans="1:6" x14ac:dyDescent="0.25">
      <c r="A6227" t="s">
        <v>2430</v>
      </c>
      <c r="B6227" t="s">
        <v>45</v>
      </c>
      <c r="C6227" t="s">
        <v>58</v>
      </c>
      <c r="D6227" t="s">
        <v>3217</v>
      </c>
      <c r="E6227">
        <v>0</v>
      </c>
      <c r="F6227">
        <v>68.2</v>
      </c>
    </row>
    <row r="6228" spans="1:6" x14ac:dyDescent="0.25">
      <c r="A6228" t="s">
        <v>2430</v>
      </c>
      <c r="B6228" t="s">
        <v>45</v>
      </c>
      <c r="C6228" t="s">
        <v>58</v>
      </c>
      <c r="D6228" t="s">
        <v>3218</v>
      </c>
      <c r="E6228">
        <v>14.69</v>
      </c>
      <c r="F6228">
        <v>68.34</v>
      </c>
    </row>
    <row r="6229" spans="1:6" x14ac:dyDescent="0.25">
      <c r="A6229" t="s">
        <v>2430</v>
      </c>
      <c r="B6229" t="s">
        <v>45</v>
      </c>
      <c r="C6229" t="s">
        <v>58</v>
      </c>
      <c r="D6229" t="s">
        <v>3219</v>
      </c>
      <c r="E6229">
        <v>31.04</v>
      </c>
      <c r="F6229">
        <v>68.099999999999994</v>
      </c>
    </row>
    <row r="6230" spans="1:6" x14ac:dyDescent="0.25">
      <c r="A6230" t="s">
        <v>2431</v>
      </c>
      <c r="B6230" t="s">
        <v>45</v>
      </c>
      <c r="C6230" t="s">
        <v>59</v>
      </c>
      <c r="D6230" t="s">
        <v>3217</v>
      </c>
      <c r="E6230">
        <v>0</v>
      </c>
      <c r="F6230">
        <v>67.56</v>
      </c>
    </row>
    <row r="6231" spans="1:6" x14ac:dyDescent="0.25">
      <c r="A6231" t="s">
        <v>2431</v>
      </c>
      <c r="B6231" t="s">
        <v>45</v>
      </c>
      <c r="C6231" t="s">
        <v>59</v>
      </c>
      <c r="D6231" t="s">
        <v>3218</v>
      </c>
      <c r="E6231">
        <v>17.23</v>
      </c>
      <c r="F6231">
        <v>67.540000000000006</v>
      </c>
    </row>
    <row r="6232" spans="1:6" x14ac:dyDescent="0.25">
      <c r="A6232" t="s">
        <v>2431</v>
      </c>
      <c r="B6232" t="s">
        <v>45</v>
      </c>
      <c r="C6232" t="s">
        <v>59</v>
      </c>
      <c r="D6232" t="s">
        <v>3219</v>
      </c>
      <c r="E6232">
        <v>32.85</v>
      </c>
      <c r="F6232">
        <v>67.45</v>
      </c>
    </row>
    <row r="6233" spans="1:6" x14ac:dyDescent="0.25">
      <c r="A6233" t="s">
        <v>2432</v>
      </c>
      <c r="B6233" t="s">
        <v>45</v>
      </c>
      <c r="C6233" t="s">
        <v>60</v>
      </c>
      <c r="D6233" t="s">
        <v>3217</v>
      </c>
      <c r="E6233">
        <v>0</v>
      </c>
      <c r="F6233">
        <v>67.14</v>
      </c>
    </row>
    <row r="6234" spans="1:6" x14ac:dyDescent="0.25">
      <c r="A6234" t="s">
        <v>2432</v>
      </c>
      <c r="B6234" t="s">
        <v>45</v>
      </c>
      <c r="C6234" t="s">
        <v>60</v>
      </c>
      <c r="D6234" t="s">
        <v>3218</v>
      </c>
      <c r="E6234">
        <v>17.23</v>
      </c>
      <c r="F6234">
        <v>67.13</v>
      </c>
    </row>
    <row r="6235" spans="1:6" x14ac:dyDescent="0.25">
      <c r="A6235" t="s">
        <v>2432</v>
      </c>
      <c r="B6235" t="s">
        <v>45</v>
      </c>
      <c r="C6235" t="s">
        <v>60</v>
      </c>
      <c r="D6235" t="s">
        <v>3219</v>
      </c>
      <c r="E6235">
        <v>31.57</v>
      </c>
      <c r="F6235">
        <v>66.8</v>
      </c>
    </row>
    <row r="6236" spans="1:6" x14ac:dyDescent="0.25">
      <c r="A6236" t="s">
        <v>2433</v>
      </c>
      <c r="B6236" t="s">
        <v>45</v>
      </c>
      <c r="C6236" t="s">
        <v>61</v>
      </c>
      <c r="D6236" t="s">
        <v>3217</v>
      </c>
      <c r="E6236">
        <v>0</v>
      </c>
      <c r="F6236">
        <v>66.95</v>
      </c>
    </row>
    <row r="6237" spans="1:6" x14ac:dyDescent="0.25">
      <c r="A6237" t="s">
        <v>2433</v>
      </c>
      <c r="B6237" t="s">
        <v>45</v>
      </c>
      <c r="C6237" t="s">
        <v>61</v>
      </c>
      <c r="D6237" t="s">
        <v>3218</v>
      </c>
      <c r="E6237">
        <v>18.09</v>
      </c>
      <c r="F6237">
        <v>66.75</v>
      </c>
    </row>
    <row r="6238" spans="1:6" x14ac:dyDescent="0.25">
      <c r="A6238" t="s">
        <v>2433</v>
      </c>
      <c r="B6238" t="s">
        <v>45</v>
      </c>
      <c r="C6238" t="s">
        <v>61</v>
      </c>
      <c r="D6238" t="s">
        <v>3219</v>
      </c>
      <c r="E6238">
        <v>32.43</v>
      </c>
      <c r="F6238">
        <v>66.27</v>
      </c>
    </row>
    <row r="6239" spans="1:6" x14ac:dyDescent="0.25">
      <c r="A6239" t="s">
        <v>2434</v>
      </c>
      <c r="B6239" t="s">
        <v>45</v>
      </c>
      <c r="C6239" t="s">
        <v>62</v>
      </c>
      <c r="D6239" t="s">
        <v>3217</v>
      </c>
      <c r="E6239">
        <v>0</v>
      </c>
      <c r="F6239">
        <v>66.69</v>
      </c>
    </row>
    <row r="6240" spans="1:6" x14ac:dyDescent="0.25">
      <c r="A6240" t="s">
        <v>2434</v>
      </c>
      <c r="B6240" t="s">
        <v>45</v>
      </c>
      <c r="C6240" t="s">
        <v>62</v>
      </c>
      <c r="D6240" t="s">
        <v>3218</v>
      </c>
      <c r="E6240">
        <v>18.09</v>
      </c>
      <c r="F6240">
        <v>66.260000000000005</v>
      </c>
    </row>
    <row r="6241" spans="1:6" x14ac:dyDescent="0.25">
      <c r="A6241" t="s">
        <v>2434</v>
      </c>
      <c r="B6241" t="s">
        <v>45</v>
      </c>
      <c r="C6241" t="s">
        <v>62</v>
      </c>
      <c r="D6241" t="s">
        <v>3219</v>
      </c>
      <c r="E6241">
        <v>30.62</v>
      </c>
      <c r="F6241">
        <v>65.72</v>
      </c>
    </row>
    <row r="6242" spans="1:6" x14ac:dyDescent="0.25">
      <c r="A6242" t="s">
        <v>2435</v>
      </c>
      <c r="B6242" t="s">
        <v>45</v>
      </c>
      <c r="C6242" t="s">
        <v>63</v>
      </c>
      <c r="D6242" t="s">
        <v>3217</v>
      </c>
      <c r="E6242">
        <v>0</v>
      </c>
      <c r="F6242">
        <v>66.31</v>
      </c>
    </row>
    <row r="6243" spans="1:6" x14ac:dyDescent="0.25">
      <c r="A6243" t="s">
        <v>2435</v>
      </c>
      <c r="B6243" t="s">
        <v>45</v>
      </c>
      <c r="C6243" t="s">
        <v>63</v>
      </c>
      <c r="D6243" t="s">
        <v>3218</v>
      </c>
      <c r="E6243">
        <v>17.52</v>
      </c>
      <c r="F6243">
        <v>65.84</v>
      </c>
    </row>
    <row r="6244" spans="1:6" x14ac:dyDescent="0.25">
      <c r="A6244" t="s">
        <v>2435</v>
      </c>
      <c r="B6244" t="s">
        <v>45</v>
      </c>
      <c r="C6244" t="s">
        <v>63</v>
      </c>
      <c r="D6244" t="s">
        <v>3219</v>
      </c>
      <c r="E6244">
        <v>30.3</v>
      </c>
      <c r="F6244">
        <v>65.25</v>
      </c>
    </row>
    <row r="6245" spans="1:6" x14ac:dyDescent="0.25">
      <c r="A6245" t="s">
        <v>2436</v>
      </c>
      <c r="B6245" t="s">
        <v>45</v>
      </c>
      <c r="C6245" t="s">
        <v>64</v>
      </c>
      <c r="D6245" t="s">
        <v>3217</v>
      </c>
      <c r="E6245">
        <v>0</v>
      </c>
      <c r="F6245">
        <v>65.94</v>
      </c>
    </row>
    <row r="6246" spans="1:6" x14ac:dyDescent="0.25">
      <c r="A6246" t="s">
        <v>2436</v>
      </c>
      <c r="B6246" t="s">
        <v>45</v>
      </c>
      <c r="C6246" t="s">
        <v>64</v>
      </c>
      <c r="D6246" t="s">
        <v>3218</v>
      </c>
      <c r="E6246">
        <v>16.43</v>
      </c>
      <c r="F6246">
        <v>65.540000000000006</v>
      </c>
    </row>
    <row r="6247" spans="1:6" x14ac:dyDescent="0.25">
      <c r="A6247" t="s">
        <v>2436</v>
      </c>
      <c r="B6247" t="s">
        <v>45</v>
      </c>
      <c r="C6247" t="s">
        <v>64</v>
      </c>
      <c r="D6247" t="s">
        <v>3219</v>
      </c>
      <c r="E6247">
        <v>29.21</v>
      </c>
      <c r="F6247">
        <v>65.12</v>
      </c>
    </row>
    <row r="6248" spans="1:6" x14ac:dyDescent="0.25">
      <c r="A6248" t="s">
        <v>2437</v>
      </c>
      <c r="B6248" t="s">
        <v>45</v>
      </c>
      <c r="C6248" t="s">
        <v>65</v>
      </c>
      <c r="D6248" t="s">
        <v>3217</v>
      </c>
      <c r="E6248">
        <v>0</v>
      </c>
      <c r="F6248">
        <v>65.599999999999994</v>
      </c>
    </row>
    <row r="6249" spans="1:6" x14ac:dyDescent="0.25">
      <c r="A6249" t="s">
        <v>2437</v>
      </c>
      <c r="B6249" t="s">
        <v>45</v>
      </c>
      <c r="C6249" t="s">
        <v>65</v>
      </c>
      <c r="D6249" t="s">
        <v>3218</v>
      </c>
      <c r="E6249">
        <v>16.07</v>
      </c>
      <c r="F6249">
        <v>65.239999999999995</v>
      </c>
    </row>
    <row r="6250" spans="1:6" x14ac:dyDescent="0.25">
      <c r="A6250" t="s">
        <v>2437</v>
      </c>
      <c r="B6250" t="s">
        <v>45</v>
      </c>
      <c r="C6250" t="s">
        <v>65</v>
      </c>
      <c r="D6250" t="s">
        <v>3219</v>
      </c>
      <c r="E6250">
        <v>29.29</v>
      </c>
      <c r="F6250">
        <v>64.86</v>
      </c>
    </row>
    <row r="6251" spans="1:6" x14ac:dyDescent="0.25">
      <c r="A6251" t="s">
        <v>2438</v>
      </c>
      <c r="B6251" t="s">
        <v>45</v>
      </c>
      <c r="C6251" t="s">
        <v>66</v>
      </c>
      <c r="D6251" t="s">
        <v>3217</v>
      </c>
      <c r="E6251">
        <v>0</v>
      </c>
      <c r="F6251">
        <v>65.349999999999994</v>
      </c>
    </row>
    <row r="6252" spans="1:6" x14ac:dyDescent="0.25">
      <c r="A6252" t="s">
        <v>2438</v>
      </c>
      <c r="B6252" t="s">
        <v>45</v>
      </c>
      <c r="C6252" t="s">
        <v>66</v>
      </c>
      <c r="D6252" t="s">
        <v>3218</v>
      </c>
      <c r="E6252">
        <v>15.67</v>
      </c>
      <c r="F6252">
        <v>65.180000000000007</v>
      </c>
    </row>
    <row r="6253" spans="1:6" x14ac:dyDescent="0.25">
      <c r="A6253" t="s">
        <v>2438</v>
      </c>
      <c r="B6253" t="s">
        <v>45</v>
      </c>
      <c r="C6253" t="s">
        <v>66</v>
      </c>
      <c r="D6253" t="s">
        <v>3219</v>
      </c>
      <c r="E6253">
        <v>29.51</v>
      </c>
      <c r="F6253">
        <v>64.900000000000006</v>
      </c>
    </row>
    <row r="6254" spans="1:6" x14ac:dyDescent="0.25">
      <c r="A6254" t="s">
        <v>2439</v>
      </c>
      <c r="B6254" t="s">
        <v>45</v>
      </c>
      <c r="C6254" t="s">
        <v>67</v>
      </c>
      <c r="D6254" t="s">
        <v>3217</v>
      </c>
      <c r="E6254">
        <v>0</v>
      </c>
      <c r="F6254">
        <v>65.459999999999994</v>
      </c>
    </row>
    <row r="6255" spans="1:6" x14ac:dyDescent="0.25">
      <c r="A6255" t="s">
        <v>2439</v>
      </c>
      <c r="B6255" t="s">
        <v>45</v>
      </c>
      <c r="C6255" t="s">
        <v>67</v>
      </c>
      <c r="D6255" t="s">
        <v>3218</v>
      </c>
      <c r="E6255">
        <v>15.7</v>
      </c>
      <c r="F6255">
        <v>65.3</v>
      </c>
    </row>
    <row r="6256" spans="1:6" x14ac:dyDescent="0.25">
      <c r="A6256" t="s">
        <v>2439</v>
      </c>
      <c r="B6256" t="s">
        <v>45</v>
      </c>
      <c r="C6256" t="s">
        <v>67</v>
      </c>
      <c r="D6256" t="s">
        <v>3219</v>
      </c>
      <c r="E6256">
        <v>28.37</v>
      </c>
      <c r="F6256">
        <v>64.75</v>
      </c>
    </row>
    <row r="6257" spans="1:6" x14ac:dyDescent="0.25">
      <c r="A6257" t="s">
        <v>2440</v>
      </c>
      <c r="B6257" t="s">
        <v>45</v>
      </c>
      <c r="C6257" t="s">
        <v>68</v>
      </c>
      <c r="D6257" t="s">
        <v>3217</v>
      </c>
      <c r="E6257">
        <v>0</v>
      </c>
      <c r="F6257">
        <v>65.77</v>
      </c>
    </row>
    <row r="6258" spans="1:6" x14ac:dyDescent="0.25">
      <c r="A6258" t="s">
        <v>2440</v>
      </c>
      <c r="B6258" t="s">
        <v>45</v>
      </c>
      <c r="C6258" t="s">
        <v>68</v>
      </c>
      <c r="D6258" t="s">
        <v>3218</v>
      </c>
      <c r="E6258">
        <v>15.67</v>
      </c>
      <c r="F6258">
        <v>65.510000000000005</v>
      </c>
    </row>
    <row r="6259" spans="1:6" x14ac:dyDescent="0.25">
      <c r="A6259" t="s">
        <v>2440</v>
      </c>
      <c r="B6259" t="s">
        <v>45</v>
      </c>
      <c r="C6259" t="s">
        <v>68</v>
      </c>
      <c r="D6259" t="s">
        <v>3219</v>
      </c>
      <c r="E6259">
        <v>27.74</v>
      </c>
      <c r="F6259">
        <v>64.87</v>
      </c>
    </row>
    <row r="6260" spans="1:6" x14ac:dyDescent="0.25">
      <c r="A6260" t="s">
        <v>2441</v>
      </c>
      <c r="B6260" t="s">
        <v>45</v>
      </c>
      <c r="C6260" t="s">
        <v>327</v>
      </c>
      <c r="D6260" t="s">
        <v>3217</v>
      </c>
      <c r="E6260">
        <v>0</v>
      </c>
      <c r="F6260">
        <v>66.34</v>
      </c>
    </row>
    <row r="6261" spans="1:6" x14ac:dyDescent="0.25">
      <c r="A6261" t="s">
        <v>2441</v>
      </c>
      <c r="B6261" t="s">
        <v>45</v>
      </c>
      <c r="C6261" t="s">
        <v>327</v>
      </c>
      <c r="D6261" t="s">
        <v>3218</v>
      </c>
      <c r="E6261">
        <v>15.7</v>
      </c>
      <c r="F6261">
        <v>65.42</v>
      </c>
    </row>
    <row r="6262" spans="1:6" x14ac:dyDescent="0.25">
      <c r="A6262" t="s">
        <v>2441</v>
      </c>
      <c r="B6262" t="s">
        <v>45</v>
      </c>
      <c r="C6262" t="s">
        <v>327</v>
      </c>
      <c r="D6262" t="s">
        <v>3219</v>
      </c>
      <c r="E6262">
        <v>29.21</v>
      </c>
      <c r="F6262">
        <v>64.83</v>
      </c>
    </row>
    <row r="6263" spans="1:6" x14ac:dyDescent="0.25">
      <c r="A6263" t="s">
        <v>2442</v>
      </c>
      <c r="B6263" t="s">
        <v>46</v>
      </c>
      <c r="C6263" t="s">
        <v>56</v>
      </c>
      <c r="D6263" t="s">
        <v>3217</v>
      </c>
      <c r="E6263">
        <v>0</v>
      </c>
      <c r="F6263">
        <v>114.27</v>
      </c>
    </row>
    <row r="6264" spans="1:6" x14ac:dyDescent="0.25">
      <c r="A6264" t="s">
        <v>2442</v>
      </c>
      <c r="B6264" t="s">
        <v>46</v>
      </c>
      <c r="C6264" t="s">
        <v>56</v>
      </c>
      <c r="D6264" t="s">
        <v>3218</v>
      </c>
      <c r="E6264">
        <v>18.36</v>
      </c>
      <c r="F6264">
        <v>114.58</v>
      </c>
    </row>
    <row r="6265" spans="1:6" x14ac:dyDescent="0.25">
      <c r="A6265" t="s">
        <v>2442</v>
      </c>
      <c r="B6265" t="s">
        <v>46</v>
      </c>
      <c r="C6265" t="s">
        <v>56</v>
      </c>
      <c r="D6265" t="s">
        <v>3219</v>
      </c>
      <c r="E6265">
        <v>33.93</v>
      </c>
      <c r="F6265">
        <v>114.81</v>
      </c>
    </row>
    <row r="6266" spans="1:6" x14ac:dyDescent="0.25">
      <c r="A6266" t="s">
        <v>2443</v>
      </c>
      <c r="B6266" t="s">
        <v>46</v>
      </c>
      <c r="C6266" t="s">
        <v>57</v>
      </c>
      <c r="D6266" t="s">
        <v>3217</v>
      </c>
      <c r="E6266">
        <v>0</v>
      </c>
      <c r="F6266">
        <v>114.09</v>
      </c>
    </row>
    <row r="6267" spans="1:6" x14ac:dyDescent="0.25">
      <c r="A6267" t="s">
        <v>2443</v>
      </c>
      <c r="B6267" t="s">
        <v>46</v>
      </c>
      <c r="C6267" t="s">
        <v>57</v>
      </c>
      <c r="D6267" t="s">
        <v>3218</v>
      </c>
      <c r="E6267">
        <v>18.36</v>
      </c>
      <c r="F6267">
        <v>114.34</v>
      </c>
    </row>
    <row r="6268" spans="1:6" x14ac:dyDescent="0.25">
      <c r="A6268" t="s">
        <v>2443</v>
      </c>
      <c r="B6268" t="s">
        <v>46</v>
      </c>
      <c r="C6268" t="s">
        <v>57</v>
      </c>
      <c r="D6268" t="s">
        <v>3219</v>
      </c>
      <c r="E6268">
        <v>35.42</v>
      </c>
      <c r="F6268">
        <v>114.88</v>
      </c>
    </row>
    <row r="6269" spans="1:6" x14ac:dyDescent="0.25">
      <c r="A6269" t="s">
        <v>2444</v>
      </c>
      <c r="B6269" t="s">
        <v>46</v>
      </c>
      <c r="C6269" t="s">
        <v>58</v>
      </c>
      <c r="D6269" t="s">
        <v>3217</v>
      </c>
      <c r="E6269">
        <v>0</v>
      </c>
      <c r="F6269">
        <v>113.96</v>
      </c>
    </row>
    <row r="6270" spans="1:6" x14ac:dyDescent="0.25">
      <c r="A6270" t="s">
        <v>2444</v>
      </c>
      <c r="B6270" t="s">
        <v>46</v>
      </c>
      <c r="C6270" t="s">
        <v>58</v>
      </c>
      <c r="D6270" t="s">
        <v>3218</v>
      </c>
      <c r="E6270">
        <v>18.36</v>
      </c>
      <c r="F6270">
        <v>114.21</v>
      </c>
    </row>
    <row r="6271" spans="1:6" x14ac:dyDescent="0.25">
      <c r="A6271" t="s">
        <v>2444</v>
      </c>
      <c r="B6271" t="s">
        <v>46</v>
      </c>
      <c r="C6271" t="s">
        <v>58</v>
      </c>
      <c r="D6271" t="s">
        <v>3219</v>
      </c>
      <c r="E6271">
        <v>34.32</v>
      </c>
      <c r="F6271">
        <v>115.02</v>
      </c>
    </row>
    <row r="6272" spans="1:6" x14ac:dyDescent="0.25">
      <c r="A6272" t="s">
        <v>2445</v>
      </c>
      <c r="B6272" t="s">
        <v>46</v>
      </c>
      <c r="C6272" t="s">
        <v>59</v>
      </c>
      <c r="D6272" t="s">
        <v>3217</v>
      </c>
      <c r="E6272">
        <v>0</v>
      </c>
      <c r="F6272">
        <v>113.91</v>
      </c>
    </row>
    <row r="6273" spans="1:6" x14ac:dyDescent="0.25">
      <c r="A6273" t="s">
        <v>2445</v>
      </c>
      <c r="B6273" t="s">
        <v>46</v>
      </c>
      <c r="C6273" t="s">
        <v>59</v>
      </c>
      <c r="D6273" t="s">
        <v>3218</v>
      </c>
      <c r="E6273">
        <v>16.82</v>
      </c>
      <c r="F6273">
        <v>114.54</v>
      </c>
    </row>
    <row r="6274" spans="1:6" x14ac:dyDescent="0.25">
      <c r="A6274" t="s">
        <v>2445</v>
      </c>
      <c r="B6274" t="s">
        <v>46</v>
      </c>
      <c r="C6274" t="s">
        <v>59</v>
      </c>
      <c r="D6274" t="s">
        <v>3219</v>
      </c>
      <c r="E6274">
        <v>30.86</v>
      </c>
      <c r="F6274">
        <v>115.06</v>
      </c>
    </row>
    <row r="6275" spans="1:6" x14ac:dyDescent="0.25">
      <c r="A6275" t="s">
        <v>2446</v>
      </c>
      <c r="B6275" t="s">
        <v>46</v>
      </c>
      <c r="C6275" t="s">
        <v>60</v>
      </c>
      <c r="D6275" t="s">
        <v>3217</v>
      </c>
      <c r="E6275">
        <v>0</v>
      </c>
      <c r="F6275">
        <v>113.91</v>
      </c>
    </row>
    <row r="6276" spans="1:6" x14ac:dyDescent="0.25">
      <c r="A6276" t="s">
        <v>2446</v>
      </c>
      <c r="B6276" t="s">
        <v>46</v>
      </c>
      <c r="C6276" t="s">
        <v>60</v>
      </c>
      <c r="D6276" t="s">
        <v>3218</v>
      </c>
      <c r="E6276">
        <v>15.41</v>
      </c>
      <c r="F6276">
        <v>114.72</v>
      </c>
    </row>
    <row r="6277" spans="1:6" x14ac:dyDescent="0.25">
      <c r="A6277" t="s">
        <v>2446</v>
      </c>
      <c r="B6277" t="s">
        <v>46</v>
      </c>
      <c r="C6277" t="s">
        <v>60</v>
      </c>
      <c r="D6277" t="s">
        <v>3219</v>
      </c>
      <c r="E6277">
        <v>30.43</v>
      </c>
      <c r="F6277">
        <v>115.37</v>
      </c>
    </row>
    <row r="6278" spans="1:6" x14ac:dyDescent="0.25">
      <c r="A6278" t="s">
        <v>2447</v>
      </c>
      <c r="B6278" t="s">
        <v>46</v>
      </c>
      <c r="C6278" t="s">
        <v>61</v>
      </c>
      <c r="D6278" t="s">
        <v>3217</v>
      </c>
      <c r="E6278">
        <v>0</v>
      </c>
      <c r="F6278">
        <v>113.88</v>
      </c>
    </row>
    <row r="6279" spans="1:6" x14ac:dyDescent="0.25">
      <c r="A6279" t="s">
        <v>2447</v>
      </c>
      <c r="B6279" t="s">
        <v>46</v>
      </c>
      <c r="C6279" t="s">
        <v>61</v>
      </c>
      <c r="D6279" t="s">
        <v>3218</v>
      </c>
      <c r="E6279">
        <v>14.67</v>
      </c>
      <c r="F6279">
        <v>114.58</v>
      </c>
    </row>
    <row r="6280" spans="1:6" x14ac:dyDescent="0.25">
      <c r="A6280" t="s">
        <v>2447</v>
      </c>
      <c r="B6280" t="s">
        <v>46</v>
      </c>
      <c r="C6280" t="s">
        <v>61</v>
      </c>
      <c r="D6280" t="s">
        <v>3219</v>
      </c>
      <c r="E6280">
        <v>30.18</v>
      </c>
      <c r="F6280">
        <v>115.1</v>
      </c>
    </row>
    <row r="6281" spans="1:6" x14ac:dyDescent="0.25">
      <c r="A6281" t="s">
        <v>2448</v>
      </c>
      <c r="B6281" t="s">
        <v>46</v>
      </c>
      <c r="C6281" t="s">
        <v>62</v>
      </c>
      <c r="D6281" t="s">
        <v>3217</v>
      </c>
      <c r="E6281">
        <v>0</v>
      </c>
      <c r="F6281">
        <v>113.88</v>
      </c>
    </row>
    <row r="6282" spans="1:6" x14ac:dyDescent="0.25">
      <c r="A6282" t="s">
        <v>2448</v>
      </c>
      <c r="B6282" t="s">
        <v>46</v>
      </c>
      <c r="C6282" t="s">
        <v>62</v>
      </c>
      <c r="D6282" t="s">
        <v>3218</v>
      </c>
      <c r="E6282">
        <v>15.1</v>
      </c>
      <c r="F6282">
        <v>114.43</v>
      </c>
    </row>
    <row r="6283" spans="1:6" x14ac:dyDescent="0.25">
      <c r="A6283" t="s">
        <v>2448</v>
      </c>
      <c r="B6283" t="s">
        <v>46</v>
      </c>
      <c r="C6283" t="s">
        <v>62</v>
      </c>
      <c r="D6283" t="s">
        <v>3219</v>
      </c>
      <c r="E6283">
        <v>30.13</v>
      </c>
      <c r="F6283">
        <v>115.01</v>
      </c>
    </row>
    <row r="6284" spans="1:6" x14ac:dyDescent="0.25">
      <c r="A6284" t="s">
        <v>2449</v>
      </c>
      <c r="B6284" t="s">
        <v>46</v>
      </c>
      <c r="C6284" t="s">
        <v>63</v>
      </c>
      <c r="D6284" t="s">
        <v>3217</v>
      </c>
      <c r="E6284">
        <v>0</v>
      </c>
      <c r="F6284">
        <v>113.79</v>
      </c>
    </row>
    <row r="6285" spans="1:6" x14ac:dyDescent="0.25">
      <c r="A6285" t="s">
        <v>2449</v>
      </c>
      <c r="B6285" t="s">
        <v>46</v>
      </c>
      <c r="C6285" t="s">
        <v>63</v>
      </c>
      <c r="D6285" t="s">
        <v>3218</v>
      </c>
      <c r="E6285">
        <v>16.73</v>
      </c>
      <c r="F6285">
        <v>114.45</v>
      </c>
    </row>
    <row r="6286" spans="1:6" x14ac:dyDescent="0.25">
      <c r="A6286" t="s">
        <v>2449</v>
      </c>
      <c r="B6286" t="s">
        <v>46</v>
      </c>
      <c r="C6286" t="s">
        <v>63</v>
      </c>
      <c r="D6286" t="s">
        <v>3219</v>
      </c>
      <c r="E6286">
        <v>30.66</v>
      </c>
      <c r="F6286">
        <v>115</v>
      </c>
    </row>
    <row r="6287" spans="1:6" x14ac:dyDescent="0.25">
      <c r="A6287" t="s">
        <v>2450</v>
      </c>
      <c r="B6287" t="s">
        <v>46</v>
      </c>
      <c r="C6287" t="s">
        <v>64</v>
      </c>
      <c r="D6287" t="s">
        <v>3217</v>
      </c>
      <c r="E6287">
        <v>0</v>
      </c>
      <c r="F6287">
        <v>113.74</v>
      </c>
    </row>
    <row r="6288" spans="1:6" x14ac:dyDescent="0.25">
      <c r="A6288" t="s">
        <v>2450</v>
      </c>
      <c r="B6288" t="s">
        <v>46</v>
      </c>
      <c r="C6288" t="s">
        <v>64</v>
      </c>
      <c r="D6288" t="s">
        <v>3218</v>
      </c>
      <c r="E6288">
        <v>16.5</v>
      </c>
      <c r="F6288">
        <v>114.54</v>
      </c>
    </row>
    <row r="6289" spans="1:6" x14ac:dyDescent="0.25">
      <c r="A6289" t="s">
        <v>2450</v>
      </c>
      <c r="B6289" t="s">
        <v>46</v>
      </c>
      <c r="C6289" t="s">
        <v>64</v>
      </c>
      <c r="D6289" t="s">
        <v>3219</v>
      </c>
      <c r="E6289">
        <v>31.38</v>
      </c>
      <c r="F6289">
        <v>114.83</v>
      </c>
    </row>
    <row r="6290" spans="1:6" x14ac:dyDescent="0.25">
      <c r="A6290" t="s">
        <v>2451</v>
      </c>
      <c r="B6290" t="s">
        <v>46</v>
      </c>
      <c r="C6290" t="s">
        <v>65</v>
      </c>
      <c r="D6290" t="s">
        <v>3217</v>
      </c>
      <c r="E6290">
        <v>0</v>
      </c>
      <c r="F6290">
        <v>113.99</v>
      </c>
    </row>
    <row r="6291" spans="1:6" x14ac:dyDescent="0.25">
      <c r="A6291" t="s">
        <v>2451</v>
      </c>
      <c r="B6291" t="s">
        <v>46</v>
      </c>
      <c r="C6291" t="s">
        <v>65</v>
      </c>
      <c r="D6291" t="s">
        <v>3218</v>
      </c>
      <c r="E6291">
        <v>16.09</v>
      </c>
      <c r="F6291">
        <v>114.75</v>
      </c>
    </row>
    <row r="6292" spans="1:6" x14ac:dyDescent="0.25">
      <c r="A6292" t="s">
        <v>2451</v>
      </c>
      <c r="B6292" t="s">
        <v>46</v>
      </c>
      <c r="C6292" t="s">
        <v>65</v>
      </c>
      <c r="D6292" t="s">
        <v>3219</v>
      </c>
      <c r="E6292">
        <v>30.94</v>
      </c>
      <c r="F6292">
        <v>114.95</v>
      </c>
    </row>
    <row r="6293" spans="1:6" x14ac:dyDescent="0.25">
      <c r="A6293" t="s">
        <v>2452</v>
      </c>
      <c r="B6293" t="s">
        <v>46</v>
      </c>
      <c r="C6293" t="s">
        <v>66</v>
      </c>
      <c r="D6293" t="s">
        <v>3217</v>
      </c>
      <c r="E6293">
        <v>0</v>
      </c>
      <c r="F6293">
        <v>114.59</v>
      </c>
    </row>
    <row r="6294" spans="1:6" x14ac:dyDescent="0.25">
      <c r="A6294" t="s">
        <v>2452</v>
      </c>
      <c r="B6294" t="s">
        <v>46</v>
      </c>
      <c r="C6294" t="s">
        <v>66</v>
      </c>
      <c r="D6294" t="s">
        <v>3218</v>
      </c>
      <c r="E6294">
        <v>15.87</v>
      </c>
      <c r="F6294">
        <v>115.36</v>
      </c>
    </row>
    <row r="6295" spans="1:6" x14ac:dyDescent="0.25">
      <c r="A6295" t="s">
        <v>2452</v>
      </c>
      <c r="B6295" t="s">
        <v>46</v>
      </c>
      <c r="C6295" t="s">
        <v>66</v>
      </c>
      <c r="D6295" t="s">
        <v>3219</v>
      </c>
      <c r="E6295">
        <v>30.41</v>
      </c>
      <c r="F6295">
        <v>115.58</v>
      </c>
    </row>
    <row r="6296" spans="1:6" x14ac:dyDescent="0.25">
      <c r="A6296" t="s">
        <v>2453</v>
      </c>
      <c r="B6296" t="s">
        <v>46</v>
      </c>
      <c r="C6296" t="s">
        <v>67</v>
      </c>
      <c r="D6296" t="s">
        <v>3217</v>
      </c>
      <c r="E6296">
        <v>0</v>
      </c>
      <c r="F6296">
        <v>115</v>
      </c>
    </row>
    <row r="6297" spans="1:6" x14ac:dyDescent="0.25">
      <c r="A6297" t="s">
        <v>2453</v>
      </c>
      <c r="B6297" t="s">
        <v>46</v>
      </c>
      <c r="C6297" t="s">
        <v>67</v>
      </c>
      <c r="D6297" t="s">
        <v>3218</v>
      </c>
      <c r="E6297">
        <v>15.47</v>
      </c>
      <c r="F6297">
        <v>115.87</v>
      </c>
    </row>
    <row r="6298" spans="1:6" x14ac:dyDescent="0.25">
      <c r="A6298" t="s">
        <v>2453</v>
      </c>
      <c r="B6298" t="s">
        <v>46</v>
      </c>
      <c r="C6298" t="s">
        <v>67</v>
      </c>
      <c r="D6298" t="s">
        <v>3219</v>
      </c>
      <c r="E6298">
        <v>30.01</v>
      </c>
      <c r="F6298">
        <v>116.02</v>
      </c>
    </row>
    <row r="6299" spans="1:6" x14ac:dyDescent="0.25">
      <c r="A6299" t="s">
        <v>2454</v>
      </c>
      <c r="B6299" t="s">
        <v>46</v>
      </c>
      <c r="C6299" t="s">
        <v>68</v>
      </c>
      <c r="D6299" t="s">
        <v>3217</v>
      </c>
      <c r="E6299">
        <v>0</v>
      </c>
      <c r="F6299">
        <v>115.51</v>
      </c>
    </row>
    <row r="6300" spans="1:6" x14ac:dyDescent="0.25">
      <c r="A6300" t="s">
        <v>2454</v>
      </c>
      <c r="B6300" t="s">
        <v>46</v>
      </c>
      <c r="C6300" t="s">
        <v>68</v>
      </c>
      <c r="D6300" t="s">
        <v>3218</v>
      </c>
      <c r="E6300">
        <v>15.87</v>
      </c>
      <c r="F6300">
        <v>116.49</v>
      </c>
    </row>
    <row r="6301" spans="1:6" x14ac:dyDescent="0.25">
      <c r="A6301" t="s">
        <v>2454</v>
      </c>
      <c r="B6301" t="s">
        <v>46</v>
      </c>
      <c r="C6301" t="s">
        <v>68</v>
      </c>
      <c r="D6301" t="s">
        <v>3219</v>
      </c>
      <c r="E6301">
        <v>30.25</v>
      </c>
      <c r="F6301">
        <v>116.61</v>
      </c>
    </row>
    <row r="6302" spans="1:6" x14ac:dyDescent="0.25">
      <c r="A6302" t="s">
        <v>2455</v>
      </c>
      <c r="B6302" t="s">
        <v>46</v>
      </c>
      <c r="C6302" t="s">
        <v>69</v>
      </c>
      <c r="D6302" t="s">
        <v>3217</v>
      </c>
      <c r="E6302">
        <v>0</v>
      </c>
      <c r="F6302">
        <v>116.06</v>
      </c>
    </row>
    <row r="6303" spans="1:6" x14ac:dyDescent="0.25">
      <c r="A6303" t="s">
        <v>2455</v>
      </c>
      <c r="B6303" t="s">
        <v>46</v>
      </c>
      <c r="C6303" t="s">
        <v>69</v>
      </c>
      <c r="D6303" t="s">
        <v>3218</v>
      </c>
      <c r="E6303">
        <v>15.74</v>
      </c>
      <c r="F6303">
        <v>117.03</v>
      </c>
    </row>
    <row r="6304" spans="1:6" x14ac:dyDescent="0.25">
      <c r="A6304" t="s">
        <v>2455</v>
      </c>
      <c r="B6304" t="s">
        <v>46</v>
      </c>
      <c r="C6304" t="s">
        <v>69</v>
      </c>
      <c r="D6304" t="s">
        <v>3219</v>
      </c>
      <c r="E6304">
        <v>29.7</v>
      </c>
      <c r="F6304">
        <v>117.13</v>
      </c>
    </row>
    <row r="6305" spans="1:6" x14ac:dyDescent="0.25">
      <c r="A6305" t="s">
        <v>2456</v>
      </c>
      <c r="B6305" t="s">
        <v>46</v>
      </c>
      <c r="C6305" t="s">
        <v>70</v>
      </c>
      <c r="D6305" t="s">
        <v>3217</v>
      </c>
      <c r="E6305">
        <v>0</v>
      </c>
      <c r="F6305">
        <v>116.65</v>
      </c>
    </row>
    <row r="6306" spans="1:6" x14ac:dyDescent="0.25">
      <c r="A6306" t="s">
        <v>2456</v>
      </c>
      <c r="B6306" t="s">
        <v>46</v>
      </c>
      <c r="C6306" t="s">
        <v>70</v>
      </c>
      <c r="D6306" t="s">
        <v>3218</v>
      </c>
      <c r="E6306">
        <v>16.2</v>
      </c>
      <c r="F6306">
        <v>117.42</v>
      </c>
    </row>
    <row r="6307" spans="1:6" x14ac:dyDescent="0.25">
      <c r="A6307" t="s">
        <v>2456</v>
      </c>
      <c r="B6307" t="s">
        <v>46</v>
      </c>
      <c r="C6307" t="s">
        <v>70</v>
      </c>
      <c r="D6307" t="s">
        <v>3219</v>
      </c>
      <c r="E6307">
        <v>28.93</v>
      </c>
      <c r="F6307">
        <v>117.53</v>
      </c>
    </row>
    <row r="6308" spans="1:6" x14ac:dyDescent="0.25">
      <c r="A6308" t="s">
        <v>2457</v>
      </c>
      <c r="B6308" t="s">
        <v>46</v>
      </c>
      <c r="C6308" t="s">
        <v>71</v>
      </c>
      <c r="D6308" t="s">
        <v>3217</v>
      </c>
      <c r="E6308">
        <v>0</v>
      </c>
      <c r="F6308">
        <v>117.1</v>
      </c>
    </row>
    <row r="6309" spans="1:6" x14ac:dyDescent="0.25">
      <c r="A6309" t="s">
        <v>2457</v>
      </c>
      <c r="B6309" t="s">
        <v>46</v>
      </c>
      <c r="C6309" t="s">
        <v>71</v>
      </c>
      <c r="D6309" t="s">
        <v>3218</v>
      </c>
      <c r="E6309">
        <v>15.74</v>
      </c>
      <c r="F6309">
        <v>117.85</v>
      </c>
    </row>
    <row r="6310" spans="1:6" x14ac:dyDescent="0.25">
      <c r="A6310" t="s">
        <v>2457</v>
      </c>
      <c r="B6310" t="s">
        <v>46</v>
      </c>
      <c r="C6310" t="s">
        <v>71</v>
      </c>
      <c r="D6310" t="s">
        <v>3219</v>
      </c>
      <c r="E6310">
        <v>27.71</v>
      </c>
      <c r="F6310">
        <v>117.97</v>
      </c>
    </row>
    <row r="6311" spans="1:6" x14ac:dyDescent="0.25">
      <c r="A6311" t="s">
        <v>2458</v>
      </c>
      <c r="B6311" t="s">
        <v>46</v>
      </c>
      <c r="C6311" t="s">
        <v>72</v>
      </c>
      <c r="D6311" t="s">
        <v>3217</v>
      </c>
      <c r="E6311">
        <v>0</v>
      </c>
      <c r="F6311">
        <v>117.23</v>
      </c>
    </row>
    <row r="6312" spans="1:6" x14ac:dyDescent="0.25">
      <c r="A6312" t="s">
        <v>2458</v>
      </c>
      <c r="B6312" t="s">
        <v>46</v>
      </c>
      <c r="C6312" t="s">
        <v>72</v>
      </c>
      <c r="D6312" t="s">
        <v>3218</v>
      </c>
      <c r="E6312">
        <v>16.2</v>
      </c>
      <c r="F6312">
        <v>117.82</v>
      </c>
    </row>
    <row r="6313" spans="1:6" x14ac:dyDescent="0.25">
      <c r="A6313" t="s">
        <v>2458</v>
      </c>
      <c r="B6313" t="s">
        <v>46</v>
      </c>
      <c r="C6313" t="s">
        <v>72</v>
      </c>
      <c r="D6313" t="s">
        <v>3219</v>
      </c>
      <c r="E6313">
        <v>27.43</v>
      </c>
      <c r="F6313">
        <v>118.02</v>
      </c>
    </row>
    <row r="6314" spans="1:6" x14ac:dyDescent="0.25">
      <c r="A6314" t="s">
        <v>2459</v>
      </c>
      <c r="B6314" t="s">
        <v>46</v>
      </c>
      <c r="C6314" t="s">
        <v>73</v>
      </c>
      <c r="D6314" t="s">
        <v>3217</v>
      </c>
      <c r="E6314">
        <v>0</v>
      </c>
      <c r="F6314">
        <v>117.07</v>
      </c>
    </row>
    <row r="6315" spans="1:6" x14ac:dyDescent="0.25">
      <c r="A6315" t="s">
        <v>2459</v>
      </c>
      <c r="B6315" t="s">
        <v>46</v>
      </c>
      <c r="C6315" t="s">
        <v>73</v>
      </c>
      <c r="D6315" t="s">
        <v>3218</v>
      </c>
      <c r="E6315">
        <v>16.23</v>
      </c>
      <c r="F6315">
        <v>117.81</v>
      </c>
    </row>
    <row r="6316" spans="1:6" x14ac:dyDescent="0.25">
      <c r="A6316" t="s">
        <v>2459</v>
      </c>
      <c r="B6316" t="s">
        <v>46</v>
      </c>
      <c r="C6316" t="s">
        <v>73</v>
      </c>
      <c r="D6316" t="s">
        <v>3219</v>
      </c>
      <c r="E6316">
        <v>27.62</v>
      </c>
      <c r="F6316">
        <v>117.96</v>
      </c>
    </row>
    <row r="6317" spans="1:6" x14ac:dyDescent="0.25">
      <c r="A6317" t="s">
        <v>2460</v>
      </c>
      <c r="B6317" t="s">
        <v>46</v>
      </c>
      <c r="C6317" t="s">
        <v>74</v>
      </c>
      <c r="D6317" t="s">
        <v>3217</v>
      </c>
      <c r="E6317">
        <v>0</v>
      </c>
      <c r="F6317">
        <v>117.04</v>
      </c>
    </row>
    <row r="6318" spans="1:6" x14ac:dyDescent="0.25">
      <c r="A6318" t="s">
        <v>2460</v>
      </c>
      <c r="B6318" t="s">
        <v>46</v>
      </c>
      <c r="C6318" t="s">
        <v>74</v>
      </c>
      <c r="D6318" t="s">
        <v>3218</v>
      </c>
      <c r="E6318">
        <v>13.19</v>
      </c>
      <c r="F6318">
        <v>117.47</v>
      </c>
    </row>
    <row r="6319" spans="1:6" x14ac:dyDescent="0.25">
      <c r="A6319" t="s">
        <v>2460</v>
      </c>
      <c r="B6319" t="s">
        <v>46</v>
      </c>
      <c r="C6319" t="s">
        <v>74</v>
      </c>
      <c r="D6319" t="s">
        <v>3219</v>
      </c>
      <c r="E6319">
        <v>25.74</v>
      </c>
      <c r="F6319">
        <v>117.66</v>
      </c>
    </row>
    <row r="6320" spans="1:6" x14ac:dyDescent="0.25">
      <c r="A6320" t="s">
        <v>2461</v>
      </c>
      <c r="B6320" t="s">
        <v>46</v>
      </c>
      <c r="C6320" t="s">
        <v>75</v>
      </c>
      <c r="D6320" t="s">
        <v>3217</v>
      </c>
      <c r="E6320">
        <v>0</v>
      </c>
      <c r="F6320">
        <v>116.53</v>
      </c>
    </row>
    <row r="6321" spans="1:6" x14ac:dyDescent="0.25">
      <c r="A6321" t="s">
        <v>2461</v>
      </c>
      <c r="B6321" t="s">
        <v>46</v>
      </c>
      <c r="C6321" t="s">
        <v>75</v>
      </c>
      <c r="D6321" t="s">
        <v>3218</v>
      </c>
      <c r="E6321">
        <v>13.19</v>
      </c>
      <c r="F6321">
        <v>117.21</v>
      </c>
    </row>
    <row r="6322" spans="1:6" x14ac:dyDescent="0.25">
      <c r="A6322" t="s">
        <v>2461</v>
      </c>
      <c r="B6322" t="s">
        <v>46</v>
      </c>
      <c r="C6322" t="s">
        <v>75</v>
      </c>
      <c r="D6322" t="s">
        <v>3219</v>
      </c>
      <c r="E6322">
        <v>28.2</v>
      </c>
      <c r="F6322">
        <v>116.99</v>
      </c>
    </row>
    <row r="6323" spans="1:6" x14ac:dyDescent="0.25">
      <c r="A6323" t="s">
        <v>2462</v>
      </c>
      <c r="B6323" t="s">
        <v>46</v>
      </c>
      <c r="C6323" t="s">
        <v>76</v>
      </c>
      <c r="D6323" t="s">
        <v>3217</v>
      </c>
      <c r="E6323">
        <v>0</v>
      </c>
      <c r="F6323">
        <v>116.04</v>
      </c>
    </row>
    <row r="6324" spans="1:6" x14ac:dyDescent="0.25">
      <c r="A6324" t="s">
        <v>2462</v>
      </c>
      <c r="B6324" t="s">
        <v>46</v>
      </c>
      <c r="C6324" t="s">
        <v>76</v>
      </c>
      <c r="D6324" t="s">
        <v>3218</v>
      </c>
      <c r="E6324">
        <v>13.19</v>
      </c>
      <c r="F6324">
        <v>116.71</v>
      </c>
    </row>
    <row r="6325" spans="1:6" x14ac:dyDescent="0.25">
      <c r="A6325" t="s">
        <v>2462</v>
      </c>
      <c r="B6325" t="s">
        <v>46</v>
      </c>
      <c r="C6325" t="s">
        <v>76</v>
      </c>
      <c r="D6325" t="s">
        <v>3219</v>
      </c>
      <c r="E6325">
        <v>29.81</v>
      </c>
      <c r="F6325">
        <v>116.83</v>
      </c>
    </row>
    <row r="6326" spans="1:6" x14ac:dyDescent="0.25">
      <c r="A6326" t="s">
        <v>2463</v>
      </c>
      <c r="B6326" t="s">
        <v>46</v>
      </c>
      <c r="C6326" t="s">
        <v>77</v>
      </c>
      <c r="D6326" t="s">
        <v>3217</v>
      </c>
      <c r="E6326">
        <v>0</v>
      </c>
      <c r="F6326">
        <v>115.78</v>
      </c>
    </row>
    <row r="6327" spans="1:6" x14ac:dyDescent="0.25">
      <c r="A6327" t="s">
        <v>2463</v>
      </c>
      <c r="B6327" t="s">
        <v>46</v>
      </c>
      <c r="C6327" t="s">
        <v>77</v>
      </c>
      <c r="D6327" t="s">
        <v>3218</v>
      </c>
      <c r="E6327">
        <v>12.04</v>
      </c>
      <c r="F6327">
        <v>116.37</v>
      </c>
    </row>
    <row r="6328" spans="1:6" x14ac:dyDescent="0.25">
      <c r="A6328" t="s">
        <v>2463</v>
      </c>
      <c r="B6328" t="s">
        <v>46</v>
      </c>
      <c r="C6328" t="s">
        <v>77</v>
      </c>
      <c r="D6328" t="s">
        <v>3219</v>
      </c>
      <c r="E6328">
        <v>29.94</v>
      </c>
      <c r="F6328">
        <v>116.64</v>
      </c>
    </row>
    <row r="6329" spans="1:6" x14ac:dyDescent="0.25">
      <c r="A6329" t="s">
        <v>2464</v>
      </c>
      <c r="B6329" t="s">
        <v>46</v>
      </c>
      <c r="C6329" t="s">
        <v>78</v>
      </c>
      <c r="D6329" t="s">
        <v>3217</v>
      </c>
      <c r="E6329">
        <v>0</v>
      </c>
      <c r="F6329">
        <v>114.96</v>
      </c>
    </row>
    <row r="6330" spans="1:6" x14ac:dyDescent="0.25">
      <c r="A6330" t="s">
        <v>2464</v>
      </c>
      <c r="B6330" t="s">
        <v>46</v>
      </c>
      <c r="C6330" t="s">
        <v>78</v>
      </c>
      <c r="D6330" t="s">
        <v>3218</v>
      </c>
      <c r="E6330">
        <v>11.86</v>
      </c>
      <c r="F6330">
        <v>115.05</v>
      </c>
    </row>
    <row r="6331" spans="1:6" x14ac:dyDescent="0.25">
      <c r="A6331" t="s">
        <v>2464</v>
      </c>
      <c r="B6331" t="s">
        <v>46</v>
      </c>
      <c r="C6331" t="s">
        <v>78</v>
      </c>
      <c r="D6331" t="s">
        <v>3219</v>
      </c>
      <c r="E6331">
        <v>29.59</v>
      </c>
      <c r="F6331">
        <v>115.92</v>
      </c>
    </row>
    <row r="6332" spans="1:6" x14ac:dyDescent="0.25">
      <c r="A6332" t="s">
        <v>2465</v>
      </c>
      <c r="B6332" t="s">
        <v>46</v>
      </c>
      <c r="C6332" t="s">
        <v>79</v>
      </c>
      <c r="D6332" t="s">
        <v>3217</v>
      </c>
      <c r="E6332">
        <v>0</v>
      </c>
      <c r="F6332">
        <v>113.77</v>
      </c>
    </row>
    <row r="6333" spans="1:6" x14ac:dyDescent="0.25">
      <c r="A6333" t="s">
        <v>2465</v>
      </c>
      <c r="B6333" t="s">
        <v>46</v>
      </c>
      <c r="C6333" t="s">
        <v>79</v>
      </c>
      <c r="D6333" t="s">
        <v>3218</v>
      </c>
      <c r="E6333">
        <v>12.54</v>
      </c>
      <c r="F6333">
        <v>114.3</v>
      </c>
    </row>
    <row r="6334" spans="1:6" x14ac:dyDescent="0.25">
      <c r="A6334" t="s">
        <v>2465</v>
      </c>
      <c r="B6334" t="s">
        <v>46</v>
      </c>
      <c r="C6334" t="s">
        <v>79</v>
      </c>
      <c r="D6334" t="s">
        <v>3219</v>
      </c>
      <c r="E6334">
        <v>29.82</v>
      </c>
      <c r="F6334">
        <v>114.72</v>
      </c>
    </row>
    <row r="6335" spans="1:6" x14ac:dyDescent="0.25">
      <c r="A6335" t="s">
        <v>2466</v>
      </c>
      <c r="B6335" t="s">
        <v>46</v>
      </c>
      <c r="C6335" t="s">
        <v>80</v>
      </c>
      <c r="D6335" t="s">
        <v>3217</v>
      </c>
      <c r="E6335">
        <v>0</v>
      </c>
      <c r="F6335">
        <v>112.66</v>
      </c>
    </row>
    <row r="6336" spans="1:6" x14ac:dyDescent="0.25">
      <c r="A6336" t="s">
        <v>2466</v>
      </c>
      <c r="B6336" t="s">
        <v>46</v>
      </c>
      <c r="C6336" t="s">
        <v>80</v>
      </c>
      <c r="D6336" t="s">
        <v>3218</v>
      </c>
      <c r="E6336">
        <v>14.52</v>
      </c>
      <c r="F6336">
        <v>113.31</v>
      </c>
    </row>
    <row r="6337" spans="1:6" x14ac:dyDescent="0.25">
      <c r="A6337" t="s">
        <v>2466</v>
      </c>
      <c r="B6337" t="s">
        <v>46</v>
      </c>
      <c r="C6337" t="s">
        <v>80</v>
      </c>
      <c r="D6337" t="s">
        <v>3219</v>
      </c>
      <c r="E6337">
        <v>31.02</v>
      </c>
      <c r="F6337">
        <v>113.77</v>
      </c>
    </row>
    <row r="6338" spans="1:6" x14ac:dyDescent="0.25">
      <c r="A6338" t="s">
        <v>2467</v>
      </c>
      <c r="B6338" t="s">
        <v>46</v>
      </c>
      <c r="C6338" t="s">
        <v>81</v>
      </c>
      <c r="D6338" t="s">
        <v>3217</v>
      </c>
      <c r="E6338">
        <v>0</v>
      </c>
      <c r="F6338">
        <v>111.57</v>
      </c>
    </row>
    <row r="6339" spans="1:6" x14ac:dyDescent="0.25">
      <c r="A6339" t="s">
        <v>2467</v>
      </c>
      <c r="B6339" t="s">
        <v>46</v>
      </c>
      <c r="C6339" t="s">
        <v>81</v>
      </c>
      <c r="D6339" t="s">
        <v>3218</v>
      </c>
      <c r="E6339">
        <v>15.03</v>
      </c>
      <c r="F6339">
        <v>112.37</v>
      </c>
    </row>
    <row r="6340" spans="1:6" x14ac:dyDescent="0.25">
      <c r="A6340" t="s">
        <v>2467</v>
      </c>
      <c r="B6340" t="s">
        <v>46</v>
      </c>
      <c r="C6340" t="s">
        <v>81</v>
      </c>
      <c r="D6340" t="s">
        <v>3219</v>
      </c>
      <c r="E6340">
        <v>31.53</v>
      </c>
      <c r="F6340">
        <v>112.56</v>
      </c>
    </row>
    <row r="6341" spans="1:6" x14ac:dyDescent="0.25">
      <c r="A6341" t="s">
        <v>2468</v>
      </c>
      <c r="B6341" t="s">
        <v>46</v>
      </c>
      <c r="C6341" t="s">
        <v>82</v>
      </c>
      <c r="D6341" t="s">
        <v>3217</v>
      </c>
      <c r="E6341">
        <v>0</v>
      </c>
      <c r="F6341">
        <v>110.81</v>
      </c>
    </row>
    <row r="6342" spans="1:6" x14ac:dyDescent="0.25">
      <c r="A6342" t="s">
        <v>2468</v>
      </c>
      <c r="B6342" t="s">
        <v>46</v>
      </c>
      <c r="C6342" t="s">
        <v>82</v>
      </c>
      <c r="D6342" t="s">
        <v>3218</v>
      </c>
      <c r="E6342">
        <v>15.21</v>
      </c>
      <c r="F6342">
        <v>111.27</v>
      </c>
    </row>
    <row r="6343" spans="1:6" x14ac:dyDescent="0.25">
      <c r="A6343" t="s">
        <v>2468</v>
      </c>
      <c r="B6343" t="s">
        <v>46</v>
      </c>
      <c r="C6343" t="s">
        <v>82</v>
      </c>
      <c r="D6343" t="s">
        <v>3219</v>
      </c>
      <c r="E6343">
        <v>30.67</v>
      </c>
      <c r="F6343">
        <v>111.77</v>
      </c>
    </row>
    <row r="6344" spans="1:6" x14ac:dyDescent="0.25">
      <c r="A6344" t="s">
        <v>2469</v>
      </c>
      <c r="B6344" t="s">
        <v>46</v>
      </c>
      <c r="C6344" t="s">
        <v>83</v>
      </c>
      <c r="D6344" t="s">
        <v>3217</v>
      </c>
      <c r="E6344">
        <v>0</v>
      </c>
      <c r="F6344">
        <v>110.36</v>
      </c>
    </row>
    <row r="6345" spans="1:6" x14ac:dyDescent="0.25">
      <c r="A6345" t="s">
        <v>2469</v>
      </c>
      <c r="B6345" t="s">
        <v>46</v>
      </c>
      <c r="C6345" t="s">
        <v>83</v>
      </c>
      <c r="D6345" t="s">
        <v>3218</v>
      </c>
      <c r="E6345">
        <v>15.55</v>
      </c>
      <c r="F6345">
        <v>110.95</v>
      </c>
    </row>
    <row r="6346" spans="1:6" x14ac:dyDescent="0.25">
      <c r="A6346" t="s">
        <v>2469</v>
      </c>
      <c r="B6346" t="s">
        <v>46</v>
      </c>
      <c r="C6346" t="s">
        <v>83</v>
      </c>
      <c r="D6346" t="s">
        <v>3219</v>
      </c>
      <c r="E6346">
        <v>29.89</v>
      </c>
      <c r="F6346">
        <v>110.97</v>
      </c>
    </row>
    <row r="6347" spans="1:6" x14ac:dyDescent="0.25">
      <c r="A6347" t="s">
        <v>2470</v>
      </c>
      <c r="B6347" t="s">
        <v>46</v>
      </c>
      <c r="C6347" t="s">
        <v>84</v>
      </c>
      <c r="D6347" t="s">
        <v>3217</v>
      </c>
      <c r="E6347">
        <v>0</v>
      </c>
      <c r="F6347">
        <v>109.75</v>
      </c>
    </row>
    <row r="6348" spans="1:6" x14ac:dyDescent="0.25">
      <c r="A6348" t="s">
        <v>2470</v>
      </c>
      <c r="B6348" t="s">
        <v>46</v>
      </c>
      <c r="C6348" t="s">
        <v>84</v>
      </c>
      <c r="D6348" t="s">
        <v>3218</v>
      </c>
      <c r="E6348">
        <v>15.65</v>
      </c>
      <c r="F6348">
        <v>110.22</v>
      </c>
    </row>
    <row r="6349" spans="1:6" x14ac:dyDescent="0.25">
      <c r="A6349" t="s">
        <v>2470</v>
      </c>
      <c r="B6349" t="s">
        <v>46</v>
      </c>
      <c r="C6349" t="s">
        <v>84</v>
      </c>
      <c r="D6349" t="s">
        <v>3219</v>
      </c>
      <c r="E6349">
        <v>30.57</v>
      </c>
      <c r="F6349">
        <v>110.32</v>
      </c>
    </row>
    <row r="6350" spans="1:6" x14ac:dyDescent="0.25">
      <c r="A6350" t="s">
        <v>2471</v>
      </c>
      <c r="B6350" t="s">
        <v>46</v>
      </c>
      <c r="C6350" t="s">
        <v>85</v>
      </c>
      <c r="D6350" t="s">
        <v>3217</v>
      </c>
      <c r="E6350">
        <v>0</v>
      </c>
      <c r="F6350">
        <v>108.86</v>
      </c>
    </row>
    <row r="6351" spans="1:6" x14ac:dyDescent="0.25">
      <c r="A6351" t="s">
        <v>2471</v>
      </c>
      <c r="B6351" t="s">
        <v>46</v>
      </c>
      <c r="C6351" t="s">
        <v>85</v>
      </c>
      <c r="D6351" t="s">
        <v>3218</v>
      </c>
      <c r="E6351">
        <v>16.27</v>
      </c>
      <c r="F6351">
        <v>109.45</v>
      </c>
    </row>
    <row r="6352" spans="1:6" x14ac:dyDescent="0.25">
      <c r="A6352" t="s">
        <v>2471</v>
      </c>
      <c r="B6352" t="s">
        <v>46</v>
      </c>
      <c r="C6352" t="s">
        <v>85</v>
      </c>
      <c r="D6352" t="s">
        <v>3219</v>
      </c>
      <c r="E6352">
        <v>31.77</v>
      </c>
      <c r="F6352">
        <v>109.42</v>
      </c>
    </row>
    <row r="6353" spans="1:6" x14ac:dyDescent="0.25">
      <c r="A6353" t="s">
        <v>2472</v>
      </c>
      <c r="B6353" t="s">
        <v>46</v>
      </c>
      <c r="C6353" t="s">
        <v>86</v>
      </c>
      <c r="D6353" t="s">
        <v>3217</v>
      </c>
      <c r="E6353">
        <v>0</v>
      </c>
      <c r="F6353">
        <v>107.92</v>
      </c>
    </row>
    <row r="6354" spans="1:6" x14ac:dyDescent="0.25">
      <c r="A6354" t="s">
        <v>2472</v>
      </c>
      <c r="B6354" t="s">
        <v>46</v>
      </c>
      <c r="C6354" t="s">
        <v>86</v>
      </c>
      <c r="D6354" t="s">
        <v>3218</v>
      </c>
      <c r="E6354">
        <v>16.78</v>
      </c>
      <c r="F6354">
        <v>108.56</v>
      </c>
    </row>
    <row r="6355" spans="1:6" x14ac:dyDescent="0.25">
      <c r="A6355" t="s">
        <v>2472</v>
      </c>
      <c r="B6355" t="s">
        <v>46</v>
      </c>
      <c r="C6355" t="s">
        <v>86</v>
      </c>
      <c r="D6355" t="s">
        <v>3219</v>
      </c>
      <c r="E6355">
        <v>31.89</v>
      </c>
      <c r="F6355">
        <v>108.5</v>
      </c>
    </row>
    <row r="6356" spans="1:6" x14ac:dyDescent="0.25">
      <c r="A6356" t="s">
        <v>2473</v>
      </c>
      <c r="B6356" t="s">
        <v>46</v>
      </c>
      <c r="C6356" t="s">
        <v>87</v>
      </c>
      <c r="D6356" t="s">
        <v>3217</v>
      </c>
      <c r="E6356">
        <v>0</v>
      </c>
      <c r="F6356">
        <v>107.01</v>
      </c>
    </row>
    <row r="6357" spans="1:6" x14ac:dyDescent="0.25">
      <c r="A6357" t="s">
        <v>2473</v>
      </c>
      <c r="B6357" t="s">
        <v>46</v>
      </c>
      <c r="C6357" t="s">
        <v>87</v>
      </c>
      <c r="D6357" t="s">
        <v>3218</v>
      </c>
      <c r="E6357">
        <v>16.97</v>
      </c>
      <c r="F6357">
        <v>107.57</v>
      </c>
    </row>
    <row r="6358" spans="1:6" x14ac:dyDescent="0.25">
      <c r="A6358" t="s">
        <v>2473</v>
      </c>
      <c r="B6358" t="s">
        <v>46</v>
      </c>
      <c r="C6358" t="s">
        <v>87</v>
      </c>
      <c r="D6358" t="s">
        <v>3219</v>
      </c>
      <c r="E6358">
        <v>32.479999999999997</v>
      </c>
      <c r="F6358">
        <v>107.45</v>
      </c>
    </row>
    <row r="6359" spans="1:6" x14ac:dyDescent="0.25">
      <c r="A6359" t="s">
        <v>2474</v>
      </c>
      <c r="B6359" t="s">
        <v>46</v>
      </c>
      <c r="C6359" t="s">
        <v>88</v>
      </c>
      <c r="D6359" t="s">
        <v>3217</v>
      </c>
      <c r="E6359">
        <v>0</v>
      </c>
      <c r="F6359">
        <v>105.82</v>
      </c>
    </row>
    <row r="6360" spans="1:6" x14ac:dyDescent="0.25">
      <c r="A6360" t="s">
        <v>2474</v>
      </c>
      <c r="B6360" t="s">
        <v>46</v>
      </c>
      <c r="C6360" t="s">
        <v>88</v>
      </c>
      <c r="D6360" t="s">
        <v>3218</v>
      </c>
      <c r="E6360">
        <v>17.18</v>
      </c>
      <c r="F6360">
        <v>106.4</v>
      </c>
    </row>
    <row r="6361" spans="1:6" x14ac:dyDescent="0.25">
      <c r="A6361" t="s">
        <v>2474</v>
      </c>
      <c r="B6361" t="s">
        <v>46</v>
      </c>
      <c r="C6361" t="s">
        <v>88</v>
      </c>
      <c r="D6361" t="s">
        <v>3219</v>
      </c>
      <c r="E6361">
        <v>33.090000000000003</v>
      </c>
      <c r="F6361">
        <v>106.58</v>
      </c>
    </row>
    <row r="6362" spans="1:6" x14ac:dyDescent="0.25">
      <c r="A6362" t="s">
        <v>2475</v>
      </c>
      <c r="B6362" t="s">
        <v>46</v>
      </c>
      <c r="C6362" t="s">
        <v>89</v>
      </c>
      <c r="D6362" t="s">
        <v>3217</v>
      </c>
      <c r="E6362">
        <v>0</v>
      </c>
      <c r="F6362">
        <v>104.64</v>
      </c>
    </row>
    <row r="6363" spans="1:6" x14ac:dyDescent="0.25">
      <c r="A6363" t="s">
        <v>2475</v>
      </c>
      <c r="B6363" t="s">
        <v>46</v>
      </c>
      <c r="C6363" t="s">
        <v>89</v>
      </c>
      <c r="D6363" t="s">
        <v>3218</v>
      </c>
      <c r="E6363">
        <v>17.2</v>
      </c>
      <c r="F6363">
        <v>105.32</v>
      </c>
    </row>
    <row r="6364" spans="1:6" x14ac:dyDescent="0.25">
      <c r="A6364" t="s">
        <v>2475</v>
      </c>
      <c r="B6364" t="s">
        <v>46</v>
      </c>
      <c r="C6364" t="s">
        <v>89</v>
      </c>
      <c r="D6364" t="s">
        <v>3219</v>
      </c>
      <c r="E6364">
        <v>33.65</v>
      </c>
      <c r="F6364">
        <v>105.6</v>
      </c>
    </row>
    <row r="6365" spans="1:6" x14ac:dyDescent="0.25">
      <c r="A6365" t="s">
        <v>2476</v>
      </c>
      <c r="B6365" t="s">
        <v>46</v>
      </c>
      <c r="C6365" t="s">
        <v>90</v>
      </c>
      <c r="D6365" t="s">
        <v>3217</v>
      </c>
      <c r="E6365">
        <v>0</v>
      </c>
      <c r="F6365">
        <v>103.74</v>
      </c>
    </row>
    <row r="6366" spans="1:6" x14ac:dyDescent="0.25">
      <c r="A6366" t="s">
        <v>2476</v>
      </c>
      <c r="B6366" t="s">
        <v>46</v>
      </c>
      <c r="C6366" t="s">
        <v>90</v>
      </c>
      <c r="D6366" t="s">
        <v>3218</v>
      </c>
      <c r="E6366">
        <v>16.43</v>
      </c>
      <c r="F6366">
        <v>104.19</v>
      </c>
    </row>
    <row r="6367" spans="1:6" x14ac:dyDescent="0.25">
      <c r="A6367" t="s">
        <v>2476</v>
      </c>
      <c r="B6367" t="s">
        <v>46</v>
      </c>
      <c r="C6367" t="s">
        <v>90</v>
      </c>
      <c r="D6367" t="s">
        <v>3219</v>
      </c>
      <c r="E6367">
        <v>34.299999999999997</v>
      </c>
      <c r="F6367">
        <v>104.39</v>
      </c>
    </row>
    <row r="6368" spans="1:6" x14ac:dyDescent="0.25">
      <c r="A6368" t="s">
        <v>2477</v>
      </c>
      <c r="B6368" t="s">
        <v>46</v>
      </c>
      <c r="C6368" t="s">
        <v>91</v>
      </c>
      <c r="D6368" t="s">
        <v>3217</v>
      </c>
      <c r="E6368">
        <v>0</v>
      </c>
      <c r="F6368">
        <v>102.69</v>
      </c>
    </row>
    <row r="6369" spans="1:6" x14ac:dyDescent="0.25">
      <c r="A6369" t="s">
        <v>2477</v>
      </c>
      <c r="B6369" t="s">
        <v>46</v>
      </c>
      <c r="C6369" t="s">
        <v>91</v>
      </c>
      <c r="D6369" t="s">
        <v>3218</v>
      </c>
      <c r="E6369">
        <v>16.100000000000001</v>
      </c>
      <c r="F6369">
        <v>103.26</v>
      </c>
    </row>
    <row r="6370" spans="1:6" x14ac:dyDescent="0.25">
      <c r="A6370" t="s">
        <v>2477</v>
      </c>
      <c r="B6370" t="s">
        <v>46</v>
      </c>
      <c r="C6370" t="s">
        <v>91</v>
      </c>
      <c r="D6370" t="s">
        <v>3219</v>
      </c>
      <c r="E6370">
        <v>34.76</v>
      </c>
      <c r="F6370">
        <v>103.45</v>
      </c>
    </row>
    <row r="6371" spans="1:6" x14ac:dyDescent="0.25">
      <c r="A6371" t="s">
        <v>2478</v>
      </c>
      <c r="B6371" t="s">
        <v>46</v>
      </c>
      <c r="C6371" t="s">
        <v>92</v>
      </c>
      <c r="D6371" t="s">
        <v>3217</v>
      </c>
      <c r="E6371">
        <v>0</v>
      </c>
      <c r="F6371">
        <v>101.54</v>
      </c>
    </row>
    <row r="6372" spans="1:6" x14ac:dyDescent="0.25">
      <c r="A6372" t="s">
        <v>2478</v>
      </c>
      <c r="B6372" t="s">
        <v>46</v>
      </c>
      <c r="C6372" t="s">
        <v>92</v>
      </c>
      <c r="D6372" t="s">
        <v>3218</v>
      </c>
      <c r="E6372">
        <v>15.75</v>
      </c>
      <c r="F6372">
        <v>102.11</v>
      </c>
    </row>
    <row r="6373" spans="1:6" x14ac:dyDescent="0.25">
      <c r="A6373" t="s">
        <v>2478</v>
      </c>
      <c r="B6373" t="s">
        <v>46</v>
      </c>
      <c r="C6373" t="s">
        <v>92</v>
      </c>
      <c r="D6373" t="s">
        <v>3219</v>
      </c>
      <c r="E6373">
        <v>33.81</v>
      </c>
      <c r="F6373">
        <v>102.5</v>
      </c>
    </row>
    <row r="6374" spans="1:6" x14ac:dyDescent="0.25">
      <c r="A6374" t="s">
        <v>2479</v>
      </c>
      <c r="B6374" t="s">
        <v>46</v>
      </c>
      <c r="C6374" t="s">
        <v>93</v>
      </c>
      <c r="D6374" t="s">
        <v>3217</v>
      </c>
      <c r="E6374">
        <v>0</v>
      </c>
      <c r="F6374">
        <v>100.5</v>
      </c>
    </row>
    <row r="6375" spans="1:6" x14ac:dyDescent="0.25">
      <c r="A6375" t="s">
        <v>2479</v>
      </c>
      <c r="B6375" t="s">
        <v>46</v>
      </c>
      <c r="C6375" t="s">
        <v>93</v>
      </c>
      <c r="D6375" t="s">
        <v>3218</v>
      </c>
      <c r="E6375">
        <v>16.05</v>
      </c>
      <c r="F6375">
        <v>101.23</v>
      </c>
    </row>
    <row r="6376" spans="1:6" x14ac:dyDescent="0.25">
      <c r="A6376" t="s">
        <v>2479</v>
      </c>
      <c r="B6376" t="s">
        <v>46</v>
      </c>
      <c r="C6376" t="s">
        <v>93</v>
      </c>
      <c r="D6376" t="s">
        <v>3219</v>
      </c>
      <c r="E6376">
        <v>33.47</v>
      </c>
      <c r="F6376">
        <v>101.6</v>
      </c>
    </row>
    <row r="6377" spans="1:6" x14ac:dyDescent="0.25">
      <c r="A6377" t="s">
        <v>2480</v>
      </c>
      <c r="B6377" t="s">
        <v>46</v>
      </c>
      <c r="C6377" t="s">
        <v>94</v>
      </c>
      <c r="D6377" t="s">
        <v>3217</v>
      </c>
      <c r="E6377">
        <v>0</v>
      </c>
      <c r="F6377">
        <v>99.72</v>
      </c>
    </row>
    <row r="6378" spans="1:6" x14ac:dyDescent="0.25">
      <c r="A6378" t="s">
        <v>2480</v>
      </c>
      <c r="B6378" t="s">
        <v>46</v>
      </c>
      <c r="C6378" t="s">
        <v>94</v>
      </c>
      <c r="D6378" t="s">
        <v>3218</v>
      </c>
      <c r="E6378">
        <v>17.05</v>
      </c>
      <c r="F6378">
        <v>100.45</v>
      </c>
    </row>
    <row r="6379" spans="1:6" x14ac:dyDescent="0.25">
      <c r="A6379" t="s">
        <v>2480</v>
      </c>
      <c r="B6379" t="s">
        <v>46</v>
      </c>
      <c r="C6379" t="s">
        <v>94</v>
      </c>
      <c r="D6379" t="s">
        <v>3219</v>
      </c>
      <c r="E6379">
        <v>33.68</v>
      </c>
      <c r="F6379">
        <v>100.67</v>
      </c>
    </row>
    <row r="6380" spans="1:6" x14ac:dyDescent="0.25">
      <c r="A6380" t="s">
        <v>2481</v>
      </c>
      <c r="B6380" t="s">
        <v>46</v>
      </c>
      <c r="C6380" t="s">
        <v>95</v>
      </c>
      <c r="D6380" t="s">
        <v>3217</v>
      </c>
      <c r="E6380">
        <v>0</v>
      </c>
      <c r="F6380">
        <v>98.81</v>
      </c>
    </row>
    <row r="6381" spans="1:6" x14ac:dyDescent="0.25">
      <c r="A6381" t="s">
        <v>2481</v>
      </c>
      <c r="B6381" t="s">
        <v>46</v>
      </c>
      <c r="C6381" t="s">
        <v>95</v>
      </c>
      <c r="D6381" t="s">
        <v>3218</v>
      </c>
      <c r="E6381">
        <v>18.399999999999999</v>
      </c>
      <c r="F6381">
        <v>99.69</v>
      </c>
    </row>
    <row r="6382" spans="1:6" x14ac:dyDescent="0.25">
      <c r="A6382" t="s">
        <v>2481</v>
      </c>
      <c r="B6382" t="s">
        <v>46</v>
      </c>
      <c r="C6382" t="s">
        <v>95</v>
      </c>
      <c r="D6382" t="s">
        <v>3219</v>
      </c>
      <c r="E6382">
        <v>33.4</v>
      </c>
      <c r="F6382">
        <v>99.63</v>
      </c>
    </row>
    <row r="6383" spans="1:6" x14ac:dyDescent="0.25">
      <c r="A6383" t="s">
        <v>2482</v>
      </c>
      <c r="B6383" t="s">
        <v>46</v>
      </c>
      <c r="C6383" t="s">
        <v>96</v>
      </c>
      <c r="D6383" t="s">
        <v>3217</v>
      </c>
      <c r="E6383">
        <v>0</v>
      </c>
      <c r="F6383">
        <v>98.04</v>
      </c>
    </row>
    <row r="6384" spans="1:6" x14ac:dyDescent="0.25">
      <c r="A6384" t="s">
        <v>2482</v>
      </c>
      <c r="B6384" t="s">
        <v>46</v>
      </c>
      <c r="C6384" t="s">
        <v>96</v>
      </c>
      <c r="D6384" t="s">
        <v>3218</v>
      </c>
      <c r="E6384">
        <v>18.55</v>
      </c>
      <c r="F6384">
        <v>98.92</v>
      </c>
    </row>
    <row r="6385" spans="1:6" x14ac:dyDescent="0.25">
      <c r="A6385" t="s">
        <v>2482</v>
      </c>
      <c r="B6385" t="s">
        <v>46</v>
      </c>
      <c r="C6385" t="s">
        <v>96</v>
      </c>
      <c r="D6385" t="s">
        <v>3219</v>
      </c>
      <c r="E6385">
        <v>33.299999999999997</v>
      </c>
      <c r="F6385">
        <v>98.92</v>
      </c>
    </row>
    <row r="6386" spans="1:6" x14ac:dyDescent="0.25">
      <c r="A6386" t="s">
        <v>2483</v>
      </c>
      <c r="B6386" t="s">
        <v>46</v>
      </c>
      <c r="C6386" t="s">
        <v>97</v>
      </c>
      <c r="D6386" t="s">
        <v>3217</v>
      </c>
      <c r="E6386">
        <v>0</v>
      </c>
      <c r="F6386">
        <v>97.52</v>
      </c>
    </row>
    <row r="6387" spans="1:6" x14ac:dyDescent="0.25">
      <c r="A6387" t="s">
        <v>2483</v>
      </c>
      <c r="B6387" t="s">
        <v>46</v>
      </c>
      <c r="C6387" t="s">
        <v>97</v>
      </c>
      <c r="D6387" t="s">
        <v>3218</v>
      </c>
      <c r="E6387">
        <v>18.57</v>
      </c>
      <c r="F6387">
        <v>98.26</v>
      </c>
    </row>
    <row r="6388" spans="1:6" x14ac:dyDescent="0.25">
      <c r="A6388" t="s">
        <v>2483</v>
      </c>
      <c r="B6388" t="s">
        <v>46</v>
      </c>
      <c r="C6388" t="s">
        <v>97</v>
      </c>
      <c r="D6388" t="s">
        <v>3219</v>
      </c>
      <c r="E6388">
        <v>33.47</v>
      </c>
      <c r="F6388">
        <v>98.34</v>
      </c>
    </row>
    <row r="6389" spans="1:6" x14ac:dyDescent="0.25">
      <c r="A6389" t="s">
        <v>2484</v>
      </c>
      <c r="B6389" t="s">
        <v>46</v>
      </c>
      <c r="C6389" t="s">
        <v>98</v>
      </c>
      <c r="D6389" t="s">
        <v>3217</v>
      </c>
      <c r="E6389">
        <v>0</v>
      </c>
      <c r="F6389">
        <v>96.9</v>
      </c>
    </row>
    <row r="6390" spans="1:6" x14ac:dyDescent="0.25">
      <c r="A6390" t="s">
        <v>2484</v>
      </c>
      <c r="B6390" t="s">
        <v>46</v>
      </c>
      <c r="C6390" t="s">
        <v>98</v>
      </c>
      <c r="D6390" t="s">
        <v>3218</v>
      </c>
      <c r="E6390">
        <v>20</v>
      </c>
      <c r="F6390">
        <v>97.8</v>
      </c>
    </row>
    <row r="6391" spans="1:6" x14ac:dyDescent="0.25">
      <c r="A6391" t="s">
        <v>2484</v>
      </c>
      <c r="B6391" t="s">
        <v>46</v>
      </c>
      <c r="C6391" t="s">
        <v>98</v>
      </c>
      <c r="D6391" t="s">
        <v>3219</v>
      </c>
      <c r="E6391">
        <v>35.11</v>
      </c>
      <c r="F6391">
        <v>97.87</v>
      </c>
    </row>
    <row r="6392" spans="1:6" x14ac:dyDescent="0.25">
      <c r="A6392" t="s">
        <v>2485</v>
      </c>
      <c r="B6392" t="s">
        <v>46</v>
      </c>
      <c r="C6392" t="s">
        <v>99</v>
      </c>
      <c r="D6392" t="s">
        <v>3217</v>
      </c>
      <c r="E6392">
        <v>0</v>
      </c>
      <c r="F6392">
        <v>96.55</v>
      </c>
    </row>
    <row r="6393" spans="1:6" x14ac:dyDescent="0.25">
      <c r="A6393" t="s">
        <v>2485</v>
      </c>
      <c r="B6393" t="s">
        <v>46</v>
      </c>
      <c r="C6393" t="s">
        <v>99</v>
      </c>
      <c r="D6393" t="s">
        <v>3218</v>
      </c>
      <c r="E6393">
        <v>18.29</v>
      </c>
      <c r="F6393">
        <v>97.23</v>
      </c>
    </row>
    <row r="6394" spans="1:6" x14ac:dyDescent="0.25">
      <c r="A6394" t="s">
        <v>2485</v>
      </c>
      <c r="B6394" t="s">
        <v>46</v>
      </c>
      <c r="C6394" t="s">
        <v>99</v>
      </c>
      <c r="D6394" t="s">
        <v>3219</v>
      </c>
      <c r="E6394">
        <v>33.619999999999997</v>
      </c>
      <c r="F6394">
        <v>97.25</v>
      </c>
    </row>
    <row r="6395" spans="1:6" x14ac:dyDescent="0.25">
      <c r="A6395" t="s">
        <v>2486</v>
      </c>
      <c r="B6395" t="s">
        <v>46</v>
      </c>
      <c r="C6395" t="s">
        <v>100</v>
      </c>
      <c r="D6395" t="s">
        <v>3217</v>
      </c>
      <c r="E6395">
        <v>0</v>
      </c>
      <c r="F6395">
        <v>96.25</v>
      </c>
    </row>
    <row r="6396" spans="1:6" x14ac:dyDescent="0.25">
      <c r="A6396" t="s">
        <v>2486</v>
      </c>
      <c r="B6396" t="s">
        <v>46</v>
      </c>
      <c r="C6396" t="s">
        <v>100</v>
      </c>
      <c r="D6396" t="s">
        <v>3218</v>
      </c>
      <c r="E6396">
        <v>18.07</v>
      </c>
      <c r="F6396">
        <v>96.96</v>
      </c>
    </row>
    <row r="6397" spans="1:6" x14ac:dyDescent="0.25">
      <c r="A6397" t="s">
        <v>2486</v>
      </c>
      <c r="B6397" t="s">
        <v>46</v>
      </c>
      <c r="C6397" t="s">
        <v>100</v>
      </c>
      <c r="D6397" t="s">
        <v>3219</v>
      </c>
      <c r="E6397">
        <v>33.67</v>
      </c>
      <c r="F6397">
        <v>96.98</v>
      </c>
    </row>
    <row r="6398" spans="1:6" x14ac:dyDescent="0.25">
      <c r="A6398" t="s">
        <v>2487</v>
      </c>
      <c r="B6398" t="s">
        <v>46</v>
      </c>
      <c r="C6398" t="s">
        <v>101</v>
      </c>
      <c r="D6398" t="s">
        <v>3217</v>
      </c>
      <c r="E6398">
        <v>0</v>
      </c>
      <c r="F6398">
        <v>96.08</v>
      </c>
    </row>
    <row r="6399" spans="1:6" x14ac:dyDescent="0.25">
      <c r="A6399" t="s">
        <v>2487</v>
      </c>
      <c r="B6399" t="s">
        <v>46</v>
      </c>
      <c r="C6399" t="s">
        <v>101</v>
      </c>
      <c r="D6399" t="s">
        <v>3218</v>
      </c>
      <c r="E6399">
        <v>17.940000000000001</v>
      </c>
      <c r="F6399">
        <v>96.78</v>
      </c>
    </row>
    <row r="6400" spans="1:6" x14ac:dyDescent="0.25">
      <c r="A6400" t="s">
        <v>2487</v>
      </c>
      <c r="B6400" t="s">
        <v>46</v>
      </c>
      <c r="C6400" t="s">
        <v>101</v>
      </c>
      <c r="D6400" t="s">
        <v>3219</v>
      </c>
      <c r="E6400">
        <v>32.9</v>
      </c>
      <c r="F6400">
        <v>96.89</v>
      </c>
    </row>
    <row r="6401" spans="1:6" x14ac:dyDescent="0.25">
      <c r="A6401" t="s">
        <v>2488</v>
      </c>
      <c r="B6401" t="s">
        <v>46</v>
      </c>
      <c r="C6401" t="s">
        <v>102</v>
      </c>
      <c r="D6401" t="s">
        <v>3217</v>
      </c>
      <c r="E6401">
        <v>0</v>
      </c>
      <c r="F6401">
        <v>96.07</v>
      </c>
    </row>
    <row r="6402" spans="1:6" x14ac:dyDescent="0.25">
      <c r="A6402" t="s">
        <v>2488</v>
      </c>
      <c r="B6402" t="s">
        <v>46</v>
      </c>
      <c r="C6402" t="s">
        <v>102</v>
      </c>
      <c r="D6402" t="s">
        <v>3218</v>
      </c>
      <c r="E6402">
        <v>17.75</v>
      </c>
      <c r="F6402">
        <v>96.69</v>
      </c>
    </row>
    <row r="6403" spans="1:6" x14ac:dyDescent="0.25">
      <c r="A6403" t="s">
        <v>2488</v>
      </c>
      <c r="B6403" t="s">
        <v>46</v>
      </c>
      <c r="C6403" t="s">
        <v>102</v>
      </c>
      <c r="D6403" t="s">
        <v>3219</v>
      </c>
      <c r="E6403">
        <v>34.61</v>
      </c>
      <c r="F6403">
        <v>96.65</v>
      </c>
    </row>
    <row r="6404" spans="1:6" x14ac:dyDescent="0.25">
      <c r="A6404" t="s">
        <v>2489</v>
      </c>
      <c r="B6404" t="s">
        <v>46</v>
      </c>
      <c r="C6404" t="s">
        <v>103</v>
      </c>
      <c r="D6404" t="s">
        <v>3217</v>
      </c>
      <c r="E6404">
        <v>0</v>
      </c>
      <c r="F6404">
        <v>96.29</v>
      </c>
    </row>
    <row r="6405" spans="1:6" x14ac:dyDescent="0.25">
      <c r="A6405" t="s">
        <v>2489</v>
      </c>
      <c r="B6405" t="s">
        <v>46</v>
      </c>
      <c r="C6405" t="s">
        <v>103</v>
      </c>
      <c r="D6405" t="s">
        <v>3218</v>
      </c>
      <c r="E6405">
        <v>17.12</v>
      </c>
      <c r="F6405">
        <v>96.78</v>
      </c>
    </row>
    <row r="6406" spans="1:6" x14ac:dyDescent="0.25">
      <c r="A6406" t="s">
        <v>2489</v>
      </c>
      <c r="B6406" t="s">
        <v>46</v>
      </c>
      <c r="C6406" t="s">
        <v>103</v>
      </c>
      <c r="D6406" t="s">
        <v>3219</v>
      </c>
      <c r="E6406">
        <v>37.119999999999997</v>
      </c>
      <c r="F6406">
        <v>97.41</v>
      </c>
    </row>
    <row r="6407" spans="1:6" x14ac:dyDescent="0.25">
      <c r="A6407" t="s">
        <v>2490</v>
      </c>
      <c r="B6407" t="s">
        <v>46</v>
      </c>
      <c r="C6407" t="s">
        <v>104</v>
      </c>
      <c r="D6407" t="s">
        <v>3217</v>
      </c>
      <c r="E6407">
        <v>0</v>
      </c>
      <c r="F6407">
        <v>96.9</v>
      </c>
    </row>
    <row r="6408" spans="1:6" x14ac:dyDescent="0.25">
      <c r="A6408" t="s">
        <v>2490</v>
      </c>
      <c r="B6408" t="s">
        <v>46</v>
      </c>
      <c r="C6408" t="s">
        <v>104</v>
      </c>
      <c r="D6408" t="s">
        <v>3218</v>
      </c>
      <c r="E6408">
        <v>17.12</v>
      </c>
      <c r="F6408">
        <v>97.18</v>
      </c>
    </row>
    <row r="6409" spans="1:6" x14ac:dyDescent="0.25">
      <c r="A6409" t="s">
        <v>2490</v>
      </c>
      <c r="B6409" t="s">
        <v>46</v>
      </c>
      <c r="C6409" t="s">
        <v>104</v>
      </c>
      <c r="D6409" t="s">
        <v>3219</v>
      </c>
      <c r="E6409">
        <v>37.119999999999997</v>
      </c>
      <c r="F6409">
        <v>97.19</v>
      </c>
    </row>
    <row r="6410" spans="1:6" x14ac:dyDescent="0.25">
      <c r="A6410" t="s">
        <v>2491</v>
      </c>
      <c r="B6410" t="s">
        <v>46</v>
      </c>
      <c r="C6410" t="s">
        <v>105</v>
      </c>
      <c r="D6410" t="s">
        <v>3217</v>
      </c>
      <c r="E6410">
        <v>0</v>
      </c>
      <c r="F6410">
        <v>97.41</v>
      </c>
    </row>
    <row r="6411" spans="1:6" x14ac:dyDescent="0.25">
      <c r="A6411" t="s">
        <v>2491</v>
      </c>
      <c r="B6411" t="s">
        <v>46</v>
      </c>
      <c r="C6411" t="s">
        <v>105</v>
      </c>
      <c r="D6411" t="s">
        <v>3218</v>
      </c>
      <c r="E6411">
        <v>15.66</v>
      </c>
      <c r="F6411">
        <v>97.74</v>
      </c>
    </row>
    <row r="6412" spans="1:6" x14ac:dyDescent="0.25">
      <c r="A6412" t="s">
        <v>2491</v>
      </c>
      <c r="B6412" t="s">
        <v>46</v>
      </c>
      <c r="C6412" t="s">
        <v>105</v>
      </c>
      <c r="D6412" t="s">
        <v>3219</v>
      </c>
      <c r="E6412">
        <v>33.340000000000003</v>
      </c>
      <c r="F6412">
        <v>97.84</v>
      </c>
    </row>
    <row r="6413" spans="1:6" x14ac:dyDescent="0.25">
      <c r="A6413" t="s">
        <v>2492</v>
      </c>
      <c r="B6413" t="s">
        <v>46</v>
      </c>
      <c r="C6413" t="s">
        <v>106</v>
      </c>
      <c r="D6413" t="s">
        <v>3217</v>
      </c>
      <c r="E6413">
        <v>0</v>
      </c>
      <c r="F6413">
        <v>98.02</v>
      </c>
    </row>
    <row r="6414" spans="1:6" x14ac:dyDescent="0.25">
      <c r="A6414" t="s">
        <v>2492</v>
      </c>
      <c r="B6414" t="s">
        <v>46</v>
      </c>
      <c r="C6414" t="s">
        <v>106</v>
      </c>
      <c r="D6414" t="s">
        <v>3218</v>
      </c>
      <c r="E6414">
        <v>15.66</v>
      </c>
      <c r="F6414">
        <v>98.21</v>
      </c>
    </row>
    <row r="6415" spans="1:6" x14ac:dyDescent="0.25">
      <c r="A6415" t="s">
        <v>2492</v>
      </c>
      <c r="B6415" t="s">
        <v>46</v>
      </c>
      <c r="C6415" t="s">
        <v>106</v>
      </c>
      <c r="D6415" t="s">
        <v>3219</v>
      </c>
      <c r="E6415">
        <v>33.340000000000003</v>
      </c>
      <c r="F6415">
        <v>98.11</v>
      </c>
    </row>
    <row r="6416" spans="1:6" x14ac:dyDescent="0.25">
      <c r="A6416" t="s">
        <v>2493</v>
      </c>
      <c r="B6416" t="s">
        <v>46</v>
      </c>
      <c r="C6416" t="s">
        <v>108</v>
      </c>
      <c r="D6416" t="s">
        <v>3217</v>
      </c>
      <c r="E6416">
        <v>0</v>
      </c>
      <c r="F6416">
        <v>97.76</v>
      </c>
    </row>
    <row r="6417" spans="1:6" x14ac:dyDescent="0.25">
      <c r="A6417" t="s">
        <v>2493</v>
      </c>
      <c r="B6417" t="s">
        <v>46</v>
      </c>
      <c r="C6417" t="s">
        <v>108</v>
      </c>
      <c r="D6417" t="s">
        <v>3218</v>
      </c>
      <c r="E6417">
        <v>15.66</v>
      </c>
      <c r="F6417">
        <v>98.3</v>
      </c>
    </row>
    <row r="6418" spans="1:6" x14ac:dyDescent="0.25">
      <c r="A6418" t="s">
        <v>2493</v>
      </c>
      <c r="B6418" t="s">
        <v>46</v>
      </c>
      <c r="C6418" t="s">
        <v>108</v>
      </c>
      <c r="D6418" t="s">
        <v>3219</v>
      </c>
      <c r="E6418">
        <v>32.47</v>
      </c>
      <c r="F6418">
        <v>98.37</v>
      </c>
    </row>
    <row r="6419" spans="1:6" x14ac:dyDescent="0.25">
      <c r="A6419" t="s">
        <v>2494</v>
      </c>
      <c r="B6419" t="s">
        <v>46</v>
      </c>
      <c r="C6419" t="s">
        <v>109</v>
      </c>
      <c r="D6419" t="s">
        <v>3217</v>
      </c>
      <c r="E6419">
        <v>0</v>
      </c>
      <c r="F6419">
        <v>97.58</v>
      </c>
    </row>
    <row r="6420" spans="1:6" x14ac:dyDescent="0.25">
      <c r="A6420" t="s">
        <v>2494</v>
      </c>
      <c r="B6420" t="s">
        <v>46</v>
      </c>
      <c r="C6420" t="s">
        <v>109</v>
      </c>
      <c r="D6420" t="s">
        <v>3218</v>
      </c>
      <c r="E6420">
        <v>17.64</v>
      </c>
      <c r="F6420">
        <v>98.19</v>
      </c>
    </row>
    <row r="6421" spans="1:6" x14ac:dyDescent="0.25">
      <c r="A6421" t="s">
        <v>2494</v>
      </c>
      <c r="B6421" t="s">
        <v>46</v>
      </c>
      <c r="C6421" t="s">
        <v>109</v>
      </c>
      <c r="D6421" t="s">
        <v>3219</v>
      </c>
      <c r="E6421">
        <v>34.11</v>
      </c>
      <c r="F6421">
        <v>98.48</v>
      </c>
    </row>
    <row r="6422" spans="1:6" x14ac:dyDescent="0.25">
      <c r="A6422" t="s">
        <v>2495</v>
      </c>
      <c r="B6422" t="s">
        <v>46</v>
      </c>
      <c r="C6422" t="s">
        <v>110</v>
      </c>
      <c r="D6422" t="s">
        <v>3217</v>
      </c>
      <c r="E6422">
        <v>0</v>
      </c>
      <c r="F6422">
        <v>97.41</v>
      </c>
    </row>
    <row r="6423" spans="1:6" x14ac:dyDescent="0.25">
      <c r="A6423" t="s">
        <v>2495</v>
      </c>
      <c r="B6423" t="s">
        <v>46</v>
      </c>
      <c r="C6423" t="s">
        <v>110</v>
      </c>
      <c r="D6423" t="s">
        <v>3218</v>
      </c>
      <c r="E6423">
        <v>17.09</v>
      </c>
      <c r="F6423">
        <v>97.84</v>
      </c>
    </row>
    <row r="6424" spans="1:6" x14ac:dyDescent="0.25">
      <c r="A6424" t="s">
        <v>2495</v>
      </c>
      <c r="B6424" t="s">
        <v>46</v>
      </c>
      <c r="C6424" t="s">
        <v>110</v>
      </c>
      <c r="D6424" t="s">
        <v>3219</v>
      </c>
      <c r="E6424">
        <v>34.42</v>
      </c>
      <c r="F6424">
        <v>98.38</v>
      </c>
    </row>
    <row r="6425" spans="1:6" x14ac:dyDescent="0.25">
      <c r="A6425" t="s">
        <v>2496</v>
      </c>
      <c r="B6425" t="s">
        <v>46</v>
      </c>
      <c r="C6425" t="s">
        <v>111</v>
      </c>
      <c r="D6425" t="s">
        <v>3217</v>
      </c>
      <c r="E6425">
        <v>0</v>
      </c>
      <c r="F6425">
        <v>97.1</v>
      </c>
    </row>
    <row r="6426" spans="1:6" x14ac:dyDescent="0.25">
      <c r="A6426" t="s">
        <v>2496</v>
      </c>
      <c r="B6426" t="s">
        <v>46</v>
      </c>
      <c r="C6426" t="s">
        <v>111</v>
      </c>
      <c r="D6426" t="s">
        <v>3218</v>
      </c>
      <c r="E6426">
        <v>17.88</v>
      </c>
      <c r="F6426">
        <v>97.57</v>
      </c>
    </row>
    <row r="6427" spans="1:6" x14ac:dyDescent="0.25">
      <c r="A6427" t="s">
        <v>2496</v>
      </c>
      <c r="B6427" t="s">
        <v>46</v>
      </c>
      <c r="C6427" t="s">
        <v>111</v>
      </c>
      <c r="D6427" t="s">
        <v>3219</v>
      </c>
      <c r="E6427">
        <v>34.01</v>
      </c>
      <c r="F6427">
        <v>98.03</v>
      </c>
    </row>
    <row r="6428" spans="1:6" x14ac:dyDescent="0.25">
      <c r="A6428" t="s">
        <v>2497</v>
      </c>
      <c r="B6428" t="s">
        <v>46</v>
      </c>
      <c r="C6428" t="s">
        <v>112</v>
      </c>
      <c r="D6428" t="s">
        <v>3217</v>
      </c>
      <c r="E6428">
        <v>0</v>
      </c>
      <c r="F6428">
        <v>96.63</v>
      </c>
    </row>
    <row r="6429" spans="1:6" x14ac:dyDescent="0.25">
      <c r="A6429" t="s">
        <v>2497</v>
      </c>
      <c r="B6429" t="s">
        <v>46</v>
      </c>
      <c r="C6429" t="s">
        <v>112</v>
      </c>
      <c r="D6429" t="s">
        <v>3218</v>
      </c>
      <c r="E6429">
        <v>17.88</v>
      </c>
      <c r="F6429">
        <v>97.18</v>
      </c>
    </row>
    <row r="6430" spans="1:6" x14ac:dyDescent="0.25">
      <c r="A6430" t="s">
        <v>2497</v>
      </c>
      <c r="B6430" t="s">
        <v>46</v>
      </c>
      <c r="C6430" t="s">
        <v>112</v>
      </c>
      <c r="D6430" t="s">
        <v>3219</v>
      </c>
      <c r="E6430">
        <v>33.28</v>
      </c>
      <c r="F6430">
        <v>97.62</v>
      </c>
    </row>
    <row r="6431" spans="1:6" x14ac:dyDescent="0.25">
      <c r="A6431" t="s">
        <v>2498</v>
      </c>
      <c r="B6431" t="s">
        <v>46</v>
      </c>
      <c r="C6431" t="s">
        <v>113</v>
      </c>
      <c r="D6431" t="s">
        <v>3217</v>
      </c>
      <c r="E6431">
        <v>0</v>
      </c>
      <c r="F6431">
        <v>96.39</v>
      </c>
    </row>
    <row r="6432" spans="1:6" x14ac:dyDescent="0.25">
      <c r="A6432" t="s">
        <v>2498</v>
      </c>
      <c r="B6432" t="s">
        <v>46</v>
      </c>
      <c r="C6432" t="s">
        <v>113</v>
      </c>
      <c r="D6432" t="s">
        <v>3218</v>
      </c>
      <c r="E6432">
        <v>18.190000000000001</v>
      </c>
      <c r="F6432">
        <v>96.76</v>
      </c>
    </row>
    <row r="6433" spans="1:6" x14ac:dyDescent="0.25">
      <c r="A6433" t="s">
        <v>2498</v>
      </c>
      <c r="B6433" t="s">
        <v>46</v>
      </c>
      <c r="C6433" t="s">
        <v>113</v>
      </c>
      <c r="D6433" t="s">
        <v>3219</v>
      </c>
      <c r="E6433">
        <v>34</v>
      </c>
      <c r="F6433">
        <v>97</v>
      </c>
    </row>
    <row r="6434" spans="1:6" x14ac:dyDescent="0.25">
      <c r="A6434" t="s">
        <v>2499</v>
      </c>
      <c r="B6434" t="s">
        <v>46</v>
      </c>
      <c r="C6434" t="s">
        <v>114</v>
      </c>
      <c r="D6434" t="s">
        <v>3217</v>
      </c>
      <c r="E6434">
        <v>0</v>
      </c>
      <c r="F6434">
        <v>95.89</v>
      </c>
    </row>
    <row r="6435" spans="1:6" x14ac:dyDescent="0.25">
      <c r="A6435" t="s">
        <v>2499</v>
      </c>
      <c r="B6435" t="s">
        <v>46</v>
      </c>
      <c r="C6435" t="s">
        <v>114</v>
      </c>
      <c r="D6435" t="s">
        <v>3218</v>
      </c>
      <c r="E6435">
        <v>17.510000000000002</v>
      </c>
      <c r="F6435">
        <v>96.33</v>
      </c>
    </row>
    <row r="6436" spans="1:6" x14ac:dyDescent="0.25">
      <c r="A6436" t="s">
        <v>2499</v>
      </c>
      <c r="B6436" t="s">
        <v>46</v>
      </c>
      <c r="C6436" t="s">
        <v>114</v>
      </c>
      <c r="D6436" t="s">
        <v>3219</v>
      </c>
      <c r="E6436">
        <v>34.68</v>
      </c>
      <c r="F6436">
        <v>96.45</v>
      </c>
    </row>
    <row r="6437" spans="1:6" x14ac:dyDescent="0.25">
      <c r="A6437" t="s">
        <v>2500</v>
      </c>
      <c r="B6437" t="s">
        <v>46</v>
      </c>
      <c r="C6437" t="s">
        <v>115</v>
      </c>
      <c r="D6437" t="s">
        <v>3217</v>
      </c>
      <c r="E6437">
        <v>0</v>
      </c>
      <c r="F6437">
        <v>95.37</v>
      </c>
    </row>
    <row r="6438" spans="1:6" x14ac:dyDescent="0.25">
      <c r="A6438" t="s">
        <v>2500</v>
      </c>
      <c r="B6438" t="s">
        <v>46</v>
      </c>
      <c r="C6438" t="s">
        <v>115</v>
      </c>
      <c r="D6438" t="s">
        <v>3218</v>
      </c>
      <c r="E6438">
        <v>16.760000000000002</v>
      </c>
      <c r="F6438">
        <v>95.89</v>
      </c>
    </row>
    <row r="6439" spans="1:6" x14ac:dyDescent="0.25">
      <c r="A6439" t="s">
        <v>2500</v>
      </c>
      <c r="B6439" t="s">
        <v>46</v>
      </c>
      <c r="C6439" t="s">
        <v>115</v>
      </c>
      <c r="D6439" t="s">
        <v>3219</v>
      </c>
      <c r="E6439">
        <v>33.869999999999997</v>
      </c>
      <c r="F6439">
        <v>96.08</v>
      </c>
    </row>
    <row r="6440" spans="1:6" x14ac:dyDescent="0.25">
      <c r="A6440" t="s">
        <v>2501</v>
      </c>
      <c r="B6440" t="s">
        <v>46</v>
      </c>
      <c r="C6440" t="s">
        <v>116</v>
      </c>
      <c r="D6440" t="s">
        <v>3217</v>
      </c>
      <c r="E6440">
        <v>0</v>
      </c>
      <c r="F6440">
        <v>94.83</v>
      </c>
    </row>
    <row r="6441" spans="1:6" x14ac:dyDescent="0.25">
      <c r="A6441" t="s">
        <v>2501</v>
      </c>
      <c r="B6441" t="s">
        <v>46</v>
      </c>
      <c r="C6441" t="s">
        <v>116</v>
      </c>
      <c r="D6441" t="s">
        <v>3218</v>
      </c>
      <c r="E6441">
        <v>15.89</v>
      </c>
      <c r="F6441">
        <v>95.57</v>
      </c>
    </row>
    <row r="6442" spans="1:6" x14ac:dyDescent="0.25">
      <c r="A6442" t="s">
        <v>2501</v>
      </c>
      <c r="B6442" t="s">
        <v>46</v>
      </c>
      <c r="C6442" t="s">
        <v>116</v>
      </c>
      <c r="D6442" t="s">
        <v>3219</v>
      </c>
      <c r="E6442">
        <v>32.51</v>
      </c>
      <c r="F6442">
        <v>95.71</v>
      </c>
    </row>
    <row r="6443" spans="1:6" x14ac:dyDescent="0.25">
      <c r="A6443" t="s">
        <v>2502</v>
      </c>
      <c r="B6443" t="s">
        <v>46</v>
      </c>
      <c r="C6443" t="s">
        <v>117</v>
      </c>
      <c r="D6443" t="s">
        <v>3217</v>
      </c>
      <c r="E6443">
        <v>0</v>
      </c>
      <c r="F6443">
        <v>94.59</v>
      </c>
    </row>
    <row r="6444" spans="1:6" x14ac:dyDescent="0.25">
      <c r="A6444" t="s">
        <v>2502</v>
      </c>
      <c r="B6444" t="s">
        <v>46</v>
      </c>
      <c r="C6444" t="s">
        <v>117</v>
      </c>
      <c r="D6444" t="s">
        <v>3218</v>
      </c>
      <c r="E6444">
        <v>15.6</v>
      </c>
      <c r="F6444">
        <v>95.17</v>
      </c>
    </row>
    <row r="6445" spans="1:6" x14ac:dyDescent="0.25">
      <c r="A6445" t="s">
        <v>2502</v>
      </c>
      <c r="B6445" t="s">
        <v>46</v>
      </c>
      <c r="C6445" t="s">
        <v>117</v>
      </c>
      <c r="D6445" t="s">
        <v>3219</v>
      </c>
      <c r="E6445">
        <v>29.54</v>
      </c>
      <c r="F6445">
        <v>95.38</v>
      </c>
    </row>
    <row r="6446" spans="1:6" x14ac:dyDescent="0.25">
      <c r="A6446" t="s">
        <v>2503</v>
      </c>
      <c r="B6446" t="s">
        <v>46</v>
      </c>
      <c r="C6446" t="s">
        <v>118</v>
      </c>
      <c r="D6446" t="s">
        <v>3217</v>
      </c>
      <c r="E6446">
        <v>0</v>
      </c>
      <c r="F6446">
        <v>94.19</v>
      </c>
    </row>
    <row r="6447" spans="1:6" x14ac:dyDescent="0.25">
      <c r="A6447" t="s">
        <v>2503</v>
      </c>
      <c r="B6447" t="s">
        <v>46</v>
      </c>
      <c r="C6447" t="s">
        <v>118</v>
      </c>
      <c r="D6447" t="s">
        <v>3218</v>
      </c>
      <c r="E6447">
        <v>14.91</v>
      </c>
      <c r="F6447">
        <v>94.77</v>
      </c>
    </row>
    <row r="6448" spans="1:6" x14ac:dyDescent="0.25">
      <c r="A6448" t="s">
        <v>2503</v>
      </c>
      <c r="B6448" t="s">
        <v>46</v>
      </c>
      <c r="C6448" t="s">
        <v>118</v>
      </c>
      <c r="D6448" t="s">
        <v>3219</v>
      </c>
      <c r="E6448">
        <v>28.85</v>
      </c>
      <c r="F6448">
        <v>94.94</v>
      </c>
    </row>
    <row r="6449" spans="1:6" x14ac:dyDescent="0.25">
      <c r="A6449" t="s">
        <v>2504</v>
      </c>
      <c r="B6449" t="s">
        <v>46</v>
      </c>
      <c r="C6449" t="s">
        <v>119</v>
      </c>
      <c r="D6449" t="s">
        <v>3217</v>
      </c>
      <c r="E6449">
        <v>0</v>
      </c>
      <c r="F6449">
        <v>93.91</v>
      </c>
    </row>
    <row r="6450" spans="1:6" x14ac:dyDescent="0.25">
      <c r="A6450" t="s">
        <v>2504</v>
      </c>
      <c r="B6450" t="s">
        <v>46</v>
      </c>
      <c r="C6450" t="s">
        <v>119</v>
      </c>
      <c r="D6450" t="s">
        <v>3218</v>
      </c>
      <c r="E6450">
        <v>14.47</v>
      </c>
      <c r="F6450">
        <v>94.42</v>
      </c>
    </row>
    <row r="6451" spans="1:6" x14ac:dyDescent="0.25">
      <c r="A6451" t="s">
        <v>2504</v>
      </c>
      <c r="B6451" t="s">
        <v>46</v>
      </c>
      <c r="C6451" t="s">
        <v>119</v>
      </c>
      <c r="D6451" t="s">
        <v>3219</v>
      </c>
      <c r="E6451">
        <v>27.72</v>
      </c>
      <c r="F6451">
        <v>94.47</v>
      </c>
    </row>
    <row r="6452" spans="1:6" x14ac:dyDescent="0.25">
      <c r="A6452" t="s">
        <v>2505</v>
      </c>
      <c r="B6452" t="s">
        <v>46</v>
      </c>
      <c r="C6452" t="s">
        <v>120</v>
      </c>
      <c r="D6452" t="s">
        <v>3217</v>
      </c>
      <c r="E6452">
        <v>0</v>
      </c>
      <c r="F6452">
        <v>93.55</v>
      </c>
    </row>
    <row r="6453" spans="1:6" x14ac:dyDescent="0.25">
      <c r="A6453" t="s">
        <v>2505</v>
      </c>
      <c r="B6453" t="s">
        <v>46</v>
      </c>
      <c r="C6453" t="s">
        <v>120</v>
      </c>
      <c r="D6453" t="s">
        <v>3218</v>
      </c>
      <c r="E6453">
        <v>12.35</v>
      </c>
      <c r="F6453">
        <v>93.88</v>
      </c>
    </row>
    <row r="6454" spans="1:6" x14ac:dyDescent="0.25">
      <c r="A6454" t="s">
        <v>2505</v>
      </c>
      <c r="B6454" t="s">
        <v>46</v>
      </c>
      <c r="C6454" t="s">
        <v>120</v>
      </c>
      <c r="D6454" t="s">
        <v>3219</v>
      </c>
      <c r="E6454">
        <v>27.24</v>
      </c>
      <c r="F6454">
        <v>93.95</v>
      </c>
    </row>
    <row r="6455" spans="1:6" x14ac:dyDescent="0.25">
      <c r="A6455" t="s">
        <v>2506</v>
      </c>
      <c r="B6455" t="s">
        <v>46</v>
      </c>
      <c r="C6455" t="s">
        <v>121</v>
      </c>
      <c r="D6455" t="s">
        <v>3217</v>
      </c>
      <c r="E6455">
        <v>0</v>
      </c>
      <c r="F6455">
        <v>92.96</v>
      </c>
    </row>
    <row r="6456" spans="1:6" x14ac:dyDescent="0.25">
      <c r="A6456" t="s">
        <v>2506</v>
      </c>
      <c r="B6456" t="s">
        <v>46</v>
      </c>
      <c r="C6456" t="s">
        <v>121</v>
      </c>
      <c r="D6456" t="s">
        <v>3218</v>
      </c>
      <c r="E6456">
        <v>12.35</v>
      </c>
      <c r="F6456">
        <v>93.31</v>
      </c>
    </row>
    <row r="6457" spans="1:6" x14ac:dyDescent="0.25">
      <c r="A6457" t="s">
        <v>2506</v>
      </c>
      <c r="B6457" t="s">
        <v>46</v>
      </c>
      <c r="C6457" t="s">
        <v>121</v>
      </c>
      <c r="D6457" t="s">
        <v>3219</v>
      </c>
      <c r="E6457">
        <v>28.16</v>
      </c>
      <c r="F6457">
        <v>93.34</v>
      </c>
    </row>
    <row r="6458" spans="1:6" x14ac:dyDescent="0.25">
      <c r="A6458" t="s">
        <v>2507</v>
      </c>
      <c r="B6458" t="s">
        <v>46</v>
      </c>
      <c r="C6458" t="s">
        <v>123</v>
      </c>
      <c r="D6458" t="s">
        <v>3217</v>
      </c>
      <c r="E6458">
        <v>0</v>
      </c>
      <c r="F6458">
        <v>92.13</v>
      </c>
    </row>
    <row r="6459" spans="1:6" x14ac:dyDescent="0.25">
      <c r="A6459" t="s">
        <v>2507</v>
      </c>
      <c r="B6459" t="s">
        <v>46</v>
      </c>
      <c r="C6459" t="s">
        <v>123</v>
      </c>
      <c r="D6459" t="s">
        <v>3218</v>
      </c>
      <c r="E6459">
        <v>12.19</v>
      </c>
      <c r="F6459">
        <v>92.52</v>
      </c>
    </row>
    <row r="6460" spans="1:6" x14ac:dyDescent="0.25">
      <c r="A6460" t="s">
        <v>2507</v>
      </c>
      <c r="B6460" t="s">
        <v>46</v>
      </c>
      <c r="C6460" t="s">
        <v>123</v>
      </c>
      <c r="D6460" t="s">
        <v>3219</v>
      </c>
      <c r="E6460">
        <v>28.09</v>
      </c>
      <c r="F6460">
        <v>92.68</v>
      </c>
    </row>
    <row r="6461" spans="1:6" x14ac:dyDescent="0.25">
      <c r="A6461" t="s">
        <v>2508</v>
      </c>
      <c r="B6461" t="s">
        <v>46</v>
      </c>
      <c r="C6461" t="s">
        <v>124</v>
      </c>
      <c r="D6461" t="s">
        <v>3217</v>
      </c>
      <c r="E6461">
        <v>0</v>
      </c>
      <c r="F6461">
        <v>91.36</v>
      </c>
    </row>
    <row r="6462" spans="1:6" x14ac:dyDescent="0.25">
      <c r="A6462" t="s">
        <v>2508</v>
      </c>
      <c r="B6462" t="s">
        <v>46</v>
      </c>
      <c r="C6462" t="s">
        <v>124</v>
      </c>
      <c r="D6462" t="s">
        <v>3218</v>
      </c>
      <c r="E6462">
        <v>13.11</v>
      </c>
      <c r="F6462">
        <v>91.84</v>
      </c>
    </row>
    <row r="6463" spans="1:6" x14ac:dyDescent="0.25">
      <c r="A6463" t="s">
        <v>2508</v>
      </c>
      <c r="B6463" t="s">
        <v>46</v>
      </c>
      <c r="C6463" t="s">
        <v>124</v>
      </c>
      <c r="D6463" t="s">
        <v>3219</v>
      </c>
      <c r="E6463">
        <v>28.97</v>
      </c>
      <c r="F6463">
        <v>92.18</v>
      </c>
    </row>
    <row r="6464" spans="1:6" x14ac:dyDescent="0.25">
      <c r="A6464" t="s">
        <v>2509</v>
      </c>
      <c r="B6464" t="s">
        <v>46</v>
      </c>
      <c r="C6464" t="s">
        <v>125</v>
      </c>
      <c r="D6464" t="s">
        <v>3217</v>
      </c>
      <c r="E6464">
        <v>0</v>
      </c>
      <c r="F6464">
        <v>90.68</v>
      </c>
    </row>
    <row r="6465" spans="1:6" x14ac:dyDescent="0.25">
      <c r="A6465" t="s">
        <v>2509</v>
      </c>
      <c r="B6465" t="s">
        <v>46</v>
      </c>
      <c r="C6465" t="s">
        <v>125</v>
      </c>
      <c r="D6465" t="s">
        <v>3218</v>
      </c>
      <c r="E6465">
        <v>14.54</v>
      </c>
      <c r="F6465">
        <v>91.11</v>
      </c>
    </row>
    <row r="6466" spans="1:6" x14ac:dyDescent="0.25">
      <c r="A6466" t="s">
        <v>2509</v>
      </c>
      <c r="B6466" t="s">
        <v>46</v>
      </c>
      <c r="C6466" t="s">
        <v>125</v>
      </c>
      <c r="D6466" t="s">
        <v>3219</v>
      </c>
      <c r="E6466">
        <v>30.86</v>
      </c>
      <c r="F6466">
        <v>91.38</v>
      </c>
    </row>
    <row r="6467" spans="1:6" x14ac:dyDescent="0.25">
      <c r="A6467" t="s">
        <v>2510</v>
      </c>
      <c r="B6467" t="s">
        <v>46</v>
      </c>
      <c r="C6467" t="s">
        <v>126</v>
      </c>
      <c r="D6467" t="s">
        <v>3217</v>
      </c>
      <c r="E6467">
        <v>0</v>
      </c>
      <c r="F6467">
        <v>89.69</v>
      </c>
    </row>
    <row r="6468" spans="1:6" x14ac:dyDescent="0.25">
      <c r="A6468" t="s">
        <v>2510</v>
      </c>
      <c r="B6468" t="s">
        <v>46</v>
      </c>
      <c r="C6468" t="s">
        <v>126</v>
      </c>
      <c r="D6468" t="s">
        <v>3218</v>
      </c>
      <c r="E6468">
        <v>17.05</v>
      </c>
      <c r="F6468">
        <v>90.38</v>
      </c>
    </row>
    <row r="6469" spans="1:6" x14ac:dyDescent="0.25">
      <c r="A6469" t="s">
        <v>2510</v>
      </c>
      <c r="B6469" t="s">
        <v>46</v>
      </c>
      <c r="C6469" t="s">
        <v>126</v>
      </c>
      <c r="D6469" t="s">
        <v>3219</v>
      </c>
      <c r="E6469">
        <v>32.99</v>
      </c>
      <c r="F6469">
        <v>90.58</v>
      </c>
    </row>
    <row r="6470" spans="1:6" x14ac:dyDescent="0.25">
      <c r="A6470" t="s">
        <v>2511</v>
      </c>
      <c r="B6470" t="s">
        <v>46</v>
      </c>
      <c r="C6470" t="s">
        <v>127</v>
      </c>
      <c r="D6470" t="s">
        <v>3217</v>
      </c>
      <c r="E6470">
        <v>0</v>
      </c>
      <c r="F6470">
        <v>89.19</v>
      </c>
    </row>
    <row r="6471" spans="1:6" x14ac:dyDescent="0.25">
      <c r="A6471" t="s">
        <v>2511</v>
      </c>
      <c r="B6471" t="s">
        <v>46</v>
      </c>
      <c r="C6471" t="s">
        <v>127</v>
      </c>
      <c r="D6471" t="s">
        <v>3218</v>
      </c>
      <c r="E6471">
        <v>17.05</v>
      </c>
      <c r="F6471">
        <v>89.51</v>
      </c>
    </row>
    <row r="6472" spans="1:6" x14ac:dyDescent="0.25">
      <c r="A6472" t="s">
        <v>2511</v>
      </c>
      <c r="B6472" t="s">
        <v>46</v>
      </c>
      <c r="C6472" t="s">
        <v>127</v>
      </c>
      <c r="D6472" t="s">
        <v>3219</v>
      </c>
      <c r="E6472">
        <v>32.25</v>
      </c>
      <c r="F6472">
        <v>89.79</v>
      </c>
    </row>
    <row r="6473" spans="1:6" x14ac:dyDescent="0.25">
      <c r="A6473" t="s">
        <v>2512</v>
      </c>
      <c r="B6473" t="s">
        <v>46</v>
      </c>
      <c r="C6473" t="s">
        <v>128</v>
      </c>
      <c r="D6473" t="s">
        <v>3217</v>
      </c>
      <c r="E6473">
        <v>0</v>
      </c>
      <c r="F6473">
        <v>88.83</v>
      </c>
    </row>
    <row r="6474" spans="1:6" x14ac:dyDescent="0.25">
      <c r="A6474" t="s">
        <v>2512</v>
      </c>
      <c r="B6474" t="s">
        <v>46</v>
      </c>
      <c r="C6474" t="s">
        <v>128</v>
      </c>
      <c r="D6474" t="s">
        <v>3218</v>
      </c>
      <c r="E6474">
        <v>17.93</v>
      </c>
      <c r="F6474">
        <v>89.05</v>
      </c>
    </row>
    <row r="6475" spans="1:6" x14ac:dyDescent="0.25">
      <c r="A6475" t="s">
        <v>2512</v>
      </c>
      <c r="B6475" t="s">
        <v>46</v>
      </c>
      <c r="C6475" t="s">
        <v>128</v>
      </c>
      <c r="D6475" t="s">
        <v>3219</v>
      </c>
      <c r="E6475">
        <v>33.86</v>
      </c>
      <c r="F6475">
        <v>89.38</v>
      </c>
    </row>
    <row r="6476" spans="1:6" x14ac:dyDescent="0.25">
      <c r="A6476" t="s">
        <v>2513</v>
      </c>
      <c r="B6476" t="s">
        <v>46</v>
      </c>
      <c r="C6476" t="s">
        <v>129</v>
      </c>
      <c r="D6476" t="s">
        <v>3217</v>
      </c>
      <c r="E6476">
        <v>0</v>
      </c>
      <c r="F6476">
        <v>89.93</v>
      </c>
    </row>
    <row r="6477" spans="1:6" x14ac:dyDescent="0.25">
      <c r="A6477" t="s">
        <v>2513</v>
      </c>
      <c r="B6477" t="s">
        <v>46</v>
      </c>
      <c r="C6477" t="s">
        <v>129</v>
      </c>
      <c r="D6477" t="s">
        <v>3218</v>
      </c>
      <c r="E6477">
        <v>20</v>
      </c>
      <c r="F6477">
        <v>89.35</v>
      </c>
    </row>
    <row r="6478" spans="1:6" x14ac:dyDescent="0.25">
      <c r="A6478" t="s">
        <v>2513</v>
      </c>
      <c r="B6478" t="s">
        <v>46</v>
      </c>
      <c r="C6478" t="s">
        <v>129</v>
      </c>
      <c r="D6478" t="s">
        <v>3219</v>
      </c>
      <c r="E6478">
        <v>37.299999999999997</v>
      </c>
      <c r="F6478">
        <v>89.64</v>
      </c>
    </row>
    <row r="6479" spans="1:6" x14ac:dyDescent="0.25">
      <c r="A6479" t="s">
        <v>2514</v>
      </c>
      <c r="B6479" t="s">
        <v>46</v>
      </c>
      <c r="C6479" t="s">
        <v>130</v>
      </c>
      <c r="D6479" t="s">
        <v>3217</v>
      </c>
      <c r="E6479">
        <v>0</v>
      </c>
      <c r="F6479">
        <v>88.8</v>
      </c>
    </row>
    <row r="6480" spans="1:6" x14ac:dyDescent="0.25">
      <c r="A6480" t="s">
        <v>2514</v>
      </c>
      <c r="B6480" t="s">
        <v>46</v>
      </c>
      <c r="C6480" t="s">
        <v>130</v>
      </c>
      <c r="D6480" t="s">
        <v>3218</v>
      </c>
      <c r="E6480">
        <v>17.93</v>
      </c>
      <c r="F6480">
        <v>89.52</v>
      </c>
    </row>
    <row r="6481" spans="1:6" x14ac:dyDescent="0.25">
      <c r="A6481" t="s">
        <v>2514</v>
      </c>
      <c r="B6481" t="s">
        <v>46</v>
      </c>
      <c r="C6481" t="s">
        <v>130</v>
      </c>
      <c r="D6481" t="s">
        <v>3219</v>
      </c>
      <c r="E6481">
        <v>35.53</v>
      </c>
      <c r="F6481">
        <v>89.93</v>
      </c>
    </row>
    <row r="6482" spans="1:6" x14ac:dyDescent="0.25">
      <c r="A6482" t="s">
        <v>2515</v>
      </c>
      <c r="B6482" t="s">
        <v>46</v>
      </c>
      <c r="C6482" t="s">
        <v>131</v>
      </c>
      <c r="D6482" t="s">
        <v>3217</v>
      </c>
      <c r="E6482">
        <v>0</v>
      </c>
      <c r="F6482">
        <v>88.62</v>
      </c>
    </row>
    <row r="6483" spans="1:6" x14ac:dyDescent="0.25">
      <c r="A6483" t="s">
        <v>2515</v>
      </c>
      <c r="B6483" t="s">
        <v>46</v>
      </c>
      <c r="C6483" t="s">
        <v>131</v>
      </c>
      <c r="D6483" t="s">
        <v>3218</v>
      </c>
      <c r="E6483">
        <v>20</v>
      </c>
      <c r="F6483">
        <v>90.13</v>
      </c>
    </row>
    <row r="6484" spans="1:6" x14ac:dyDescent="0.25">
      <c r="A6484" t="s">
        <v>2515</v>
      </c>
      <c r="B6484" t="s">
        <v>46</v>
      </c>
      <c r="C6484" t="s">
        <v>131</v>
      </c>
      <c r="D6484" t="s">
        <v>3219</v>
      </c>
      <c r="E6484">
        <v>37.6</v>
      </c>
      <c r="F6484">
        <v>90.41</v>
      </c>
    </row>
    <row r="6485" spans="1:6" x14ac:dyDescent="0.25">
      <c r="A6485" t="s">
        <v>2516</v>
      </c>
      <c r="B6485" t="s">
        <v>46</v>
      </c>
      <c r="C6485" t="s">
        <v>132</v>
      </c>
      <c r="D6485" t="s">
        <v>3217</v>
      </c>
      <c r="E6485">
        <v>0</v>
      </c>
      <c r="F6485">
        <v>90.65</v>
      </c>
    </row>
    <row r="6486" spans="1:6" x14ac:dyDescent="0.25">
      <c r="A6486" t="s">
        <v>2516</v>
      </c>
      <c r="B6486" t="s">
        <v>46</v>
      </c>
      <c r="C6486" t="s">
        <v>132</v>
      </c>
      <c r="D6486" t="s">
        <v>3218</v>
      </c>
      <c r="E6486">
        <v>20</v>
      </c>
      <c r="F6486">
        <v>90.94</v>
      </c>
    </row>
    <row r="6487" spans="1:6" x14ac:dyDescent="0.25">
      <c r="A6487" t="s">
        <v>2516</v>
      </c>
      <c r="B6487" t="s">
        <v>46</v>
      </c>
      <c r="C6487" t="s">
        <v>132</v>
      </c>
      <c r="D6487" t="s">
        <v>3219</v>
      </c>
      <c r="E6487">
        <v>40</v>
      </c>
      <c r="F6487">
        <v>91.31</v>
      </c>
    </row>
    <row r="6488" spans="1:6" x14ac:dyDescent="0.25">
      <c r="A6488" t="s">
        <v>2517</v>
      </c>
      <c r="B6488" t="s">
        <v>46</v>
      </c>
      <c r="C6488" t="s">
        <v>133</v>
      </c>
      <c r="D6488" t="s">
        <v>3217</v>
      </c>
      <c r="E6488">
        <v>0</v>
      </c>
      <c r="F6488">
        <v>91.16</v>
      </c>
    </row>
    <row r="6489" spans="1:6" x14ac:dyDescent="0.25">
      <c r="A6489" t="s">
        <v>2517</v>
      </c>
      <c r="B6489" t="s">
        <v>46</v>
      </c>
      <c r="C6489" t="s">
        <v>133</v>
      </c>
      <c r="D6489" t="s">
        <v>3218</v>
      </c>
      <c r="E6489">
        <v>18.29</v>
      </c>
      <c r="F6489">
        <v>91.7</v>
      </c>
    </row>
    <row r="6490" spans="1:6" x14ac:dyDescent="0.25">
      <c r="A6490" t="s">
        <v>2517</v>
      </c>
      <c r="B6490" t="s">
        <v>46</v>
      </c>
      <c r="C6490" t="s">
        <v>133</v>
      </c>
      <c r="D6490" t="s">
        <v>3219</v>
      </c>
      <c r="E6490">
        <v>38.29</v>
      </c>
      <c r="F6490">
        <v>92.2</v>
      </c>
    </row>
    <row r="6491" spans="1:6" x14ac:dyDescent="0.25">
      <c r="A6491" t="s">
        <v>2518</v>
      </c>
      <c r="B6491" t="s">
        <v>46</v>
      </c>
      <c r="C6491" t="s">
        <v>134</v>
      </c>
      <c r="D6491" t="s">
        <v>3217</v>
      </c>
      <c r="E6491">
        <v>0</v>
      </c>
      <c r="F6491">
        <v>92.24</v>
      </c>
    </row>
    <row r="6492" spans="1:6" x14ac:dyDescent="0.25">
      <c r="A6492" t="s">
        <v>2518</v>
      </c>
      <c r="B6492" t="s">
        <v>46</v>
      </c>
      <c r="C6492" t="s">
        <v>134</v>
      </c>
      <c r="D6492" t="s">
        <v>3218</v>
      </c>
      <c r="E6492">
        <v>17.05</v>
      </c>
      <c r="F6492">
        <v>92.71</v>
      </c>
    </row>
    <row r="6493" spans="1:6" x14ac:dyDescent="0.25">
      <c r="A6493" t="s">
        <v>2518</v>
      </c>
      <c r="B6493" t="s">
        <v>46</v>
      </c>
      <c r="C6493" t="s">
        <v>134</v>
      </c>
      <c r="D6493" t="s">
        <v>3219</v>
      </c>
      <c r="E6493">
        <v>35.67</v>
      </c>
      <c r="F6493">
        <v>93.34</v>
      </c>
    </row>
    <row r="6494" spans="1:6" x14ac:dyDescent="0.25">
      <c r="A6494" t="s">
        <v>2519</v>
      </c>
      <c r="B6494" t="s">
        <v>46</v>
      </c>
      <c r="C6494" t="s">
        <v>135</v>
      </c>
      <c r="D6494" t="s">
        <v>3217</v>
      </c>
      <c r="E6494">
        <v>0</v>
      </c>
      <c r="F6494">
        <v>93.51</v>
      </c>
    </row>
    <row r="6495" spans="1:6" x14ac:dyDescent="0.25">
      <c r="A6495" t="s">
        <v>2519</v>
      </c>
      <c r="B6495" t="s">
        <v>46</v>
      </c>
      <c r="C6495" t="s">
        <v>135</v>
      </c>
      <c r="D6495" t="s">
        <v>3218</v>
      </c>
      <c r="E6495">
        <v>20</v>
      </c>
      <c r="F6495">
        <v>93.88</v>
      </c>
    </row>
    <row r="6496" spans="1:6" x14ac:dyDescent="0.25">
      <c r="A6496" t="s">
        <v>2519</v>
      </c>
      <c r="B6496" t="s">
        <v>46</v>
      </c>
      <c r="C6496" t="s">
        <v>135</v>
      </c>
      <c r="D6496" t="s">
        <v>3219</v>
      </c>
      <c r="E6496">
        <v>38.590000000000003</v>
      </c>
      <c r="F6496">
        <v>94.5</v>
      </c>
    </row>
    <row r="6497" spans="1:6" x14ac:dyDescent="0.25">
      <c r="A6497" t="s">
        <v>2520</v>
      </c>
      <c r="B6497" t="s">
        <v>46</v>
      </c>
      <c r="C6497" t="s">
        <v>328</v>
      </c>
      <c r="D6497" t="s">
        <v>3217</v>
      </c>
      <c r="E6497">
        <v>0</v>
      </c>
      <c r="F6497">
        <v>94.01</v>
      </c>
    </row>
    <row r="6498" spans="1:6" x14ac:dyDescent="0.25">
      <c r="A6498" t="s">
        <v>2520</v>
      </c>
      <c r="B6498" t="s">
        <v>46</v>
      </c>
      <c r="C6498" t="s">
        <v>328</v>
      </c>
      <c r="D6498" t="s">
        <v>3218</v>
      </c>
      <c r="E6498">
        <v>18.329999999999998</v>
      </c>
      <c r="F6498">
        <v>94.25</v>
      </c>
    </row>
    <row r="6499" spans="1:6" x14ac:dyDescent="0.25">
      <c r="A6499" t="s">
        <v>2520</v>
      </c>
      <c r="B6499" t="s">
        <v>46</v>
      </c>
      <c r="C6499" t="s">
        <v>328</v>
      </c>
      <c r="D6499" t="s">
        <v>3219</v>
      </c>
      <c r="E6499">
        <v>38.33</v>
      </c>
      <c r="F6499">
        <v>94.91</v>
      </c>
    </row>
    <row r="6500" spans="1:6" x14ac:dyDescent="0.25">
      <c r="A6500" t="s">
        <v>2521</v>
      </c>
      <c r="B6500" t="s">
        <v>47</v>
      </c>
      <c r="C6500" t="s">
        <v>56</v>
      </c>
      <c r="D6500" t="s">
        <v>3217</v>
      </c>
      <c r="E6500">
        <v>0</v>
      </c>
      <c r="F6500">
        <v>96.67</v>
      </c>
    </row>
    <row r="6501" spans="1:6" x14ac:dyDescent="0.25">
      <c r="A6501" t="s">
        <v>2521</v>
      </c>
      <c r="B6501" t="s">
        <v>47</v>
      </c>
      <c r="C6501" t="s">
        <v>56</v>
      </c>
      <c r="D6501" t="s">
        <v>3218</v>
      </c>
      <c r="E6501">
        <v>18.329999999999998</v>
      </c>
      <c r="F6501">
        <v>96.99</v>
      </c>
    </row>
    <row r="6502" spans="1:6" x14ac:dyDescent="0.25">
      <c r="A6502" t="s">
        <v>2521</v>
      </c>
      <c r="B6502" t="s">
        <v>47</v>
      </c>
      <c r="C6502" t="s">
        <v>56</v>
      </c>
      <c r="D6502" t="s">
        <v>3219</v>
      </c>
      <c r="E6502">
        <v>38.33</v>
      </c>
      <c r="F6502">
        <v>97.19</v>
      </c>
    </row>
    <row r="6503" spans="1:6" x14ac:dyDescent="0.25">
      <c r="A6503" t="s">
        <v>2522</v>
      </c>
      <c r="B6503" t="s">
        <v>47</v>
      </c>
      <c r="C6503" t="s">
        <v>57</v>
      </c>
      <c r="D6503" t="s">
        <v>3217</v>
      </c>
      <c r="E6503">
        <v>0</v>
      </c>
      <c r="F6503">
        <v>96.56</v>
      </c>
    </row>
    <row r="6504" spans="1:6" x14ac:dyDescent="0.25">
      <c r="A6504" t="s">
        <v>2522</v>
      </c>
      <c r="B6504" t="s">
        <v>47</v>
      </c>
      <c r="C6504" t="s">
        <v>57</v>
      </c>
      <c r="D6504" t="s">
        <v>3218</v>
      </c>
      <c r="E6504">
        <v>18.329999999999998</v>
      </c>
      <c r="F6504">
        <v>97.28</v>
      </c>
    </row>
    <row r="6505" spans="1:6" x14ac:dyDescent="0.25">
      <c r="A6505" t="s">
        <v>2522</v>
      </c>
      <c r="B6505" t="s">
        <v>47</v>
      </c>
      <c r="C6505" t="s">
        <v>57</v>
      </c>
      <c r="D6505" t="s">
        <v>3219</v>
      </c>
      <c r="E6505">
        <v>38.33</v>
      </c>
      <c r="F6505">
        <v>97.65</v>
      </c>
    </row>
    <row r="6506" spans="1:6" x14ac:dyDescent="0.25">
      <c r="A6506" t="s">
        <v>2523</v>
      </c>
      <c r="B6506" t="s">
        <v>47</v>
      </c>
      <c r="C6506" t="s">
        <v>58</v>
      </c>
      <c r="D6506" t="s">
        <v>3217</v>
      </c>
      <c r="E6506">
        <v>0</v>
      </c>
      <c r="F6506">
        <v>96.82</v>
      </c>
    </row>
    <row r="6507" spans="1:6" x14ac:dyDescent="0.25">
      <c r="A6507" t="s">
        <v>2523</v>
      </c>
      <c r="B6507" t="s">
        <v>47</v>
      </c>
      <c r="C6507" t="s">
        <v>58</v>
      </c>
      <c r="D6507" t="s">
        <v>3218</v>
      </c>
      <c r="E6507">
        <v>16.87</v>
      </c>
      <c r="F6507">
        <v>97.44</v>
      </c>
    </row>
    <row r="6508" spans="1:6" x14ac:dyDescent="0.25">
      <c r="A6508" t="s">
        <v>2523</v>
      </c>
      <c r="B6508" t="s">
        <v>47</v>
      </c>
      <c r="C6508" t="s">
        <v>58</v>
      </c>
      <c r="D6508" t="s">
        <v>3219</v>
      </c>
      <c r="E6508">
        <v>36.869999999999997</v>
      </c>
      <c r="F6508">
        <v>97.69</v>
      </c>
    </row>
    <row r="6509" spans="1:6" x14ac:dyDescent="0.25">
      <c r="A6509" t="s">
        <v>2524</v>
      </c>
      <c r="B6509" t="s">
        <v>47</v>
      </c>
      <c r="C6509" t="s">
        <v>59</v>
      </c>
      <c r="D6509" t="s">
        <v>3217</v>
      </c>
      <c r="E6509">
        <v>0</v>
      </c>
      <c r="F6509">
        <v>96.98</v>
      </c>
    </row>
    <row r="6510" spans="1:6" x14ac:dyDescent="0.25">
      <c r="A6510" t="s">
        <v>2524</v>
      </c>
      <c r="B6510" t="s">
        <v>47</v>
      </c>
      <c r="C6510" t="s">
        <v>59</v>
      </c>
      <c r="D6510" t="s">
        <v>3218</v>
      </c>
      <c r="E6510">
        <v>17.04</v>
      </c>
      <c r="F6510">
        <v>97.64</v>
      </c>
    </row>
    <row r="6511" spans="1:6" x14ac:dyDescent="0.25">
      <c r="A6511" t="s">
        <v>2524</v>
      </c>
      <c r="B6511" t="s">
        <v>47</v>
      </c>
      <c r="C6511" t="s">
        <v>59</v>
      </c>
      <c r="D6511" t="s">
        <v>3219</v>
      </c>
      <c r="E6511">
        <v>31.96</v>
      </c>
      <c r="F6511">
        <v>97.9</v>
      </c>
    </row>
    <row r="6512" spans="1:6" x14ac:dyDescent="0.25">
      <c r="A6512" t="s">
        <v>2525</v>
      </c>
      <c r="B6512" t="s">
        <v>47</v>
      </c>
      <c r="C6512" t="s">
        <v>60</v>
      </c>
      <c r="D6512" t="s">
        <v>3217</v>
      </c>
      <c r="E6512">
        <v>0</v>
      </c>
      <c r="F6512">
        <v>97.37</v>
      </c>
    </row>
    <row r="6513" spans="1:6" x14ac:dyDescent="0.25">
      <c r="A6513" t="s">
        <v>2525</v>
      </c>
      <c r="B6513" t="s">
        <v>47</v>
      </c>
      <c r="C6513" t="s">
        <v>60</v>
      </c>
      <c r="D6513" t="s">
        <v>3218</v>
      </c>
      <c r="E6513">
        <v>17.29</v>
      </c>
      <c r="F6513">
        <v>98.02</v>
      </c>
    </row>
    <row r="6514" spans="1:6" x14ac:dyDescent="0.25">
      <c r="A6514" t="s">
        <v>2525</v>
      </c>
      <c r="B6514" t="s">
        <v>47</v>
      </c>
      <c r="C6514" t="s">
        <v>60</v>
      </c>
      <c r="D6514" t="s">
        <v>3219</v>
      </c>
      <c r="E6514">
        <v>31.98</v>
      </c>
      <c r="F6514">
        <v>98.22</v>
      </c>
    </row>
    <row r="6515" spans="1:6" x14ac:dyDescent="0.25">
      <c r="A6515" t="s">
        <v>2526</v>
      </c>
      <c r="B6515" t="s">
        <v>47</v>
      </c>
      <c r="C6515" t="s">
        <v>61</v>
      </c>
      <c r="D6515" t="s">
        <v>3217</v>
      </c>
      <c r="E6515">
        <v>0</v>
      </c>
      <c r="F6515">
        <v>97.94</v>
      </c>
    </row>
    <row r="6516" spans="1:6" x14ac:dyDescent="0.25">
      <c r="A6516" t="s">
        <v>2526</v>
      </c>
      <c r="B6516" t="s">
        <v>47</v>
      </c>
      <c r="C6516" t="s">
        <v>61</v>
      </c>
      <c r="D6516" t="s">
        <v>3218</v>
      </c>
      <c r="E6516">
        <v>17.04</v>
      </c>
      <c r="F6516">
        <v>98.44</v>
      </c>
    </row>
    <row r="6517" spans="1:6" x14ac:dyDescent="0.25">
      <c r="A6517" t="s">
        <v>2526</v>
      </c>
      <c r="B6517" t="s">
        <v>47</v>
      </c>
      <c r="C6517" t="s">
        <v>61</v>
      </c>
      <c r="D6517" t="s">
        <v>3219</v>
      </c>
      <c r="E6517">
        <v>31.96</v>
      </c>
      <c r="F6517">
        <v>98.74</v>
      </c>
    </row>
    <row r="6518" spans="1:6" x14ac:dyDescent="0.25">
      <c r="A6518" t="s">
        <v>2527</v>
      </c>
      <c r="B6518" t="s">
        <v>47</v>
      </c>
      <c r="C6518" t="s">
        <v>62</v>
      </c>
      <c r="D6518" t="s">
        <v>3217</v>
      </c>
      <c r="E6518">
        <v>0</v>
      </c>
      <c r="F6518">
        <v>98.43</v>
      </c>
    </row>
    <row r="6519" spans="1:6" x14ac:dyDescent="0.25">
      <c r="A6519" t="s">
        <v>2527</v>
      </c>
      <c r="B6519" t="s">
        <v>47</v>
      </c>
      <c r="C6519" t="s">
        <v>62</v>
      </c>
      <c r="D6519" t="s">
        <v>3218</v>
      </c>
      <c r="E6519">
        <v>17.02</v>
      </c>
      <c r="F6519">
        <v>98.89</v>
      </c>
    </row>
    <row r="6520" spans="1:6" x14ac:dyDescent="0.25">
      <c r="A6520" t="s">
        <v>2527</v>
      </c>
      <c r="B6520" t="s">
        <v>47</v>
      </c>
      <c r="C6520" t="s">
        <v>62</v>
      </c>
      <c r="D6520" t="s">
        <v>3219</v>
      </c>
      <c r="E6520">
        <v>33.29</v>
      </c>
      <c r="F6520">
        <v>99.09</v>
      </c>
    </row>
    <row r="6521" spans="1:6" x14ac:dyDescent="0.25">
      <c r="A6521" t="s">
        <v>2528</v>
      </c>
      <c r="B6521" t="s">
        <v>47</v>
      </c>
      <c r="C6521" t="s">
        <v>63</v>
      </c>
      <c r="D6521" t="s">
        <v>3217</v>
      </c>
      <c r="E6521">
        <v>0</v>
      </c>
      <c r="F6521">
        <v>98.93</v>
      </c>
    </row>
    <row r="6522" spans="1:6" x14ac:dyDescent="0.25">
      <c r="A6522" t="s">
        <v>2528</v>
      </c>
      <c r="B6522" t="s">
        <v>47</v>
      </c>
      <c r="C6522" t="s">
        <v>63</v>
      </c>
      <c r="D6522" t="s">
        <v>3218</v>
      </c>
      <c r="E6522">
        <v>16.350000000000001</v>
      </c>
      <c r="F6522">
        <v>99.41</v>
      </c>
    </row>
    <row r="6523" spans="1:6" x14ac:dyDescent="0.25">
      <c r="A6523" t="s">
        <v>2528</v>
      </c>
      <c r="B6523" t="s">
        <v>47</v>
      </c>
      <c r="C6523" t="s">
        <v>63</v>
      </c>
      <c r="D6523" t="s">
        <v>3219</v>
      </c>
      <c r="E6523">
        <v>33.270000000000003</v>
      </c>
      <c r="F6523">
        <v>99.65</v>
      </c>
    </row>
    <row r="6524" spans="1:6" x14ac:dyDescent="0.25">
      <c r="A6524" t="s">
        <v>2529</v>
      </c>
      <c r="B6524" t="s">
        <v>47</v>
      </c>
      <c r="C6524" t="s">
        <v>64</v>
      </c>
      <c r="D6524" t="s">
        <v>3217</v>
      </c>
      <c r="E6524">
        <v>0</v>
      </c>
      <c r="F6524">
        <v>99.54</v>
      </c>
    </row>
    <row r="6525" spans="1:6" x14ac:dyDescent="0.25">
      <c r="A6525" t="s">
        <v>2529</v>
      </c>
      <c r="B6525" t="s">
        <v>47</v>
      </c>
      <c r="C6525" t="s">
        <v>64</v>
      </c>
      <c r="D6525" t="s">
        <v>3218</v>
      </c>
      <c r="E6525">
        <v>15.52</v>
      </c>
      <c r="F6525">
        <v>100.04</v>
      </c>
    </row>
    <row r="6526" spans="1:6" x14ac:dyDescent="0.25">
      <c r="A6526" t="s">
        <v>2529</v>
      </c>
      <c r="B6526" t="s">
        <v>47</v>
      </c>
      <c r="C6526" t="s">
        <v>64</v>
      </c>
      <c r="D6526" t="s">
        <v>3219</v>
      </c>
      <c r="E6526">
        <v>33.32</v>
      </c>
      <c r="F6526">
        <v>100.33</v>
      </c>
    </row>
    <row r="6527" spans="1:6" x14ac:dyDescent="0.25">
      <c r="A6527" t="s">
        <v>2530</v>
      </c>
      <c r="B6527" t="s">
        <v>47</v>
      </c>
      <c r="C6527" t="s">
        <v>65</v>
      </c>
      <c r="D6527" t="s">
        <v>3217</v>
      </c>
      <c r="E6527">
        <v>0</v>
      </c>
      <c r="F6527">
        <v>100.33</v>
      </c>
    </row>
    <row r="6528" spans="1:6" x14ac:dyDescent="0.25">
      <c r="A6528" t="s">
        <v>2530</v>
      </c>
      <c r="B6528" t="s">
        <v>47</v>
      </c>
      <c r="C6528" t="s">
        <v>65</v>
      </c>
      <c r="D6528" t="s">
        <v>3218</v>
      </c>
      <c r="E6528">
        <v>14.61</v>
      </c>
      <c r="F6528">
        <v>100.76</v>
      </c>
    </row>
    <row r="6529" spans="1:6" x14ac:dyDescent="0.25">
      <c r="A6529" t="s">
        <v>2530</v>
      </c>
      <c r="B6529" t="s">
        <v>47</v>
      </c>
      <c r="C6529" t="s">
        <v>65</v>
      </c>
      <c r="D6529" t="s">
        <v>3219</v>
      </c>
      <c r="E6529">
        <v>32.35</v>
      </c>
      <c r="F6529">
        <v>100.97</v>
      </c>
    </row>
    <row r="6530" spans="1:6" x14ac:dyDescent="0.25">
      <c r="A6530" t="s">
        <v>2531</v>
      </c>
      <c r="B6530" t="s">
        <v>47</v>
      </c>
      <c r="C6530" t="s">
        <v>66</v>
      </c>
      <c r="D6530" t="s">
        <v>3217</v>
      </c>
      <c r="E6530">
        <v>0</v>
      </c>
      <c r="F6530">
        <v>101.17</v>
      </c>
    </row>
    <row r="6531" spans="1:6" x14ac:dyDescent="0.25">
      <c r="A6531" t="s">
        <v>2531</v>
      </c>
      <c r="B6531" t="s">
        <v>47</v>
      </c>
      <c r="C6531" t="s">
        <v>66</v>
      </c>
      <c r="D6531" t="s">
        <v>3218</v>
      </c>
      <c r="E6531">
        <v>13.75</v>
      </c>
      <c r="F6531">
        <v>101.6</v>
      </c>
    </row>
    <row r="6532" spans="1:6" x14ac:dyDescent="0.25">
      <c r="A6532" t="s">
        <v>2531</v>
      </c>
      <c r="B6532" t="s">
        <v>47</v>
      </c>
      <c r="C6532" t="s">
        <v>66</v>
      </c>
      <c r="D6532" t="s">
        <v>3219</v>
      </c>
      <c r="E6532">
        <v>33.75</v>
      </c>
      <c r="F6532">
        <v>101.82</v>
      </c>
    </row>
    <row r="6533" spans="1:6" x14ac:dyDescent="0.25">
      <c r="A6533" t="s">
        <v>2532</v>
      </c>
      <c r="B6533" t="s">
        <v>47</v>
      </c>
      <c r="C6533" t="s">
        <v>67</v>
      </c>
      <c r="D6533" t="s">
        <v>3217</v>
      </c>
      <c r="E6533">
        <v>0</v>
      </c>
      <c r="F6533">
        <v>102.02</v>
      </c>
    </row>
    <row r="6534" spans="1:6" x14ac:dyDescent="0.25">
      <c r="A6534" t="s">
        <v>2532</v>
      </c>
      <c r="B6534" t="s">
        <v>47</v>
      </c>
      <c r="C6534" t="s">
        <v>67</v>
      </c>
      <c r="D6534" t="s">
        <v>3218</v>
      </c>
      <c r="E6534">
        <v>13.75</v>
      </c>
      <c r="F6534">
        <v>102.5</v>
      </c>
    </row>
    <row r="6535" spans="1:6" x14ac:dyDescent="0.25">
      <c r="A6535" t="s">
        <v>2532</v>
      </c>
      <c r="B6535" t="s">
        <v>47</v>
      </c>
      <c r="C6535" t="s">
        <v>67</v>
      </c>
      <c r="D6535" t="s">
        <v>3219</v>
      </c>
      <c r="E6535">
        <v>33.75</v>
      </c>
      <c r="F6535">
        <v>102.86</v>
      </c>
    </row>
    <row r="6536" spans="1:6" x14ac:dyDescent="0.25">
      <c r="A6536" t="s">
        <v>2533</v>
      </c>
      <c r="B6536" t="s">
        <v>47</v>
      </c>
      <c r="C6536" t="s">
        <v>68</v>
      </c>
      <c r="D6536" t="s">
        <v>3217</v>
      </c>
      <c r="E6536">
        <v>0</v>
      </c>
      <c r="F6536">
        <v>102.83</v>
      </c>
    </row>
    <row r="6537" spans="1:6" x14ac:dyDescent="0.25">
      <c r="A6537" t="s">
        <v>2533</v>
      </c>
      <c r="B6537" t="s">
        <v>47</v>
      </c>
      <c r="C6537" t="s">
        <v>68</v>
      </c>
      <c r="D6537" t="s">
        <v>3218</v>
      </c>
      <c r="E6537">
        <v>13.53</v>
      </c>
      <c r="F6537">
        <v>103.41</v>
      </c>
    </row>
    <row r="6538" spans="1:6" x14ac:dyDescent="0.25">
      <c r="A6538" t="s">
        <v>2533</v>
      </c>
      <c r="B6538" t="s">
        <v>47</v>
      </c>
      <c r="C6538" t="s">
        <v>68</v>
      </c>
      <c r="D6538" t="s">
        <v>3219</v>
      </c>
      <c r="E6538">
        <v>32.24</v>
      </c>
      <c r="F6538">
        <v>103.98</v>
      </c>
    </row>
    <row r="6539" spans="1:6" x14ac:dyDescent="0.25">
      <c r="A6539" t="s">
        <v>2534</v>
      </c>
      <c r="B6539" t="s">
        <v>47</v>
      </c>
      <c r="C6539" t="s">
        <v>69</v>
      </c>
      <c r="D6539" t="s">
        <v>3217</v>
      </c>
      <c r="E6539">
        <v>0</v>
      </c>
      <c r="F6539">
        <v>103.46</v>
      </c>
    </row>
    <row r="6540" spans="1:6" x14ac:dyDescent="0.25">
      <c r="A6540" t="s">
        <v>2534</v>
      </c>
      <c r="B6540" t="s">
        <v>47</v>
      </c>
      <c r="C6540" t="s">
        <v>69</v>
      </c>
      <c r="D6540" t="s">
        <v>3218</v>
      </c>
      <c r="E6540">
        <v>13.53</v>
      </c>
      <c r="F6540">
        <v>104.07</v>
      </c>
    </row>
    <row r="6541" spans="1:6" x14ac:dyDescent="0.25">
      <c r="A6541" t="s">
        <v>2534</v>
      </c>
      <c r="B6541" t="s">
        <v>47</v>
      </c>
      <c r="C6541" t="s">
        <v>69</v>
      </c>
      <c r="D6541" t="s">
        <v>3219</v>
      </c>
      <c r="E6541">
        <v>33.53</v>
      </c>
      <c r="F6541">
        <v>104.64</v>
      </c>
    </row>
    <row r="6542" spans="1:6" x14ac:dyDescent="0.25">
      <c r="A6542" t="s">
        <v>2535</v>
      </c>
      <c r="B6542" t="s">
        <v>47</v>
      </c>
      <c r="C6542" t="s">
        <v>70</v>
      </c>
      <c r="D6542" t="s">
        <v>3217</v>
      </c>
      <c r="E6542">
        <v>0</v>
      </c>
      <c r="F6542">
        <v>104.06</v>
      </c>
    </row>
    <row r="6543" spans="1:6" x14ac:dyDescent="0.25">
      <c r="A6543" t="s">
        <v>2535</v>
      </c>
      <c r="B6543" t="s">
        <v>47</v>
      </c>
      <c r="C6543" t="s">
        <v>70</v>
      </c>
      <c r="D6543" t="s">
        <v>3218</v>
      </c>
      <c r="E6543">
        <v>13.2</v>
      </c>
      <c r="F6543">
        <v>104.7</v>
      </c>
    </row>
    <row r="6544" spans="1:6" x14ac:dyDescent="0.25">
      <c r="A6544" t="s">
        <v>2535</v>
      </c>
      <c r="B6544" t="s">
        <v>47</v>
      </c>
      <c r="C6544" t="s">
        <v>70</v>
      </c>
      <c r="D6544" t="s">
        <v>3219</v>
      </c>
      <c r="E6544">
        <v>33.200000000000003</v>
      </c>
      <c r="F6544">
        <v>105.28</v>
      </c>
    </row>
    <row r="6545" spans="1:6" x14ac:dyDescent="0.25">
      <c r="A6545" t="s">
        <v>2536</v>
      </c>
      <c r="B6545" t="s">
        <v>47</v>
      </c>
      <c r="C6545" t="s">
        <v>71</v>
      </c>
      <c r="D6545" t="s">
        <v>3217</v>
      </c>
      <c r="E6545">
        <v>0</v>
      </c>
      <c r="F6545">
        <v>104.64</v>
      </c>
    </row>
    <row r="6546" spans="1:6" x14ac:dyDescent="0.25">
      <c r="A6546" t="s">
        <v>2536</v>
      </c>
      <c r="B6546" t="s">
        <v>47</v>
      </c>
      <c r="C6546" t="s">
        <v>71</v>
      </c>
      <c r="D6546" t="s">
        <v>3218</v>
      </c>
      <c r="E6546">
        <v>13.53</v>
      </c>
      <c r="F6546">
        <v>105.33</v>
      </c>
    </row>
    <row r="6547" spans="1:6" x14ac:dyDescent="0.25">
      <c r="A6547" t="s">
        <v>2536</v>
      </c>
      <c r="B6547" t="s">
        <v>47</v>
      </c>
      <c r="C6547" t="s">
        <v>71</v>
      </c>
      <c r="D6547" t="s">
        <v>3219</v>
      </c>
      <c r="E6547">
        <v>28</v>
      </c>
      <c r="F6547">
        <v>105.65</v>
      </c>
    </row>
    <row r="6548" spans="1:6" x14ac:dyDescent="0.25">
      <c r="A6548" t="s">
        <v>2537</v>
      </c>
      <c r="B6548" t="s">
        <v>47</v>
      </c>
      <c r="C6548" t="s">
        <v>72</v>
      </c>
      <c r="D6548" t="s">
        <v>3217</v>
      </c>
      <c r="E6548">
        <v>0</v>
      </c>
      <c r="F6548">
        <v>105.32</v>
      </c>
    </row>
    <row r="6549" spans="1:6" x14ac:dyDescent="0.25">
      <c r="A6549" t="s">
        <v>2537</v>
      </c>
      <c r="B6549" t="s">
        <v>47</v>
      </c>
      <c r="C6549" t="s">
        <v>72</v>
      </c>
      <c r="D6549" t="s">
        <v>3218</v>
      </c>
      <c r="E6549">
        <v>14.41</v>
      </c>
      <c r="F6549">
        <v>105.71</v>
      </c>
    </row>
    <row r="6550" spans="1:6" x14ac:dyDescent="0.25">
      <c r="A6550" t="s">
        <v>2537</v>
      </c>
      <c r="B6550" t="s">
        <v>47</v>
      </c>
      <c r="C6550" t="s">
        <v>72</v>
      </c>
      <c r="D6550" t="s">
        <v>3219</v>
      </c>
      <c r="E6550">
        <v>28.73</v>
      </c>
      <c r="F6550">
        <v>105.89</v>
      </c>
    </row>
    <row r="6551" spans="1:6" x14ac:dyDescent="0.25">
      <c r="A6551" t="s">
        <v>2538</v>
      </c>
      <c r="B6551" t="s">
        <v>47</v>
      </c>
      <c r="C6551" t="s">
        <v>73</v>
      </c>
      <c r="D6551" t="s">
        <v>3217</v>
      </c>
      <c r="E6551">
        <v>0</v>
      </c>
      <c r="F6551">
        <v>105.77</v>
      </c>
    </row>
    <row r="6552" spans="1:6" x14ac:dyDescent="0.25">
      <c r="A6552" t="s">
        <v>2538</v>
      </c>
      <c r="B6552" t="s">
        <v>47</v>
      </c>
      <c r="C6552" t="s">
        <v>73</v>
      </c>
      <c r="D6552" t="s">
        <v>3218</v>
      </c>
      <c r="E6552">
        <v>15.29</v>
      </c>
      <c r="F6552">
        <v>106.21</v>
      </c>
    </row>
    <row r="6553" spans="1:6" x14ac:dyDescent="0.25">
      <c r="A6553" t="s">
        <v>2538</v>
      </c>
      <c r="B6553" t="s">
        <v>47</v>
      </c>
      <c r="C6553" t="s">
        <v>73</v>
      </c>
      <c r="D6553" t="s">
        <v>3219</v>
      </c>
      <c r="E6553">
        <v>29.73</v>
      </c>
      <c r="F6553">
        <v>106.6</v>
      </c>
    </row>
    <row r="6554" spans="1:6" x14ac:dyDescent="0.25">
      <c r="A6554" t="s">
        <v>2539</v>
      </c>
      <c r="B6554" t="s">
        <v>47</v>
      </c>
      <c r="C6554" t="s">
        <v>74</v>
      </c>
      <c r="D6554" t="s">
        <v>3217</v>
      </c>
      <c r="E6554">
        <v>0</v>
      </c>
      <c r="F6554">
        <v>106.34</v>
      </c>
    </row>
    <row r="6555" spans="1:6" x14ac:dyDescent="0.25">
      <c r="A6555" t="s">
        <v>2539</v>
      </c>
      <c r="B6555" t="s">
        <v>47</v>
      </c>
      <c r="C6555" t="s">
        <v>74</v>
      </c>
      <c r="D6555" t="s">
        <v>3218</v>
      </c>
      <c r="E6555">
        <v>14.41</v>
      </c>
      <c r="F6555">
        <v>106.69</v>
      </c>
    </row>
    <row r="6556" spans="1:6" x14ac:dyDescent="0.25">
      <c r="A6556" t="s">
        <v>2539</v>
      </c>
      <c r="B6556" t="s">
        <v>47</v>
      </c>
      <c r="C6556" t="s">
        <v>74</v>
      </c>
      <c r="D6556" t="s">
        <v>3219</v>
      </c>
      <c r="E6556">
        <v>28.73</v>
      </c>
      <c r="F6556">
        <v>107.03</v>
      </c>
    </row>
    <row r="6557" spans="1:6" x14ac:dyDescent="0.25">
      <c r="A6557" t="s">
        <v>2540</v>
      </c>
      <c r="B6557" t="s">
        <v>47</v>
      </c>
      <c r="C6557" t="s">
        <v>75</v>
      </c>
      <c r="D6557" t="s">
        <v>3217</v>
      </c>
      <c r="E6557">
        <v>0</v>
      </c>
      <c r="F6557">
        <v>106.65</v>
      </c>
    </row>
    <row r="6558" spans="1:6" x14ac:dyDescent="0.25">
      <c r="A6558" t="s">
        <v>2540</v>
      </c>
      <c r="B6558" t="s">
        <v>47</v>
      </c>
      <c r="C6558" t="s">
        <v>75</v>
      </c>
      <c r="D6558" t="s">
        <v>3218</v>
      </c>
      <c r="E6558">
        <v>14.11</v>
      </c>
      <c r="F6558">
        <v>107.22</v>
      </c>
    </row>
    <row r="6559" spans="1:6" x14ac:dyDescent="0.25">
      <c r="A6559" t="s">
        <v>2540</v>
      </c>
      <c r="B6559" t="s">
        <v>47</v>
      </c>
      <c r="C6559" t="s">
        <v>75</v>
      </c>
      <c r="D6559" t="s">
        <v>3219</v>
      </c>
      <c r="E6559">
        <v>27.64</v>
      </c>
      <c r="F6559">
        <v>107.35</v>
      </c>
    </row>
    <row r="6560" spans="1:6" x14ac:dyDescent="0.25">
      <c r="A6560" t="s">
        <v>2541</v>
      </c>
      <c r="B6560" t="s">
        <v>47</v>
      </c>
      <c r="C6560" t="s">
        <v>76</v>
      </c>
      <c r="D6560" t="s">
        <v>3217</v>
      </c>
      <c r="E6560">
        <v>0</v>
      </c>
      <c r="F6560">
        <v>106.8</v>
      </c>
    </row>
    <row r="6561" spans="1:6" x14ac:dyDescent="0.25">
      <c r="A6561" t="s">
        <v>2541</v>
      </c>
      <c r="B6561" t="s">
        <v>47</v>
      </c>
      <c r="C6561" t="s">
        <v>76</v>
      </c>
      <c r="D6561" t="s">
        <v>3218</v>
      </c>
      <c r="E6561">
        <v>13.61</v>
      </c>
      <c r="F6561">
        <v>107.45</v>
      </c>
    </row>
    <row r="6562" spans="1:6" x14ac:dyDescent="0.25">
      <c r="A6562" t="s">
        <v>2541</v>
      </c>
      <c r="B6562" t="s">
        <v>47</v>
      </c>
      <c r="C6562" t="s">
        <v>76</v>
      </c>
      <c r="D6562" t="s">
        <v>3219</v>
      </c>
      <c r="E6562">
        <v>27.14</v>
      </c>
      <c r="F6562">
        <v>107.57</v>
      </c>
    </row>
    <row r="6563" spans="1:6" x14ac:dyDescent="0.25">
      <c r="A6563" t="s">
        <v>2542</v>
      </c>
      <c r="B6563" t="s">
        <v>47</v>
      </c>
      <c r="C6563" t="s">
        <v>77</v>
      </c>
      <c r="D6563" t="s">
        <v>3217</v>
      </c>
      <c r="E6563">
        <v>0</v>
      </c>
      <c r="F6563">
        <v>107.09</v>
      </c>
    </row>
    <row r="6564" spans="1:6" x14ac:dyDescent="0.25">
      <c r="A6564" t="s">
        <v>2542</v>
      </c>
      <c r="B6564" t="s">
        <v>47</v>
      </c>
      <c r="C6564" t="s">
        <v>77</v>
      </c>
      <c r="D6564" t="s">
        <v>3218</v>
      </c>
      <c r="E6564">
        <v>12.74</v>
      </c>
      <c r="F6564">
        <v>107.69</v>
      </c>
    </row>
    <row r="6565" spans="1:6" x14ac:dyDescent="0.25">
      <c r="A6565" t="s">
        <v>2542</v>
      </c>
      <c r="B6565" t="s">
        <v>47</v>
      </c>
      <c r="C6565" t="s">
        <v>77</v>
      </c>
      <c r="D6565" t="s">
        <v>3219</v>
      </c>
      <c r="E6565">
        <v>26.04</v>
      </c>
      <c r="F6565">
        <v>107.82</v>
      </c>
    </row>
    <row r="6566" spans="1:6" x14ac:dyDescent="0.25">
      <c r="A6566" t="s">
        <v>2543</v>
      </c>
      <c r="B6566" t="s">
        <v>47</v>
      </c>
      <c r="C6566" t="s">
        <v>78</v>
      </c>
      <c r="D6566" t="s">
        <v>3217</v>
      </c>
      <c r="E6566">
        <v>0</v>
      </c>
      <c r="F6566">
        <v>107.43</v>
      </c>
    </row>
    <row r="6567" spans="1:6" x14ac:dyDescent="0.25">
      <c r="A6567" t="s">
        <v>2543</v>
      </c>
      <c r="B6567" t="s">
        <v>47</v>
      </c>
      <c r="C6567" t="s">
        <v>78</v>
      </c>
      <c r="D6567" t="s">
        <v>3218</v>
      </c>
      <c r="E6567">
        <v>12.11</v>
      </c>
      <c r="F6567">
        <v>107.86</v>
      </c>
    </row>
    <row r="6568" spans="1:6" x14ac:dyDescent="0.25">
      <c r="A6568" t="s">
        <v>2543</v>
      </c>
      <c r="B6568" t="s">
        <v>47</v>
      </c>
      <c r="C6568" t="s">
        <v>78</v>
      </c>
      <c r="D6568" t="s">
        <v>3219</v>
      </c>
      <c r="E6568">
        <v>25.64</v>
      </c>
      <c r="F6568">
        <v>107.75</v>
      </c>
    </row>
    <row r="6569" spans="1:6" x14ac:dyDescent="0.25">
      <c r="A6569" t="s">
        <v>2544</v>
      </c>
      <c r="B6569" t="s">
        <v>47</v>
      </c>
      <c r="C6569" t="s">
        <v>79</v>
      </c>
      <c r="D6569" t="s">
        <v>3217</v>
      </c>
      <c r="E6569">
        <v>0</v>
      </c>
      <c r="F6569">
        <v>107.73</v>
      </c>
    </row>
    <row r="6570" spans="1:6" x14ac:dyDescent="0.25">
      <c r="A6570" t="s">
        <v>2544</v>
      </c>
      <c r="B6570" t="s">
        <v>47</v>
      </c>
      <c r="C6570" t="s">
        <v>79</v>
      </c>
      <c r="D6570" t="s">
        <v>3218</v>
      </c>
      <c r="E6570">
        <v>12.52</v>
      </c>
      <c r="F6570">
        <v>108.07</v>
      </c>
    </row>
    <row r="6571" spans="1:6" x14ac:dyDescent="0.25">
      <c r="A6571" t="s">
        <v>2544</v>
      </c>
      <c r="B6571" t="s">
        <v>47</v>
      </c>
      <c r="C6571" t="s">
        <v>79</v>
      </c>
      <c r="D6571" t="s">
        <v>3219</v>
      </c>
      <c r="E6571">
        <v>25.47</v>
      </c>
      <c r="F6571">
        <v>108.12</v>
      </c>
    </row>
    <row r="6572" spans="1:6" x14ac:dyDescent="0.25">
      <c r="A6572" t="s">
        <v>2545</v>
      </c>
      <c r="B6572" t="s">
        <v>47</v>
      </c>
      <c r="C6572" t="s">
        <v>80</v>
      </c>
      <c r="D6572" t="s">
        <v>3217</v>
      </c>
      <c r="E6572">
        <v>0</v>
      </c>
      <c r="F6572">
        <v>107.99</v>
      </c>
    </row>
    <row r="6573" spans="1:6" x14ac:dyDescent="0.25">
      <c r="A6573" t="s">
        <v>2545</v>
      </c>
      <c r="B6573" t="s">
        <v>47</v>
      </c>
      <c r="C6573" t="s">
        <v>80</v>
      </c>
      <c r="D6573" t="s">
        <v>3218</v>
      </c>
      <c r="E6573">
        <v>12.72</v>
      </c>
      <c r="F6573">
        <v>108.31</v>
      </c>
    </row>
    <row r="6574" spans="1:6" x14ac:dyDescent="0.25">
      <c r="A6574" t="s">
        <v>2545</v>
      </c>
      <c r="B6574" t="s">
        <v>47</v>
      </c>
      <c r="C6574" t="s">
        <v>80</v>
      </c>
      <c r="D6574" t="s">
        <v>3219</v>
      </c>
      <c r="E6574">
        <v>26.52</v>
      </c>
      <c r="F6574">
        <v>108.16</v>
      </c>
    </row>
    <row r="6575" spans="1:6" x14ac:dyDescent="0.25">
      <c r="A6575" t="s">
        <v>2546</v>
      </c>
      <c r="B6575" t="s">
        <v>47</v>
      </c>
      <c r="C6575" t="s">
        <v>81</v>
      </c>
      <c r="D6575" t="s">
        <v>3217</v>
      </c>
      <c r="E6575">
        <v>0</v>
      </c>
      <c r="F6575">
        <v>108.35</v>
      </c>
    </row>
    <row r="6576" spans="1:6" x14ac:dyDescent="0.25">
      <c r="A6576" t="s">
        <v>2546</v>
      </c>
      <c r="B6576" t="s">
        <v>47</v>
      </c>
      <c r="C6576" t="s">
        <v>81</v>
      </c>
      <c r="D6576" t="s">
        <v>3218</v>
      </c>
      <c r="E6576">
        <v>13.24</v>
      </c>
      <c r="F6576">
        <v>108.6</v>
      </c>
    </row>
    <row r="6577" spans="1:6" x14ac:dyDescent="0.25">
      <c r="A6577" t="s">
        <v>2546</v>
      </c>
      <c r="B6577" t="s">
        <v>47</v>
      </c>
      <c r="C6577" t="s">
        <v>81</v>
      </c>
      <c r="D6577" t="s">
        <v>3219</v>
      </c>
      <c r="E6577">
        <v>27.66</v>
      </c>
      <c r="F6577">
        <v>108.28</v>
      </c>
    </row>
    <row r="6578" spans="1:6" x14ac:dyDescent="0.25">
      <c r="A6578" t="s">
        <v>2547</v>
      </c>
      <c r="B6578" t="s">
        <v>47</v>
      </c>
      <c r="C6578" t="s">
        <v>82</v>
      </c>
      <c r="D6578" t="s">
        <v>3217</v>
      </c>
      <c r="E6578">
        <v>0</v>
      </c>
      <c r="F6578">
        <v>108.51</v>
      </c>
    </row>
    <row r="6579" spans="1:6" x14ac:dyDescent="0.25">
      <c r="A6579" t="s">
        <v>2547</v>
      </c>
      <c r="B6579" t="s">
        <v>47</v>
      </c>
      <c r="C6579" t="s">
        <v>82</v>
      </c>
      <c r="D6579" t="s">
        <v>3218</v>
      </c>
      <c r="E6579">
        <v>13.53</v>
      </c>
      <c r="F6579">
        <v>108.79</v>
      </c>
    </row>
    <row r="6580" spans="1:6" x14ac:dyDescent="0.25">
      <c r="A6580" t="s">
        <v>2547</v>
      </c>
      <c r="B6580" t="s">
        <v>47</v>
      </c>
      <c r="C6580" t="s">
        <v>82</v>
      </c>
      <c r="D6580" t="s">
        <v>3219</v>
      </c>
      <c r="E6580">
        <v>28.36</v>
      </c>
      <c r="F6580">
        <v>108.37</v>
      </c>
    </row>
    <row r="6581" spans="1:6" x14ac:dyDescent="0.25">
      <c r="A6581" t="s">
        <v>2548</v>
      </c>
      <c r="B6581" t="s">
        <v>47</v>
      </c>
      <c r="C6581" t="s">
        <v>83</v>
      </c>
      <c r="D6581" t="s">
        <v>3217</v>
      </c>
      <c r="E6581">
        <v>0</v>
      </c>
      <c r="F6581">
        <v>108.82</v>
      </c>
    </row>
    <row r="6582" spans="1:6" x14ac:dyDescent="0.25">
      <c r="A6582" t="s">
        <v>2548</v>
      </c>
      <c r="B6582" t="s">
        <v>47</v>
      </c>
      <c r="C6582" t="s">
        <v>83</v>
      </c>
      <c r="D6582" t="s">
        <v>3218</v>
      </c>
      <c r="E6582">
        <v>13.24</v>
      </c>
      <c r="F6582">
        <v>108.92</v>
      </c>
    </row>
    <row r="6583" spans="1:6" x14ac:dyDescent="0.25">
      <c r="A6583" t="s">
        <v>2548</v>
      </c>
      <c r="B6583" t="s">
        <v>47</v>
      </c>
      <c r="C6583" t="s">
        <v>83</v>
      </c>
      <c r="D6583" t="s">
        <v>3219</v>
      </c>
      <c r="E6583">
        <v>28.34</v>
      </c>
      <c r="F6583">
        <v>108.37</v>
      </c>
    </row>
    <row r="6584" spans="1:6" x14ac:dyDescent="0.25">
      <c r="A6584" t="s">
        <v>2549</v>
      </c>
      <c r="B6584" t="s">
        <v>47</v>
      </c>
      <c r="C6584" t="s">
        <v>84</v>
      </c>
      <c r="D6584" t="s">
        <v>3217</v>
      </c>
      <c r="E6584">
        <v>0</v>
      </c>
      <c r="F6584">
        <v>109.02</v>
      </c>
    </row>
    <row r="6585" spans="1:6" x14ac:dyDescent="0.25">
      <c r="A6585" t="s">
        <v>2549</v>
      </c>
      <c r="B6585" t="s">
        <v>47</v>
      </c>
      <c r="C6585" t="s">
        <v>84</v>
      </c>
      <c r="D6585" t="s">
        <v>3218</v>
      </c>
      <c r="E6585">
        <v>13.23</v>
      </c>
      <c r="F6585">
        <v>109.02</v>
      </c>
    </row>
    <row r="6586" spans="1:6" x14ac:dyDescent="0.25">
      <c r="A6586" t="s">
        <v>2549</v>
      </c>
      <c r="B6586" t="s">
        <v>47</v>
      </c>
      <c r="C6586" t="s">
        <v>84</v>
      </c>
      <c r="D6586" t="s">
        <v>3219</v>
      </c>
      <c r="E6586">
        <v>27.85</v>
      </c>
      <c r="F6586">
        <v>108.71</v>
      </c>
    </row>
    <row r="6587" spans="1:6" x14ac:dyDescent="0.25">
      <c r="A6587" t="s">
        <v>2550</v>
      </c>
      <c r="B6587" t="s">
        <v>47</v>
      </c>
      <c r="C6587" t="s">
        <v>85</v>
      </c>
      <c r="D6587" t="s">
        <v>3217</v>
      </c>
      <c r="E6587">
        <v>0</v>
      </c>
      <c r="F6587">
        <v>108.89</v>
      </c>
    </row>
    <row r="6588" spans="1:6" x14ac:dyDescent="0.25">
      <c r="A6588" t="s">
        <v>2550</v>
      </c>
      <c r="B6588" t="s">
        <v>47</v>
      </c>
      <c r="C6588" t="s">
        <v>85</v>
      </c>
      <c r="D6588" t="s">
        <v>3218</v>
      </c>
      <c r="E6588">
        <v>13.14</v>
      </c>
      <c r="F6588">
        <v>109.28</v>
      </c>
    </row>
    <row r="6589" spans="1:6" x14ac:dyDescent="0.25">
      <c r="A6589" t="s">
        <v>2550</v>
      </c>
      <c r="B6589" t="s">
        <v>47</v>
      </c>
      <c r="C6589" t="s">
        <v>85</v>
      </c>
      <c r="D6589" t="s">
        <v>3219</v>
      </c>
      <c r="E6589">
        <v>26.88</v>
      </c>
      <c r="F6589">
        <v>108.83</v>
      </c>
    </row>
    <row r="6590" spans="1:6" x14ac:dyDescent="0.25">
      <c r="A6590" t="s">
        <v>2551</v>
      </c>
      <c r="B6590" t="s">
        <v>47</v>
      </c>
      <c r="C6590" t="s">
        <v>86</v>
      </c>
      <c r="D6590" t="s">
        <v>3217</v>
      </c>
      <c r="E6590">
        <v>0</v>
      </c>
      <c r="F6590">
        <v>109.35</v>
      </c>
    </row>
    <row r="6591" spans="1:6" x14ac:dyDescent="0.25">
      <c r="A6591" t="s">
        <v>2551</v>
      </c>
      <c r="B6591" t="s">
        <v>47</v>
      </c>
      <c r="C6591" t="s">
        <v>86</v>
      </c>
      <c r="D6591" t="s">
        <v>3218</v>
      </c>
      <c r="E6591">
        <v>13.54</v>
      </c>
      <c r="F6591">
        <v>109.31</v>
      </c>
    </row>
    <row r="6592" spans="1:6" x14ac:dyDescent="0.25">
      <c r="A6592" t="s">
        <v>2551</v>
      </c>
      <c r="B6592" t="s">
        <v>47</v>
      </c>
      <c r="C6592" t="s">
        <v>86</v>
      </c>
      <c r="D6592" t="s">
        <v>3219</v>
      </c>
      <c r="E6592">
        <v>26.9</v>
      </c>
      <c r="F6592">
        <v>109.11</v>
      </c>
    </row>
    <row r="6593" spans="1:6" x14ac:dyDescent="0.25">
      <c r="A6593" t="s">
        <v>2552</v>
      </c>
      <c r="B6593" t="s">
        <v>47</v>
      </c>
      <c r="C6593" t="s">
        <v>87</v>
      </c>
      <c r="D6593" t="s">
        <v>3217</v>
      </c>
      <c r="E6593">
        <v>0</v>
      </c>
      <c r="F6593">
        <v>109.27</v>
      </c>
    </row>
    <row r="6594" spans="1:6" x14ac:dyDescent="0.25">
      <c r="A6594" t="s">
        <v>2552</v>
      </c>
      <c r="B6594" t="s">
        <v>47</v>
      </c>
      <c r="C6594" t="s">
        <v>87</v>
      </c>
      <c r="D6594" t="s">
        <v>3218</v>
      </c>
      <c r="E6594">
        <v>13.06</v>
      </c>
      <c r="F6594">
        <v>109.42</v>
      </c>
    </row>
    <row r="6595" spans="1:6" x14ac:dyDescent="0.25">
      <c r="A6595" t="s">
        <v>2552</v>
      </c>
      <c r="B6595" t="s">
        <v>47</v>
      </c>
      <c r="C6595" t="s">
        <v>87</v>
      </c>
      <c r="D6595" t="s">
        <v>3219</v>
      </c>
      <c r="E6595">
        <v>26.27</v>
      </c>
      <c r="F6595">
        <v>109.17</v>
      </c>
    </row>
    <row r="6596" spans="1:6" x14ac:dyDescent="0.25">
      <c r="A6596" t="s">
        <v>2553</v>
      </c>
      <c r="B6596" t="s">
        <v>47</v>
      </c>
      <c r="C6596" t="s">
        <v>88</v>
      </c>
      <c r="D6596" t="s">
        <v>3217</v>
      </c>
      <c r="E6596">
        <v>0</v>
      </c>
      <c r="F6596">
        <v>109.51</v>
      </c>
    </row>
    <row r="6597" spans="1:6" x14ac:dyDescent="0.25">
      <c r="A6597" t="s">
        <v>2553</v>
      </c>
      <c r="B6597" t="s">
        <v>47</v>
      </c>
      <c r="C6597" t="s">
        <v>88</v>
      </c>
      <c r="D6597" t="s">
        <v>3218</v>
      </c>
      <c r="E6597">
        <v>13.06</v>
      </c>
      <c r="F6597">
        <v>109.4</v>
      </c>
    </row>
    <row r="6598" spans="1:6" x14ac:dyDescent="0.25">
      <c r="A6598" t="s">
        <v>2553</v>
      </c>
      <c r="B6598" t="s">
        <v>47</v>
      </c>
      <c r="C6598" t="s">
        <v>88</v>
      </c>
      <c r="D6598" t="s">
        <v>3219</v>
      </c>
      <c r="E6598">
        <v>26.27</v>
      </c>
      <c r="F6598">
        <v>109.22</v>
      </c>
    </row>
    <row r="6599" spans="1:6" x14ac:dyDescent="0.25">
      <c r="A6599" t="s">
        <v>2554</v>
      </c>
      <c r="B6599" t="s">
        <v>47</v>
      </c>
      <c r="C6599" t="s">
        <v>89</v>
      </c>
      <c r="D6599" t="s">
        <v>3217</v>
      </c>
      <c r="E6599">
        <v>0</v>
      </c>
      <c r="F6599">
        <v>109.7</v>
      </c>
    </row>
    <row r="6600" spans="1:6" x14ac:dyDescent="0.25">
      <c r="A6600" t="s">
        <v>2554</v>
      </c>
      <c r="B6600" t="s">
        <v>47</v>
      </c>
      <c r="C6600" t="s">
        <v>89</v>
      </c>
      <c r="D6600" t="s">
        <v>3218</v>
      </c>
      <c r="E6600">
        <v>12.79</v>
      </c>
      <c r="F6600">
        <v>109.6</v>
      </c>
    </row>
    <row r="6601" spans="1:6" x14ac:dyDescent="0.25">
      <c r="A6601" t="s">
        <v>2554</v>
      </c>
      <c r="B6601" t="s">
        <v>47</v>
      </c>
      <c r="C6601" t="s">
        <v>89</v>
      </c>
      <c r="D6601" t="s">
        <v>3219</v>
      </c>
      <c r="E6601">
        <v>25.95</v>
      </c>
      <c r="F6601">
        <v>109.37</v>
      </c>
    </row>
    <row r="6602" spans="1:6" x14ac:dyDescent="0.25">
      <c r="A6602" t="s">
        <v>2555</v>
      </c>
      <c r="B6602" t="s">
        <v>47</v>
      </c>
      <c r="C6602" t="s">
        <v>90</v>
      </c>
      <c r="D6602" t="s">
        <v>3217</v>
      </c>
      <c r="E6602">
        <v>0</v>
      </c>
      <c r="F6602">
        <v>109.74</v>
      </c>
    </row>
    <row r="6603" spans="1:6" x14ac:dyDescent="0.25">
      <c r="A6603" t="s">
        <v>2555</v>
      </c>
      <c r="B6603" t="s">
        <v>47</v>
      </c>
      <c r="C6603" t="s">
        <v>90</v>
      </c>
      <c r="D6603" t="s">
        <v>3218</v>
      </c>
      <c r="E6603">
        <v>13.16</v>
      </c>
      <c r="F6603">
        <v>109.66</v>
      </c>
    </row>
    <row r="6604" spans="1:6" x14ac:dyDescent="0.25">
      <c r="A6604" t="s">
        <v>2555</v>
      </c>
      <c r="B6604" t="s">
        <v>47</v>
      </c>
      <c r="C6604" t="s">
        <v>90</v>
      </c>
      <c r="D6604" t="s">
        <v>3219</v>
      </c>
      <c r="E6604">
        <v>20.41</v>
      </c>
      <c r="F6604">
        <v>109.79</v>
      </c>
    </row>
    <row r="6605" spans="1:6" x14ac:dyDescent="0.25">
      <c r="A6605" t="s">
        <v>2556</v>
      </c>
      <c r="B6605" t="s">
        <v>47</v>
      </c>
      <c r="C6605" t="s">
        <v>91</v>
      </c>
      <c r="D6605" t="s">
        <v>3217</v>
      </c>
      <c r="E6605">
        <v>0</v>
      </c>
      <c r="F6605">
        <v>109.68</v>
      </c>
    </row>
    <row r="6606" spans="1:6" x14ac:dyDescent="0.25">
      <c r="A6606" t="s">
        <v>2556</v>
      </c>
      <c r="B6606" t="s">
        <v>47</v>
      </c>
      <c r="C6606" t="s">
        <v>91</v>
      </c>
      <c r="D6606" t="s">
        <v>3218</v>
      </c>
      <c r="E6606">
        <v>13.35</v>
      </c>
      <c r="F6606">
        <v>109.72</v>
      </c>
    </row>
    <row r="6607" spans="1:6" x14ac:dyDescent="0.25">
      <c r="A6607" t="s">
        <v>2556</v>
      </c>
      <c r="B6607" t="s">
        <v>47</v>
      </c>
      <c r="C6607" t="s">
        <v>91</v>
      </c>
      <c r="D6607" t="s">
        <v>3219</v>
      </c>
      <c r="E6607">
        <v>26.51</v>
      </c>
      <c r="F6607">
        <v>109.44</v>
      </c>
    </row>
    <row r="6608" spans="1:6" x14ac:dyDescent="0.25">
      <c r="A6608" t="s">
        <v>2557</v>
      </c>
      <c r="B6608" t="s">
        <v>47</v>
      </c>
      <c r="C6608" t="s">
        <v>92</v>
      </c>
      <c r="D6608" t="s">
        <v>3217</v>
      </c>
      <c r="E6608">
        <v>0</v>
      </c>
      <c r="F6608">
        <v>109.76</v>
      </c>
    </row>
    <row r="6609" spans="1:6" x14ac:dyDescent="0.25">
      <c r="A6609" t="s">
        <v>2557</v>
      </c>
      <c r="B6609" t="s">
        <v>47</v>
      </c>
      <c r="C6609" t="s">
        <v>92</v>
      </c>
      <c r="D6609" t="s">
        <v>3218</v>
      </c>
      <c r="E6609">
        <v>13.7</v>
      </c>
      <c r="F6609">
        <v>109.68</v>
      </c>
    </row>
    <row r="6610" spans="1:6" x14ac:dyDescent="0.25">
      <c r="A6610" t="s">
        <v>2557</v>
      </c>
      <c r="B6610" t="s">
        <v>47</v>
      </c>
      <c r="C6610" t="s">
        <v>92</v>
      </c>
      <c r="D6610" t="s">
        <v>3219</v>
      </c>
      <c r="E6610">
        <v>27.02</v>
      </c>
      <c r="F6610">
        <v>109.39</v>
      </c>
    </row>
    <row r="6611" spans="1:6" x14ac:dyDescent="0.25">
      <c r="A6611" t="s">
        <v>2558</v>
      </c>
      <c r="B6611" t="s">
        <v>47</v>
      </c>
      <c r="C6611" t="s">
        <v>93</v>
      </c>
      <c r="D6611" t="s">
        <v>3217</v>
      </c>
      <c r="E6611">
        <v>0</v>
      </c>
      <c r="F6611">
        <v>109.7</v>
      </c>
    </row>
    <row r="6612" spans="1:6" x14ac:dyDescent="0.25">
      <c r="A6612" t="s">
        <v>2558</v>
      </c>
      <c r="B6612" t="s">
        <v>47</v>
      </c>
      <c r="C6612" t="s">
        <v>93</v>
      </c>
      <c r="D6612" t="s">
        <v>3218</v>
      </c>
      <c r="E6612">
        <v>13.64</v>
      </c>
      <c r="F6612">
        <v>109.44</v>
      </c>
    </row>
    <row r="6613" spans="1:6" x14ac:dyDescent="0.25">
      <c r="A6613" t="s">
        <v>2558</v>
      </c>
      <c r="B6613" t="s">
        <v>47</v>
      </c>
      <c r="C6613" t="s">
        <v>93</v>
      </c>
      <c r="D6613" t="s">
        <v>3219</v>
      </c>
      <c r="E6613">
        <v>21.14</v>
      </c>
      <c r="F6613">
        <v>109.23</v>
      </c>
    </row>
    <row r="6614" spans="1:6" x14ac:dyDescent="0.25">
      <c r="A6614" t="s">
        <v>2559</v>
      </c>
      <c r="B6614" t="s">
        <v>47</v>
      </c>
      <c r="C6614" t="s">
        <v>94</v>
      </c>
      <c r="D6614" t="s">
        <v>3217</v>
      </c>
      <c r="E6614">
        <v>0</v>
      </c>
      <c r="F6614">
        <v>109.88</v>
      </c>
    </row>
    <row r="6615" spans="1:6" x14ac:dyDescent="0.25">
      <c r="A6615" t="s">
        <v>2559</v>
      </c>
      <c r="B6615" t="s">
        <v>47</v>
      </c>
      <c r="C6615" t="s">
        <v>94</v>
      </c>
      <c r="D6615" t="s">
        <v>3218</v>
      </c>
      <c r="E6615">
        <v>13.8</v>
      </c>
      <c r="F6615">
        <v>109.36</v>
      </c>
    </row>
    <row r="6616" spans="1:6" x14ac:dyDescent="0.25">
      <c r="A6616" t="s">
        <v>2559</v>
      </c>
      <c r="B6616" t="s">
        <v>47</v>
      </c>
      <c r="C6616" t="s">
        <v>94</v>
      </c>
      <c r="D6616" t="s">
        <v>3219</v>
      </c>
      <c r="E6616">
        <v>28.08</v>
      </c>
      <c r="F6616">
        <v>109.01</v>
      </c>
    </row>
    <row r="6617" spans="1:6" x14ac:dyDescent="0.25">
      <c r="A6617" t="s">
        <v>2560</v>
      </c>
      <c r="B6617" t="s">
        <v>47</v>
      </c>
      <c r="C6617" t="s">
        <v>95</v>
      </c>
      <c r="D6617" t="s">
        <v>3217</v>
      </c>
      <c r="E6617">
        <v>0</v>
      </c>
      <c r="F6617">
        <v>109.64</v>
      </c>
    </row>
    <row r="6618" spans="1:6" x14ac:dyDescent="0.25">
      <c r="A6618" t="s">
        <v>2560</v>
      </c>
      <c r="B6618" t="s">
        <v>47</v>
      </c>
      <c r="C6618" t="s">
        <v>95</v>
      </c>
      <c r="D6618" t="s">
        <v>3218</v>
      </c>
      <c r="E6618">
        <v>13.64</v>
      </c>
      <c r="F6618">
        <v>109.4</v>
      </c>
    </row>
    <row r="6619" spans="1:6" x14ac:dyDescent="0.25">
      <c r="A6619" t="s">
        <v>2560</v>
      </c>
      <c r="B6619" t="s">
        <v>47</v>
      </c>
      <c r="C6619" t="s">
        <v>95</v>
      </c>
      <c r="D6619" t="s">
        <v>3219</v>
      </c>
      <c r="E6619">
        <v>27.92</v>
      </c>
      <c r="F6619">
        <v>109.14</v>
      </c>
    </row>
    <row r="6620" spans="1:6" x14ac:dyDescent="0.25">
      <c r="A6620" t="s">
        <v>2561</v>
      </c>
      <c r="B6620" t="s">
        <v>47</v>
      </c>
      <c r="C6620" t="s">
        <v>96</v>
      </c>
      <c r="D6620" t="s">
        <v>3217</v>
      </c>
      <c r="E6620">
        <v>0</v>
      </c>
      <c r="F6620">
        <v>109.62</v>
      </c>
    </row>
    <row r="6621" spans="1:6" x14ac:dyDescent="0.25">
      <c r="A6621" t="s">
        <v>2561</v>
      </c>
      <c r="B6621" t="s">
        <v>47</v>
      </c>
      <c r="C6621" t="s">
        <v>96</v>
      </c>
      <c r="D6621" t="s">
        <v>3218</v>
      </c>
      <c r="E6621">
        <v>13.58</v>
      </c>
      <c r="F6621">
        <v>109.43</v>
      </c>
    </row>
    <row r="6622" spans="1:6" x14ac:dyDescent="0.25">
      <c r="A6622" t="s">
        <v>2561</v>
      </c>
      <c r="B6622" t="s">
        <v>47</v>
      </c>
      <c r="C6622" t="s">
        <v>96</v>
      </c>
      <c r="D6622" t="s">
        <v>3219</v>
      </c>
      <c r="E6622">
        <v>28.24</v>
      </c>
      <c r="F6622">
        <v>109.18</v>
      </c>
    </row>
    <row r="6623" spans="1:6" x14ac:dyDescent="0.25">
      <c r="A6623" t="s">
        <v>2562</v>
      </c>
      <c r="B6623" t="s">
        <v>47</v>
      </c>
      <c r="C6623" t="s">
        <v>97</v>
      </c>
      <c r="D6623" t="s">
        <v>3217</v>
      </c>
      <c r="E6623">
        <v>0</v>
      </c>
      <c r="F6623">
        <v>109.64</v>
      </c>
    </row>
    <row r="6624" spans="1:6" x14ac:dyDescent="0.25">
      <c r="A6624" t="s">
        <v>2562</v>
      </c>
      <c r="B6624" t="s">
        <v>47</v>
      </c>
      <c r="C6624" t="s">
        <v>97</v>
      </c>
      <c r="D6624" t="s">
        <v>3218</v>
      </c>
      <c r="E6624">
        <v>13.59</v>
      </c>
      <c r="F6624">
        <v>109.57</v>
      </c>
    </row>
    <row r="6625" spans="1:6" x14ac:dyDescent="0.25">
      <c r="A6625" t="s">
        <v>2562</v>
      </c>
      <c r="B6625" t="s">
        <v>47</v>
      </c>
      <c r="C6625" t="s">
        <v>97</v>
      </c>
      <c r="D6625" t="s">
        <v>3219</v>
      </c>
      <c r="E6625">
        <v>27.9</v>
      </c>
      <c r="F6625">
        <v>109.27</v>
      </c>
    </row>
    <row r="6626" spans="1:6" x14ac:dyDescent="0.25">
      <c r="A6626" t="s">
        <v>2563</v>
      </c>
      <c r="B6626" t="s">
        <v>47</v>
      </c>
      <c r="C6626" t="s">
        <v>98</v>
      </c>
      <c r="D6626" t="s">
        <v>3217</v>
      </c>
      <c r="E6626">
        <v>0</v>
      </c>
      <c r="F6626">
        <v>109.65</v>
      </c>
    </row>
    <row r="6627" spans="1:6" x14ac:dyDescent="0.25">
      <c r="A6627" t="s">
        <v>2563</v>
      </c>
      <c r="B6627" t="s">
        <v>47</v>
      </c>
      <c r="C6627" t="s">
        <v>98</v>
      </c>
      <c r="D6627" t="s">
        <v>3218</v>
      </c>
      <c r="E6627">
        <v>13.94</v>
      </c>
      <c r="F6627">
        <v>109.43</v>
      </c>
    </row>
    <row r="6628" spans="1:6" x14ac:dyDescent="0.25">
      <c r="A6628" t="s">
        <v>2563</v>
      </c>
      <c r="B6628" t="s">
        <v>47</v>
      </c>
      <c r="C6628" t="s">
        <v>98</v>
      </c>
      <c r="D6628" t="s">
        <v>3219</v>
      </c>
      <c r="E6628">
        <v>27.88</v>
      </c>
      <c r="F6628">
        <v>109.05</v>
      </c>
    </row>
    <row r="6629" spans="1:6" x14ac:dyDescent="0.25">
      <c r="A6629" t="s">
        <v>2564</v>
      </c>
      <c r="B6629" t="s">
        <v>47</v>
      </c>
      <c r="C6629" t="s">
        <v>99</v>
      </c>
      <c r="D6629" t="s">
        <v>3217</v>
      </c>
      <c r="E6629">
        <v>0</v>
      </c>
      <c r="F6629">
        <v>109.63</v>
      </c>
    </row>
    <row r="6630" spans="1:6" x14ac:dyDescent="0.25">
      <c r="A6630" t="s">
        <v>2564</v>
      </c>
      <c r="B6630" t="s">
        <v>47</v>
      </c>
      <c r="C6630" t="s">
        <v>99</v>
      </c>
      <c r="D6630" t="s">
        <v>3218</v>
      </c>
      <c r="E6630">
        <v>13.63</v>
      </c>
      <c r="F6630">
        <v>109.44</v>
      </c>
    </row>
    <row r="6631" spans="1:6" x14ac:dyDescent="0.25">
      <c r="A6631" t="s">
        <v>2564</v>
      </c>
      <c r="B6631" t="s">
        <v>47</v>
      </c>
      <c r="C6631" t="s">
        <v>99</v>
      </c>
      <c r="D6631" t="s">
        <v>3219</v>
      </c>
      <c r="E6631">
        <v>27.07</v>
      </c>
      <c r="F6631">
        <v>108.95</v>
      </c>
    </row>
    <row r="6632" spans="1:6" x14ac:dyDescent="0.25">
      <c r="A6632" t="s">
        <v>2565</v>
      </c>
      <c r="B6632" t="s">
        <v>47</v>
      </c>
      <c r="C6632" t="s">
        <v>100</v>
      </c>
      <c r="D6632" t="s">
        <v>3217</v>
      </c>
      <c r="E6632">
        <v>0</v>
      </c>
      <c r="F6632">
        <v>109.43</v>
      </c>
    </row>
    <row r="6633" spans="1:6" x14ac:dyDescent="0.25">
      <c r="A6633" t="s">
        <v>2565</v>
      </c>
      <c r="B6633" t="s">
        <v>47</v>
      </c>
      <c r="C6633" t="s">
        <v>100</v>
      </c>
      <c r="D6633" t="s">
        <v>3218</v>
      </c>
      <c r="E6633">
        <v>13.63</v>
      </c>
      <c r="F6633">
        <v>109.37</v>
      </c>
    </row>
    <row r="6634" spans="1:6" x14ac:dyDescent="0.25">
      <c r="A6634" t="s">
        <v>2565</v>
      </c>
      <c r="B6634" t="s">
        <v>47</v>
      </c>
      <c r="C6634" t="s">
        <v>100</v>
      </c>
      <c r="D6634" t="s">
        <v>3219</v>
      </c>
      <c r="E6634">
        <v>27.07</v>
      </c>
      <c r="F6634">
        <v>109.04</v>
      </c>
    </row>
    <row r="6635" spans="1:6" x14ac:dyDescent="0.25">
      <c r="A6635" t="s">
        <v>2566</v>
      </c>
      <c r="B6635" t="s">
        <v>47</v>
      </c>
      <c r="C6635" t="s">
        <v>101</v>
      </c>
      <c r="D6635" t="s">
        <v>3217</v>
      </c>
      <c r="E6635">
        <v>0</v>
      </c>
      <c r="F6635">
        <v>109.43</v>
      </c>
    </row>
    <row r="6636" spans="1:6" x14ac:dyDescent="0.25">
      <c r="A6636" t="s">
        <v>2566</v>
      </c>
      <c r="B6636" t="s">
        <v>47</v>
      </c>
      <c r="C6636" t="s">
        <v>101</v>
      </c>
      <c r="D6636" t="s">
        <v>3218</v>
      </c>
      <c r="E6636">
        <v>13.93</v>
      </c>
      <c r="F6636">
        <v>109.4</v>
      </c>
    </row>
    <row r="6637" spans="1:6" x14ac:dyDescent="0.25">
      <c r="A6637" t="s">
        <v>2566</v>
      </c>
      <c r="B6637" t="s">
        <v>47</v>
      </c>
      <c r="C6637" t="s">
        <v>101</v>
      </c>
      <c r="D6637" t="s">
        <v>3219</v>
      </c>
      <c r="E6637">
        <v>26.97</v>
      </c>
      <c r="F6637">
        <v>109.06</v>
      </c>
    </row>
    <row r="6638" spans="1:6" x14ac:dyDescent="0.25">
      <c r="A6638" t="s">
        <v>2567</v>
      </c>
      <c r="B6638" t="s">
        <v>47</v>
      </c>
      <c r="C6638" t="s">
        <v>102</v>
      </c>
      <c r="D6638" t="s">
        <v>3217</v>
      </c>
      <c r="E6638">
        <v>0</v>
      </c>
      <c r="F6638">
        <v>108.97</v>
      </c>
    </row>
    <row r="6639" spans="1:6" x14ac:dyDescent="0.25">
      <c r="A6639" t="s">
        <v>2567</v>
      </c>
      <c r="B6639" t="s">
        <v>47</v>
      </c>
      <c r="C6639" t="s">
        <v>102</v>
      </c>
      <c r="D6639" t="s">
        <v>3218</v>
      </c>
      <c r="E6639">
        <v>14.97</v>
      </c>
      <c r="F6639">
        <v>109.25</v>
      </c>
    </row>
    <row r="6640" spans="1:6" x14ac:dyDescent="0.25">
      <c r="A6640" t="s">
        <v>2567</v>
      </c>
      <c r="B6640" t="s">
        <v>47</v>
      </c>
      <c r="C6640" t="s">
        <v>102</v>
      </c>
      <c r="D6640" t="s">
        <v>3219</v>
      </c>
      <c r="E6640">
        <v>28.02</v>
      </c>
      <c r="F6640">
        <v>108.98</v>
      </c>
    </row>
    <row r="6641" spans="1:6" x14ac:dyDescent="0.25">
      <c r="A6641" t="s">
        <v>2568</v>
      </c>
      <c r="B6641" t="s">
        <v>47</v>
      </c>
      <c r="C6641" t="s">
        <v>103</v>
      </c>
      <c r="D6641" t="s">
        <v>3217</v>
      </c>
      <c r="E6641">
        <v>0</v>
      </c>
      <c r="F6641">
        <v>109.32</v>
      </c>
    </row>
    <row r="6642" spans="1:6" x14ac:dyDescent="0.25">
      <c r="A6642" t="s">
        <v>2568</v>
      </c>
      <c r="B6642" t="s">
        <v>47</v>
      </c>
      <c r="C6642" t="s">
        <v>103</v>
      </c>
      <c r="D6642" t="s">
        <v>3218</v>
      </c>
      <c r="E6642">
        <v>15.75</v>
      </c>
      <c r="F6642">
        <v>109.18</v>
      </c>
    </row>
    <row r="6643" spans="1:6" x14ac:dyDescent="0.25">
      <c r="A6643" t="s">
        <v>2568</v>
      </c>
      <c r="B6643" t="s">
        <v>47</v>
      </c>
      <c r="C6643" t="s">
        <v>103</v>
      </c>
      <c r="D6643" t="s">
        <v>3219</v>
      </c>
      <c r="E6643">
        <v>29.17</v>
      </c>
      <c r="F6643">
        <v>108.98</v>
      </c>
    </row>
    <row r="6644" spans="1:6" x14ac:dyDescent="0.25">
      <c r="A6644" t="s">
        <v>2569</v>
      </c>
      <c r="B6644" t="s">
        <v>47</v>
      </c>
      <c r="C6644" t="s">
        <v>104</v>
      </c>
      <c r="D6644" t="s">
        <v>3217</v>
      </c>
      <c r="E6644">
        <v>0</v>
      </c>
      <c r="F6644">
        <v>109.08</v>
      </c>
    </row>
    <row r="6645" spans="1:6" x14ac:dyDescent="0.25">
      <c r="A6645" t="s">
        <v>2569</v>
      </c>
      <c r="B6645" t="s">
        <v>47</v>
      </c>
      <c r="C6645" t="s">
        <v>104</v>
      </c>
      <c r="D6645" t="s">
        <v>3218</v>
      </c>
      <c r="E6645">
        <v>15.65</v>
      </c>
      <c r="F6645">
        <v>109.01</v>
      </c>
    </row>
    <row r="6646" spans="1:6" x14ac:dyDescent="0.25">
      <c r="A6646" t="s">
        <v>2569</v>
      </c>
      <c r="B6646" t="s">
        <v>47</v>
      </c>
      <c r="C6646" t="s">
        <v>104</v>
      </c>
      <c r="D6646" t="s">
        <v>3219</v>
      </c>
      <c r="E6646">
        <v>29.44</v>
      </c>
      <c r="F6646">
        <v>108.62</v>
      </c>
    </row>
    <row r="6647" spans="1:6" x14ac:dyDescent="0.25">
      <c r="A6647" t="s">
        <v>2570</v>
      </c>
      <c r="B6647" t="s">
        <v>47</v>
      </c>
      <c r="C6647" t="s">
        <v>105</v>
      </c>
      <c r="D6647" t="s">
        <v>3217</v>
      </c>
      <c r="E6647">
        <v>0</v>
      </c>
      <c r="F6647">
        <v>109.21</v>
      </c>
    </row>
    <row r="6648" spans="1:6" x14ac:dyDescent="0.25">
      <c r="A6648" t="s">
        <v>2570</v>
      </c>
      <c r="B6648" t="s">
        <v>47</v>
      </c>
      <c r="C6648" t="s">
        <v>105</v>
      </c>
      <c r="D6648" t="s">
        <v>3218</v>
      </c>
      <c r="E6648">
        <v>15.75</v>
      </c>
      <c r="F6648">
        <v>109.03</v>
      </c>
    </row>
    <row r="6649" spans="1:6" x14ac:dyDescent="0.25">
      <c r="A6649" t="s">
        <v>2570</v>
      </c>
      <c r="B6649" t="s">
        <v>47</v>
      </c>
      <c r="C6649" t="s">
        <v>105</v>
      </c>
      <c r="D6649" t="s">
        <v>3219</v>
      </c>
      <c r="E6649">
        <v>30.05</v>
      </c>
      <c r="F6649">
        <v>108.7</v>
      </c>
    </row>
    <row r="6650" spans="1:6" x14ac:dyDescent="0.25">
      <c r="A6650" t="s">
        <v>2571</v>
      </c>
      <c r="B6650" t="s">
        <v>47</v>
      </c>
      <c r="C6650" t="s">
        <v>106</v>
      </c>
      <c r="D6650" t="s">
        <v>3217</v>
      </c>
      <c r="E6650">
        <v>0</v>
      </c>
      <c r="F6650">
        <v>109.13</v>
      </c>
    </row>
    <row r="6651" spans="1:6" x14ac:dyDescent="0.25">
      <c r="A6651" t="s">
        <v>2571</v>
      </c>
      <c r="B6651" t="s">
        <v>47</v>
      </c>
      <c r="C6651" t="s">
        <v>106</v>
      </c>
      <c r="D6651" t="s">
        <v>3218</v>
      </c>
      <c r="E6651">
        <v>15.78</v>
      </c>
      <c r="F6651">
        <v>109.04</v>
      </c>
    </row>
    <row r="6652" spans="1:6" x14ac:dyDescent="0.25">
      <c r="A6652" t="s">
        <v>2571</v>
      </c>
      <c r="B6652" t="s">
        <v>47</v>
      </c>
      <c r="C6652" t="s">
        <v>106</v>
      </c>
      <c r="D6652" t="s">
        <v>3219</v>
      </c>
      <c r="E6652">
        <v>30.25</v>
      </c>
      <c r="F6652">
        <v>108.66</v>
      </c>
    </row>
    <row r="6653" spans="1:6" x14ac:dyDescent="0.25">
      <c r="A6653" t="s">
        <v>2572</v>
      </c>
      <c r="B6653" t="s">
        <v>47</v>
      </c>
      <c r="C6653" t="s">
        <v>108</v>
      </c>
      <c r="D6653" t="s">
        <v>3217</v>
      </c>
      <c r="E6653">
        <v>0</v>
      </c>
      <c r="F6653">
        <v>108.78</v>
      </c>
    </row>
    <row r="6654" spans="1:6" x14ac:dyDescent="0.25">
      <c r="A6654" t="s">
        <v>2572</v>
      </c>
      <c r="B6654" t="s">
        <v>47</v>
      </c>
      <c r="C6654" t="s">
        <v>108</v>
      </c>
      <c r="D6654" t="s">
        <v>3218</v>
      </c>
      <c r="E6654">
        <v>16.03</v>
      </c>
      <c r="F6654">
        <v>108.88</v>
      </c>
    </row>
    <row r="6655" spans="1:6" x14ac:dyDescent="0.25">
      <c r="A6655" t="s">
        <v>2572</v>
      </c>
      <c r="B6655" t="s">
        <v>47</v>
      </c>
      <c r="C6655" t="s">
        <v>108</v>
      </c>
      <c r="D6655" t="s">
        <v>3219</v>
      </c>
      <c r="E6655">
        <v>30.73</v>
      </c>
      <c r="F6655">
        <v>108.59</v>
      </c>
    </row>
    <row r="6656" spans="1:6" x14ac:dyDescent="0.25">
      <c r="A6656" t="s">
        <v>2573</v>
      </c>
      <c r="B6656" t="s">
        <v>47</v>
      </c>
      <c r="C6656" t="s">
        <v>109</v>
      </c>
      <c r="D6656" t="s">
        <v>3217</v>
      </c>
      <c r="E6656">
        <v>0</v>
      </c>
      <c r="F6656">
        <v>108.59</v>
      </c>
    </row>
    <row r="6657" spans="1:6" x14ac:dyDescent="0.25">
      <c r="A6657" t="s">
        <v>2573</v>
      </c>
      <c r="B6657" t="s">
        <v>47</v>
      </c>
      <c r="C6657" t="s">
        <v>109</v>
      </c>
      <c r="D6657" t="s">
        <v>3218</v>
      </c>
      <c r="E6657">
        <v>15.98</v>
      </c>
      <c r="F6657">
        <v>108.68</v>
      </c>
    </row>
    <row r="6658" spans="1:6" x14ac:dyDescent="0.25">
      <c r="A6658" t="s">
        <v>2573</v>
      </c>
      <c r="B6658" t="s">
        <v>47</v>
      </c>
      <c r="C6658" t="s">
        <v>109</v>
      </c>
      <c r="D6658" t="s">
        <v>3219</v>
      </c>
      <c r="E6658">
        <v>30.29</v>
      </c>
      <c r="F6658">
        <v>108.45</v>
      </c>
    </row>
    <row r="6659" spans="1:6" x14ac:dyDescent="0.25">
      <c r="A6659" t="s">
        <v>2574</v>
      </c>
      <c r="B6659" t="s">
        <v>47</v>
      </c>
      <c r="C6659" t="s">
        <v>110</v>
      </c>
      <c r="D6659" t="s">
        <v>3217</v>
      </c>
      <c r="E6659">
        <v>0</v>
      </c>
      <c r="F6659">
        <v>108.47</v>
      </c>
    </row>
    <row r="6660" spans="1:6" x14ac:dyDescent="0.25">
      <c r="A6660" t="s">
        <v>2574</v>
      </c>
      <c r="B6660" t="s">
        <v>47</v>
      </c>
      <c r="C6660" t="s">
        <v>110</v>
      </c>
      <c r="D6660" t="s">
        <v>3218</v>
      </c>
      <c r="E6660">
        <v>15.85</v>
      </c>
      <c r="F6660">
        <v>108.6</v>
      </c>
    </row>
    <row r="6661" spans="1:6" x14ac:dyDescent="0.25">
      <c r="A6661" t="s">
        <v>2574</v>
      </c>
      <c r="B6661" t="s">
        <v>47</v>
      </c>
      <c r="C6661" t="s">
        <v>110</v>
      </c>
      <c r="D6661" t="s">
        <v>3219</v>
      </c>
      <c r="E6661">
        <v>30.51</v>
      </c>
      <c r="F6661">
        <v>108.35</v>
      </c>
    </row>
    <row r="6662" spans="1:6" x14ac:dyDescent="0.25">
      <c r="A6662" t="s">
        <v>2575</v>
      </c>
      <c r="B6662" t="s">
        <v>47</v>
      </c>
      <c r="C6662" t="s">
        <v>111</v>
      </c>
      <c r="D6662" t="s">
        <v>3217</v>
      </c>
      <c r="E6662">
        <v>0</v>
      </c>
      <c r="F6662">
        <v>109.19</v>
      </c>
    </row>
    <row r="6663" spans="1:6" x14ac:dyDescent="0.25">
      <c r="A6663" t="s">
        <v>2575</v>
      </c>
      <c r="B6663" t="s">
        <v>47</v>
      </c>
      <c r="C6663" t="s">
        <v>111</v>
      </c>
      <c r="D6663" t="s">
        <v>3218</v>
      </c>
      <c r="E6663">
        <v>15.98</v>
      </c>
      <c r="F6663">
        <v>108.37</v>
      </c>
    </row>
    <row r="6664" spans="1:6" x14ac:dyDescent="0.25">
      <c r="A6664" t="s">
        <v>2575</v>
      </c>
      <c r="B6664" t="s">
        <v>47</v>
      </c>
      <c r="C6664" t="s">
        <v>111</v>
      </c>
      <c r="D6664" t="s">
        <v>3219</v>
      </c>
      <c r="E6664">
        <v>31.09</v>
      </c>
      <c r="F6664">
        <v>108.2</v>
      </c>
    </row>
    <row r="6665" spans="1:6" x14ac:dyDescent="0.25">
      <c r="A6665" t="s">
        <v>2576</v>
      </c>
      <c r="B6665" t="s">
        <v>47</v>
      </c>
      <c r="C6665" t="s">
        <v>112</v>
      </c>
      <c r="D6665" t="s">
        <v>3217</v>
      </c>
      <c r="E6665">
        <v>0</v>
      </c>
      <c r="F6665">
        <v>108.94</v>
      </c>
    </row>
    <row r="6666" spans="1:6" x14ac:dyDescent="0.25">
      <c r="A6666" t="s">
        <v>2576</v>
      </c>
      <c r="B6666" t="s">
        <v>47</v>
      </c>
      <c r="C6666" t="s">
        <v>112</v>
      </c>
      <c r="D6666" t="s">
        <v>3218</v>
      </c>
      <c r="E6666">
        <v>17.71</v>
      </c>
      <c r="F6666">
        <v>108.79</v>
      </c>
    </row>
    <row r="6667" spans="1:6" x14ac:dyDescent="0.25">
      <c r="A6667" t="s">
        <v>2576</v>
      </c>
      <c r="B6667" t="s">
        <v>47</v>
      </c>
      <c r="C6667" t="s">
        <v>112</v>
      </c>
      <c r="D6667" t="s">
        <v>3219</v>
      </c>
      <c r="E6667">
        <v>32.36</v>
      </c>
      <c r="F6667">
        <v>108.01</v>
      </c>
    </row>
    <row r="6668" spans="1:6" x14ac:dyDescent="0.25">
      <c r="A6668" t="s">
        <v>2577</v>
      </c>
      <c r="B6668" t="s">
        <v>47</v>
      </c>
      <c r="C6668" t="s">
        <v>113</v>
      </c>
      <c r="D6668" t="s">
        <v>3217</v>
      </c>
      <c r="E6668">
        <v>0</v>
      </c>
      <c r="F6668">
        <v>108.69</v>
      </c>
    </row>
    <row r="6669" spans="1:6" x14ac:dyDescent="0.25">
      <c r="A6669" t="s">
        <v>2577</v>
      </c>
      <c r="B6669" t="s">
        <v>47</v>
      </c>
      <c r="C6669" t="s">
        <v>113</v>
      </c>
      <c r="D6669" t="s">
        <v>3218</v>
      </c>
      <c r="E6669">
        <v>17.72</v>
      </c>
      <c r="F6669">
        <v>108.61</v>
      </c>
    </row>
    <row r="6670" spans="1:6" x14ac:dyDescent="0.25">
      <c r="A6670" t="s">
        <v>2577</v>
      </c>
      <c r="B6670" t="s">
        <v>47</v>
      </c>
      <c r="C6670" t="s">
        <v>113</v>
      </c>
      <c r="D6670" t="s">
        <v>3219</v>
      </c>
      <c r="E6670">
        <v>31.42</v>
      </c>
      <c r="F6670">
        <v>108.47</v>
      </c>
    </row>
    <row r="6671" spans="1:6" x14ac:dyDescent="0.25">
      <c r="A6671" t="s">
        <v>2578</v>
      </c>
      <c r="B6671" t="s">
        <v>47</v>
      </c>
      <c r="C6671" t="s">
        <v>114</v>
      </c>
      <c r="D6671" t="s">
        <v>3217</v>
      </c>
      <c r="E6671">
        <v>0</v>
      </c>
      <c r="F6671">
        <v>108.65</v>
      </c>
    </row>
    <row r="6672" spans="1:6" x14ac:dyDescent="0.25">
      <c r="A6672" t="s">
        <v>2578</v>
      </c>
      <c r="B6672" t="s">
        <v>47</v>
      </c>
      <c r="C6672" t="s">
        <v>114</v>
      </c>
      <c r="D6672" t="s">
        <v>3218</v>
      </c>
      <c r="E6672">
        <v>17.3</v>
      </c>
      <c r="F6672">
        <v>108.47</v>
      </c>
    </row>
    <row r="6673" spans="1:6" x14ac:dyDescent="0.25">
      <c r="A6673" t="s">
        <v>2578</v>
      </c>
      <c r="B6673" t="s">
        <v>47</v>
      </c>
      <c r="C6673" t="s">
        <v>114</v>
      </c>
      <c r="D6673" t="s">
        <v>3219</v>
      </c>
      <c r="E6673">
        <v>29.98</v>
      </c>
      <c r="F6673">
        <v>108.45</v>
      </c>
    </row>
    <row r="6674" spans="1:6" x14ac:dyDescent="0.25">
      <c r="A6674" t="s">
        <v>2579</v>
      </c>
      <c r="B6674" t="s">
        <v>47</v>
      </c>
      <c r="C6674" t="s">
        <v>115</v>
      </c>
      <c r="D6674" t="s">
        <v>3217</v>
      </c>
      <c r="E6674">
        <v>0</v>
      </c>
      <c r="F6674">
        <v>108.58</v>
      </c>
    </row>
    <row r="6675" spans="1:6" x14ac:dyDescent="0.25">
      <c r="A6675" t="s">
        <v>2579</v>
      </c>
      <c r="B6675" t="s">
        <v>47</v>
      </c>
      <c r="C6675" t="s">
        <v>115</v>
      </c>
      <c r="D6675" t="s">
        <v>3218</v>
      </c>
      <c r="E6675">
        <v>16.239999999999998</v>
      </c>
      <c r="F6675">
        <v>108.46</v>
      </c>
    </row>
    <row r="6676" spans="1:6" x14ac:dyDescent="0.25">
      <c r="A6676" t="s">
        <v>2579</v>
      </c>
      <c r="B6676" t="s">
        <v>47</v>
      </c>
      <c r="C6676" t="s">
        <v>115</v>
      </c>
      <c r="D6676" t="s">
        <v>3219</v>
      </c>
      <c r="E6676">
        <v>26.86</v>
      </c>
      <c r="F6676">
        <v>108.51</v>
      </c>
    </row>
    <row r="6677" spans="1:6" x14ac:dyDescent="0.25">
      <c r="A6677" t="s">
        <v>2580</v>
      </c>
      <c r="B6677" t="s">
        <v>47</v>
      </c>
      <c r="C6677" t="s">
        <v>116</v>
      </c>
      <c r="D6677" t="s">
        <v>3217</v>
      </c>
      <c r="E6677">
        <v>0</v>
      </c>
      <c r="F6677">
        <v>108.33</v>
      </c>
    </row>
    <row r="6678" spans="1:6" x14ac:dyDescent="0.25">
      <c r="A6678" t="s">
        <v>2580</v>
      </c>
      <c r="B6678" t="s">
        <v>47</v>
      </c>
      <c r="C6678" t="s">
        <v>116</v>
      </c>
      <c r="D6678" t="s">
        <v>3218</v>
      </c>
      <c r="E6678">
        <v>15.4</v>
      </c>
      <c r="F6678">
        <v>108.42</v>
      </c>
    </row>
    <row r="6679" spans="1:6" x14ac:dyDescent="0.25">
      <c r="A6679" t="s">
        <v>2580</v>
      </c>
      <c r="B6679" t="s">
        <v>47</v>
      </c>
      <c r="C6679" t="s">
        <v>116</v>
      </c>
      <c r="D6679" t="s">
        <v>3219</v>
      </c>
      <c r="E6679">
        <v>26.41</v>
      </c>
      <c r="F6679">
        <v>108.5</v>
      </c>
    </row>
    <row r="6680" spans="1:6" x14ac:dyDescent="0.25">
      <c r="A6680" t="s">
        <v>2581</v>
      </c>
      <c r="B6680" t="s">
        <v>47</v>
      </c>
      <c r="C6680" t="s">
        <v>117</v>
      </c>
      <c r="D6680" t="s">
        <v>3217</v>
      </c>
      <c r="E6680">
        <v>0</v>
      </c>
      <c r="F6680">
        <v>107.95</v>
      </c>
    </row>
    <row r="6681" spans="1:6" x14ac:dyDescent="0.25">
      <c r="A6681" t="s">
        <v>2581</v>
      </c>
      <c r="B6681" t="s">
        <v>47</v>
      </c>
      <c r="C6681" t="s">
        <v>117</v>
      </c>
      <c r="D6681" t="s">
        <v>3218</v>
      </c>
      <c r="E6681">
        <v>15.08</v>
      </c>
      <c r="F6681">
        <v>108.22</v>
      </c>
    </row>
    <row r="6682" spans="1:6" x14ac:dyDescent="0.25">
      <c r="A6682" t="s">
        <v>2581</v>
      </c>
      <c r="B6682" t="s">
        <v>47</v>
      </c>
      <c r="C6682" t="s">
        <v>117</v>
      </c>
      <c r="D6682" t="s">
        <v>3219</v>
      </c>
      <c r="E6682">
        <v>26.81</v>
      </c>
      <c r="F6682">
        <v>108.28</v>
      </c>
    </row>
    <row r="6683" spans="1:6" x14ac:dyDescent="0.25">
      <c r="A6683" t="s">
        <v>2582</v>
      </c>
      <c r="B6683" t="s">
        <v>47</v>
      </c>
      <c r="C6683" t="s">
        <v>118</v>
      </c>
      <c r="D6683" t="s">
        <v>3217</v>
      </c>
      <c r="E6683">
        <v>0</v>
      </c>
      <c r="F6683">
        <v>107.55</v>
      </c>
    </row>
    <row r="6684" spans="1:6" x14ac:dyDescent="0.25">
      <c r="A6684" t="s">
        <v>2582</v>
      </c>
      <c r="B6684" t="s">
        <v>47</v>
      </c>
      <c r="C6684" t="s">
        <v>118</v>
      </c>
      <c r="D6684" t="s">
        <v>3218</v>
      </c>
      <c r="E6684">
        <v>14.58</v>
      </c>
      <c r="F6684">
        <v>107.84</v>
      </c>
    </row>
    <row r="6685" spans="1:6" x14ac:dyDescent="0.25">
      <c r="A6685" t="s">
        <v>2582</v>
      </c>
      <c r="B6685" t="s">
        <v>47</v>
      </c>
      <c r="C6685" t="s">
        <v>118</v>
      </c>
      <c r="D6685" t="s">
        <v>3219</v>
      </c>
      <c r="E6685">
        <v>27.32</v>
      </c>
      <c r="F6685">
        <v>107.97</v>
      </c>
    </row>
    <row r="6686" spans="1:6" x14ac:dyDescent="0.25">
      <c r="A6686" t="s">
        <v>2583</v>
      </c>
      <c r="B6686" t="s">
        <v>47</v>
      </c>
      <c r="C6686" t="s">
        <v>119</v>
      </c>
      <c r="D6686" t="s">
        <v>3217</v>
      </c>
      <c r="E6686">
        <v>0</v>
      </c>
      <c r="F6686">
        <v>107.37</v>
      </c>
    </row>
    <row r="6687" spans="1:6" x14ac:dyDescent="0.25">
      <c r="A6687" t="s">
        <v>2583</v>
      </c>
      <c r="B6687" t="s">
        <v>47</v>
      </c>
      <c r="C6687" t="s">
        <v>119</v>
      </c>
      <c r="D6687" t="s">
        <v>3218</v>
      </c>
      <c r="E6687">
        <v>14.32</v>
      </c>
      <c r="F6687">
        <v>107.55</v>
      </c>
    </row>
    <row r="6688" spans="1:6" x14ac:dyDescent="0.25">
      <c r="A6688" t="s">
        <v>2583</v>
      </c>
      <c r="B6688" t="s">
        <v>47</v>
      </c>
      <c r="C6688" t="s">
        <v>119</v>
      </c>
      <c r="D6688" t="s">
        <v>3219</v>
      </c>
      <c r="E6688">
        <v>27.06</v>
      </c>
      <c r="F6688">
        <v>107.27</v>
      </c>
    </row>
    <row r="6689" spans="1:6" x14ac:dyDescent="0.25">
      <c r="A6689" t="s">
        <v>2584</v>
      </c>
      <c r="B6689" t="s">
        <v>47</v>
      </c>
      <c r="C6689" t="s">
        <v>120</v>
      </c>
      <c r="D6689" t="s">
        <v>3217</v>
      </c>
      <c r="E6689">
        <v>0</v>
      </c>
      <c r="F6689">
        <v>107</v>
      </c>
    </row>
    <row r="6690" spans="1:6" x14ac:dyDescent="0.25">
      <c r="A6690" t="s">
        <v>2584</v>
      </c>
      <c r="B6690" t="s">
        <v>47</v>
      </c>
      <c r="C6690" t="s">
        <v>120</v>
      </c>
      <c r="D6690" t="s">
        <v>3218</v>
      </c>
      <c r="E6690">
        <v>13.5</v>
      </c>
      <c r="F6690">
        <v>107.28</v>
      </c>
    </row>
    <row r="6691" spans="1:6" x14ac:dyDescent="0.25">
      <c r="A6691" t="s">
        <v>2584</v>
      </c>
      <c r="B6691" t="s">
        <v>47</v>
      </c>
      <c r="C6691" t="s">
        <v>120</v>
      </c>
      <c r="D6691" t="s">
        <v>3219</v>
      </c>
      <c r="E6691">
        <v>26.96</v>
      </c>
      <c r="F6691">
        <v>107.15</v>
      </c>
    </row>
    <row r="6692" spans="1:6" x14ac:dyDescent="0.25">
      <c r="A6692" t="s">
        <v>2585</v>
      </c>
      <c r="B6692" t="s">
        <v>47</v>
      </c>
      <c r="C6692" t="s">
        <v>121</v>
      </c>
      <c r="D6692" t="s">
        <v>3217</v>
      </c>
      <c r="E6692">
        <v>0</v>
      </c>
      <c r="F6692">
        <v>106.79</v>
      </c>
    </row>
    <row r="6693" spans="1:6" x14ac:dyDescent="0.25">
      <c r="A6693" t="s">
        <v>2585</v>
      </c>
      <c r="B6693" t="s">
        <v>47</v>
      </c>
      <c r="C6693" t="s">
        <v>121</v>
      </c>
      <c r="D6693" t="s">
        <v>3218</v>
      </c>
      <c r="E6693">
        <v>13.59</v>
      </c>
      <c r="F6693">
        <v>107.17</v>
      </c>
    </row>
    <row r="6694" spans="1:6" x14ac:dyDescent="0.25">
      <c r="A6694" t="s">
        <v>2585</v>
      </c>
      <c r="B6694" t="s">
        <v>47</v>
      </c>
      <c r="C6694" t="s">
        <v>121</v>
      </c>
      <c r="D6694" t="s">
        <v>3219</v>
      </c>
      <c r="E6694">
        <v>27.61</v>
      </c>
      <c r="F6694">
        <v>107.25</v>
      </c>
    </row>
    <row r="6695" spans="1:6" x14ac:dyDescent="0.25">
      <c r="A6695" t="s">
        <v>2586</v>
      </c>
      <c r="B6695" t="s">
        <v>47</v>
      </c>
      <c r="C6695" t="s">
        <v>123</v>
      </c>
      <c r="D6695" t="s">
        <v>3217</v>
      </c>
      <c r="E6695">
        <v>0</v>
      </c>
      <c r="F6695">
        <v>106.55</v>
      </c>
    </row>
    <row r="6696" spans="1:6" x14ac:dyDescent="0.25">
      <c r="A6696" t="s">
        <v>2586</v>
      </c>
      <c r="B6696" t="s">
        <v>47</v>
      </c>
      <c r="C6696" t="s">
        <v>123</v>
      </c>
      <c r="D6696" t="s">
        <v>3218</v>
      </c>
      <c r="E6696">
        <v>14.52</v>
      </c>
      <c r="F6696">
        <v>106.77</v>
      </c>
    </row>
    <row r="6697" spans="1:6" x14ac:dyDescent="0.25">
      <c r="A6697" t="s">
        <v>2586</v>
      </c>
      <c r="B6697" t="s">
        <v>47</v>
      </c>
      <c r="C6697" t="s">
        <v>123</v>
      </c>
      <c r="D6697" t="s">
        <v>3219</v>
      </c>
      <c r="E6697">
        <v>28.54</v>
      </c>
      <c r="F6697">
        <v>107.19</v>
      </c>
    </row>
    <row r="6698" spans="1:6" x14ac:dyDescent="0.25">
      <c r="A6698" t="s">
        <v>2587</v>
      </c>
      <c r="B6698" t="s">
        <v>47</v>
      </c>
      <c r="C6698" t="s">
        <v>124</v>
      </c>
      <c r="D6698" t="s">
        <v>3217</v>
      </c>
      <c r="E6698">
        <v>0</v>
      </c>
      <c r="F6698">
        <v>106.37</v>
      </c>
    </row>
    <row r="6699" spans="1:6" x14ac:dyDescent="0.25">
      <c r="A6699" t="s">
        <v>2587</v>
      </c>
      <c r="B6699" t="s">
        <v>47</v>
      </c>
      <c r="C6699" t="s">
        <v>124</v>
      </c>
      <c r="D6699" t="s">
        <v>3218</v>
      </c>
      <c r="E6699">
        <v>13.19</v>
      </c>
      <c r="F6699">
        <v>106.5</v>
      </c>
    </row>
    <row r="6700" spans="1:6" x14ac:dyDescent="0.25">
      <c r="A6700" t="s">
        <v>2587</v>
      </c>
      <c r="B6700" t="s">
        <v>47</v>
      </c>
      <c r="C6700" t="s">
        <v>124</v>
      </c>
      <c r="D6700" t="s">
        <v>3219</v>
      </c>
      <c r="E6700">
        <v>33.19</v>
      </c>
      <c r="F6700">
        <v>106.96</v>
      </c>
    </row>
    <row r="6701" spans="1:6" x14ac:dyDescent="0.25">
      <c r="A6701" t="s">
        <v>2588</v>
      </c>
      <c r="B6701" t="s">
        <v>47</v>
      </c>
      <c r="C6701" t="s">
        <v>125</v>
      </c>
      <c r="D6701" t="s">
        <v>3217</v>
      </c>
      <c r="E6701">
        <v>0</v>
      </c>
      <c r="F6701">
        <v>105.81</v>
      </c>
    </row>
    <row r="6702" spans="1:6" x14ac:dyDescent="0.25">
      <c r="A6702" t="s">
        <v>2588</v>
      </c>
      <c r="B6702" t="s">
        <v>47</v>
      </c>
      <c r="C6702" t="s">
        <v>125</v>
      </c>
      <c r="D6702" t="s">
        <v>3218</v>
      </c>
      <c r="E6702">
        <v>13.6</v>
      </c>
      <c r="F6702">
        <v>106.19</v>
      </c>
    </row>
    <row r="6703" spans="1:6" x14ac:dyDescent="0.25">
      <c r="A6703" t="s">
        <v>2588</v>
      </c>
      <c r="B6703" t="s">
        <v>47</v>
      </c>
      <c r="C6703" t="s">
        <v>125</v>
      </c>
      <c r="D6703" t="s">
        <v>3219</v>
      </c>
      <c r="E6703">
        <v>33.6</v>
      </c>
      <c r="F6703">
        <v>106.58</v>
      </c>
    </row>
    <row r="6704" spans="1:6" x14ac:dyDescent="0.25">
      <c r="A6704" t="s">
        <v>2589</v>
      </c>
      <c r="B6704" t="s">
        <v>47</v>
      </c>
      <c r="C6704" t="s">
        <v>126</v>
      </c>
      <c r="D6704" t="s">
        <v>3217</v>
      </c>
      <c r="E6704">
        <v>0</v>
      </c>
      <c r="F6704">
        <v>104.89</v>
      </c>
    </row>
    <row r="6705" spans="1:6" x14ac:dyDescent="0.25">
      <c r="A6705" t="s">
        <v>2589</v>
      </c>
      <c r="B6705" t="s">
        <v>47</v>
      </c>
      <c r="C6705" t="s">
        <v>126</v>
      </c>
      <c r="D6705" t="s">
        <v>3218</v>
      </c>
      <c r="E6705">
        <v>16.64</v>
      </c>
      <c r="F6705">
        <v>105.67</v>
      </c>
    </row>
    <row r="6706" spans="1:6" x14ac:dyDescent="0.25">
      <c r="A6706" t="s">
        <v>2589</v>
      </c>
      <c r="B6706" t="s">
        <v>47</v>
      </c>
      <c r="C6706" t="s">
        <v>126</v>
      </c>
      <c r="D6706" t="s">
        <v>3219</v>
      </c>
      <c r="E6706">
        <v>36.64</v>
      </c>
      <c r="F6706">
        <v>106.4</v>
      </c>
    </row>
    <row r="6707" spans="1:6" x14ac:dyDescent="0.25">
      <c r="A6707" t="s">
        <v>2590</v>
      </c>
      <c r="B6707" t="s">
        <v>47</v>
      </c>
      <c r="C6707" t="s">
        <v>127</v>
      </c>
      <c r="D6707" t="s">
        <v>3217</v>
      </c>
      <c r="E6707">
        <v>0</v>
      </c>
      <c r="F6707">
        <v>104.04</v>
      </c>
    </row>
    <row r="6708" spans="1:6" x14ac:dyDescent="0.25">
      <c r="A6708" t="s">
        <v>2590</v>
      </c>
      <c r="B6708" t="s">
        <v>47</v>
      </c>
      <c r="C6708" t="s">
        <v>127</v>
      </c>
      <c r="D6708" t="s">
        <v>3218</v>
      </c>
      <c r="E6708">
        <v>18.37</v>
      </c>
      <c r="F6708">
        <v>104.94</v>
      </c>
    </row>
    <row r="6709" spans="1:6" x14ac:dyDescent="0.25">
      <c r="A6709" t="s">
        <v>2590</v>
      </c>
      <c r="B6709" t="s">
        <v>47</v>
      </c>
      <c r="C6709" t="s">
        <v>127</v>
      </c>
      <c r="D6709" t="s">
        <v>3219</v>
      </c>
      <c r="E6709">
        <v>33.83</v>
      </c>
      <c r="F6709">
        <v>105.65</v>
      </c>
    </row>
    <row r="6710" spans="1:6" x14ac:dyDescent="0.25">
      <c r="A6710" t="s">
        <v>2591</v>
      </c>
      <c r="B6710" t="s">
        <v>47</v>
      </c>
      <c r="C6710" t="s">
        <v>128</v>
      </c>
      <c r="D6710" t="s">
        <v>3217</v>
      </c>
      <c r="E6710">
        <v>0</v>
      </c>
      <c r="F6710">
        <v>103.06</v>
      </c>
    </row>
    <row r="6711" spans="1:6" x14ac:dyDescent="0.25">
      <c r="A6711" t="s">
        <v>2591</v>
      </c>
      <c r="B6711" t="s">
        <v>47</v>
      </c>
      <c r="C6711" t="s">
        <v>128</v>
      </c>
      <c r="D6711" t="s">
        <v>3218</v>
      </c>
      <c r="E6711">
        <v>20</v>
      </c>
      <c r="F6711">
        <v>103.96</v>
      </c>
    </row>
    <row r="6712" spans="1:6" x14ac:dyDescent="0.25">
      <c r="A6712" t="s">
        <v>2591</v>
      </c>
      <c r="B6712" t="s">
        <v>47</v>
      </c>
      <c r="C6712" t="s">
        <v>128</v>
      </c>
      <c r="D6712" t="s">
        <v>3219</v>
      </c>
      <c r="E6712">
        <v>35.200000000000003</v>
      </c>
      <c r="F6712">
        <v>104.48</v>
      </c>
    </row>
    <row r="6713" spans="1:6" x14ac:dyDescent="0.25">
      <c r="A6713" t="s">
        <v>2592</v>
      </c>
      <c r="B6713" t="s">
        <v>47</v>
      </c>
      <c r="C6713" t="s">
        <v>129</v>
      </c>
      <c r="D6713" t="s">
        <v>3217</v>
      </c>
      <c r="E6713">
        <v>0</v>
      </c>
      <c r="F6713">
        <v>102.09</v>
      </c>
    </row>
    <row r="6714" spans="1:6" x14ac:dyDescent="0.25">
      <c r="A6714" t="s">
        <v>2592</v>
      </c>
      <c r="B6714" t="s">
        <v>47</v>
      </c>
      <c r="C6714" t="s">
        <v>129</v>
      </c>
      <c r="D6714" t="s">
        <v>3218</v>
      </c>
      <c r="E6714">
        <v>20</v>
      </c>
      <c r="F6714">
        <v>102.88</v>
      </c>
    </row>
    <row r="6715" spans="1:6" x14ac:dyDescent="0.25">
      <c r="A6715" t="s">
        <v>2592</v>
      </c>
      <c r="B6715" t="s">
        <v>47</v>
      </c>
      <c r="C6715" t="s">
        <v>129</v>
      </c>
      <c r="D6715" t="s">
        <v>3219</v>
      </c>
      <c r="E6715">
        <v>36.67</v>
      </c>
      <c r="F6715">
        <v>103.42</v>
      </c>
    </row>
    <row r="6716" spans="1:6" x14ac:dyDescent="0.25">
      <c r="A6716" t="s">
        <v>2593</v>
      </c>
      <c r="B6716" t="s">
        <v>47</v>
      </c>
      <c r="C6716" t="s">
        <v>130</v>
      </c>
      <c r="D6716" t="s">
        <v>3217</v>
      </c>
      <c r="E6716">
        <v>0</v>
      </c>
      <c r="F6716">
        <v>101.36</v>
      </c>
    </row>
    <row r="6717" spans="1:6" x14ac:dyDescent="0.25">
      <c r="A6717" t="s">
        <v>2593</v>
      </c>
      <c r="B6717" t="s">
        <v>47</v>
      </c>
      <c r="C6717" t="s">
        <v>130</v>
      </c>
      <c r="D6717" t="s">
        <v>3218</v>
      </c>
      <c r="E6717">
        <v>20</v>
      </c>
      <c r="F6717">
        <v>102.14</v>
      </c>
    </row>
    <row r="6718" spans="1:6" x14ac:dyDescent="0.25">
      <c r="A6718" t="s">
        <v>2593</v>
      </c>
      <c r="B6718" t="s">
        <v>47</v>
      </c>
      <c r="C6718" t="s">
        <v>130</v>
      </c>
      <c r="D6718" t="s">
        <v>3219</v>
      </c>
      <c r="E6718">
        <v>38.35</v>
      </c>
      <c r="F6718">
        <v>102.79</v>
      </c>
    </row>
    <row r="6719" spans="1:6" x14ac:dyDescent="0.25">
      <c r="A6719" t="s">
        <v>2594</v>
      </c>
      <c r="B6719" t="s">
        <v>47</v>
      </c>
      <c r="C6719" t="s">
        <v>131</v>
      </c>
      <c r="D6719" t="s">
        <v>3217</v>
      </c>
      <c r="E6719">
        <v>0</v>
      </c>
      <c r="F6719">
        <v>101.22</v>
      </c>
    </row>
    <row r="6720" spans="1:6" x14ac:dyDescent="0.25">
      <c r="A6720" t="s">
        <v>2594</v>
      </c>
      <c r="B6720" t="s">
        <v>47</v>
      </c>
      <c r="C6720" t="s">
        <v>131</v>
      </c>
      <c r="D6720" t="s">
        <v>3218</v>
      </c>
      <c r="E6720">
        <v>20</v>
      </c>
      <c r="F6720">
        <v>101.71</v>
      </c>
    </row>
    <row r="6721" spans="1:6" x14ac:dyDescent="0.25">
      <c r="A6721" t="s">
        <v>2594</v>
      </c>
      <c r="B6721" t="s">
        <v>47</v>
      </c>
      <c r="C6721" t="s">
        <v>131</v>
      </c>
      <c r="D6721" t="s">
        <v>3219</v>
      </c>
      <c r="E6721">
        <v>40</v>
      </c>
      <c r="F6721">
        <v>102.51</v>
      </c>
    </row>
    <row r="6722" spans="1:6" x14ac:dyDescent="0.25">
      <c r="A6722" t="s">
        <v>2595</v>
      </c>
      <c r="B6722" t="s">
        <v>47</v>
      </c>
      <c r="C6722" t="s">
        <v>132</v>
      </c>
      <c r="D6722" t="s">
        <v>3217</v>
      </c>
      <c r="E6722">
        <v>0</v>
      </c>
      <c r="F6722">
        <v>101.5</v>
      </c>
    </row>
    <row r="6723" spans="1:6" x14ac:dyDescent="0.25">
      <c r="A6723" t="s">
        <v>2595</v>
      </c>
      <c r="B6723" t="s">
        <v>47</v>
      </c>
      <c r="C6723" t="s">
        <v>132</v>
      </c>
      <c r="D6723" t="s">
        <v>3218</v>
      </c>
      <c r="E6723">
        <v>20</v>
      </c>
      <c r="F6723">
        <v>101.57</v>
      </c>
    </row>
    <row r="6724" spans="1:6" x14ac:dyDescent="0.25">
      <c r="A6724" t="s">
        <v>2595</v>
      </c>
      <c r="B6724" t="s">
        <v>47</v>
      </c>
      <c r="C6724" t="s">
        <v>132</v>
      </c>
      <c r="D6724" t="s">
        <v>3219</v>
      </c>
      <c r="E6724">
        <v>40</v>
      </c>
      <c r="F6724">
        <v>102.24</v>
      </c>
    </row>
    <row r="6725" spans="1:6" x14ac:dyDescent="0.25">
      <c r="A6725" t="s">
        <v>2596</v>
      </c>
      <c r="B6725" t="s">
        <v>47</v>
      </c>
      <c r="C6725" t="s">
        <v>329</v>
      </c>
      <c r="D6725" t="s">
        <v>3217</v>
      </c>
      <c r="E6725">
        <v>0</v>
      </c>
      <c r="F6725">
        <v>101.16</v>
      </c>
    </row>
    <row r="6726" spans="1:6" x14ac:dyDescent="0.25">
      <c r="A6726" t="s">
        <v>2596</v>
      </c>
      <c r="B6726" t="s">
        <v>47</v>
      </c>
      <c r="C6726" t="s">
        <v>329</v>
      </c>
      <c r="D6726" t="s">
        <v>3218</v>
      </c>
      <c r="E6726">
        <v>20</v>
      </c>
      <c r="F6726">
        <v>101.48</v>
      </c>
    </row>
    <row r="6727" spans="1:6" x14ac:dyDescent="0.25">
      <c r="A6727" t="s">
        <v>2596</v>
      </c>
      <c r="B6727" t="s">
        <v>47</v>
      </c>
      <c r="C6727" t="s">
        <v>329</v>
      </c>
      <c r="D6727" t="s">
        <v>3219</v>
      </c>
      <c r="E6727">
        <v>40</v>
      </c>
      <c r="F6727">
        <v>102.22</v>
      </c>
    </row>
    <row r="6728" spans="1:6" x14ac:dyDescent="0.25">
      <c r="A6728" t="s">
        <v>2597</v>
      </c>
      <c r="B6728" t="s">
        <v>48</v>
      </c>
      <c r="C6728" t="s">
        <v>56</v>
      </c>
      <c r="D6728" t="s">
        <v>3217</v>
      </c>
      <c r="E6728">
        <v>0</v>
      </c>
      <c r="F6728">
        <v>131.31</v>
      </c>
    </row>
    <row r="6729" spans="1:6" x14ac:dyDescent="0.25">
      <c r="A6729" t="s">
        <v>2597</v>
      </c>
      <c r="B6729" t="s">
        <v>48</v>
      </c>
      <c r="C6729" t="s">
        <v>56</v>
      </c>
      <c r="D6729" t="s">
        <v>3218</v>
      </c>
      <c r="E6729">
        <v>20</v>
      </c>
      <c r="F6729">
        <v>130.97</v>
      </c>
    </row>
    <row r="6730" spans="1:6" x14ac:dyDescent="0.25">
      <c r="A6730" t="s">
        <v>2597</v>
      </c>
      <c r="B6730" t="s">
        <v>48</v>
      </c>
      <c r="C6730" t="s">
        <v>56</v>
      </c>
      <c r="D6730" t="s">
        <v>3219</v>
      </c>
      <c r="E6730">
        <v>40</v>
      </c>
      <c r="F6730">
        <v>131.26</v>
      </c>
    </row>
    <row r="6731" spans="1:6" x14ac:dyDescent="0.25">
      <c r="A6731" t="s">
        <v>2598</v>
      </c>
      <c r="B6731" t="s">
        <v>48</v>
      </c>
      <c r="C6731" t="s">
        <v>57</v>
      </c>
      <c r="D6731" t="s">
        <v>3217</v>
      </c>
      <c r="E6731">
        <v>0</v>
      </c>
      <c r="F6731">
        <v>131</v>
      </c>
    </row>
    <row r="6732" spans="1:6" x14ac:dyDescent="0.25">
      <c r="A6732" t="s">
        <v>2598</v>
      </c>
      <c r="B6732" t="s">
        <v>48</v>
      </c>
      <c r="C6732" t="s">
        <v>57</v>
      </c>
      <c r="D6732" t="s">
        <v>3218</v>
      </c>
      <c r="E6732">
        <v>20</v>
      </c>
      <c r="F6732">
        <v>129.97</v>
      </c>
    </row>
    <row r="6733" spans="1:6" x14ac:dyDescent="0.25">
      <c r="A6733" t="s">
        <v>2598</v>
      </c>
      <c r="B6733" t="s">
        <v>48</v>
      </c>
      <c r="C6733" t="s">
        <v>57</v>
      </c>
      <c r="D6733" t="s">
        <v>3219</v>
      </c>
      <c r="E6733">
        <v>35.270000000000003</v>
      </c>
      <c r="F6733">
        <v>129.61000000000001</v>
      </c>
    </row>
    <row r="6734" spans="1:6" x14ac:dyDescent="0.25">
      <c r="A6734" t="s">
        <v>2599</v>
      </c>
      <c r="B6734" t="s">
        <v>48</v>
      </c>
      <c r="C6734" t="s">
        <v>58</v>
      </c>
      <c r="D6734" t="s">
        <v>3217</v>
      </c>
      <c r="E6734">
        <v>0</v>
      </c>
      <c r="F6734">
        <v>129.38</v>
      </c>
    </row>
    <row r="6735" spans="1:6" x14ac:dyDescent="0.25">
      <c r="A6735" t="s">
        <v>2599</v>
      </c>
      <c r="B6735" t="s">
        <v>48</v>
      </c>
      <c r="C6735" t="s">
        <v>58</v>
      </c>
      <c r="D6735" t="s">
        <v>3218</v>
      </c>
      <c r="E6735">
        <v>14.87</v>
      </c>
      <c r="F6735">
        <v>128.93</v>
      </c>
    </row>
    <row r="6736" spans="1:6" x14ac:dyDescent="0.25">
      <c r="A6736" t="s">
        <v>2599</v>
      </c>
      <c r="B6736" t="s">
        <v>48</v>
      </c>
      <c r="C6736" t="s">
        <v>58</v>
      </c>
      <c r="D6736" t="s">
        <v>3219</v>
      </c>
      <c r="E6736">
        <v>28.82</v>
      </c>
      <c r="F6736">
        <v>128.69999999999999</v>
      </c>
    </row>
    <row r="6737" spans="1:6" x14ac:dyDescent="0.25">
      <c r="A6737" t="s">
        <v>2600</v>
      </c>
      <c r="B6737" t="s">
        <v>48</v>
      </c>
      <c r="C6737" t="s">
        <v>59</v>
      </c>
      <c r="D6737" t="s">
        <v>3217</v>
      </c>
      <c r="E6737">
        <v>0</v>
      </c>
      <c r="F6737">
        <v>128.6</v>
      </c>
    </row>
    <row r="6738" spans="1:6" x14ac:dyDescent="0.25">
      <c r="A6738" t="s">
        <v>2600</v>
      </c>
      <c r="B6738" t="s">
        <v>48</v>
      </c>
      <c r="C6738" t="s">
        <v>59</v>
      </c>
      <c r="D6738" t="s">
        <v>3218</v>
      </c>
      <c r="E6738">
        <v>13.4</v>
      </c>
      <c r="F6738">
        <v>128.29</v>
      </c>
    </row>
    <row r="6739" spans="1:6" x14ac:dyDescent="0.25">
      <c r="A6739" t="s">
        <v>2600</v>
      </c>
      <c r="B6739" t="s">
        <v>48</v>
      </c>
      <c r="C6739" t="s">
        <v>59</v>
      </c>
      <c r="D6739" t="s">
        <v>3219</v>
      </c>
      <c r="E6739">
        <v>27</v>
      </c>
      <c r="F6739">
        <v>128.05000000000001</v>
      </c>
    </row>
    <row r="6740" spans="1:6" x14ac:dyDescent="0.25">
      <c r="A6740" t="s">
        <v>2601</v>
      </c>
      <c r="B6740" t="s">
        <v>48</v>
      </c>
      <c r="C6740" t="s">
        <v>60</v>
      </c>
      <c r="D6740" t="s">
        <v>3217</v>
      </c>
      <c r="E6740">
        <v>0</v>
      </c>
      <c r="F6740">
        <v>128.33000000000001</v>
      </c>
    </row>
    <row r="6741" spans="1:6" x14ac:dyDescent="0.25">
      <c r="A6741" t="s">
        <v>2601</v>
      </c>
      <c r="B6741" t="s">
        <v>48</v>
      </c>
      <c r="C6741" t="s">
        <v>60</v>
      </c>
      <c r="D6741" t="s">
        <v>3218</v>
      </c>
      <c r="E6741">
        <v>14.33</v>
      </c>
      <c r="F6741">
        <v>127.95</v>
      </c>
    </row>
    <row r="6742" spans="1:6" x14ac:dyDescent="0.25">
      <c r="A6742" t="s">
        <v>2601</v>
      </c>
      <c r="B6742" t="s">
        <v>48</v>
      </c>
      <c r="C6742" t="s">
        <v>60</v>
      </c>
      <c r="D6742" t="s">
        <v>3219</v>
      </c>
      <c r="E6742">
        <v>27.12</v>
      </c>
      <c r="F6742">
        <v>127.63</v>
      </c>
    </row>
    <row r="6743" spans="1:6" x14ac:dyDescent="0.25">
      <c r="A6743" t="s">
        <v>2602</v>
      </c>
      <c r="B6743" t="s">
        <v>48</v>
      </c>
      <c r="C6743" t="s">
        <v>61</v>
      </c>
      <c r="D6743" t="s">
        <v>3217</v>
      </c>
      <c r="E6743">
        <v>0</v>
      </c>
      <c r="F6743">
        <v>128.12</v>
      </c>
    </row>
    <row r="6744" spans="1:6" x14ac:dyDescent="0.25">
      <c r="A6744" t="s">
        <v>2602</v>
      </c>
      <c r="B6744" t="s">
        <v>48</v>
      </c>
      <c r="C6744" t="s">
        <v>61</v>
      </c>
      <c r="D6744" t="s">
        <v>3218</v>
      </c>
      <c r="E6744">
        <v>15.91</v>
      </c>
      <c r="F6744">
        <v>127.71</v>
      </c>
    </row>
    <row r="6745" spans="1:6" x14ac:dyDescent="0.25">
      <c r="A6745" t="s">
        <v>2602</v>
      </c>
      <c r="B6745" t="s">
        <v>48</v>
      </c>
      <c r="C6745" t="s">
        <v>61</v>
      </c>
      <c r="D6745" t="s">
        <v>3219</v>
      </c>
      <c r="E6745">
        <v>28.31</v>
      </c>
      <c r="F6745">
        <v>127.4</v>
      </c>
    </row>
    <row r="6746" spans="1:6" x14ac:dyDescent="0.25">
      <c r="A6746" t="s">
        <v>2603</v>
      </c>
      <c r="B6746" t="s">
        <v>48</v>
      </c>
      <c r="C6746" t="s">
        <v>62</v>
      </c>
      <c r="D6746" t="s">
        <v>3217</v>
      </c>
      <c r="E6746">
        <v>0</v>
      </c>
      <c r="F6746">
        <v>127.95</v>
      </c>
    </row>
    <row r="6747" spans="1:6" x14ac:dyDescent="0.25">
      <c r="A6747" t="s">
        <v>2603</v>
      </c>
      <c r="B6747" t="s">
        <v>48</v>
      </c>
      <c r="C6747" t="s">
        <v>62</v>
      </c>
      <c r="D6747" t="s">
        <v>3218</v>
      </c>
      <c r="E6747">
        <v>16.86</v>
      </c>
      <c r="F6747">
        <v>127.6</v>
      </c>
    </row>
    <row r="6748" spans="1:6" x14ac:dyDescent="0.25">
      <c r="A6748" t="s">
        <v>2603</v>
      </c>
      <c r="B6748" t="s">
        <v>48</v>
      </c>
      <c r="C6748" t="s">
        <v>62</v>
      </c>
      <c r="D6748" t="s">
        <v>3219</v>
      </c>
      <c r="E6748">
        <v>29.45</v>
      </c>
      <c r="F6748">
        <v>127.19</v>
      </c>
    </row>
    <row r="6749" spans="1:6" x14ac:dyDescent="0.25">
      <c r="A6749" t="s">
        <v>2604</v>
      </c>
      <c r="B6749" t="s">
        <v>48</v>
      </c>
      <c r="C6749" t="s">
        <v>63</v>
      </c>
      <c r="D6749" t="s">
        <v>3217</v>
      </c>
      <c r="E6749">
        <v>0</v>
      </c>
      <c r="F6749">
        <v>127.85</v>
      </c>
    </row>
    <row r="6750" spans="1:6" x14ac:dyDescent="0.25">
      <c r="A6750" t="s">
        <v>2604</v>
      </c>
      <c r="B6750" t="s">
        <v>48</v>
      </c>
      <c r="C6750" t="s">
        <v>63</v>
      </c>
      <c r="D6750" t="s">
        <v>3218</v>
      </c>
      <c r="E6750">
        <v>16.91</v>
      </c>
      <c r="F6750">
        <v>127.47</v>
      </c>
    </row>
    <row r="6751" spans="1:6" x14ac:dyDescent="0.25">
      <c r="A6751" t="s">
        <v>2604</v>
      </c>
      <c r="B6751" t="s">
        <v>48</v>
      </c>
      <c r="C6751" t="s">
        <v>63</v>
      </c>
      <c r="D6751" t="s">
        <v>3219</v>
      </c>
      <c r="E6751">
        <v>29.5</v>
      </c>
      <c r="F6751">
        <v>126.95</v>
      </c>
    </row>
    <row r="6752" spans="1:6" x14ac:dyDescent="0.25">
      <c r="A6752" t="s">
        <v>2605</v>
      </c>
      <c r="B6752" t="s">
        <v>48</v>
      </c>
      <c r="C6752" t="s">
        <v>64</v>
      </c>
      <c r="D6752" t="s">
        <v>3217</v>
      </c>
      <c r="E6752">
        <v>0</v>
      </c>
      <c r="F6752">
        <v>127.76</v>
      </c>
    </row>
    <row r="6753" spans="1:6" x14ac:dyDescent="0.25">
      <c r="A6753" t="s">
        <v>2605</v>
      </c>
      <c r="B6753" t="s">
        <v>48</v>
      </c>
      <c r="C6753" t="s">
        <v>64</v>
      </c>
      <c r="D6753" t="s">
        <v>3218</v>
      </c>
      <c r="E6753">
        <v>17.079999999999998</v>
      </c>
      <c r="F6753">
        <v>127.16</v>
      </c>
    </row>
    <row r="6754" spans="1:6" x14ac:dyDescent="0.25">
      <c r="A6754" t="s">
        <v>2605</v>
      </c>
      <c r="B6754" t="s">
        <v>48</v>
      </c>
      <c r="C6754" t="s">
        <v>64</v>
      </c>
      <c r="D6754" t="s">
        <v>3219</v>
      </c>
      <c r="E6754">
        <v>28.57</v>
      </c>
      <c r="F6754">
        <v>126.95</v>
      </c>
    </row>
    <row r="6755" spans="1:6" x14ac:dyDescent="0.25">
      <c r="A6755" t="s">
        <v>2606</v>
      </c>
      <c r="B6755" t="s">
        <v>48</v>
      </c>
      <c r="C6755" t="s">
        <v>65</v>
      </c>
      <c r="D6755" t="s">
        <v>3217</v>
      </c>
      <c r="E6755">
        <v>0</v>
      </c>
      <c r="F6755">
        <v>127.6</v>
      </c>
    </row>
    <row r="6756" spans="1:6" x14ac:dyDescent="0.25">
      <c r="A6756" t="s">
        <v>2606</v>
      </c>
      <c r="B6756" t="s">
        <v>48</v>
      </c>
      <c r="C6756" t="s">
        <v>65</v>
      </c>
      <c r="D6756" t="s">
        <v>3218</v>
      </c>
      <c r="E6756">
        <v>17.25</v>
      </c>
      <c r="F6756">
        <v>127.15</v>
      </c>
    </row>
    <row r="6757" spans="1:6" x14ac:dyDescent="0.25">
      <c r="A6757" t="s">
        <v>2606</v>
      </c>
      <c r="B6757" t="s">
        <v>48</v>
      </c>
      <c r="C6757" t="s">
        <v>65</v>
      </c>
      <c r="D6757" t="s">
        <v>3219</v>
      </c>
      <c r="E6757">
        <v>29</v>
      </c>
      <c r="F6757">
        <v>126.77</v>
      </c>
    </row>
    <row r="6758" spans="1:6" x14ac:dyDescent="0.25">
      <c r="A6758" t="s">
        <v>2607</v>
      </c>
      <c r="B6758" t="s">
        <v>48</v>
      </c>
      <c r="C6758" t="s">
        <v>66</v>
      </c>
      <c r="D6758" t="s">
        <v>3217</v>
      </c>
      <c r="E6758">
        <v>0</v>
      </c>
      <c r="F6758">
        <v>129.09</v>
      </c>
    </row>
    <row r="6759" spans="1:6" x14ac:dyDescent="0.25">
      <c r="A6759" t="s">
        <v>2607</v>
      </c>
      <c r="B6759" t="s">
        <v>48</v>
      </c>
      <c r="C6759" t="s">
        <v>66</v>
      </c>
      <c r="D6759" t="s">
        <v>3218</v>
      </c>
      <c r="E6759">
        <v>17.05</v>
      </c>
      <c r="F6759">
        <v>127.27</v>
      </c>
    </row>
    <row r="6760" spans="1:6" x14ac:dyDescent="0.25">
      <c r="A6760" t="s">
        <v>2607</v>
      </c>
      <c r="B6760" t="s">
        <v>48</v>
      </c>
      <c r="C6760" t="s">
        <v>66</v>
      </c>
      <c r="D6760" t="s">
        <v>3219</v>
      </c>
      <c r="E6760">
        <v>28.37</v>
      </c>
      <c r="F6760">
        <v>126.82</v>
      </c>
    </row>
    <row r="6761" spans="1:6" x14ac:dyDescent="0.25">
      <c r="A6761" t="s">
        <v>2608</v>
      </c>
      <c r="B6761" t="s">
        <v>48</v>
      </c>
      <c r="C6761" t="s">
        <v>67</v>
      </c>
      <c r="D6761" t="s">
        <v>3217</v>
      </c>
      <c r="E6761">
        <v>0</v>
      </c>
      <c r="F6761">
        <v>128.37</v>
      </c>
    </row>
    <row r="6762" spans="1:6" x14ac:dyDescent="0.25">
      <c r="A6762" t="s">
        <v>2608</v>
      </c>
      <c r="B6762" t="s">
        <v>48</v>
      </c>
      <c r="C6762" t="s">
        <v>67</v>
      </c>
      <c r="D6762" t="s">
        <v>3218</v>
      </c>
      <c r="E6762">
        <v>17.05</v>
      </c>
      <c r="F6762">
        <v>127.4</v>
      </c>
    </row>
    <row r="6763" spans="1:6" x14ac:dyDescent="0.25">
      <c r="A6763" t="s">
        <v>2608</v>
      </c>
      <c r="B6763" t="s">
        <v>48</v>
      </c>
      <c r="C6763" t="s">
        <v>67</v>
      </c>
      <c r="D6763" t="s">
        <v>3219</v>
      </c>
      <c r="E6763">
        <v>29.29</v>
      </c>
      <c r="F6763">
        <v>126.89</v>
      </c>
    </row>
    <row r="6764" spans="1:6" x14ac:dyDescent="0.25">
      <c r="A6764" t="s">
        <v>2609</v>
      </c>
      <c r="B6764" t="s">
        <v>48</v>
      </c>
      <c r="C6764" t="s">
        <v>68</v>
      </c>
      <c r="D6764" t="s">
        <v>3217</v>
      </c>
      <c r="E6764">
        <v>0</v>
      </c>
      <c r="F6764">
        <v>127.9</v>
      </c>
    </row>
    <row r="6765" spans="1:6" x14ac:dyDescent="0.25">
      <c r="A6765" t="s">
        <v>2609</v>
      </c>
      <c r="B6765" t="s">
        <v>48</v>
      </c>
      <c r="C6765" t="s">
        <v>68</v>
      </c>
      <c r="D6765" t="s">
        <v>3218</v>
      </c>
      <c r="E6765">
        <v>17.05</v>
      </c>
      <c r="F6765">
        <v>127.48</v>
      </c>
    </row>
    <row r="6766" spans="1:6" x14ac:dyDescent="0.25">
      <c r="A6766" t="s">
        <v>2609</v>
      </c>
      <c r="B6766" t="s">
        <v>48</v>
      </c>
      <c r="C6766" t="s">
        <v>68</v>
      </c>
      <c r="D6766" t="s">
        <v>3219</v>
      </c>
      <c r="E6766">
        <v>29.66</v>
      </c>
      <c r="F6766">
        <v>126.94</v>
      </c>
    </row>
    <row r="6767" spans="1:6" x14ac:dyDescent="0.25">
      <c r="A6767" t="s">
        <v>2610</v>
      </c>
      <c r="B6767" t="s">
        <v>48</v>
      </c>
      <c r="C6767" t="s">
        <v>69</v>
      </c>
      <c r="D6767" t="s">
        <v>3217</v>
      </c>
      <c r="E6767">
        <v>0</v>
      </c>
      <c r="F6767">
        <v>128</v>
      </c>
    </row>
    <row r="6768" spans="1:6" x14ac:dyDescent="0.25">
      <c r="A6768" t="s">
        <v>2610</v>
      </c>
      <c r="B6768" t="s">
        <v>48</v>
      </c>
      <c r="C6768" t="s">
        <v>69</v>
      </c>
      <c r="D6768" t="s">
        <v>3218</v>
      </c>
      <c r="E6768">
        <v>17.97</v>
      </c>
      <c r="F6768">
        <v>127.71</v>
      </c>
    </row>
    <row r="6769" spans="1:6" x14ac:dyDescent="0.25">
      <c r="A6769" t="s">
        <v>2610</v>
      </c>
      <c r="B6769" t="s">
        <v>48</v>
      </c>
      <c r="C6769" t="s">
        <v>69</v>
      </c>
      <c r="D6769" t="s">
        <v>3219</v>
      </c>
      <c r="E6769">
        <v>30.91</v>
      </c>
      <c r="F6769">
        <v>127.17</v>
      </c>
    </row>
    <row r="6770" spans="1:6" x14ac:dyDescent="0.25">
      <c r="A6770" t="s">
        <v>2611</v>
      </c>
      <c r="B6770" t="s">
        <v>48</v>
      </c>
      <c r="C6770" t="s">
        <v>70</v>
      </c>
      <c r="D6770" t="s">
        <v>3217</v>
      </c>
      <c r="E6770">
        <v>0</v>
      </c>
      <c r="F6770">
        <v>128.27000000000001</v>
      </c>
    </row>
    <row r="6771" spans="1:6" x14ac:dyDescent="0.25">
      <c r="A6771" t="s">
        <v>2611</v>
      </c>
      <c r="B6771" t="s">
        <v>48</v>
      </c>
      <c r="C6771" t="s">
        <v>70</v>
      </c>
      <c r="D6771" t="s">
        <v>3218</v>
      </c>
      <c r="E6771">
        <v>17.52</v>
      </c>
      <c r="F6771">
        <v>127.97</v>
      </c>
    </row>
    <row r="6772" spans="1:6" x14ac:dyDescent="0.25">
      <c r="A6772" t="s">
        <v>2611</v>
      </c>
      <c r="B6772" t="s">
        <v>48</v>
      </c>
      <c r="C6772" t="s">
        <v>70</v>
      </c>
      <c r="D6772" t="s">
        <v>3219</v>
      </c>
      <c r="E6772">
        <v>29.74</v>
      </c>
      <c r="F6772">
        <v>127.57</v>
      </c>
    </row>
    <row r="6773" spans="1:6" x14ac:dyDescent="0.25">
      <c r="A6773" t="s">
        <v>2612</v>
      </c>
      <c r="B6773" t="s">
        <v>48</v>
      </c>
      <c r="C6773" t="s">
        <v>71</v>
      </c>
      <c r="D6773" t="s">
        <v>3217</v>
      </c>
      <c r="E6773">
        <v>0</v>
      </c>
      <c r="F6773">
        <v>128.43</v>
      </c>
    </row>
    <row r="6774" spans="1:6" x14ac:dyDescent="0.25">
      <c r="A6774" t="s">
        <v>2612</v>
      </c>
      <c r="B6774" t="s">
        <v>48</v>
      </c>
      <c r="C6774" t="s">
        <v>71</v>
      </c>
      <c r="D6774" t="s">
        <v>3218</v>
      </c>
      <c r="E6774">
        <v>17.62</v>
      </c>
      <c r="F6774">
        <v>128.18</v>
      </c>
    </row>
    <row r="6775" spans="1:6" x14ac:dyDescent="0.25">
      <c r="A6775" t="s">
        <v>2612</v>
      </c>
      <c r="B6775" t="s">
        <v>48</v>
      </c>
      <c r="C6775" t="s">
        <v>71</v>
      </c>
      <c r="D6775" t="s">
        <v>3219</v>
      </c>
      <c r="E6775">
        <v>29.72</v>
      </c>
      <c r="F6775">
        <v>127.9</v>
      </c>
    </row>
    <row r="6776" spans="1:6" x14ac:dyDescent="0.25">
      <c r="A6776" t="s">
        <v>2613</v>
      </c>
      <c r="B6776" t="s">
        <v>48</v>
      </c>
      <c r="C6776" t="s">
        <v>72</v>
      </c>
      <c r="D6776" t="s">
        <v>3217</v>
      </c>
      <c r="E6776">
        <v>0</v>
      </c>
      <c r="F6776">
        <v>128.62</v>
      </c>
    </row>
    <row r="6777" spans="1:6" x14ac:dyDescent="0.25">
      <c r="A6777" t="s">
        <v>2613</v>
      </c>
      <c r="B6777" t="s">
        <v>48</v>
      </c>
      <c r="C6777" t="s">
        <v>72</v>
      </c>
      <c r="D6777" t="s">
        <v>3218</v>
      </c>
      <c r="E6777">
        <v>18.41</v>
      </c>
      <c r="F6777">
        <v>128.43</v>
      </c>
    </row>
    <row r="6778" spans="1:6" x14ac:dyDescent="0.25">
      <c r="A6778" t="s">
        <v>2613</v>
      </c>
      <c r="B6778" t="s">
        <v>48</v>
      </c>
      <c r="C6778" t="s">
        <v>72</v>
      </c>
      <c r="D6778" t="s">
        <v>3219</v>
      </c>
      <c r="E6778">
        <v>30.16</v>
      </c>
      <c r="F6778">
        <v>128.01</v>
      </c>
    </row>
    <row r="6779" spans="1:6" x14ac:dyDescent="0.25">
      <c r="A6779" t="s">
        <v>2614</v>
      </c>
      <c r="B6779" t="s">
        <v>48</v>
      </c>
      <c r="C6779" t="s">
        <v>73</v>
      </c>
      <c r="D6779" t="s">
        <v>3217</v>
      </c>
      <c r="E6779">
        <v>0</v>
      </c>
      <c r="F6779">
        <v>128.88</v>
      </c>
    </row>
    <row r="6780" spans="1:6" x14ac:dyDescent="0.25">
      <c r="A6780" t="s">
        <v>2614</v>
      </c>
      <c r="B6780" t="s">
        <v>48</v>
      </c>
      <c r="C6780" t="s">
        <v>73</v>
      </c>
      <c r="D6780" t="s">
        <v>3218</v>
      </c>
      <c r="E6780">
        <v>18.350000000000001</v>
      </c>
      <c r="F6780">
        <v>128.59</v>
      </c>
    </row>
    <row r="6781" spans="1:6" x14ac:dyDescent="0.25">
      <c r="A6781" t="s">
        <v>2614</v>
      </c>
      <c r="B6781" t="s">
        <v>48</v>
      </c>
      <c r="C6781" t="s">
        <v>73</v>
      </c>
      <c r="D6781" t="s">
        <v>3219</v>
      </c>
      <c r="E6781">
        <v>31.63</v>
      </c>
      <c r="F6781">
        <v>128.08000000000001</v>
      </c>
    </row>
    <row r="6782" spans="1:6" x14ac:dyDescent="0.25">
      <c r="A6782" t="s">
        <v>2615</v>
      </c>
      <c r="B6782" t="s">
        <v>48</v>
      </c>
      <c r="C6782" t="s">
        <v>74</v>
      </c>
      <c r="D6782" t="s">
        <v>3217</v>
      </c>
      <c r="E6782">
        <v>0</v>
      </c>
      <c r="F6782">
        <v>129.47999999999999</v>
      </c>
    </row>
    <row r="6783" spans="1:6" x14ac:dyDescent="0.25">
      <c r="A6783" t="s">
        <v>2615</v>
      </c>
      <c r="B6783" t="s">
        <v>48</v>
      </c>
      <c r="C6783" t="s">
        <v>74</v>
      </c>
      <c r="D6783" t="s">
        <v>3218</v>
      </c>
      <c r="E6783">
        <v>18.350000000000001</v>
      </c>
      <c r="F6783">
        <v>128.6</v>
      </c>
    </row>
    <row r="6784" spans="1:6" x14ac:dyDescent="0.25">
      <c r="A6784" t="s">
        <v>2615</v>
      </c>
      <c r="B6784" t="s">
        <v>48</v>
      </c>
      <c r="C6784" t="s">
        <v>74</v>
      </c>
      <c r="D6784" t="s">
        <v>3219</v>
      </c>
      <c r="E6784">
        <v>33.53</v>
      </c>
      <c r="F6784">
        <v>128.24</v>
      </c>
    </row>
    <row r="6785" spans="1:6" x14ac:dyDescent="0.25">
      <c r="A6785" t="s">
        <v>2616</v>
      </c>
      <c r="B6785" t="s">
        <v>48</v>
      </c>
      <c r="C6785" t="s">
        <v>75</v>
      </c>
      <c r="D6785" t="s">
        <v>3217</v>
      </c>
      <c r="E6785">
        <v>0</v>
      </c>
      <c r="F6785">
        <v>129.53</v>
      </c>
    </row>
    <row r="6786" spans="1:6" x14ac:dyDescent="0.25">
      <c r="A6786" t="s">
        <v>2616</v>
      </c>
      <c r="B6786" t="s">
        <v>48</v>
      </c>
      <c r="C6786" t="s">
        <v>75</v>
      </c>
      <c r="D6786" t="s">
        <v>3218</v>
      </c>
      <c r="E6786">
        <v>17.079999999999998</v>
      </c>
      <c r="F6786">
        <v>128.91</v>
      </c>
    </row>
    <row r="6787" spans="1:6" x14ac:dyDescent="0.25">
      <c r="A6787" t="s">
        <v>2616</v>
      </c>
      <c r="B6787" t="s">
        <v>48</v>
      </c>
      <c r="C6787" t="s">
        <v>75</v>
      </c>
      <c r="D6787" t="s">
        <v>3219</v>
      </c>
      <c r="E6787">
        <v>33.32</v>
      </c>
      <c r="F6787">
        <v>128.68</v>
      </c>
    </row>
    <row r="6788" spans="1:6" x14ac:dyDescent="0.25">
      <c r="A6788" t="s">
        <v>2617</v>
      </c>
      <c r="B6788" t="s">
        <v>48</v>
      </c>
      <c r="C6788" t="s">
        <v>76</v>
      </c>
      <c r="D6788" t="s">
        <v>3217</v>
      </c>
      <c r="E6788">
        <v>0</v>
      </c>
      <c r="F6788">
        <v>129.54</v>
      </c>
    </row>
    <row r="6789" spans="1:6" x14ac:dyDescent="0.25">
      <c r="A6789" t="s">
        <v>2617</v>
      </c>
      <c r="B6789" t="s">
        <v>48</v>
      </c>
      <c r="C6789" t="s">
        <v>76</v>
      </c>
      <c r="D6789" t="s">
        <v>3218</v>
      </c>
      <c r="E6789">
        <v>16.100000000000001</v>
      </c>
      <c r="F6789">
        <v>128.97</v>
      </c>
    </row>
    <row r="6790" spans="1:6" x14ac:dyDescent="0.25">
      <c r="A6790" t="s">
        <v>2617</v>
      </c>
      <c r="B6790" t="s">
        <v>48</v>
      </c>
      <c r="C6790" t="s">
        <v>76</v>
      </c>
      <c r="D6790" t="s">
        <v>3219</v>
      </c>
      <c r="E6790">
        <v>31.94</v>
      </c>
      <c r="F6790">
        <v>128.6</v>
      </c>
    </row>
    <row r="6791" spans="1:6" x14ac:dyDescent="0.25">
      <c r="A6791" t="s">
        <v>2618</v>
      </c>
      <c r="B6791" t="s">
        <v>48</v>
      </c>
      <c r="C6791" t="s">
        <v>77</v>
      </c>
      <c r="D6791" t="s">
        <v>3217</v>
      </c>
      <c r="E6791">
        <v>0</v>
      </c>
      <c r="F6791">
        <v>129.6</v>
      </c>
    </row>
    <row r="6792" spans="1:6" x14ac:dyDescent="0.25">
      <c r="A6792" t="s">
        <v>2618</v>
      </c>
      <c r="B6792" t="s">
        <v>48</v>
      </c>
      <c r="C6792" t="s">
        <v>77</v>
      </c>
      <c r="D6792" t="s">
        <v>3218</v>
      </c>
      <c r="E6792">
        <v>16.5</v>
      </c>
      <c r="F6792">
        <v>129</v>
      </c>
    </row>
    <row r="6793" spans="1:6" x14ac:dyDescent="0.25">
      <c r="A6793" t="s">
        <v>2618</v>
      </c>
      <c r="B6793" t="s">
        <v>48</v>
      </c>
      <c r="C6793" t="s">
        <v>77</v>
      </c>
      <c r="D6793" t="s">
        <v>3219</v>
      </c>
      <c r="E6793">
        <v>32.340000000000003</v>
      </c>
      <c r="F6793">
        <v>128.52000000000001</v>
      </c>
    </row>
    <row r="6794" spans="1:6" x14ac:dyDescent="0.25">
      <c r="A6794" t="s">
        <v>2619</v>
      </c>
      <c r="B6794" t="s">
        <v>48</v>
      </c>
      <c r="C6794" t="s">
        <v>78</v>
      </c>
      <c r="D6794" t="s">
        <v>3217</v>
      </c>
      <c r="E6794">
        <v>0</v>
      </c>
      <c r="F6794">
        <v>129.34</v>
      </c>
    </row>
    <row r="6795" spans="1:6" x14ac:dyDescent="0.25">
      <c r="A6795" t="s">
        <v>2619</v>
      </c>
      <c r="B6795" t="s">
        <v>48</v>
      </c>
      <c r="C6795" t="s">
        <v>78</v>
      </c>
      <c r="D6795" t="s">
        <v>3218</v>
      </c>
      <c r="E6795">
        <v>17.3</v>
      </c>
      <c r="F6795">
        <v>128.76</v>
      </c>
    </row>
    <row r="6796" spans="1:6" x14ac:dyDescent="0.25">
      <c r="A6796" t="s">
        <v>2619</v>
      </c>
      <c r="B6796" t="s">
        <v>48</v>
      </c>
      <c r="C6796" t="s">
        <v>78</v>
      </c>
      <c r="D6796" t="s">
        <v>3219</v>
      </c>
      <c r="E6796">
        <v>32.450000000000003</v>
      </c>
      <c r="F6796">
        <v>128.26</v>
      </c>
    </row>
    <row r="6797" spans="1:6" x14ac:dyDescent="0.25">
      <c r="A6797" t="s">
        <v>2620</v>
      </c>
      <c r="B6797" t="s">
        <v>48</v>
      </c>
      <c r="C6797" t="s">
        <v>79</v>
      </c>
      <c r="D6797" t="s">
        <v>3217</v>
      </c>
      <c r="E6797">
        <v>0</v>
      </c>
      <c r="F6797">
        <v>129.07</v>
      </c>
    </row>
    <row r="6798" spans="1:6" x14ac:dyDescent="0.25">
      <c r="A6798" t="s">
        <v>2620</v>
      </c>
      <c r="B6798" t="s">
        <v>48</v>
      </c>
      <c r="C6798" t="s">
        <v>79</v>
      </c>
      <c r="D6798" t="s">
        <v>3218</v>
      </c>
      <c r="E6798">
        <v>16.22</v>
      </c>
      <c r="F6798">
        <v>128.69</v>
      </c>
    </row>
    <row r="6799" spans="1:6" x14ac:dyDescent="0.25">
      <c r="A6799" t="s">
        <v>2620</v>
      </c>
      <c r="B6799" t="s">
        <v>48</v>
      </c>
      <c r="C6799" t="s">
        <v>79</v>
      </c>
      <c r="D6799" t="s">
        <v>3219</v>
      </c>
      <c r="E6799">
        <v>29.99</v>
      </c>
      <c r="F6799">
        <v>128.07</v>
      </c>
    </row>
    <row r="6800" spans="1:6" x14ac:dyDescent="0.25">
      <c r="A6800" t="s">
        <v>2621</v>
      </c>
      <c r="B6800" t="s">
        <v>48</v>
      </c>
      <c r="C6800" t="s">
        <v>80</v>
      </c>
      <c r="D6800" t="s">
        <v>3217</v>
      </c>
      <c r="E6800">
        <v>0</v>
      </c>
      <c r="F6800">
        <v>128.62</v>
      </c>
    </row>
    <row r="6801" spans="1:6" x14ac:dyDescent="0.25">
      <c r="A6801" t="s">
        <v>2621</v>
      </c>
      <c r="B6801" t="s">
        <v>48</v>
      </c>
      <c r="C6801" t="s">
        <v>80</v>
      </c>
      <c r="D6801" t="s">
        <v>3218</v>
      </c>
      <c r="E6801">
        <v>14.61</v>
      </c>
      <c r="F6801">
        <v>128.36000000000001</v>
      </c>
    </row>
    <row r="6802" spans="1:6" x14ac:dyDescent="0.25">
      <c r="A6802" t="s">
        <v>2621</v>
      </c>
      <c r="B6802" t="s">
        <v>48</v>
      </c>
      <c r="C6802" t="s">
        <v>80</v>
      </c>
      <c r="D6802" t="s">
        <v>3219</v>
      </c>
      <c r="E6802">
        <v>27.08</v>
      </c>
      <c r="F6802">
        <v>128.04</v>
      </c>
    </row>
    <row r="6803" spans="1:6" x14ac:dyDescent="0.25">
      <c r="A6803" t="s">
        <v>2622</v>
      </c>
      <c r="B6803" t="s">
        <v>48</v>
      </c>
      <c r="C6803" t="s">
        <v>81</v>
      </c>
      <c r="D6803" t="s">
        <v>3217</v>
      </c>
      <c r="E6803">
        <v>0</v>
      </c>
      <c r="F6803">
        <v>128.33000000000001</v>
      </c>
    </row>
    <row r="6804" spans="1:6" x14ac:dyDescent="0.25">
      <c r="A6804" t="s">
        <v>2622</v>
      </c>
      <c r="B6804" t="s">
        <v>48</v>
      </c>
      <c r="C6804" t="s">
        <v>81</v>
      </c>
      <c r="D6804" t="s">
        <v>3218</v>
      </c>
      <c r="E6804">
        <v>12.86</v>
      </c>
      <c r="F6804">
        <v>128.09</v>
      </c>
    </row>
    <row r="6805" spans="1:6" x14ac:dyDescent="0.25">
      <c r="A6805" t="s">
        <v>2622</v>
      </c>
      <c r="B6805" t="s">
        <v>48</v>
      </c>
      <c r="C6805" t="s">
        <v>81</v>
      </c>
      <c r="D6805" t="s">
        <v>3219</v>
      </c>
      <c r="E6805">
        <v>23.34</v>
      </c>
      <c r="F6805">
        <v>127.63</v>
      </c>
    </row>
    <row r="6806" spans="1:6" x14ac:dyDescent="0.25">
      <c r="A6806" t="s">
        <v>2623</v>
      </c>
      <c r="B6806" t="s">
        <v>48</v>
      </c>
      <c r="C6806" t="s">
        <v>82</v>
      </c>
      <c r="D6806" t="s">
        <v>3217</v>
      </c>
      <c r="E6806">
        <v>0</v>
      </c>
      <c r="F6806">
        <v>128.01</v>
      </c>
    </row>
    <row r="6807" spans="1:6" x14ac:dyDescent="0.25">
      <c r="A6807" t="s">
        <v>2623</v>
      </c>
      <c r="B6807" t="s">
        <v>48</v>
      </c>
      <c r="C6807" t="s">
        <v>82</v>
      </c>
      <c r="D6807" t="s">
        <v>3218</v>
      </c>
      <c r="E6807">
        <v>12.2</v>
      </c>
      <c r="F6807">
        <v>127.72</v>
      </c>
    </row>
    <row r="6808" spans="1:6" x14ac:dyDescent="0.25">
      <c r="A6808" t="s">
        <v>2623</v>
      </c>
      <c r="B6808" t="s">
        <v>48</v>
      </c>
      <c r="C6808" t="s">
        <v>82</v>
      </c>
      <c r="D6808" t="s">
        <v>3219</v>
      </c>
      <c r="E6808">
        <v>22.03</v>
      </c>
      <c r="F6808">
        <v>127.3</v>
      </c>
    </row>
    <row r="6809" spans="1:6" x14ac:dyDescent="0.25">
      <c r="A6809" t="s">
        <v>2624</v>
      </c>
      <c r="B6809" t="s">
        <v>48</v>
      </c>
      <c r="C6809" t="s">
        <v>83</v>
      </c>
      <c r="D6809" t="s">
        <v>3217</v>
      </c>
      <c r="E6809">
        <v>0</v>
      </c>
      <c r="F6809">
        <v>127.45</v>
      </c>
    </row>
    <row r="6810" spans="1:6" x14ac:dyDescent="0.25">
      <c r="A6810" t="s">
        <v>2624</v>
      </c>
      <c r="B6810" t="s">
        <v>48</v>
      </c>
      <c r="C6810" t="s">
        <v>83</v>
      </c>
      <c r="D6810" t="s">
        <v>3218</v>
      </c>
      <c r="E6810">
        <v>11.64</v>
      </c>
      <c r="F6810">
        <v>127.33</v>
      </c>
    </row>
    <row r="6811" spans="1:6" x14ac:dyDescent="0.25">
      <c r="A6811" t="s">
        <v>2624</v>
      </c>
      <c r="B6811" t="s">
        <v>48</v>
      </c>
      <c r="C6811" t="s">
        <v>83</v>
      </c>
      <c r="D6811" t="s">
        <v>3219</v>
      </c>
      <c r="E6811">
        <v>21.82</v>
      </c>
      <c r="F6811">
        <v>126.9</v>
      </c>
    </row>
    <row r="6812" spans="1:6" x14ac:dyDescent="0.25">
      <c r="A6812" t="s">
        <v>2625</v>
      </c>
      <c r="B6812" t="s">
        <v>48</v>
      </c>
      <c r="C6812" t="s">
        <v>84</v>
      </c>
      <c r="D6812" t="s">
        <v>3217</v>
      </c>
      <c r="E6812">
        <v>0</v>
      </c>
      <c r="F6812">
        <v>126.88</v>
      </c>
    </row>
    <row r="6813" spans="1:6" x14ac:dyDescent="0.25">
      <c r="A6813" t="s">
        <v>2625</v>
      </c>
      <c r="B6813" t="s">
        <v>48</v>
      </c>
      <c r="C6813" t="s">
        <v>84</v>
      </c>
      <c r="D6813" t="s">
        <v>3218</v>
      </c>
      <c r="E6813">
        <v>11.81</v>
      </c>
      <c r="F6813">
        <v>126.94</v>
      </c>
    </row>
    <row r="6814" spans="1:6" x14ac:dyDescent="0.25">
      <c r="A6814" t="s">
        <v>2625</v>
      </c>
      <c r="B6814" t="s">
        <v>48</v>
      </c>
      <c r="C6814" t="s">
        <v>84</v>
      </c>
      <c r="D6814" t="s">
        <v>3219</v>
      </c>
      <c r="E6814">
        <v>22.32</v>
      </c>
      <c r="F6814">
        <v>126.52</v>
      </c>
    </row>
    <row r="6815" spans="1:6" x14ac:dyDescent="0.25">
      <c r="A6815" t="s">
        <v>2626</v>
      </c>
      <c r="B6815" t="s">
        <v>48</v>
      </c>
      <c r="C6815" t="s">
        <v>85</v>
      </c>
      <c r="D6815" t="s">
        <v>3217</v>
      </c>
      <c r="E6815">
        <v>0</v>
      </c>
      <c r="F6815">
        <v>126.53</v>
      </c>
    </row>
    <row r="6816" spans="1:6" x14ac:dyDescent="0.25">
      <c r="A6816" t="s">
        <v>2626</v>
      </c>
      <c r="B6816" t="s">
        <v>48</v>
      </c>
      <c r="C6816" t="s">
        <v>85</v>
      </c>
      <c r="D6816" t="s">
        <v>3218</v>
      </c>
      <c r="E6816">
        <v>12.1</v>
      </c>
      <c r="F6816">
        <v>126.53</v>
      </c>
    </row>
    <row r="6817" spans="1:6" x14ac:dyDescent="0.25">
      <c r="A6817" t="s">
        <v>2626</v>
      </c>
      <c r="B6817" t="s">
        <v>48</v>
      </c>
      <c r="C6817" t="s">
        <v>85</v>
      </c>
      <c r="D6817" t="s">
        <v>3219</v>
      </c>
      <c r="E6817">
        <v>23</v>
      </c>
      <c r="F6817">
        <v>126.11</v>
      </c>
    </row>
    <row r="6818" spans="1:6" x14ac:dyDescent="0.25">
      <c r="A6818" t="s">
        <v>2627</v>
      </c>
      <c r="B6818" t="s">
        <v>48</v>
      </c>
      <c r="C6818" t="s">
        <v>86</v>
      </c>
      <c r="D6818" t="s">
        <v>3217</v>
      </c>
      <c r="E6818">
        <v>0</v>
      </c>
      <c r="F6818">
        <v>126.07</v>
      </c>
    </row>
    <row r="6819" spans="1:6" x14ac:dyDescent="0.25">
      <c r="A6819" t="s">
        <v>2627</v>
      </c>
      <c r="B6819" t="s">
        <v>48</v>
      </c>
      <c r="C6819" t="s">
        <v>86</v>
      </c>
      <c r="D6819" t="s">
        <v>3218</v>
      </c>
      <c r="E6819">
        <v>11.73</v>
      </c>
      <c r="F6819">
        <v>126</v>
      </c>
    </row>
    <row r="6820" spans="1:6" x14ac:dyDescent="0.25">
      <c r="A6820" t="s">
        <v>2627</v>
      </c>
      <c r="B6820" t="s">
        <v>48</v>
      </c>
      <c r="C6820" t="s">
        <v>86</v>
      </c>
      <c r="D6820" t="s">
        <v>3219</v>
      </c>
      <c r="E6820">
        <v>23.15</v>
      </c>
      <c r="F6820">
        <v>125.78</v>
      </c>
    </row>
    <row r="6821" spans="1:6" x14ac:dyDescent="0.25">
      <c r="A6821" t="s">
        <v>2628</v>
      </c>
      <c r="B6821" t="s">
        <v>48</v>
      </c>
      <c r="C6821" t="s">
        <v>87</v>
      </c>
      <c r="D6821" t="s">
        <v>3217</v>
      </c>
      <c r="E6821">
        <v>0</v>
      </c>
      <c r="F6821">
        <v>125.59</v>
      </c>
    </row>
    <row r="6822" spans="1:6" x14ac:dyDescent="0.25">
      <c r="A6822" t="s">
        <v>2628</v>
      </c>
      <c r="B6822" t="s">
        <v>48</v>
      </c>
      <c r="C6822" t="s">
        <v>87</v>
      </c>
      <c r="D6822" t="s">
        <v>3218</v>
      </c>
      <c r="E6822">
        <v>11.04</v>
      </c>
      <c r="F6822">
        <v>125.51</v>
      </c>
    </row>
    <row r="6823" spans="1:6" x14ac:dyDescent="0.25">
      <c r="A6823" t="s">
        <v>2628</v>
      </c>
      <c r="B6823" t="s">
        <v>48</v>
      </c>
      <c r="C6823" t="s">
        <v>87</v>
      </c>
      <c r="D6823" t="s">
        <v>3219</v>
      </c>
      <c r="E6823">
        <v>23.54</v>
      </c>
      <c r="F6823">
        <v>125.12</v>
      </c>
    </row>
    <row r="6824" spans="1:6" x14ac:dyDescent="0.25">
      <c r="A6824" t="s">
        <v>2629</v>
      </c>
      <c r="B6824" t="s">
        <v>48</v>
      </c>
      <c r="C6824" t="s">
        <v>88</v>
      </c>
      <c r="D6824" t="s">
        <v>3217</v>
      </c>
      <c r="E6824">
        <v>0</v>
      </c>
      <c r="F6824">
        <v>125.11</v>
      </c>
    </row>
    <row r="6825" spans="1:6" x14ac:dyDescent="0.25">
      <c r="A6825" t="s">
        <v>2629</v>
      </c>
      <c r="B6825" t="s">
        <v>48</v>
      </c>
      <c r="C6825" t="s">
        <v>88</v>
      </c>
      <c r="D6825" t="s">
        <v>3218</v>
      </c>
      <c r="E6825">
        <v>12.92</v>
      </c>
      <c r="F6825">
        <v>124.9</v>
      </c>
    </row>
    <row r="6826" spans="1:6" x14ac:dyDescent="0.25">
      <c r="A6826" t="s">
        <v>2629</v>
      </c>
      <c r="B6826" t="s">
        <v>48</v>
      </c>
      <c r="C6826" t="s">
        <v>88</v>
      </c>
      <c r="D6826" t="s">
        <v>3219</v>
      </c>
      <c r="E6826">
        <v>25.86</v>
      </c>
      <c r="F6826">
        <v>124.54</v>
      </c>
    </row>
    <row r="6827" spans="1:6" x14ac:dyDescent="0.25">
      <c r="A6827" t="s">
        <v>2630</v>
      </c>
      <c r="B6827" t="s">
        <v>48</v>
      </c>
      <c r="C6827" t="s">
        <v>89</v>
      </c>
      <c r="D6827" t="s">
        <v>3217</v>
      </c>
      <c r="E6827">
        <v>0</v>
      </c>
      <c r="F6827">
        <v>124.53</v>
      </c>
    </row>
    <row r="6828" spans="1:6" x14ac:dyDescent="0.25">
      <c r="A6828" t="s">
        <v>2630</v>
      </c>
      <c r="B6828" t="s">
        <v>48</v>
      </c>
      <c r="C6828" t="s">
        <v>89</v>
      </c>
      <c r="D6828" t="s">
        <v>3218</v>
      </c>
      <c r="E6828">
        <v>13.38</v>
      </c>
      <c r="F6828">
        <v>124.31</v>
      </c>
    </row>
    <row r="6829" spans="1:6" x14ac:dyDescent="0.25">
      <c r="A6829" t="s">
        <v>2630</v>
      </c>
      <c r="B6829" t="s">
        <v>48</v>
      </c>
      <c r="C6829" t="s">
        <v>89</v>
      </c>
      <c r="D6829" t="s">
        <v>3219</v>
      </c>
      <c r="E6829">
        <v>26.59</v>
      </c>
      <c r="F6829">
        <v>123.87</v>
      </c>
    </row>
    <row r="6830" spans="1:6" x14ac:dyDescent="0.25">
      <c r="A6830" t="s">
        <v>2631</v>
      </c>
      <c r="B6830" t="s">
        <v>48</v>
      </c>
      <c r="C6830" t="s">
        <v>90</v>
      </c>
      <c r="D6830" t="s">
        <v>3217</v>
      </c>
      <c r="E6830">
        <v>0</v>
      </c>
      <c r="F6830">
        <v>123.91</v>
      </c>
    </row>
    <row r="6831" spans="1:6" x14ac:dyDescent="0.25">
      <c r="A6831" t="s">
        <v>2631</v>
      </c>
      <c r="B6831" t="s">
        <v>48</v>
      </c>
      <c r="C6831" t="s">
        <v>90</v>
      </c>
      <c r="D6831" t="s">
        <v>3218</v>
      </c>
      <c r="E6831">
        <v>14.2</v>
      </c>
      <c r="F6831">
        <v>123.7</v>
      </c>
    </row>
    <row r="6832" spans="1:6" x14ac:dyDescent="0.25">
      <c r="A6832" t="s">
        <v>2631</v>
      </c>
      <c r="B6832" t="s">
        <v>48</v>
      </c>
      <c r="C6832" t="s">
        <v>90</v>
      </c>
      <c r="D6832" t="s">
        <v>3219</v>
      </c>
      <c r="E6832">
        <v>27.45</v>
      </c>
      <c r="F6832">
        <v>123.36</v>
      </c>
    </row>
    <row r="6833" spans="1:6" x14ac:dyDescent="0.25">
      <c r="A6833" t="s">
        <v>2632</v>
      </c>
      <c r="B6833" t="s">
        <v>48</v>
      </c>
      <c r="C6833" t="s">
        <v>91</v>
      </c>
      <c r="D6833" t="s">
        <v>3217</v>
      </c>
      <c r="E6833">
        <v>0</v>
      </c>
      <c r="F6833">
        <v>123.42</v>
      </c>
    </row>
    <row r="6834" spans="1:6" x14ac:dyDescent="0.25">
      <c r="A6834" t="s">
        <v>2632</v>
      </c>
      <c r="B6834" t="s">
        <v>48</v>
      </c>
      <c r="C6834" t="s">
        <v>91</v>
      </c>
      <c r="D6834" t="s">
        <v>3218</v>
      </c>
      <c r="E6834">
        <v>15.02</v>
      </c>
      <c r="F6834">
        <v>123.28</v>
      </c>
    </row>
    <row r="6835" spans="1:6" x14ac:dyDescent="0.25">
      <c r="A6835" t="s">
        <v>2632</v>
      </c>
      <c r="B6835" t="s">
        <v>48</v>
      </c>
      <c r="C6835" t="s">
        <v>91</v>
      </c>
      <c r="D6835" t="s">
        <v>3219</v>
      </c>
      <c r="E6835">
        <v>27.83</v>
      </c>
      <c r="F6835">
        <v>122.95</v>
      </c>
    </row>
    <row r="6836" spans="1:6" x14ac:dyDescent="0.25">
      <c r="A6836" t="s">
        <v>2633</v>
      </c>
      <c r="B6836" t="s">
        <v>48</v>
      </c>
      <c r="C6836" t="s">
        <v>92</v>
      </c>
      <c r="D6836" t="s">
        <v>3217</v>
      </c>
      <c r="E6836">
        <v>0</v>
      </c>
      <c r="F6836">
        <v>123.12</v>
      </c>
    </row>
    <row r="6837" spans="1:6" x14ac:dyDescent="0.25">
      <c r="A6837" t="s">
        <v>2633</v>
      </c>
      <c r="B6837" t="s">
        <v>48</v>
      </c>
      <c r="C6837" t="s">
        <v>92</v>
      </c>
      <c r="D6837" t="s">
        <v>3218</v>
      </c>
      <c r="E6837">
        <v>15.96</v>
      </c>
      <c r="F6837">
        <v>122.78</v>
      </c>
    </row>
    <row r="6838" spans="1:6" x14ac:dyDescent="0.25">
      <c r="A6838" t="s">
        <v>2633</v>
      </c>
      <c r="B6838" t="s">
        <v>48</v>
      </c>
      <c r="C6838" t="s">
        <v>92</v>
      </c>
      <c r="D6838" t="s">
        <v>3219</v>
      </c>
      <c r="E6838">
        <v>28.84</v>
      </c>
      <c r="F6838">
        <v>122.32</v>
      </c>
    </row>
    <row r="6839" spans="1:6" x14ac:dyDescent="0.25">
      <c r="A6839" t="s">
        <v>2634</v>
      </c>
      <c r="B6839" t="s">
        <v>48</v>
      </c>
      <c r="C6839" t="s">
        <v>93</v>
      </c>
      <c r="D6839" t="s">
        <v>3217</v>
      </c>
      <c r="E6839">
        <v>0</v>
      </c>
      <c r="F6839">
        <v>122.83</v>
      </c>
    </row>
    <row r="6840" spans="1:6" x14ac:dyDescent="0.25">
      <c r="A6840" t="s">
        <v>2634</v>
      </c>
      <c r="B6840" t="s">
        <v>48</v>
      </c>
      <c r="C6840" t="s">
        <v>93</v>
      </c>
      <c r="D6840" t="s">
        <v>3218</v>
      </c>
      <c r="E6840">
        <v>15.66</v>
      </c>
      <c r="F6840">
        <v>122.27</v>
      </c>
    </row>
    <row r="6841" spans="1:6" x14ac:dyDescent="0.25">
      <c r="A6841" t="s">
        <v>2634</v>
      </c>
      <c r="B6841" t="s">
        <v>48</v>
      </c>
      <c r="C6841" t="s">
        <v>93</v>
      </c>
      <c r="D6841" t="s">
        <v>3219</v>
      </c>
      <c r="E6841">
        <v>27.1</v>
      </c>
      <c r="F6841">
        <v>121.86</v>
      </c>
    </row>
    <row r="6842" spans="1:6" x14ac:dyDescent="0.25">
      <c r="A6842" t="s">
        <v>2635</v>
      </c>
      <c r="B6842" t="s">
        <v>48</v>
      </c>
      <c r="C6842" t="s">
        <v>94</v>
      </c>
      <c r="D6842" t="s">
        <v>3217</v>
      </c>
      <c r="E6842">
        <v>0</v>
      </c>
      <c r="F6842">
        <v>122.28</v>
      </c>
    </row>
    <row r="6843" spans="1:6" x14ac:dyDescent="0.25">
      <c r="A6843" t="s">
        <v>2635</v>
      </c>
      <c r="B6843" t="s">
        <v>48</v>
      </c>
      <c r="C6843" t="s">
        <v>94</v>
      </c>
      <c r="D6843" t="s">
        <v>3218</v>
      </c>
      <c r="E6843">
        <v>14.62</v>
      </c>
      <c r="F6843">
        <v>121.79</v>
      </c>
    </row>
    <row r="6844" spans="1:6" x14ac:dyDescent="0.25">
      <c r="A6844" t="s">
        <v>2635</v>
      </c>
      <c r="B6844" t="s">
        <v>48</v>
      </c>
      <c r="C6844" t="s">
        <v>94</v>
      </c>
      <c r="D6844" t="s">
        <v>3219</v>
      </c>
      <c r="E6844">
        <v>27.13</v>
      </c>
      <c r="F6844">
        <v>121.38</v>
      </c>
    </row>
    <row r="6845" spans="1:6" x14ac:dyDescent="0.25">
      <c r="A6845" t="s">
        <v>2636</v>
      </c>
      <c r="B6845" t="s">
        <v>48</v>
      </c>
      <c r="C6845" t="s">
        <v>95</v>
      </c>
      <c r="D6845" t="s">
        <v>3217</v>
      </c>
      <c r="E6845">
        <v>0</v>
      </c>
      <c r="F6845">
        <v>121.55</v>
      </c>
    </row>
    <row r="6846" spans="1:6" x14ac:dyDescent="0.25">
      <c r="A6846" t="s">
        <v>2636</v>
      </c>
      <c r="B6846" t="s">
        <v>48</v>
      </c>
      <c r="C6846" t="s">
        <v>95</v>
      </c>
      <c r="D6846" t="s">
        <v>3218</v>
      </c>
      <c r="E6846">
        <v>14.74</v>
      </c>
      <c r="F6846">
        <v>121.3</v>
      </c>
    </row>
    <row r="6847" spans="1:6" x14ac:dyDescent="0.25">
      <c r="A6847" t="s">
        <v>2636</v>
      </c>
      <c r="B6847" t="s">
        <v>48</v>
      </c>
      <c r="C6847" t="s">
        <v>95</v>
      </c>
      <c r="D6847" t="s">
        <v>3219</v>
      </c>
      <c r="E6847">
        <v>27.25</v>
      </c>
      <c r="F6847">
        <v>121.01</v>
      </c>
    </row>
    <row r="6848" spans="1:6" x14ac:dyDescent="0.25">
      <c r="A6848" t="s">
        <v>2637</v>
      </c>
      <c r="B6848" t="s">
        <v>48</v>
      </c>
      <c r="C6848" t="s">
        <v>96</v>
      </c>
      <c r="D6848" t="s">
        <v>3217</v>
      </c>
      <c r="E6848">
        <v>0</v>
      </c>
      <c r="F6848">
        <v>120.66</v>
      </c>
    </row>
    <row r="6849" spans="1:6" x14ac:dyDescent="0.25">
      <c r="A6849" t="s">
        <v>2637</v>
      </c>
      <c r="B6849" t="s">
        <v>48</v>
      </c>
      <c r="C6849" t="s">
        <v>96</v>
      </c>
      <c r="D6849" t="s">
        <v>3218</v>
      </c>
      <c r="E6849">
        <v>14.74</v>
      </c>
      <c r="F6849">
        <v>120.66</v>
      </c>
    </row>
    <row r="6850" spans="1:6" x14ac:dyDescent="0.25">
      <c r="A6850" t="s">
        <v>2637</v>
      </c>
      <c r="B6850" t="s">
        <v>48</v>
      </c>
      <c r="C6850" t="s">
        <v>96</v>
      </c>
      <c r="D6850" t="s">
        <v>3219</v>
      </c>
      <c r="E6850">
        <v>27.93</v>
      </c>
      <c r="F6850">
        <v>120.43</v>
      </c>
    </row>
    <row r="6851" spans="1:6" x14ac:dyDescent="0.25">
      <c r="A6851" t="s">
        <v>2638</v>
      </c>
      <c r="B6851" t="s">
        <v>48</v>
      </c>
      <c r="C6851" t="s">
        <v>97</v>
      </c>
      <c r="D6851" t="s">
        <v>3217</v>
      </c>
      <c r="E6851">
        <v>0</v>
      </c>
      <c r="F6851">
        <v>120.1</v>
      </c>
    </row>
    <row r="6852" spans="1:6" x14ac:dyDescent="0.25">
      <c r="A6852" t="s">
        <v>2638</v>
      </c>
      <c r="B6852" t="s">
        <v>48</v>
      </c>
      <c r="C6852" t="s">
        <v>97</v>
      </c>
      <c r="D6852" t="s">
        <v>3218</v>
      </c>
      <c r="E6852">
        <v>15.03</v>
      </c>
      <c r="F6852">
        <v>119.99</v>
      </c>
    </row>
    <row r="6853" spans="1:6" x14ac:dyDescent="0.25">
      <c r="A6853" t="s">
        <v>2638</v>
      </c>
      <c r="B6853" t="s">
        <v>48</v>
      </c>
      <c r="C6853" t="s">
        <v>97</v>
      </c>
      <c r="D6853" t="s">
        <v>3219</v>
      </c>
      <c r="E6853">
        <v>27.43</v>
      </c>
      <c r="F6853">
        <v>119.83</v>
      </c>
    </row>
    <row r="6854" spans="1:6" x14ac:dyDescent="0.25">
      <c r="A6854" t="s">
        <v>2639</v>
      </c>
      <c r="B6854" t="s">
        <v>48</v>
      </c>
      <c r="C6854" t="s">
        <v>98</v>
      </c>
      <c r="D6854" t="s">
        <v>3217</v>
      </c>
      <c r="E6854">
        <v>0</v>
      </c>
      <c r="F6854">
        <v>119.4</v>
      </c>
    </row>
    <row r="6855" spans="1:6" x14ac:dyDescent="0.25">
      <c r="A6855" t="s">
        <v>2639</v>
      </c>
      <c r="B6855" t="s">
        <v>48</v>
      </c>
      <c r="C6855" t="s">
        <v>98</v>
      </c>
      <c r="D6855" t="s">
        <v>3218</v>
      </c>
      <c r="E6855">
        <v>15.41</v>
      </c>
      <c r="F6855">
        <v>119.45</v>
      </c>
    </row>
    <row r="6856" spans="1:6" x14ac:dyDescent="0.25">
      <c r="A6856" t="s">
        <v>2639</v>
      </c>
      <c r="B6856" t="s">
        <v>48</v>
      </c>
      <c r="C6856" t="s">
        <v>98</v>
      </c>
      <c r="D6856" t="s">
        <v>3219</v>
      </c>
      <c r="E6856">
        <v>25.32</v>
      </c>
      <c r="F6856">
        <v>119.3</v>
      </c>
    </row>
    <row r="6857" spans="1:6" x14ac:dyDescent="0.25">
      <c r="A6857" t="s">
        <v>2640</v>
      </c>
      <c r="B6857" t="s">
        <v>48</v>
      </c>
      <c r="C6857" t="s">
        <v>99</v>
      </c>
      <c r="D6857" t="s">
        <v>3217</v>
      </c>
      <c r="E6857">
        <v>0</v>
      </c>
      <c r="F6857">
        <v>118.64</v>
      </c>
    </row>
    <row r="6858" spans="1:6" x14ac:dyDescent="0.25">
      <c r="A6858" t="s">
        <v>2640</v>
      </c>
      <c r="B6858" t="s">
        <v>48</v>
      </c>
      <c r="C6858" t="s">
        <v>99</v>
      </c>
      <c r="D6858" t="s">
        <v>3218</v>
      </c>
      <c r="E6858">
        <v>15.9</v>
      </c>
      <c r="F6858">
        <v>118.65</v>
      </c>
    </row>
    <row r="6859" spans="1:6" x14ac:dyDescent="0.25">
      <c r="A6859" t="s">
        <v>2640</v>
      </c>
      <c r="B6859" t="s">
        <v>48</v>
      </c>
      <c r="C6859" t="s">
        <v>99</v>
      </c>
      <c r="D6859" t="s">
        <v>3219</v>
      </c>
      <c r="E6859">
        <v>24.51</v>
      </c>
      <c r="F6859">
        <v>118.44</v>
      </c>
    </row>
    <row r="6860" spans="1:6" x14ac:dyDescent="0.25">
      <c r="A6860" t="s">
        <v>2641</v>
      </c>
      <c r="B6860" t="s">
        <v>48</v>
      </c>
      <c r="C6860" t="s">
        <v>100</v>
      </c>
      <c r="D6860" t="s">
        <v>3217</v>
      </c>
      <c r="E6860">
        <v>0</v>
      </c>
      <c r="F6860">
        <v>117.82</v>
      </c>
    </row>
    <row r="6861" spans="1:6" x14ac:dyDescent="0.25">
      <c r="A6861" t="s">
        <v>2641</v>
      </c>
      <c r="B6861" t="s">
        <v>48</v>
      </c>
      <c r="C6861" t="s">
        <v>100</v>
      </c>
      <c r="D6861" t="s">
        <v>3218</v>
      </c>
      <c r="E6861">
        <v>15.41</v>
      </c>
      <c r="F6861">
        <v>117.75</v>
      </c>
    </row>
    <row r="6862" spans="1:6" x14ac:dyDescent="0.25">
      <c r="A6862" t="s">
        <v>2641</v>
      </c>
      <c r="B6862" t="s">
        <v>48</v>
      </c>
      <c r="C6862" t="s">
        <v>100</v>
      </c>
      <c r="D6862" t="s">
        <v>3219</v>
      </c>
      <c r="E6862">
        <v>24.26</v>
      </c>
      <c r="F6862">
        <v>117.6</v>
      </c>
    </row>
    <row r="6863" spans="1:6" x14ac:dyDescent="0.25">
      <c r="A6863" t="s">
        <v>2642</v>
      </c>
      <c r="B6863" t="s">
        <v>48</v>
      </c>
      <c r="C6863" t="s">
        <v>101</v>
      </c>
      <c r="D6863" t="s">
        <v>3217</v>
      </c>
      <c r="E6863">
        <v>0</v>
      </c>
      <c r="F6863">
        <v>116.92</v>
      </c>
    </row>
    <row r="6864" spans="1:6" x14ac:dyDescent="0.25">
      <c r="A6864" t="s">
        <v>2642</v>
      </c>
      <c r="B6864" t="s">
        <v>48</v>
      </c>
      <c r="C6864" t="s">
        <v>101</v>
      </c>
      <c r="D6864" t="s">
        <v>3218</v>
      </c>
      <c r="E6864">
        <v>15.64</v>
      </c>
      <c r="F6864">
        <v>116.74</v>
      </c>
    </row>
    <row r="6865" spans="1:6" x14ac:dyDescent="0.25">
      <c r="A6865" t="s">
        <v>2642</v>
      </c>
      <c r="B6865" t="s">
        <v>48</v>
      </c>
      <c r="C6865" t="s">
        <v>101</v>
      </c>
      <c r="D6865" t="s">
        <v>3219</v>
      </c>
      <c r="E6865">
        <v>25.11</v>
      </c>
      <c r="F6865">
        <v>116.4</v>
      </c>
    </row>
    <row r="6866" spans="1:6" x14ac:dyDescent="0.25">
      <c r="A6866" t="s">
        <v>2643</v>
      </c>
      <c r="B6866" t="s">
        <v>48</v>
      </c>
      <c r="C6866" t="s">
        <v>102</v>
      </c>
      <c r="D6866" t="s">
        <v>3217</v>
      </c>
      <c r="E6866">
        <v>0</v>
      </c>
      <c r="F6866">
        <v>115.9</v>
      </c>
    </row>
    <row r="6867" spans="1:6" x14ac:dyDescent="0.25">
      <c r="A6867" t="s">
        <v>2643</v>
      </c>
      <c r="B6867" t="s">
        <v>48</v>
      </c>
      <c r="C6867" t="s">
        <v>102</v>
      </c>
      <c r="D6867" t="s">
        <v>3218</v>
      </c>
      <c r="E6867">
        <v>15.07</v>
      </c>
      <c r="F6867">
        <v>115.49</v>
      </c>
    </row>
    <row r="6868" spans="1:6" x14ac:dyDescent="0.25">
      <c r="A6868" t="s">
        <v>2643</v>
      </c>
      <c r="B6868" t="s">
        <v>48</v>
      </c>
      <c r="C6868" t="s">
        <v>102</v>
      </c>
      <c r="D6868" t="s">
        <v>3219</v>
      </c>
      <c r="E6868">
        <v>26.3</v>
      </c>
      <c r="F6868">
        <v>114.98</v>
      </c>
    </row>
    <row r="6869" spans="1:6" x14ac:dyDescent="0.25">
      <c r="A6869" t="s">
        <v>2644</v>
      </c>
      <c r="B6869" t="s">
        <v>48</v>
      </c>
      <c r="C6869" t="s">
        <v>103</v>
      </c>
      <c r="D6869" t="s">
        <v>3217</v>
      </c>
      <c r="E6869">
        <v>0</v>
      </c>
      <c r="F6869">
        <v>114.75</v>
      </c>
    </row>
    <row r="6870" spans="1:6" x14ac:dyDescent="0.25">
      <c r="A6870" t="s">
        <v>2644</v>
      </c>
      <c r="B6870" t="s">
        <v>48</v>
      </c>
      <c r="C6870" t="s">
        <v>103</v>
      </c>
      <c r="D6870" t="s">
        <v>3218</v>
      </c>
      <c r="E6870">
        <v>16.2</v>
      </c>
      <c r="F6870">
        <v>114.11</v>
      </c>
    </row>
    <row r="6871" spans="1:6" x14ac:dyDescent="0.25">
      <c r="A6871" t="s">
        <v>2644</v>
      </c>
      <c r="B6871" t="s">
        <v>48</v>
      </c>
      <c r="C6871" t="s">
        <v>103</v>
      </c>
      <c r="D6871" t="s">
        <v>3219</v>
      </c>
      <c r="E6871">
        <v>28.69</v>
      </c>
      <c r="F6871">
        <v>113.55</v>
      </c>
    </row>
    <row r="6872" spans="1:6" x14ac:dyDescent="0.25">
      <c r="A6872" t="s">
        <v>2645</v>
      </c>
      <c r="B6872" t="s">
        <v>48</v>
      </c>
      <c r="C6872" t="s">
        <v>104</v>
      </c>
      <c r="D6872" t="s">
        <v>3217</v>
      </c>
      <c r="E6872">
        <v>0</v>
      </c>
      <c r="F6872">
        <v>113.23</v>
      </c>
    </row>
    <row r="6873" spans="1:6" x14ac:dyDescent="0.25">
      <c r="A6873" t="s">
        <v>2645</v>
      </c>
      <c r="B6873" t="s">
        <v>48</v>
      </c>
      <c r="C6873" t="s">
        <v>104</v>
      </c>
      <c r="D6873" t="s">
        <v>3218</v>
      </c>
      <c r="E6873">
        <v>16.16</v>
      </c>
      <c r="F6873">
        <v>112.81</v>
      </c>
    </row>
    <row r="6874" spans="1:6" x14ac:dyDescent="0.25">
      <c r="A6874" t="s">
        <v>2645</v>
      </c>
      <c r="B6874" t="s">
        <v>48</v>
      </c>
      <c r="C6874" t="s">
        <v>104</v>
      </c>
      <c r="D6874" t="s">
        <v>3219</v>
      </c>
      <c r="E6874">
        <v>28.41</v>
      </c>
      <c r="F6874">
        <v>112.29</v>
      </c>
    </row>
    <row r="6875" spans="1:6" x14ac:dyDescent="0.25">
      <c r="A6875" t="s">
        <v>2646</v>
      </c>
      <c r="B6875" t="s">
        <v>48</v>
      </c>
      <c r="C6875" t="s">
        <v>105</v>
      </c>
      <c r="D6875" t="s">
        <v>3217</v>
      </c>
      <c r="E6875">
        <v>0</v>
      </c>
      <c r="F6875">
        <v>111.76</v>
      </c>
    </row>
    <row r="6876" spans="1:6" x14ac:dyDescent="0.25">
      <c r="A6876" t="s">
        <v>2646</v>
      </c>
      <c r="B6876" t="s">
        <v>48</v>
      </c>
      <c r="C6876" t="s">
        <v>105</v>
      </c>
      <c r="D6876" t="s">
        <v>3218</v>
      </c>
      <c r="E6876">
        <v>15.02</v>
      </c>
      <c r="F6876">
        <v>111.54</v>
      </c>
    </row>
    <row r="6877" spans="1:6" x14ac:dyDescent="0.25">
      <c r="A6877" t="s">
        <v>2646</v>
      </c>
      <c r="B6877" t="s">
        <v>48</v>
      </c>
      <c r="C6877" t="s">
        <v>105</v>
      </c>
      <c r="D6877" t="s">
        <v>3219</v>
      </c>
      <c r="E6877">
        <v>27.64</v>
      </c>
      <c r="F6877">
        <v>111.09</v>
      </c>
    </row>
    <row r="6878" spans="1:6" x14ac:dyDescent="0.25">
      <c r="A6878" t="s">
        <v>2647</v>
      </c>
      <c r="B6878" t="s">
        <v>48</v>
      </c>
      <c r="C6878" t="s">
        <v>106</v>
      </c>
      <c r="D6878" t="s">
        <v>3217</v>
      </c>
      <c r="E6878">
        <v>0</v>
      </c>
      <c r="F6878">
        <v>110.37</v>
      </c>
    </row>
    <row r="6879" spans="1:6" x14ac:dyDescent="0.25">
      <c r="A6879" t="s">
        <v>2647</v>
      </c>
      <c r="B6879" t="s">
        <v>48</v>
      </c>
      <c r="C6879" t="s">
        <v>106</v>
      </c>
      <c r="D6879" t="s">
        <v>3218</v>
      </c>
      <c r="E6879">
        <v>14.57</v>
      </c>
      <c r="F6879">
        <v>110.35</v>
      </c>
    </row>
    <row r="6880" spans="1:6" x14ac:dyDescent="0.25">
      <c r="A6880" t="s">
        <v>2647</v>
      </c>
      <c r="B6880" t="s">
        <v>48</v>
      </c>
      <c r="C6880" t="s">
        <v>106</v>
      </c>
      <c r="D6880" t="s">
        <v>3219</v>
      </c>
      <c r="E6880">
        <v>27.21</v>
      </c>
      <c r="F6880">
        <v>109.96</v>
      </c>
    </row>
    <row r="6881" spans="1:6" x14ac:dyDescent="0.25">
      <c r="A6881" t="s">
        <v>2648</v>
      </c>
      <c r="B6881" t="s">
        <v>48</v>
      </c>
      <c r="C6881" t="s">
        <v>108</v>
      </c>
      <c r="D6881" t="s">
        <v>3217</v>
      </c>
      <c r="E6881">
        <v>0</v>
      </c>
      <c r="F6881">
        <v>109.09</v>
      </c>
    </row>
    <row r="6882" spans="1:6" x14ac:dyDescent="0.25">
      <c r="A6882" t="s">
        <v>2648</v>
      </c>
      <c r="B6882" t="s">
        <v>48</v>
      </c>
      <c r="C6882" t="s">
        <v>108</v>
      </c>
      <c r="D6882" t="s">
        <v>3218</v>
      </c>
      <c r="E6882">
        <v>13.78</v>
      </c>
      <c r="F6882">
        <v>109.07</v>
      </c>
    </row>
    <row r="6883" spans="1:6" x14ac:dyDescent="0.25">
      <c r="A6883" t="s">
        <v>2648</v>
      </c>
      <c r="B6883" t="s">
        <v>48</v>
      </c>
      <c r="C6883" t="s">
        <v>108</v>
      </c>
      <c r="D6883" t="s">
        <v>3219</v>
      </c>
      <c r="E6883">
        <v>26.34</v>
      </c>
      <c r="F6883">
        <v>108.72</v>
      </c>
    </row>
    <row r="6884" spans="1:6" x14ac:dyDescent="0.25">
      <c r="A6884" t="s">
        <v>2649</v>
      </c>
      <c r="B6884" t="s">
        <v>48</v>
      </c>
      <c r="C6884" t="s">
        <v>109</v>
      </c>
      <c r="D6884" t="s">
        <v>3217</v>
      </c>
      <c r="E6884">
        <v>0</v>
      </c>
      <c r="F6884">
        <v>107.81</v>
      </c>
    </row>
    <row r="6885" spans="1:6" x14ac:dyDescent="0.25">
      <c r="A6885" t="s">
        <v>2649</v>
      </c>
      <c r="B6885" t="s">
        <v>48</v>
      </c>
      <c r="C6885" t="s">
        <v>109</v>
      </c>
      <c r="D6885" t="s">
        <v>3218</v>
      </c>
      <c r="E6885">
        <v>13.49</v>
      </c>
      <c r="F6885">
        <v>107.71</v>
      </c>
    </row>
    <row r="6886" spans="1:6" x14ac:dyDescent="0.25">
      <c r="A6886" t="s">
        <v>2649</v>
      </c>
      <c r="B6886" t="s">
        <v>48</v>
      </c>
      <c r="C6886" t="s">
        <v>109</v>
      </c>
      <c r="D6886" t="s">
        <v>3219</v>
      </c>
      <c r="E6886">
        <v>26.68</v>
      </c>
      <c r="F6886">
        <v>107.42</v>
      </c>
    </row>
    <row r="6887" spans="1:6" x14ac:dyDescent="0.25">
      <c r="A6887" t="s">
        <v>2650</v>
      </c>
      <c r="B6887" t="s">
        <v>48</v>
      </c>
      <c r="C6887" t="s">
        <v>110</v>
      </c>
      <c r="D6887" t="s">
        <v>3217</v>
      </c>
      <c r="E6887">
        <v>0</v>
      </c>
      <c r="F6887">
        <v>106.46</v>
      </c>
    </row>
    <row r="6888" spans="1:6" x14ac:dyDescent="0.25">
      <c r="A6888" t="s">
        <v>2650</v>
      </c>
      <c r="B6888" t="s">
        <v>48</v>
      </c>
      <c r="C6888" t="s">
        <v>110</v>
      </c>
      <c r="D6888" t="s">
        <v>3218</v>
      </c>
      <c r="E6888">
        <v>14.12</v>
      </c>
      <c r="F6888">
        <v>106.3</v>
      </c>
    </row>
    <row r="6889" spans="1:6" x14ac:dyDescent="0.25">
      <c r="A6889" t="s">
        <v>2650</v>
      </c>
      <c r="B6889" t="s">
        <v>48</v>
      </c>
      <c r="C6889" t="s">
        <v>110</v>
      </c>
      <c r="D6889" t="s">
        <v>3219</v>
      </c>
      <c r="E6889">
        <v>27.46</v>
      </c>
      <c r="F6889">
        <v>106.13</v>
      </c>
    </row>
    <row r="6890" spans="1:6" x14ac:dyDescent="0.25">
      <c r="A6890" t="s">
        <v>2651</v>
      </c>
      <c r="B6890" t="s">
        <v>48</v>
      </c>
      <c r="C6890" t="s">
        <v>111</v>
      </c>
      <c r="D6890" t="s">
        <v>3217</v>
      </c>
      <c r="E6890">
        <v>0</v>
      </c>
      <c r="F6890">
        <v>105.21</v>
      </c>
    </row>
    <row r="6891" spans="1:6" x14ac:dyDescent="0.25">
      <c r="A6891" t="s">
        <v>2651</v>
      </c>
      <c r="B6891" t="s">
        <v>48</v>
      </c>
      <c r="C6891" t="s">
        <v>111</v>
      </c>
      <c r="D6891" t="s">
        <v>3218</v>
      </c>
      <c r="E6891">
        <v>15.29</v>
      </c>
      <c r="F6891">
        <v>105.06</v>
      </c>
    </row>
    <row r="6892" spans="1:6" x14ac:dyDescent="0.25">
      <c r="A6892" t="s">
        <v>2651</v>
      </c>
      <c r="B6892" t="s">
        <v>48</v>
      </c>
      <c r="C6892" t="s">
        <v>111</v>
      </c>
      <c r="D6892" t="s">
        <v>3219</v>
      </c>
      <c r="E6892">
        <v>28.78</v>
      </c>
      <c r="F6892">
        <v>104.77</v>
      </c>
    </row>
    <row r="6893" spans="1:6" x14ac:dyDescent="0.25">
      <c r="A6893" t="s">
        <v>2652</v>
      </c>
      <c r="B6893" t="s">
        <v>48</v>
      </c>
      <c r="C6893" t="s">
        <v>112</v>
      </c>
      <c r="D6893" t="s">
        <v>3217</v>
      </c>
      <c r="E6893">
        <v>0</v>
      </c>
      <c r="F6893">
        <v>104.39</v>
      </c>
    </row>
    <row r="6894" spans="1:6" x14ac:dyDescent="0.25">
      <c r="A6894" t="s">
        <v>2652</v>
      </c>
      <c r="B6894" t="s">
        <v>48</v>
      </c>
      <c r="C6894" t="s">
        <v>112</v>
      </c>
      <c r="D6894" t="s">
        <v>3218</v>
      </c>
      <c r="E6894">
        <v>15.27</v>
      </c>
      <c r="F6894">
        <v>104.05</v>
      </c>
    </row>
    <row r="6895" spans="1:6" x14ac:dyDescent="0.25">
      <c r="A6895" t="s">
        <v>2652</v>
      </c>
      <c r="B6895" t="s">
        <v>48</v>
      </c>
      <c r="C6895" t="s">
        <v>112</v>
      </c>
      <c r="D6895" t="s">
        <v>3219</v>
      </c>
      <c r="E6895">
        <v>28.58</v>
      </c>
      <c r="F6895">
        <v>103.69</v>
      </c>
    </row>
    <row r="6896" spans="1:6" x14ac:dyDescent="0.25">
      <c r="A6896" t="s">
        <v>2653</v>
      </c>
      <c r="B6896" t="s">
        <v>48</v>
      </c>
      <c r="C6896" t="s">
        <v>113</v>
      </c>
      <c r="D6896" t="s">
        <v>3217</v>
      </c>
      <c r="E6896">
        <v>0</v>
      </c>
      <c r="F6896">
        <v>103.34</v>
      </c>
    </row>
    <row r="6897" spans="1:6" x14ac:dyDescent="0.25">
      <c r="A6897" t="s">
        <v>2653</v>
      </c>
      <c r="B6897" t="s">
        <v>48</v>
      </c>
      <c r="C6897" t="s">
        <v>113</v>
      </c>
      <c r="D6897" t="s">
        <v>3218</v>
      </c>
      <c r="E6897">
        <v>14.49</v>
      </c>
      <c r="F6897">
        <v>103.13</v>
      </c>
    </row>
    <row r="6898" spans="1:6" x14ac:dyDescent="0.25">
      <c r="A6898" t="s">
        <v>2653</v>
      </c>
      <c r="B6898" t="s">
        <v>48</v>
      </c>
      <c r="C6898" t="s">
        <v>113</v>
      </c>
      <c r="D6898" t="s">
        <v>3219</v>
      </c>
      <c r="E6898">
        <v>29.22</v>
      </c>
      <c r="F6898">
        <v>102.55</v>
      </c>
    </row>
    <row r="6899" spans="1:6" x14ac:dyDescent="0.25">
      <c r="A6899" t="s">
        <v>2654</v>
      </c>
      <c r="B6899" t="s">
        <v>48</v>
      </c>
      <c r="C6899" t="s">
        <v>114</v>
      </c>
      <c r="D6899" t="s">
        <v>3217</v>
      </c>
      <c r="E6899">
        <v>0</v>
      </c>
      <c r="F6899">
        <v>102.5</v>
      </c>
    </row>
    <row r="6900" spans="1:6" x14ac:dyDescent="0.25">
      <c r="A6900" t="s">
        <v>2654</v>
      </c>
      <c r="B6900" t="s">
        <v>48</v>
      </c>
      <c r="C6900" t="s">
        <v>114</v>
      </c>
      <c r="D6900" t="s">
        <v>3218</v>
      </c>
      <c r="E6900">
        <v>14.49</v>
      </c>
      <c r="F6900">
        <v>102.31</v>
      </c>
    </row>
    <row r="6901" spans="1:6" x14ac:dyDescent="0.25">
      <c r="A6901" t="s">
        <v>2654</v>
      </c>
      <c r="B6901" t="s">
        <v>48</v>
      </c>
      <c r="C6901" t="s">
        <v>114</v>
      </c>
      <c r="D6901" t="s">
        <v>3219</v>
      </c>
      <c r="E6901">
        <v>28.77</v>
      </c>
      <c r="F6901">
        <v>101.78</v>
      </c>
    </row>
    <row r="6902" spans="1:6" x14ac:dyDescent="0.25">
      <c r="A6902" t="s">
        <v>2655</v>
      </c>
      <c r="B6902" t="s">
        <v>48</v>
      </c>
      <c r="C6902" t="s">
        <v>115</v>
      </c>
      <c r="D6902" t="s">
        <v>3217</v>
      </c>
      <c r="E6902">
        <v>0</v>
      </c>
      <c r="F6902">
        <v>101.91</v>
      </c>
    </row>
    <row r="6903" spans="1:6" x14ac:dyDescent="0.25">
      <c r="A6903" t="s">
        <v>2655</v>
      </c>
      <c r="B6903" t="s">
        <v>48</v>
      </c>
      <c r="C6903" t="s">
        <v>115</v>
      </c>
      <c r="D6903" t="s">
        <v>3218</v>
      </c>
      <c r="E6903">
        <v>11.36</v>
      </c>
      <c r="F6903">
        <v>101.71</v>
      </c>
    </row>
    <row r="6904" spans="1:6" x14ac:dyDescent="0.25">
      <c r="A6904" t="s">
        <v>2655</v>
      </c>
      <c r="B6904" t="s">
        <v>48</v>
      </c>
      <c r="C6904" t="s">
        <v>115</v>
      </c>
      <c r="D6904" t="s">
        <v>3219</v>
      </c>
      <c r="E6904">
        <v>25.57</v>
      </c>
      <c r="F6904">
        <v>101.22</v>
      </c>
    </row>
    <row r="6905" spans="1:6" x14ac:dyDescent="0.25">
      <c r="A6905" t="s">
        <v>2656</v>
      </c>
      <c r="B6905" t="s">
        <v>48</v>
      </c>
      <c r="C6905" t="s">
        <v>116</v>
      </c>
      <c r="D6905" t="s">
        <v>3217</v>
      </c>
      <c r="E6905">
        <v>0</v>
      </c>
      <c r="F6905">
        <v>101.5</v>
      </c>
    </row>
    <row r="6906" spans="1:6" x14ac:dyDescent="0.25">
      <c r="A6906" t="s">
        <v>2656</v>
      </c>
      <c r="B6906" t="s">
        <v>48</v>
      </c>
      <c r="C6906" t="s">
        <v>116</v>
      </c>
      <c r="D6906" t="s">
        <v>3218</v>
      </c>
      <c r="E6906">
        <v>10.94</v>
      </c>
      <c r="F6906">
        <v>101.28</v>
      </c>
    </row>
    <row r="6907" spans="1:6" x14ac:dyDescent="0.25">
      <c r="A6907" t="s">
        <v>2656</v>
      </c>
      <c r="B6907" t="s">
        <v>48</v>
      </c>
      <c r="C6907" t="s">
        <v>116</v>
      </c>
      <c r="D6907" t="s">
        <v>3219</v>
      </c>
      <c r="E6907">
        <v>22.44</v>
      </c>
      <c r="F6907">
        <v>100.91</v>
      </c>
    </row>
    <row r="6908" spans="1:6" x14ac:dyDescent="0.25">
      <c r="A6908" t="s">
        <v>2657</v>
      </c>
      <c r="B6908" t="s">
        <v>48</v>
      </c>
      <c r="C6908" t="s">
        <v>117</v>
      </c>
      <c r="D6908" t="s">
        <v>3217</v>
      </c>
      <c r="E6908">
        <v>0</v>
      </c>
      <c r="F6908">
        <v>101.4</v>
      </c>
    </row>
    <row r="6909" spans="1:6" x14ac:dyDescent="0.25">
      <c r="A6909" t="s">
        <v>2657</v>
      </c>
      <c r="B6909" t="s">
        <v>48</v>
      </c>
      <c r="C6909" t="s">
        <v>117</v>
      </c>
      <c r="D6909" t="s">
        <v>3218</v>
      </c>
      <c r="E6909">
        <v>11.31</v>
      </c>
      <c r="F6909">
        <v>101.07</v>
      </c>
    </row>
    <row r="6910" spans="1:6" x14ac:dyDescent="0.25">
      <c r="A6910" t="s">
        <v>2657</v>
      </c>
      <c r="B6910" t="s">
        <v>48</v>
      </c>
      <c r="C6910" t="s">
        <v>117</v>
      </c>
      <c r="D6910" t="s">
        <v>3219</v>
      </c>
      <c r="E6910">
        <v>22.86</v>
      </c>
      <c r="F6910">
        <v>101.01</v>
      </c>
    </row>
    <row r="6911" spans="1:6" x14ac:dyDescent="0.25">
      <c r="A6911" t="s">
        <v>2658</v>
      </c>
      <c r="B6911" t="s">
        <v>48</v>
      </c>
      <c r="C6911" t="s">
        <v>118</v>
      </c>
      <c r="D6911" t="s">
        <v>3217</v>
      </c>
      <c r="E6911">
        <v>0</v>
      </c>
      <c r="F6911">
        <v>101.16</v>
      </c>
    </row>
    <row r="6912" spans="1:6" x14ac:dyDescent="0.25">
      <c r="A6912" t="s">
        <v>2658</v>
      </c>
      <c r="B6912" t="s">
        <v>48</v>
      </c>
      <c r="C6912" t="s">
        <v>118</v>
      </c>
      <c r="D6912" t="s">
        <v>3218</v>
      </c>
      <c r="E6912">
        <v>12.25</v>
      </c>
      <c r="F6912">
        <v>101.18</v>
      </c>
    </row>
    <row r="6913" spans="1:6" x14ac:dyDescent="0.25">
      <c r="A6913" t="s">
        <v>2658</v>
      </c>
      <c r="B6913" t="s">
        <v>48</v>
      </c>
      <c r="C6913" t="s">
        <v>118</v>
      </c>
      <c r="D6913" t="s">
        <v>3219</v>
      </c>
      <c r="E6913">
        <v>23.8</v>
      </c>
      <c r="F6913">
        <v>100.8</v>
      </c>
    </row>
    <row r="6914" spans="1:6" x14ac:dyDescent="0.25">
      <c r="A6914" t="s">
        <v>2659</v>
      </c>
      <c r="B6914" t="s">
        <v>48</v>
      </c>
      <c r="C6914" t="s">
        <v>119</v>
      </c>
      <c r="D6914" t="s">
        <v>3217</v>
      </c>
      <c r="E6914">
        <v>0</v>
      </c>
      <c r="F6914">
        <v>100.87</v>
      </c>
    </row>
    <row r="6915" spans="1:6" x14ac:dyDescent="0.25">
      <c r="A6915" t="s">
        <v>2659</v>
      </c>
      <c r="B6915" t="s">
        <v>48</v>
      </c>
      <c r="C6915" t="s">
        <v>119</v>
      </c>
      <c r="D6915" t="s">
        <v>3218</v>
      </c>
      <c r="E6915">
        <v>12.71</v>
      </c>
      <c r="F6915">
        <v>100.94</v>
      </c>
    </row>
    <row r="6916" spans="1:6" x14ac:dyDescent="0.25">
      <c r="A6916" t="s">
        <v>2659</v>
      </c>
      <c r="B6916" t="s">
        <v>48</v>
      </c>
      <c r="C6916" t="s">
        <v>119</v>
      </c>
      <c r="D6916" t="s">
        <v>3219</v>
      </c>
      <c r="E6916">
        <v>26.9</v>
      </c>
      <c r="F6916">
        <v>100.59</v>
      </c>
    </row>
    <row r="6917" spans="1:6" x14ac:dyDescent="0.25">
      <c r="A6917" t="s">
        <v>2660</v>
      </c>
      <c r="B6917" t="s">
        <v>48</v>
      </c>
      <c r="C6917" t="s">
        <v>330</v>
      </c>
      <c r="D6917" t="s">
        <v>3217</v>
      </c>
      <c r="E6917">
        <v>0</v>
      </c>
      <c r="F6917">
        <v>100.82</v>
      </c>
    </row>
    <row r="6918" spans="1:6" x14ac:dyDescent="0.25">
      <c r="A6918" t="s">
        <v>2660</v>
      </c>
      <c r="B6918" t="s">
        <v>48</v>
      </c>
      <c r="C6918" t="s">
        <v>330</v>
      </c>
      <c r="D6918" t="s">
        <v>3218</v>
      </c>
      <c r="E6918">
        <v>13.5</v>
      </c>
      <c r="F6918">
        <v>100.87</v>
      </c>
    </row>
    <row r="6919" spans="1:6" x14ac:dyDescent="0.25">
      <c r="A6919" t="s">
        <v>2660</v>
      </c>
      <c r="B6919" t="s">
        <v>48</v>
      </c>
      <c r="C6919" t="s">
        <v>330</v>
      </c>
      <c r="D6919" t="s">
        <v>3219</v>
      </c>
      <c r="E6919">
        <v>28.26</v>
      </c>
      <c r="F6919">
        <v>100.59</v>
      </c>
    </row>
    <row r="6920" spans="1:6" x14ac:dyDescent="0.25">
      <c r="A6920" t="s">
        <v>2661</v>
      </c>
      <c r="B6920" t="s">
        <v>49</v>
      </c>
      <c r="C6920" t="s">
        <v>56</v>
      </c>
      <c r="D6920" t="s">
        <v>3217</v>
      </c>
      <c r="E6920">
        <v>0</v>
      </c>
      <c r="F6920">
        <v>140.97999999999999</v>
      </c>
    </row>
    <row r="6921" spans="1:6" x14ac:dyDescent="0.25">
      <c r="A6921" t="s">
        <v>2661</v>
      </c>
      <c r="B6921" t="s">
        <v>49</v>
      </c>
      <c r="C6921" t="s">
        <v>56</v>
      </c>
      <c r="D6921" t="s">
        <v>3218</v>
      </c>
      <c r="E6921">
        <v>16.82</v>
      </c>
      <c r="F6921">
        <v>141.13999999999999</v>
      </c>
    </row>
    <row r="6922" spans="1:6" x14ac:dyDescent="0.25">
      <c r="A6922" t="s">
        <v>2661</v>
      </c>
      <c r="B6922" t="s">
        <v>49</v>
      </c>
      <c r="C6922" t="s">
        <v>56</v>
      </c>
      <c r="D6922" t="s">
        <v>3219</v>
      </c>
      <c r="E6922">
        <v>32.619999999999997</v>
      </c>
      <c r="F6922">
        <v>140.77000000000001</v>
      </c>
    </row>
    <row r="6923" spans="1:6" x14ac:dyDescent="0.25">
      <c r="A6923" t="s">
        <v>2662</v>
      </c>
      <c r="B6923" t="s">
        <v>49</v>
      </c>
      <c r="C6923" t="s">
        <v>57</v>
      </c>
      <c r="D6923" t="s">
        <v>3217</v>
      </c>
      <c r="E6923">
        <v>0</v>
      </c>
      <c r="F6923">
        <v>140.34</v>
      </c>
    </row>
    <row r="6924" spans="1:6" x14ac:dyDescent="0.25">
      <c r="A6924" t="s">
        <v>2662</v>
      </c>
      <c r="B6924" t="s">
        <v>49</v>
      </c>
      <c r="C6924" t="s">
        <v>57</v>
      </c>
      <c r="D6924" t="s">
        <v>3218</v>
      </c>
      <c r="E6924">
        <v>15.88</v>
      </c>
      <c r="F6924">
        <v>140.41</v>
      </c>
    </row>
    <row r="6925" spans="1:6" x14ac:dyDescent="0.25">
      <c r="A6925" t="s">
        <v>2662</v>
      </c>
      <c r="B6925" t="s">
        <v>49</v>
      </c>
      <c r="C6925" t="s">
        <v>57</v>
      </c>
      <c r="D6925" t="s">
        <v>3219</v>
      </c>
      <c r="E6925">
        <v>31.39</v>
      </c>
      <c r="F6925">
        <v>140.30000000000001</v>
      </c>
    </row>
    <row r="6926" spans="1:6" x14ac:dyDescent="0.25">
      <c r="A6926" t="s">
        <v>2663</v>
      </c>
      <c r="B6926" t="s">
        <v>49</v>
      </c>
      <c r="C6926" t="s">
        <v>58</v>
      </c>
      <c r="D6926" t="s">
        <v>3217</v>
      </c>
      <c r="E6926">
        <v>0</v>
      </c>
      <c r="F6926">
        <v>139.84</v>
      </c>
    </row>
    <row r="6927" spans="1:6" x14ac:dyDescent="0.25">
      <c r="A6927" t="s">
        <v>2663</v>
      </c>
      <c r="B6927" t="s">
        <v>49</v>
      </c>
      <c r="C6927" t="s">
        <v>58</v>
      </c>
      <c r="D6927" t="s">
        <v>3218</v>
      </c>
      <c r="E6927">
        <v>15.54</v>
      </c>
      <c r="F6927">
        <v>139.9</v>
      </c>
    </row>
    <row r="6928" spans="1:6" x14ac:dyDescent="0.25">
      <c r="A6928" t="s">
        <v>2663</v>
      </c>
      <c r="B6928" t="s">
        <v>49</v>
      </c>
      <c r="C6928" t="s">
        <v>58</v>
      </c>
      <c r="D6928" t="s">
        <v>3219</v>
      </c>
      <c r="E6928">
        <v>29.79</v>
      </c>
      <c r="F6928">
        <v>139.55000000000001</v>
      </c>
    </row>
    <row r="6929" spans="1:6" x14ac:dyDescent="0.25">
      <c r="A6929" t="s">
        <v>2664</v>
      </c>
      <c r="B6929" t="s">
        <v>49</v>
      </c>
      <c r="C6929" t="s">
        <v>59</v>
      </c>
      <c r="D6929" t="s">
        <v>3217</v>
      </c>
      <c r="E6929">
        <v>0</v>
      </c>
      <c r="F6929">
        <v>139.38</v>
      </c>
    </row>
    <row r="6930" spans="1:6" x14ac:dyDescent="0.25">
      <c r="A6930" t="s">
        <v>2664</v>
      </c>
      <c r="B6930" t="s">
        <v>49</v>
      </c>
      <c r="C6930" t="s">
        <v>59</v>
      </c>
      <c r="D6930" t="s">
        <v>3218</v>
      </c>
      <c r="E6930">
        <v>15.27</v>
      </c>
      <c r="F6930">
        <v>139.28</v>
      </c>
    </row>
    <row r="6931" spans="1:6" x14ac:dyDescent="0.25">
      <c r="A6931" t="s">
        <v>2664</v>
      </c>
      <c r="B6931" t="s">
        <v>49</v>
      </c>
      <c r="C6931" t="s">
        <v>59</v>
      </c>
      <c r="D6931" t="s">
        <v>3219</v>
      </c>
      <c r="E6931">
        <v>28.75</v>
      </c>
      <c r="F6931">
        <v>139.06</v>
      </c>
    </row>
    <row r="6932" spans="1:6" x14ac:dyDescent="0.25">
      <c r="A6932" t="s">
        <v>2665</v>
      </c>
      <c r="B6932" t="s">
        <v>49</v>
      </c>
      <c r="C6932" t="s">
        <v>60</v>
      </c>
      <c r="D6932" t="s">
        <v>3217</v>
      </c>
      <c r="E6932">
        <v>0</v>
      </c>
      <c r="F6932">
        <v>139</v>
      </c>
    </row>
    <row r="6933" spans="1:6" x14ac:dyDescent="0.25">
      <c r="A6933" t="s">
        <v>2665</v>
      </c>
      <c r="B6933" t="s">
        <v>49</v>
      </c>
      <c r="C6933" t="s">
        <v>60</v>
      </c>
      <c r="D6933" t="s">
        <v>3218</v>
      </c>
      <c r="E6933">
        <v>14.92</v>
      </c>
      <c r="F6933">
        <v>138.83000000000001</v>
      </c>
    </row>
    <row r="6934" spans="1:6" x14ac:dyDescent="0.25">
      <c r="A6934" t="s">
        <v>2665</v>
      </c>
      <c r="B6934" t="s">
        <v>49</v>
      </c>
      <c r="C6934" t="s">
        <v>60</v>
      </c>
      <c r="D6934" t="s">
        <v>3219</v>
      </c>
      <c r="E6934">
        <v>29.54</v>
      </c>
      <c r="F6934">
        <v>138.63</v>
      </c>
    </row>
    <row r="6935" spans="1:6" x14ac:dyDescent="0.25">
      <c r="A6935" t="s">
        <v>2666</v>
      </c>
      <c r="B6935" t="s">
        <v>49</v>
      </c>
      <c r="C6935" t="s">
        <v>61</v>
      </c>
      <c r="D6935" t="s">
        <v>3217</v>
      </c>
      <c r="E6935">
        <v>0</v>
      </c>
      <c r="F6935">
        <v>138.63999999999999</v>
      </c>
    </row>
    <row r="6936" spans="1:6" x14ac:dyDescent="0.25">
      <c r="A6936" t="s">
        <v>2666</v>
      </c>
      <c r="B6936" t="s">
        <v>49</v>
      </c>
      <c r="C6936" t="s">
        <v>61</v>
      </c>
      <c r="D6936" t="s">
        <v>3218</v>
      </c>
      <c r="E6936">
        <v>14.55</v>
      </c>
      <c r="F6936">
        <v>138.41999999999999</v>
      </c>
    </row>
    <row r="6937" spans="1:6" x14ac:dyDescent="0.25">
      <c r="A6937" t="s">
        <v>2666</v>
      </c>
      <c r="B6937" t="s">
        <v>49</v>
      </c>
      <c r="C6937" t="s">
        <v>61</v>
      </c>
      <c r="D6937" t="s">
        <v>3219</v>
      </c>
      <c r="E6937">
        <v>29.52</v>
      </c>
      <c r="F6937">
        <v>138.1</v>
      </c>
    </row>
    <row r="6938" spans="1:6" x14ac:dyDescent="0.25">
      <c r="A6938" t="s">
        <v>2667</v>
      </c>
      <c r="B6938" t="s">
        <v>49</v>
      </c>
      <c r="C6938" t="s">
        <v>62</v>
      </c>
      <c r="D6938" t="s">
        <v>3217</v>
      </c>
      <c r="E6938">
        <v>0</v>
      </c>
      <c r="F6938">
        <v>138.11000000000001</v>
      </c>
    </row>
    <row r="6939" spans="1:6" x14ac:dyDescent="0.25">
      <c r="A6939" t="s">
        <v>2667</v>
      </c>
      <c r="B6939" t="s">
        <v>49</v>
      </c>
      <c r="C6939" t="s">
        <v>62</v>
      </c>
      <c r="D6939" t="s">
        <v>3218</v>
      </c>
      <c r="E6939">
        <v>13.44</v>
      </c>
      <c r="F6939">
        <v>138.08000000000001</v>
      </c>
    </row>
    <row r="6940" spans="1:6" x14ac:dyDescent="0.25">
      <c r="A6940" t="s">
        <v>2667</v>
      </c>
      <c r="B6940" t="s">
        <v>49</v>
      </c>
      <c r="C6940" t="s">
        <v>62</v>
      </c>
      <c r="D6940" t="s">
        <v>3219</v>
      </c>
      <c r="E6940">
        <v>29.29</v>
      </c>
      <c r="F6940">
        <v>137.71</v>
      </c>
    </row>
    <row r="6941" spans="1:6" x14ac:dyDescent="0.25">
      <c r="A6941" t="s">
        <v>2668</v>
      </c>
      <c r="B6941" t="s">
        <v>49</v>
      </c>
      <c r="C6941" t="s">
        <v>63</v>
      </c>
      <c r="D6941" t="s">
        <v>3217</v>
      </c>
      <c r="E6941">
        <v>0</v>
      </c>
      <c r="F6941">
        <v>137.81</v>
      </c>
    </row>
    <row r="6942" spans="1:6" x14ac:dyDescent="0.25">
      <c r="A6942" t="s">
        <v>2668</v>
      </c>
      <c r="B6942" t="s">
        <v>49</v>
      </c>
      <c r="C6942" t="s">
        <v>63</v>
      </c>
      <c r="D6942" t="s">
        <v>3218</v>
      </c>
      <c r="E6942">
        <v>13.01</v>
      </c>
      <c r="F6942">
        <v>137.66</v>
      </c>
    </row>
    <row r="6943" spans="1:6" x14ac:dyDescent="0.25">
      <c r="A6943" t="s">
        <v>2668</v>
      </c>
      <c r="B6943" t="s">
        <v>49</v>
      </c>
      <c r="C6943" t="s">
        <v>63</v>
      </c>
      <c r="D6943" t="s">
        <v>3219</v>
      </c>
      <c r="E6943">
        <v>29.76</v>
      </c>
      <c r="F6943">
        <v>137.21</v>
      </c>
    </row>
    <row r="6944" spans="1:6" x14ac:dyDescent="0.25">
      <c r="A6944" t="s">
        <v>2669</v>
      </c>
      <c r="B6944" t="s">
        <v>49</v>
      </c>
      <c r="C6944" t="s">
        <v>64</v>
      </c>
      <c r="D6944" t="s">
        <v>3217</v>
      </c>
      <c r="E6944">
        <v>0</v>
      </c>
      <c r="F6944">
        <v>137.49</v>
      </c>
    </row>
    <row r="6945" spans="1:6" x14ac:dyDescent="0.25">
      <c r="A6945" t="s">
        <v>2669</v>
      </c>
      <c r="B6945" t="s">
        <v>49</v>
      </c>
      <c r="C6945" t="s">
        <v>64</v>
      </c>
      <c r="D6945" t="s">
        <v>3218</v>
      </c>
      <c r="E6945">
        <v>12.45</v>
      </c>
      <c r="F6945">
        <v>137.33000000000001</v>
      </c>
    </row>
    <row r="6946" spans="1:6" x14ac:dyDescent="0.25">
      <c r="A6946" t="s">
        <v>2669</v>
      </c>
      <c r="B6946" t="s">
        <v>49</v>
      </c>
      <c r="C6946" t="s">
        <v>64</v>
      </c>
      <c r="D6946" t="s">
        <v>3219</v>
      </c>
      <c r="E6946">
        <v>28.62</v>
      </c>
      <c r="F6946">
        <v>136.65</v>
      </c>
    </row>
    <row r="6947" spans="1:6" x14ac:dyDescent="0.25">
      <c r="A6947" t="s">
        <v>2670</v>
      </c>
      <c r="B6947" t="s">
        <v>49</v>
      </c>
      <c r="C6947" t="s">
        <v>65</v>
      </c>
      <c r="D6947" t="s">
        <v>3217</v>
      </c>
      <c r="E6947">
        <v>0</v>
      </c>
      <c r="F6947">
        <v>137.12</v>
      </c>
    </row>
    <row r="6948" spans="1:6" x14ac:dyDescent="0.25">
      <c r="A6948" t="s">
        <v>2670</v>
      </c>
      <c r="B6948" t="s">
        <v>49</v>
      </c>
      <c r="C6948" t="s">
        <v>65</v>
      </c>
      <c r="D6948" t="s">
        <v>3218</v>
      </c>
      <c r="E6948">
        <v>13.5</v>
      </c>
      <c r="F6948">
        <v>136.97999999999999</v>
      </c>
    </row>
    <row r="6949" spans="1:6" x14ac:dyDescent="0.25">
      <c r="A6949" t="s">
        <v>2670</v>
      </c>
      <c r="B6949" t="s">
        <v>49</v>
      </c>
      <c r="C6949" t="s">
        <v>65</v>
      </c>
      <c r="D6949" t="s">
        <v>3219</v>
      </c>
      <c r="E6949">
        <v>29.1</v>
      </c>
      <c r="F6949">
        <v>136.15</v>
      </c>
    </row>
    <row r="6950" spans="1:6" x14ac:dyDescent="0.25">
      <c r="A6950" t="s">
        <v>2671</v>
      </c>
      <c r="B6950" t="s">
        <v>49</v>
      </c>
      <c r="C6950" t="s">
        <v>66</v>
      </c>
      <c r="D6950" t="s">
        <v>3217</v>
      </c>
      <c r="E6950">
        <v>0</v>
      </c>
      <c r="F6950">
        <v>137.01</v>
      </c>
    </row>
    <row r="6951" spans="1:6" x14ac:dyDescent="0.25">
      <c r="A6951" t="s">
        <v>2671</v>
      </c>
      <c r="B6951" t="s">
        <v>49</v>
      </c>
      <c r="C6951" t="s">
        <v>66</v>
      </c>
      <c r="D6951" t="s">
        <v>3218</v>
      </c>
      <c r="E6951">
        <v>14.2</v>
      </c>
      <c r="F6951">
        <v>137.02000000000001</v>
      </c>
    </row>
    <row r="6952" spans="1:6" x14ac:dyDescent="0.25">
      <c r="A6952" t="s">
        <v>2671</v>
      </c>
      <c r="B6952" t="s">
        <v>49</v>
      </c>
      <c r="C6952" t="s">
        <v>66</v>
      </c>
      <c r="D6952" t="s">
        <v>3219</v>
      </c>
      <c r="E6952">
        <v>31.61</v>
      </c>
      <c r="F6952">
        <v>135.76</v>
      </c>
    </row>
    <row r="6953" spans="1:6" x14ac:dyDescent="0.25">
      <c r="A6953" t="s">
        <v>2672</v>
      </c>
      <c r="B6953" t="s">
        <v>49</v>
      </c>
      <c r="C6953" t="s">
        <v>67</v>
      </c>
      <c r="D6953" t="s">
        <v>3217</v>
      </c>
      <c r="E6953">
        <v>0</v>
      </c>
      <c r="F6953">
        <v>136.69</v>
      </c>
    </row>
    <row r="6954" spans="1:6" x14ac:dyDescent="0.25">
      <c r="A6954" t="s">
        <v>2672</v>
      </c>
      <c r="B6954" t="s">
        <v>49</v>
      </c>
      <c r="C6954" t="s">
        <v>67</v>
      </c>
      <c r="D6954" t="s">
        <v>3218</v>
      </c>
      <c r="E6954">
        <v>14.56</v>
      </c>
      <c r="F6954">
        <v>136.62</v>
      </c>
    </row>
    <row r="6955" spans="1:6" x14ac:dyDescent="0.25">
      <c r="A6955" t="s">
        <v>2672</v>
      </c>
      <c r="B6955" t="s">
        <v>49</v>
      </c>
      <c r="C6955" t="s">
        <v>67</v>
      </c>
      <c r="D6955" t="s">
        <v>3219</v>
      </c>
      <c r="E6955">
        <v>31.65</v>
      </c>
      <c r="F6955">
        <v>135.53</v>
      </c>
    </row>
    <row r="6956" spans="1:6" x14ac:dyDescent="0.25">
      <c r="A6956" t="s">
        <v>2673</v>
      </c>
      <c r="B6956" t="s">
        <v>49</v>
      </c>
      <c r="C6956" t="s">
        <v>68</v>
      </c>
      <c r="D6956" t="s">
        <v>3217</v>
      </c>
      <c r="E6956">
        <v>0</v>
      </c>
      <c r="F6956">
        <v>136.34</v>
      </c>
    </row>
    <row r="6957" spans="1:6" x14ac:dyDescent="0.25">
      <c r="A6957" t="s">
        <v>2673</v>
      </c>
      <c r="B6957" t="s">
        <v>49</v>
      </c>
      <c r="C6957" t="s">
        <v>68</v>
      </c>
      <c r="D6957" t="s">
        <v>3218</v>
      </c>
      <c r="E6957">
        <v>13.73</v>
      </c>
      <c r="F6957">
        <v>135.9</v>
      </c>
    </row>
    <row r="6958" spans="1:6" x14ac:dyDescent="0.25">
      <c r="A6958" t="s">
        <v>2673</v>
      </c>
      <c r="B6958" t="s">
        <v>49</v>
      </c>
      <c r="C6958" t="s">
        <v>68</v>
      </c>
      <c r="D6958" t="s">
        <v>3219</v>
      </c>
      <c r="E6958">
        <v>30.83</v>
      </c>
      <c r="F6958">
        <v>135.19</v>
      </c>
    </row>
    <row r="6959" spans="1:6" x14ac:dyDescent="0.25">
      <c r="A6959" t="s">
        <v>2674</v>
      </c>
      <c r="B6959" t="s">
        <v>49</v>
      </c>
      <c r="C6959" t="s">
        <v>69</v>
      </c>
      <c r="D6959" t="s">
        <v>3217</v>
      </c>
      <c r="E6959">
        <v>0</v>
      </c>
      <c r="F6959">
        <v>135.99</v>
      </c>
    </row>
    <row r="6960" spans="1:6" x14ac:dyDescent="0.25">
      <c r="A6960" t="s">
        <v>2674</v>
      </c>
      <c r="B6960" t="s">
        <v>49</v>
      </c>
      <c r="C6960" t="s">
        <v>69</v>
      </c>
      <c r="D6960" t="s">
        <v>3218</v>
      </c>
      <c r="E6960">
        <v>13.73</v>
      </c>
      <c r="F6960">
        <v>135.69</v>
      </c>
    </row>
    <row r="6961" spans="1:6" x14ac:dyDescent="0.25">
      <c r="A6961" t="s">
        <v>2674</v>
      </c>
      <c r="B6961" t="s">
        <v>49</v>
      </c>
      <c r="C6961" t="s">
        <v>69</v>
      </c>
      <c r="D6961" t="s">
        <v>3219</v>
      </c>
      <c r="E6961">
        <v>29.59</v>
      </c>
      <c r="F6961">
        <v>134.97</v>
      </c>
    </row>
    <row r="6962" spans="1:6" x14ac:dyDescent="0.25">
      <c r="A6962" t="s">
        <v>2675</v>
      </c>
      <c r="B6962" t="s">
        <v>49</v>
      </c>
      <c r="C6962" t="s">
        <v>70</v>
      </c>
      <c r="D6962" t="s">
        <v>3217</v>
      </c>
      <c r="E6962">
        <v>0</v>
      </c>
      <c r="F6962">
        <v>135.62</v>
      </c>
    </row>
    <row r="6963" spans="1:6" x14ac:dyDescent="0.25">
      <c r="A6963" t="s">
        <v>2675</v>
      </c>
      <c r="B6963" t="s">
        <v>49</v>
      </c>
      <c r="C6963" t="s">
        <v>70</v>
      </c>
      <c r="D6963" t="s">
        <v>3218</v>
      </c>
      <c r="E6963">
        <v>13.7</v>
      </c>
      <c r="F6963">
        <v>135.47999999999999</v>
      </c>
    </row>
    <row r="6964" spans="1:6" x14ac:dyDescent="0.25">
      <c r="A6964" t="s">
        <v>2675</v>
      </c>
      <c r="B6964" t="s">
        <v>49</v>
      </c>
      <c r="C6964" t="s">
        <v>70</v>
      </c>
      <c r="D6964" t="s">
        <v>3219</v>
      </c>
      <c r="E6964">
        <v>27.6</v>
      </c>
      <c r="F6964">
        <v>134.81</v>
      </c>
    </row>
    <row r="6965" spans="1:6" x14ac:dyDescent="0.25">
      <c r="A6965" t="s">
        <v>2676</v>
      </c>
      <c r="B6965" t="s">
        <v>49</v>
      </c>
      <c r="C6965" t="s">
        <v>71</v>
      </c>
      <c r="D6965" t="s">
        <v>3217</v>
      </c>
      <c r="E6965">
        <v>0</v>
      </c>
      <c r="F6965">
        <v>135.13999999999999</v>
      </c>
    </row>
    <row r="6966" spans="1:6" x14ac:dyDescent="0.25">
      <c r="A6966" t="s">
        <v>2676</v>
      </c>
      <c r="B6966" t="s">
        <v>49</v>
      </c>
      <c r="C6966" t="s">
        <v>71</v>
      </c>
      <c r="D6966" t="s">
        <v>3218</v>
      </c>
      <c r="E6966">
        <v>13.33</v>
      </c>
      <c r="F6966">
        <v>135.21</v>
      </c>
    </row>
    <row r="6967" spans="1:6" x14ac:dyDescent="0.25">
      <c r="A6967" t="s">
        <v>2676</v>
      </c>
      <c r="B6967" t="s">
        <v>49</v>
      </c>
      <c r="C6967" t="s">
        <v>71</v>
      </c>
      <c r="D6967" t="s">
        <v>3219</v>
      </c>
      <c r="E6967">
        <v>26.94</v>
      </c>
      <c r="F6967">
        <v>134.5</v>
      </c>
    </row>
    <row r="6968" spans="1:6" x14ac:dyDescent="0.25">
      <c r="A6968" t="s">
        <v>2677</v>
      </c>
      <c r="B6968" t="s">
        <v>49</v>
      </c>
      <c r="C6968" t="s">
        <v>72</v>
      </c>
      <c r="D6968" t="s">
        <v>3217</v>
      </c>
      <c r="E6968">
        <v>0</v>
      </c>
      <c r="F6968">
        <v>134.88</v>
      </c>
    </row>
    <row r="6969" spans="1:6" x14ac:dyDescent="0.25">
      <c r="A6969" t="s">
        <v>2677</v>
      </c>
      <c r="B6969" t="s">
        <v>49</v>
      </c>
      <c r="C6969" t="s">
        <v>72</v>
      </c>
      <c r="D6969" t="s">
        <v>3218</v>
      </c>
      <c r="E6969">
        <v>13.08</v>
      </c>
      <c r="F6969">
        <v>134.62</v>
      </c>
    </row>
    <row r="6970" spans="1:6" x14ac:dyDescent="0.25">
      <c r="A6970" t="s">
        <v>2677</v>
      </c>
      <c r="B6970" t="s">
        <v>49</v>
      </c>
      <c r="C6970" t="s">
        <v>72</v>
      </c>
      <c r="D6970" t="s">
        <v>3219</v>
      </c>
      <c r="E6970">
        <v>26.33</v>
      </c>
      <c r="F6970">
        <v>134.21</v>
      </c>
    </row>
    <row r="6971" spans="1:6" x14ac:dyDescent="0.25">
      <c r="A6971" t="s">
        <v>2678</v>
      </c>
      <c r="B6971" t="s">
        <v>49</v>
      </c>
      <c r="C6971" t="s">
        <v>73</v>
      </c>
      <c r="D6971" t="s">
        <v>3217</v>
      </c>
      <c r="E6971">
        <v>0</v>
      </c>
      <c r="F6971">
        <v>134.57</v>
      </c>
    </row>
    <row r="6972" spans="1:6" x14ac:dyDescent="0.25">
      <c r="A6972" t="s">
        <v>2678</v>
      </c>
      <c r="B6972" t="s">
        <v>49</v>
      </c>
      <c r="C6972" t="s">
        <v>73</v>
      </c>
      <c r="D6972" t="s">
        <v>3218</v>
      </c>
      <c r="E6972">
        <v>12.83</v>
      </c>
      <c r="F6972">
        <v>134.22</v>
      </c>
    </row>
    <row r="6973" spans="1:6" x14ac:dyDescent="0.25">
      <c r="A6973" t="s">
        <v>2678</v>
      </c>
      <c r="B6973" t="s">
        <v>49</v>
      </c>
      <c r="C6973" t="s">
        <v>73</v>
      </c>
      <c r="D6973" t="s">
        <v>3219</v>
      </c>
      <c r="E6973">
        <v>25.5</v>
      </c>
      <c r="F6973">
        <v>133.80000000000001</v>
      </c>
    </row>
    <row r="6974" spans="1:6" x14ac:dyDescent="0.25">
      <c r="A6974" t="s">
        <v>2679</v>
      </c>
      <c r="B6974" t="s">
        <v>49</v>
      </c>
      <c r="C6974" t="s">
        <v>74</v>
      </c>
      <c r="D6974" t="s">
        <v>3217</v>
      </c>
      <c r="E6974">
        <v>0</v>
      </c>
      <c r="F6974">
        <v>134.35</v>
      </c>
    </row>
    <row r="6975" spans="1:6" x14ac:dyDescent="0.25">
      <c r="A6975" t="s">
        <v>2679</v>
      </c>
      <c r="B6975" t="s">
        <v>49</v>
      </c>
      <c r="C6975" t="s">
        <v>74</v>
      </c>
      <c r="D6975" t="s">
        <v>3218</v>
      </c>
      <c r="E6975">
        <v>12.21</v>
      </c>
      <c r="F6975">
        <v>133.97999999999999</v>
      </c>
    </row>
    <row r="6976" spans="1:6" x14ac:dyDescent="0.25">
      <c r="A6976" t="s">
        <v>2679</v>
      </c>
      <c r="B6976" t="s">
        <v>49</v>
      </c>
      <c r="C6976" t="s">
        <v>74</v>
      </c>
      <c r="D6976" t="s">
        <v>3219</v>
      </c>
      <c r="E6976">
        <v>25.44</v>
      </c>
      <c r="F6976">
        <v>133.37</v>
      </c>
    </row>
    <row r="6977" spans="1:6" x14ac:dyDescent="0.25">
      <c r="A6977" t="s">
        <v>2680</v>
      </c>
      <c r="B6977" t="s">
        <v>49</v>
      </c>
      <c r="C6977" t="s">
        <v>75</v>
      </c>
      <c r="D6977" t="s">
        <v>3217</v>
      </c>
      <c r="E6977">
        <v>0</v>
      </c>
      <c r="F6977">
        <v>133.94999999999999</v>
      </c>
    </row>
    <row r="6978" spans="1:6" x14ac:dyDescent="0.25">
      <c r="A6978" t="s">
        <v>2680</v>
      </c>
      <c r="B6978" t="s">
        <v>49</v>
      </c>
      <c r="C6978" t="s">
        <v>75</v>
      </c>
      <c r="D6978" t="s">
        <v>3218</v>
      </c>
      <c r="E6978">
        <v>11.6</v>
      </c>
      <c r="F6978">
        <v>133.76</v>
      </c>
    </row>
    <row r="6979" spans="1:6" x14ac:dyDescent="0.25">
      <c r="A6979" t="s">
        <v>2680</v>
      </c>
      <c r="B6979" t="s">
        <v>49</v>
      </c>
      <c r="C6979" t="s">
        <v>75</v>
      </c>
      <c r="D6979" t="s">
        <v>3219</v>
      </c>
      <c r="E6979">
        <v>26.64</v>
      </c>
      <c r="F6979">
        <v>133.19</v>
      </c>
    </row>
    <row r="6980" spans="1:6" x14ac:dyDescent="0.25">
      <c r="A6980" t="s">
        <v>2681</v>
      </c>
      <c r="B6980" t="s">
        <v>49</v>
      </c>
      <c r="C6980" t="s">
        <v>76</v>
      </c>
      <c r="D6980" t="s">
        <v>3217</v>
      </c>
      <c r="E6980">
        <v>0</v>
      </c>
      <c r="F6980">
        <v>133.78</v>
      </c>
    </row>
    <row r="6981" spans="1:6" x14ac:dyDescent="0.25">
      <c r="A6981" t="s">
        <v>2681</v>
      </c>
      <c r="B6981" t="s">
        <v>49</v>
      </c>
      <c r="C6981" t="s">
        <v>76</v>
      </c>
      <c r="D6981" t="s">
        <v>3218</v>
      </c>
      <c r="E6981">
        <v>11.36</v>
      </c>
      <c r="F6981">
        <v>133.76</v>
      </c>
    </row>
    <row r="6982" spans="1:6" x14ac:dyDescent="0.25">
      <c r="A6982" t="s">
        <v>2681</v>
      </c>
      <c r="B6982" t="s">
        <v>49</v>
      </c>
      <c r="C6982" t="s">
        <v>76</v>
      </c>
      <c r="D6982" t="s">
        <v>3219</v>
      </c>
      <c r="E6982">
        <v>31.36</v>
      </c>
      <c r="F6982">
        <v>132.75</v>
      </c>
    </row>
    <row r="6983" spans="1:6" x14ac:dyDescent="0.25">
      <c r="A6983" t="s">
        <v>2682</v>
      </c>
      <c r="B6983" t="s">
        <v>49</v>
      </c>
      <c r="C6983" t="s">
        <v>77</v>
      </c>
      <c r="D6983" t="s">
        <v>3217</v>
      </c>
      <c r="E6983">
        <v>0</v>
      </c>
      <c r="F6983">
        <v>133.78</v>
      </c>
    </row>
    <row r="6984" spans="1:6" x14ac:dyDescent="0.25">
      <c r="A6984" t="s">
        <v>2682</v>
      </c>
      <c r="B6984" t="s">
        <v>49</v>
      </c>
      <c r="C6984" t="s">
        <v>77</v>
      </c>
      <c r="D6984" t="s">
        <v>3218</v>
      </c>
      <c r="E6984">
        <v>11.1</v>
      </c>
      <c r="F6984">
        <v>133.80000000000001</v>
      </c>
    </row>
    <row r="6985" spans="1:6" x14ac:dyDescent="0.25">
      <c r="A6985" t="s">
        <v>2682</v>
      </c>
      <c r="B6985" t="s">
        <v>49</v>
      </c>
      <c r="C6985" t="s">
        <v>77</v>
      </c>
      <c r="D6985" t="s">
        <v>3219</v>
      </c>
      <c r="E6985">
        <v>31.1</v>
      </c>
      <c r="F6985">
        <v>133.86000000000001</v>
      </c>
    </row>
    <row r="6986" spans="1:6" x14ac:dyDescent="0.25">
      <c r="A6986" t="s">
        <v>2683</v>
      </c>
      <c r="B6986" t="s">
        <v>49</v>
      </c>
      <c r="C6986" t="s">
        <v>78</v>
      </c>
      <c r="D6986" t="s">
        <v>3217</v>
      </c>
      <c r="E6986">
        <v>0</v>
      </c>
      <c r="F6986">
        <v>134.04</v>
      </c>
    </row>
    <row r="6987" spans="1:6" x14ac:dyDescent="0.25">
      <c r="A6987" t="s">
        <v>2683</v>
      </c>
      <c r="B6987" t="s">
        <v>49</v>
      </c>
      <c r="C6987" t="s">
        <v>78</v>
      </c>
      <c r="D6987" t="s">
        <v>3218</v>
      </c>
      <c r="E6987">
        <v>12.17</v>
      </c>
      <c r="F6987">
        <v>133.78</v>
      </c>
    </row>
    <row r="6988" spans="1:6" x14ac:dyDescent="0.25">
      <c r="A6988" t="s">
        <v>2683</v>
      </c>
      <c r="B6988" t="s">
        <v>49</v>
      </c>
      <c r="C6988" t="s">
        <v>78</v>
      </c>
      <c r="D6988" t="s">
        <v>3219</v>
      </c>
      <c r="E6988">
        <v>32.17</v>
      </c>
      <c r="F6988">
        <v>132.71</v>
      </c>
    </row>
    <row r="6989" spans="1:6" x14ac:dyDescent="0.25">
      <c r="A6989" t="s">
        <v>2684</v>
      </c>
      <c r="B6989" t="s">
        <v>49</v>
      </c>
      <c r="C6989" t="s">
        <v>79</v>
      </c>
      <c r="D6989" t="s">
        <v>3217</v>
      </c>
      <c r="E6989">
        <v>0</v>
      </c>
      <c r="F6989">
        <v>133.88</v>
      </c>
    </row>
    <row r="6990" spans="1:6" x14ac:dyDescent="0.25">
      <c r="A6990" t="s">
        <v>2684</v>
      </c>
      <c r="B6990" t="s">
        <v>49</v>
      </c>
      <c r="C6990" t="s">
        <v>79</v>
      </c>
      <c r="D6990" t="s">
        <v>3218</v>
      </c>
      <c r="E6990">
        <v>12.76</v>
      </c>
      <c r="F6990">
        <v>133.87</v>
      </c>
    </row>
    <row r="6991" spans="1:6" x14ac:dyDescent="0.25">
      <c r="A6991" t="s">
        <v>2684</v>
      </c>
      <c r="B6991" t="s">
        <v>49</v>
      </c>
      <c r="C6991" t="s">
        <v>79</v>
      </c>
      <c r="D6991" t="s">
        <v>3219</v>
      </c>
      <c r="E6991">
        <v>27.95</v>
      </c>
      <c r="F6991">
        <v>132.94</v>
      </c>
    </row>
    <row r="6992" spans="1:6" x14ac:dyDescent="0.25">
      <c r="A6992" t="s">
        <v>2685</v>
      </c>
      <c r="B6992" t="s">
        <v>49</v>
      </c>
      <c r="C6992" t="s">
        <v>80</v>
      </c>
      <c r="D6992" t="s">
        <v>3217</v>
      </c>
      <c r="E6992">
        <v>0</v>
      </c>
      <c r="F6992">
        <v>133.66999999999999</v>
      </c>
    </row>
    <row r="6993" spans="1:6" x14ac:dyDescent="0.25">
      <c r="A6993" t="s">
        <v>2685</v>
      </c>
      <c r="B6993" t="s">
        <v>49</v>
      </c>
      <c r="C6993" t="s">
        <v>80</v>
      </c>
      <c r="D6993" t="s">
        <v>3218</v>
      </c>
      <c r="E6993">
        <v>12.84</v>
      </c>
      <c r="F6993">
        <v>133.54</v>
      </c>
    </row>
    <row r="6994" spans="1:6" x14ac:dyDescent="0.25">
      <c r="A6994" t="s">
        <v>2685</v>
      </c>
      <c r="B6994" t="s">
        <v>49</v>
      </c>
      <c r="C6994" t="s">
        <v>80</v>
      </c>
      <c r="D6994" t="s">
        <v>3219</v>
      </c>
      <c r="E6994">
        <v>28.03</v>
      </c>
      <c r="F6994">
        <v>132.91999999999999</v>
      </c>
    </row>
    <row r="6995" spans="1:6" x14ac:dyDescent="0.25">
      <c r="A6995" t="s">
        <v>2686</v>
      </c>
      <c r="B6995" t="s">
        <v>49</v>
      </c>
      <c r="C6995" t="s">
        <v>81</v>
      </c>
      <c r="D6995" t="s">
        <v>3217</v>
      </c>
      <c r="E6995">
        <v>0</v>
      </c>
      <c r="F6995">
        <v>133.79</v>
      </c>
    </row>
    <row r="6996" spans="1:6" x14ac:dyDescent="0.25">
      <c r="A6996" t="s">
        <v>2686</v>
      </c>
      <c r="B6996" t="s">
        <v>49</v>
      </c>
      <c r="C6996" t="s">
        <v>81</v>
      </c>
      <c r="D6996" t="s">
        <v>3218</v>
      </c>
      <c r="E6996">
        <v>13.39</v>
      </c>
      <c r="F6996">
        <v>133.68</v>
      </c>
    </row>
    <row r="6997" spans="1:6" x14ac:dyDescent="0.25">
      <c r="A6997" t="s">
        <v>2686</v>
      </c>
      <c r="B6997" t="s">
        <v>49</v>
      </c>
      <c r="C6997" t="s">
        <v>81</v>
      </c>
      <c r="D6997" t="s">
        <v>3219</v>
      </c>
      <c r="E6997">
        <v>26.91</v>
      </c>
      <c r="F6997">
        <v>133</v>
      </c>
    </row>
    <row r="6998" spans="1:6" x14ac:dyDescent="0.25">
      <c r="A6998" t="s">
        <v>2687</v>
      </c>
      <c r="B6998" t="s">
        <v>49</v>
      </c>
      <c r="C6998" t="s">
        <v>82</v>
      </c>
      <c r="D6998" t="s">
        <v>3217</v>
      </c>
      <c r="E6998">
        <v>0</v>
      </c>
      <c r="F6998">
        <v>133.46</v>
      </c>
    </row>
    <row r="6999" spans="1:6" x14ac:dyDescent="0.25">
      <c r="A6999" t="s">
        <v>2687</v>
      </c>
      <c r="B6999" t="s">
        <v>49</v>
      </c>
      <c r="C6999" t="s">
        <v>82</v>
      </c>
      <c r="D6999" t="s">
        <v>3218</v>
      </c>
      <c r="E6999">
        <v>13.65</v>
      </c>
      <c r="F6999">
        <v>133.22</v>
      </c>
    </row>
    <row r="7000" spans="1:6" x14ac:dyDescent="0.25">
      <c r="A7000" t="s">
        <v>2687</v>
      </c>
      <c r="B7000" t="s">
        <v>49</v>
      </c>
      <c r="C7000" t="s">
        <v>82</v>
      </c>
      <c r="D7000" t="s">
        <v>3219</v>
      </c>
      <c r="E7000">
        <v>26.64</v>
      </c>
      <c r="F7000">
        <v>132.99</v>
      </c>
    </row>
    <row r="7001" spans="1:6" x14ac:dyDescent="0.25">
      <c r="A7001" t="s">
        <v>2688</v>
      </c>
      <c r="B7001" t="s">
        <v>49</v>
      </c>
      <c r="C7001" t="s">
        <v>83</v>
      </c>
      <c r="D7001" t="s">
        <v>3217</v>
      </c>
      <c r="E7001">
        <v>0</v>
      </c>
      <c r="F7001">
        <v>133.16</v>
      </c>
    </row>
    <row r="7002" spans="1:6" x14ac:dyDescent="0.25">
      <c r="A7002" t="s">
        <v>2688</v>
      </c>
      <c r="B7002" t="s">
        <v>49</v>
      </c>
      <c r="C7002" t="s">
        <v>83</v>
      </c>
      <c r="D7002" t="s">
        <v>3218</v>
      </c>
      <c r="E7002">
        <v>13.75</v>
      </c>
      <c r="F7002">
        <v>133.08000000000001</v>
      </c>
    </row>
    <row r="7003" spans="1:6" x14ac:dyDescent="0.25">
      <c r="A7003" t="s">
        <v>2688</v>
      </c>
      <c r="B7003" t="s">
        <v>49</v>
      </c>
      <c r="C7003" t="s">
        <v>83</v>
      </c>
      <c r="D7003" t="s">
        <v>3219</v>
      </c>
      <c r="E7003">
        <v>27.28</v>
      </c>
      <c r="F7003">
        <v>132.72999999999999</v>
      </c>
    </row>
    <row r="7004" spans="1:6" x14ac:dyDescent="0.25">
      <c r="A7004" t="s">
        <v>2689</v>
      </c>
      <c r="B7004" t="s">
        <v>49</v>
      </c>
      <c r="C7004" t="s">
        <v>84</v>
      </c>
      <c r="D7004" t="s">
        <v>3217</v>
      </c>
      <c r="E7004">
        <v>0</v>
      </c>
      <c r="F7004">
        <v>132.97999999999999</v>
      </c>
    </row>
    <row r="7005" spans="1:6" x14ac:dyDescent="0.25">
      <c r="A7005" t="s">
        <v>2689</v>
      </c>
      <c r="B7005" t="s">
        <v>49</v>
      </c>
      <c r="C7005" t="s">
        <v>84</v>
      </c>
      <c r="D7005" t="s">
        <v>3218</v>
      </c>
      <c r="E7005">
        <v>13.63</v>
      </c>
      <c r="F7005">
        <v>133.03</v>
      </c>
    </row>
    <row r="7006" spans="1:6" x14ac:dyDescent="0.25">
      <c r="A7006" t="s">
        <v>2689</v>
      </c>
      <c r="B7006" t="s">
        <v>49</v>
      </c>
      <c r="C7006" t="s">
        <v>84</v>
      </c>
      <c r="D7006" t="s">
        <v>3219</v>
      </c>
      <c r="E7006">
        <v>26.62</v>
      </c>
      <c r="F7006">
        <v>132.59</v>
      </c>
    </row>
    <row r="7007" spans="1:6" x14ac:dyDescent="0.25">
      <c r="A7007" t="s">
        <v>2690</v>
      </c>
      <c r="B7007" t="s">
        <v>49</v>
      </c>
      <c r="C7007" t="s">
        <v>85</v>
      </c>
      <c r="D7007" t="s">
        <v>3217</v>
      </c>
      <c r="E7007">
        <v>0</v>
      </c>
      <c r="F7007">
        <v>132.80000000000001</v>
      </c>
    </row>
    <row r="7008" spans="1:6" x14ac:dyDescent="0.25">
      <c r="A7008" t="s">
        <v>2690</v>
      </c>
      <c r="B7008" t="s">
        <v>49</v>
      </c>
      <c r="C7008" t="s">
        <v>85</v>
      </c>
      <c r="D7008" t="s">
        <v>3218</v>
      </c>
      <c r="E7008">
        <v>13.75</v>
      </c>
      <c r="F7008">
        <v>132.88</v>
      </c>
    </row>
    <row r="7009" spans="1:6" x14ac:dyDescent="0.25">
      <c r="A7009" t="s">
        <v>2690</v>
      </c>
      <c r="B7009" t="s">
        <v>49</v>
      </c>
      <c r="C7009" t="s">
        <v>85</v>
      </c>
      <c r="D7009" t="s">
        <v>3219</v>
      </c>
      <c r="E7009">
        <v>27.2</v>
      </c>
      <c r="F7009">
        <v>132.65</v>
      </c>
    </row>
    <row r="7010" spans="1:6" x14ac:dyDescent="0.25">
      <c r="A7010" t="s">
        <v>2691</v>
      </c>
      <c r="B7010" t="s">
        <v>49</v>
      </c>
      <c r="C7010" t="s">
        <v>86</v>
      </c>
      <c r="D7010" t="s">
        <v>3217</v>
      </c>
      <c r="E7010">
        <v>0</v>
      </c>
      <c r="F7010">
        <v>132.38999999999999</v>
      </c>
    </row>
    <row r="7011" spans="1:6" x14ac:dyDescent="0.25">
      <c r="A7011" t="s">
        <v>2691</v>
      </c>
      <c r="B7011" t="s">
        <v>49</v>
      </c>
      <c r="C7011" t="s">
        <v>86</v>
      </c>
      <c r="D7011" t="s">
        <v>3218</v>
      </c>
      <c r="E7011">
        <v>13.63</v>
      </c>
      <c r="F7011">
        <v>132.63999999999999</v>
      </c>
    </row>
    <row r="7012" spans="1:6" x14ac:dyDescent="0.25">
      <c r="A7012" t="s">
        <v>2691</v>
      </c>
      <c r="B7012" t="s">
        <v>49</v>
      </c>
      <c r="C7012" t="s">
        <v>86</v>
      </c>
      <c r="D7012" t="s">
        <v>3219</v>
      </c>
      <c r="E7012">
        <v>33.630000000000003</v>
      </c>
      <c r="F7012">
        <v>132.13999999999999</v>
      </c>
    </row>
    <row r="7013" spans="1:6" x14ac:dyDescent="0.25">
      <c r="A7013" t="s">
        <v>2692</v>
      </c>
      <c r="B7013" t="s">
        <v>49</v>
      </c>
      <c r="C7013" t="s">
        <v>87</v>
      </c>
      <c r="D7013" t="s">
        <v>3217</v>
      </c>
      <c r="E7013">
        <v>0</v>
      </c>
      <c r="F7013">
        <v>132.41999999999999</v>
      </c>
    </row>
    <row r="7014" spans="1:6" x14ac:dyDescent="0.25">
      <c r="A7014" t="s">
        <v>2692</v>
      </c>
      <c r="B7014" t="s">
        <v>49</v>
      </c>
      <c r="C7014" t="s">
        <v>87</v>
      </c>
      <c r="D7014" t="s">
        <v>3218</v>
      </c>
      <c r="E7014">
        <v>10.77</v>
      </c>
      <c r="F7014">
        <v>132.55000000000001</v>
      </c>
    </row>
    <row r="7015" spans="1:6" x14ac:dyDescent="0.25">
      <c r="A7015" t="s">
        <v>2692</v>
      </c>
      <c r="B7015" t="s">
        <v>49</v>
      </c>
      <c r="C7015" t="s">
        <v>87</v>
      </c>
      <c r="D7015" t="s">
        <v>3219</v>
      </c>
      <c r="E7015">
        <v>30.77</v>
      </c>
      <c r="F7015">
        <v>131.83000000000001</v>
      </c>
    </row>
    <row r="7016" spans="1:6" x14ac:dyDescent="0.25">
      <c r="A7016" t="s">
        <v>2693</v>
      </c>
      <c r="B7016" t="s">
        <v>49</v>
      </c>
      <c r="C7016" t="s">
        <v>88</v>
      </c>
      <c r="D7016" t="s">
        <v>3217</v>
      </c>
      <c r="E7016">
        <v>0</v>
      </c>
      <c r="F7016">
        <v>132.26</v>
      </c>
    </row>
    <row r="7017" spans="1:6" x14ac:dyDescent="0.25">
      <c r="A7017" t="s">
        <v>2693</v>
      </c>
      <c r="B7017" t="s">
        <v>49</v>
      </c>
      <c r="C7017" t="s">
        <v>88</v>
      </c>
      <c r="D7017" t="s">
        <v>3218</v>
      </c>
      <c r="E7017">
        <v>11.87</v>
      </c>
      <c r="F7017">
        <v>132.4</v>
      </c>
    </row>
    <row r="7018" spans="1:6" x14ac:dyDescent="0.25">
      <c r="A7018" t="s">
        <v>2693</v>
      </c>
      <c r="B7018" t="s">
        <v>49</v>
      </c>
      <c r="C7018" t="s">
        <v>88</v>
      </c>
      <c r="D7018" t="s">
        <v>3219</v>
      </c>
      <c r="E7018">
        <v>31.87</v>
      </c>
      <c r="F7018">
        <v>131.65</v>
      </c>
    </row>
    <row r="7019" spans="1:6" x14ac:dyDescent="0.25">
      <c r="A7019" t="s">
        <v>2694</v>
      </c>
      <c r="B7019" t="s">
        <v>49</v>
      </c>
      <c r="C7019" t="s">
        <v>89</v>
      </c>
      <c r="D7019" t="s">
        <v>3217</v>
      </c>
      <c r="E7019">
        <v>0</v>
      </c>
      <c r="F7019">
        <v>132.44999999999999</v>
      </c>
    </row>
    <row r="7020" spans="1:6" x14ac:dyDescent="0.25">
      <c r="A7020" t="s">
        <v>2694</v>
      </c>
      <c r="B7020" t="s">
        <v>49</v>
      </c>
      <c r="C7020" t="s">
        <v>89</v>
      </c>
      <c r="D7020" t="s">
        <v>3218</v>
      </c>
      <c r="E7020">
        <v>11.87</v>
      </c>
      <c r="F7020">
        <v>132.49</v>
      </c>
    </row>
    <row r="7021" spans="1:6" x14ac:dyDescent="0.25">
      <c r="A7021" t="s">
        <v>2694</v>
      </c>
      <c r="B7021" t="s">
        <v>49</v>
      </c>
      <c r="C7021" t="s">
        <v>89</v>
      </c>
      <c r="D7021" t="s">
        <v>3219</v>
      </c>
      <c r="E7021">
        <v>31.87</v>
      </c>
      <c r="F7021">
        <v>131.62</v>
      </c>
    </row>
    <row r="7022" spans="1:6" x14ac:dyDescent="0.25">
      <c r="A7022" t="s">
        <v>2695</v>
      </c>
      <c r="B7022" t="s">
        <v>49</v>
      </c>
      <c r="C7022" t="s">
        <v>90</v>
      </c>
      <c r="D7022" t="s">
        <v>3217</v>
      </c>
      <c r="E7022">
        <v>0</v>
      </c>
      <c r="F7022">
        <v>132.97</v>
      </c>
    </row>
    <row r="7023" spans="1:6" x14ac:dyDescent="0.25">
      <c r="A7023" t="s">
        <v>2695</v>
      </c>
      <c r="B7023" t="s">
        <v>49</v>
      </c>
      <c r="C7023" t="s">
        <v>90</v>
      </c>
      <c r="D7023" t="s">
        <v>3218</v>
      </c>
      <c r="E7023">
        <v>13.29</v>
      </c>
      <c r="F7023">
        <v>132.82</v>
      </c>
    </row>
    <row r="7024" spans="1:6" x14ac:dyDescent="0.25">
      <c r="A7024" t="s">
        <v>2695</v>
      </c>
      <c r="B7024" t="s">
        <v>49</v>
      </c>
      <c r="C7024" t="s">
        <v>90</v>
      </c>
      <c r="D7024" t="s">
        <v>3219</v>
      </c>
      <c r="E7024">
        <v>26.39</v>
      </c>
      <c r="F7024">
        <v>132.36000000000001</v>
      </c>
    </row>
    <row r="7025" spans="1:6" x14ac:dyDescent="0.25">
      <c r="A7025" t="s">
        <v>2696</v>
      </c>
      <c r="B7025" t="s">
        <v>49</v>
      </c>
      <c r="C7025" t="s">
        <v>91</v>
      </c>
      <c r="D7025" t="s">
        <v>3217</v>
      </c>
      <c r="E7025">
        <v>0</v>
      </c>
      <c r="F7025">
        <v>133.57</v>
      </c>
    </row>
    <row r="7026" spans="1:6" x14ac:dyDescent="0.25">
      <c r="A7026" t="s">
        <v>2696</v>
      </c>
      <c r="B7026" t="s">
        <v>49</v>
      </c>
      <c r="C7026" t="s">
        <v>91</v>
      </c>
      <c r="D7026" t="s">
        <v>3218</v>
      </c>
      <c r="E7026">
        <v>14.58</v>
      </c>
      <c r="F7026">
        <v>133.61000000000001</v>
      </c>
    </row>
    <row r="7027" spans="1:6" x14ac:dyDescent="0.25">
      <c r="A7027" t="s">
        <v>2696</v>
      </c>
      <c r="B7027" t="s">
        <v>49</v>
      </c>
      <c r="C7027" t="s">
        <v>91</v>
      </c>
      <c r="D7027" t="s">
        <v>3219</v>
      </c>
      <c r="E7027">
        <v>28.9</v>
      </c>
      <c r="F7027">
        <v>132.88</v>
      </c>
    </row>
    <row r="7028" spans="1:6" x14ac:dyDescent="0.25">
      <c r="A7028" t="s">
        <v>2697</v>
      </c>
      <c r="B7028" t="s">
        <v>49</v>
      </c>
      <c r="C7028" t="s">
        <v>92</v>
      </c>
      <c r="D7028" t="s">
        <v>3217</v>
      </c>
      <c r="E7028">
        <v>0</v>
      </c>
      <c r="F7028">
        <v>134.16999999999999</v>
      </c>
    </row>
    <row r="7029" spans="1:6" x14ac:dyDescent="0.25">
      <c r="A7029" t="s">
        <v>2697</v>
      </c>
      <c r="B7029" t="s">
        <v>49</v>
      </c>
      <c r="C7029" t="s">
        <v>92</v>
      </c>
      <c r="D7029" t="s">
        <v>3218</v>
      </c>
      <c r="E7029">
        <v>15.83</v>
      </c>
      <c r="F7029">
        <v>134</v>
      </c>
    </row>
    <row r="7030" spans="1:6" x14ac:dyDescent="0.25">
      <c r="A7030" t="s">
        <v>2697</v>
      </c>
      <c r="B7030" t="s">
        <v>49</v>
      </c>
      <c r="C7030" t="s">
        <v>92</v>
      </c>
      <c r="D7030" t="s">
        <v>3219</v>
      </c>
      <c r="E7030">
        <v>29.03</v>
      </c>
      <c r="F7030">
        <v>133.37</v>
      </c>
    </row>
    <row r="7031" spans="1:6" x14ac:dyDescent="0.25">
      <c r="A7031" t="s">
        <v>2698</v>
      </c>
      <c r="B7031" t="s">
        <v>49</v>
      </c>
      <c r="C7031" t="s">
        <v>93</v>
      </c>
      <c r="D7031" t="s">
        <v>3217</v>
      </c>
      <c r="E7031">
        <v>0</v>
      </c>
      <c r="F7031">
        <v>134.78</v>
      </c>
    </row>
    <row r="7032" spans="1:6" x14ac:dyDescent="0.25">
      <c r="A7032" t="s">
        <v>2698</v>
      </c>
      <c r="B7032" t="s">
        <v>49</v>
      </c>
      <c r="C7032" t="s">
        <v>93</v>
      </c>
      <c r="D7032" t="s">
        <v>3218</v>
      </c>
      <c r="E7032">
        <v>14.58</v>
      </c>
      <c r="F7032">
        <v>134.44</v>
      </c>
    </row>
    <row r="7033" spans="1:6" x14ac:dyDescent="0.25">
      <c r="A7033" t="s">
        <v>2698</v>
      </c>
      <c r="B7033" t="s">
        <v>49</v>
      </c>
      <c r="C7033" t="s">
        <v>93</v>
      </c>
      <c r="D7033" t="s">
        <v>3219</v>
      </c>
      <c r="E7033">
        <v>26.42</v>
      </c>
      <c r="F7033">
        <v>133.88</v>
      </c>
    </row>
    <row r="7034" spans="1:6" x14ac:dyDescent="0.25">
      <c r="A7034" t="s">
        <v>2699</v>
      </c>
      <c r="B7034" t="s">
        <v>49</v>
      </c>
      <c r="C7034" t="s">
        <v>94</v>
      </c>
      <c r="D7034" t="s">
        <v>3217</v>
      </c>
      <c r="E7034">
        <v>0</v>
      </c>
      <c r="F7034">
        <v>135.21</v>
      </c>
    </row>
    <row r="7035" spans="1:6" x14ac:dyDescent="0.25">
      <c r="A7035" t="s">
        <v>2699</v>
      </c>
      <c r="B7035" t="s">
        <v>49</v>
      </c>
      <c r="C7035" t="s">
        <v>94</v>
      </c>
      <c r="D7035" t="s">
        <v>3218</v>
      </c>
      <c r="E7035">
        <v>15.83</v>
      </c>
      <c r="F7035">
        <v>135</v>
      </c>
    </row>
    <row r="7036" spans="1:6" x14ac:dyDescent="0.25">
      <c r="A7036" t="s">
        <v>2699</v>
      </c>
      <c r="B7036" t="s">
        <v>49</v>
      </c>
      <c r="C7036" t="s">
        <v>94</v>
      </c>
      <c r="D7036" t="s">
        <v>3219</v>
      </c>
      <c r="E7036">
        <v>26.41</v>
      </c>
      <c r="F7036">
        <v>134.57</v>
      </c>
    </row>
    <row r="7037" spans="1:6" x14ac:dyDescent="0.25">
      <c r="A7037" t="s">
        <v>2700</v>
      </c>
      <c r="B7037" t="s">
        <v>49</v>
      </c>
      <c r="C7037" t="s">
        <v>95</v>
      </c>
      <c r="D7037" t="s">
        <v>3217</v>
      </c>
      <c r="E7037">
        <v>0</v>
      </c>
      <c r="F7037">
        <v>135.79</v>
      </c>
    </row>
    <row r="7038" spans="1:6" x14ac:dyDescent="0.25">
      <c r="A7038" t="s">
        <v>2700</v>
      </c>
      <c r="B7038" t="s">
        <v>49</v>
      </c>
      <c r="C7038" t="s">
        <v>95</v>
      </c>
      <c r="D7038" t="s">
        <v>3218</v>
      </c>
      <c r="E7038">
        <v>16.899999999999999</v>
      </c>
      <c r="F7038">
        <v>135.56</v>
      </c>
    </row>
    <row r="7039" spans="1:6" x14ac:dyDescent="0.25">
      <c r="A7039" t="s">
        <v>2700</v>
      </c>
      <c r="B7039" t="s">
        <v>49</v>
      </c>
      <c r="C7039" t="s">
        <v>95</v>
      </c>
      <c r="D7039" t="s">
        <v>3219</v>
      </c>
      <c r="E7039">
        <v>27.96</v>
      </c>
      <c r="F7039">
        <v>135.13</v>
      </c>
    </row>
    <row r="7040" spans="1:6" x14ac:dyDescent="0.25">
      <c r="A7040" t="s">
        <v>2701</v>
      </c>
      <c r="B7040" t="s">
        <v>49</v>
      </c>
      <c r="C7040" t="s">
        <v>96</v>
      </c>
      <c r="D7040" t="s">
        <v>3217</v>
      </c>
      <c r="E7040">
        <v>0</v>
      </c>
      <c r="F7040">
        <v>136.19999999999999</v>
      </c>
    </row>
    <row r="7041" spans="1:6" x14ac:dyDescent="0.25">
      <c r="A7041" t="s">
        <v>2701</v>
      </c>
      <c r="B7041" t="s">
        <v>49</v>
      </c>
      <c r="C7041" t="s">
        <v>96</v>
      </c>
      <c r="D7041" t="s">
        <v>3218</v>
      </c>
      <c r="E7041">
        <v>17.34</v>
      </c>
      <c r="F7041">
        <v>136.12</v>
      </c>
    </row>
    <row r="7042" spans="1:6" x14ac:dyDescent="0.25">
      <c r="A7042" t="s">
        <v>2701</v>
      </c>
      <c r="B7042" t="s">
        <v>49</v>
      </c>
      <c r="C7042" t="s">
        <v>96</v>
      </c>
      <c r="D7042" t="s">
        <v>3219</v>
      </c>
      <c r="E7042">
        <v>29.47</v>
      </c>
      <c r="F7042">
        <v>135.71</v>
      </c>
    </row>
    <row r="7043" spans="1:6" x14ac:dyDescent="0.25">
      <c r="A7043" t="s">
        <v>2702</v>
      </c>
      <c r="B7043" t="s">
        <v>49</v>
      </c>
      <c r="C7043" t="s">
        <v>97</v>
      </c>
      <c r="D7043" t="s">
        <v>3217</v>
      </c>
      <c r="E7043">
        <v>0</v>
      </c>
      <c r="F7043">
        <v>136.66999999999999</v>
      </c>
    </row>
    <row r="7044" spans="1:6" x14ac:dyDescent="0.25">
      <c r="A7044" t="s">
        <v>2702</v>
      </c>
      <c r="B7044" t="s">
        <v>49</v>
      </c>
      <c r="C7044" t="s">
        <v>97</v>
      </c>
      <c r="D7044" t="s">
        <v>3218</v>
      </c>
      <c r="E7044">
        <v>17.48</v>
      </c>
      <c r="F7044">
        <v>136.54</v>
      </c>
    </row>
    <row r="7045" spans="1:6" x14ac:dyDescent="0.25">
      <c r="A7045" t="s">
        <v>2702</v>
      </c>
      <c r="B7045" t="s">
        <v>49</v>
      </c>
      <c r="C7045" t="s">
        <v>97</v>
      </c>
      <c r="D7045" t="s">
        <v>3219</v>
      </c>
      <c r="E7045">
        <v>29.76</v>
      </c>
      <c r="F7045">
        <v>136.13999999999999</v>
      </c>
    </row>
    <row r="7046" spans="1:6" x14ac:dyDescent="0.25">
      <c r="A7046" t="s">
        <v>2703</v>
      </c>
      <c r="B7046" t="s">
        <v>49</v>
      </c>
      <c r="C7046" t="s">
        <v>98</v>
      </c>
      <c r="D7046" t="s">
        <v>3217</v>
      </c>
      <c r="E7046">
        <v>0</v>
      </c>
      <c r="F7046">
        <v>137.07</v>
      </c>
    </row>
    <row r="7047" spans="1:6" x14ac:dyDescent="0.25">
      <c r="A7047" t="s">
        <v>2703</v>
      </c>
      <c r="B7047" t="s">
        <v>49</v>
      </c>
      <c r="C7047" t="s">
        <v>98</v>
      </c>
      <c r="D7047" t="s">
        <v>3218</v>
      </c>
      <c r="E7047">
        <v>16.93</v>
      </c>
      <c r="F7047">
        <v>137.04</v>
      </c>
    </row>
    <row r="7048" spans="1:6" x14ac:dyDescent="0.25">
      <c r="A7048" t="s">
        <v>2703</v>
      </c>
      <c r="B7048" t="s">
        <v>49</v>
      </c>
      <c r="C7048" t="s">
        <v>98</v>
      </c>
      <c r="D7048" t="s">
        <v>3219</v>
      </c>
      <c r="E7048">
        <v>29.66</v>
      </c>
      <c r="F7048">
        <v>136.58000000000001</v>
      </c>
    </row>
    <row r="7049" spans="1:6" x14ac:dyDescent="0.25">
      <c r="A7049" t="s">
        <v>2704</v>
      </c>
      <c r="B7049" t="s">
        <v>49</v>
      </c>
      <c r="C7049" t="s">
        <v>99</v>
      </c>
      <c r="D7049" t="s">
        <v>3217</v>
      </c>
      <c r="E7049">
        <v>0</v>
      </c>
      <c r="F7049">
        <v>137.58000000000001</v>
      </c>
    </row>
    <row r="7050" spans="1:6" x14ac:dyDescent="0.25">
      <c r="A7050" t="s">
        <v>2704</v>
      </c>
      <c r="B7050" t="s">
        <v>49</v>
      </c>
      <c r="C7050" t="s">
        <v>99</v>
      </c>
      <c r="D7050" t="s">
        <v>3218</v>
      </c>
      <c r="E7050">
        <v>16.93</v>
      </c>
      <c r="F7050">
        <v>137.63</v>
      </c>
    </row>
    <row r="7051" spans="1:6" x14ac:dyDescent="0.25">
      <c r="A7051" t="s">
        <v>2704</v>
      </c>
      <c r="B7051" t="s">
        <v>49</v>
      </c>
      <c r="C7051" t="s">
        <v>99</v>
      </c>
      <c r="D7051" t="s">
        <v>3219</v>
      </c>
      <c r="E7051">
        <v>30.54</v>
      </c>
      <c r="F7051">
        <v>137.1</v>
      </c>
    </row>
    <row r="7052" spans="1:6" x14ac:dyDescent="0.25">
      <c r="A7052" t="s">
        <v>2705</v>
      </c>
      <c r="B7052" t="s">
        <v>49</v>
      </c>
      <c r="C7052" t="s">
        <v>100</v>
      </c>
      <c r="D7052" t="s">
        <v>3217</v>
      </c>
      <c r="E7052">
        <v>0</v>
      </c>
      <c r="F7052">
        <v>137.93</v>
      </c>
    </row>
    <row r="7053" spans="1:6" x14ac:dyDescent="0.25">
      <c r="A7053" t="s">
        <v>2705</v>
      </c>
      <c r="B7053" t="s">
        <v>49</v>
      </c>
      <c r="C7053" t="s">
        <v>100</v>
      </c>
      <c r="D7053" t="s">
        <v>3218</v>
      </c>
      <c r="E7053">
        <v>14.56</v>
      </c>
      <c r="F7053">
        <v>138.22</v>
      </c>
    </row>
    <row r="7054" spans="1:6" x14ac:dyDescent="0.25">
      <c r="A7054" t="s">
        <v>2705</v>
      </c>
      <c r="B7054" t="s">
        <v>49</v>
      </c>
      <c r="C7054" t="s">
        <v>100</v>
      </c>
      <c r="D7054" t="s">
        <v>3219</v>
      </c>
      <c r="E7054">
        <v>27.07</v>
      </c>
      <c r="F7054">
        <v>137.75</v>
      </c>
    </row>
    <row r="7055" spans="1:6" x14ac:dyDescent="0.25">
      <c r="A7055" t="s">
        <v>2706</v>
      </c>
      <c r="B7055" t="s">
        <v>49</v>
      </c>
      <c r="C7055" t="s">
        <v>101</v>
      </c>
      <c r="D7055" t="s">
        <v>3217</v>
      </c>
      <c r="E7055">
        <v>0</v>
      </c>
      <c r="F7055">
        <v>138.47</v>
      </c>
    </row>
    <row r="7056" spans="1:6" x14ac:dyDescent="0.25">
      <c r="A7056" t="s">
        <v>2706</v>
      </c>
      <c r="B7056" t="s">
        <v>49</v>
      </c>
      <c r="C7056" t="s">
        <v>101</v>
      </c>
      <c r="D7056" t="s">
        <v>3218</v>
      </c>
      <c r="E7056">
        <v>14.49</v>
      </c>
      <c r="F7056">
        <v>138.66</v>
      </c>
    </row>
    <row r="7057" spans="1:6" x14ac:dyDescent="0.25">
      <c r="A7057" t="s">
        <v>2706</v>
      </c>
      <c r="B7057" t="s">
        <v>49</v>
      </c>
      <c r="C7057" t="s">
        <v>101</v>
      </c>
      <c r="D7057" t="s">
        <v>3219</v>
      </c>
      <c r="E7057">
        <v>26.37</v>
      </c>
      <c r="F7057">
        <v>138.38999999999999</v>
      </c>
    </row>
    <row r="7058" spans="1:6" x14ac:dyDescent="0.25">
      <c r="A7058" t="s">
        <v>2707</v>
      </c>
      <c r="B7058" t="s">
        <v>49</v>
      </c>
      <c r="C7058" t="s">
        <v>102</v>
      </c>
      <c r="D7058" t="s">
        <v>3217</v>
      </c>
      <c r="E7058">
        <v>0</v>
      </c>
      <c r="F7058">
        <v>139.11000000000001</v>
      </c>
    </row>
    <row r="7059" spans="1:6" x14ac:dyDescent="0.25">
      <c r="A7059" t="s">
        <v>2707</v>
      </c>
      <c r="B7059" t="s">
        <v>49</v>
      </c>
      <c r="C7059" t="s">
        <v>102</v>
      </c>
      <c r="D7059" t="s">
        <v>3218</v>
      </c>
      <c r="E7059">
        <v>15.73</v>
      </c>
      <c r="F7059">
        <v>139.19999999999999</v>
      </c>
    </row>
    <row r="7060" spans="1:6" x14ac:dyDescent="0.25">
      <c r="A7060" t="s">
        <v>2707</v>
      </c>
      <c r="B7060" t="s">
        <v>49</v>
      </c>
      <c r="C7060" t="s">
        <v>102</v>
      </c>
      <c r="D7060" t="s">
        <v>3219</v>
      </c>
      <c r="E7060">
        <v>27.82</v>
      </c>
      <c r="F7060">
        <v>138.9</v>
      </c>
    </row>
    <row r="7061" spans="1:6" x14ac:dyDescent="0.25">
      <c r="A7061" t="s">
        <v>2708</v>
      </c>
      <c r="B7061" t="s">
        <v>49</v>
      </c>
      <c r="C7061" t="s">
        <v>103</v>
      </c>
      <c r="D7061" t="s">
        <v>3217</v>
      </c>
      <c r="E7061">
        <v>0</v>
      </c>
      <c r="F7061">
        <v>139.76</v>
      </c>
    </row>
    <row r="7062" spans="1:6" x14ac:dyDescent="0.25">
      <c r="A7062" t="s">
        <v>2708</v>
      </c>
      <c r="B7062" t="s">
        <v>49</v>
      </c>
      <c r="C7062" t="s">
        <v>103</v>
      </c>
      <c r="D7062" t="s">
        <v>3218</v>
      </c>
      <c r="E7062">
        <v>15.16</v>
      </c>
      <c r="F7062">
        <v>139.84</v>
      </c>
    </row>
    <row r="7063" spans="1:6" x14ac:dyDescent="0.25">
      <c r="A7063" t="s">
        <v>2708</v>
      </c>
      <c r="B7063" t="s">
        <v>49</v>
      </c>
      <c r="C7063" t="s">
        <v>103</v>
      </c>
      <c r="D7063" t="s">
        <v>3219</v>
      </c>
      <c r="E7063">
        <v>27.91</v>
      </c>
      <c r="F7063">
        <v>139.43</v>
      </c>
    </row>
    <row r="7064" spans="1:6" x14ac:dyDescent="0.25">
      <c r="A7064" t="s">
        <v>2709</v>
      </c>
      <c r="B7064" t="s">
        <v>49</v>
      </c>
      <c r="C7064" t="s">
        <v>104</v>
      </c>
      <c r="D7064" t="s">
        <v>3217</v>
      </c>
      <c r="E7064">
        <v>0</v>
      </c>
      <c r="F7064">
        <v>140.51</v>
      </c>
    </row>
    <row r="7065" spans="1:6" x14ac:dyDescent="0.25">
      <c r="A7065" t="s">
        <v>2709</v>
      </c>
      <c r="B7065" t="s">
        <v>49</v>
      </c>
      <c r="C7065" t="s">
        <v>104</v>
      </c>
      <c r="D7065" t="s">
        <v>3218</v>
      </c>
      <c r="E7065">
        <v>16.32</v>
      </c>
      <c r="F7065">
        <v>140.44</v>
      </c>
    </row>
    <row r="7066" spans="1:6" x14ac:dyDescent="0.25">
      <c r="A7066" t="s">
        <v>2709</v>
      </c>
      <c r="B7066" t="s">
        <v>49</v>
      </c>
      <c r="C7066" t="s">
        <v>104</v>
      </c>
      <c r="D7066" t="s">
        <v>3219</v>
      </c>
      <c r="E7066">
        <v>30.7</v>
      </c>
      <c r="F7066">
        <v>140.16999999999999</v>
      </c>
    </row>
    <row r="7067" spans="1:6" x14ac:dyDescent="0.25">
      <c r="A7067" t="s">
        <v>2710</v>
      </c>
      <c r="B7067" t="s">
        <v>49</v>
      </c>
      <c r="C7067" t="s">
        <v>105</v>
      </c>
      <c r="D7067" t="s">
        <v>3217</v>
      </c>
      <c r="E7067">
        <v>0</v>
      </c>
      <c r="F7067">
        <v>141.18</v>
      </c>
    </row>
    <row r="7068" spans="1:6" x14ac:dyDescent="0.25">
      <c r="A7068" t="s">
        <v>2710</v>
      </c>
      <c r="B7068" t="s">
        <v>49</v>
      </c>
      <c r="C7068" t="s">
        <v>105</v>
      </c>
      <c r="D7068" t="s">
        <v>3218</v>
      </c>
      <c r="E7068">
        <v>15.66</v>
      </c>
      <c r="F7068">
        <v>141.22999999999999</v>
      </c>
    </row>
    <row r="7069" spans="1:6" x14ac:dyDescent="0.25">
      <c r="A7069" t="s">
        <v>2710</v>
      </c>
      <c r="B7069" t="s">
        <v>49</v>
      </c>
      <c r="C7069" t="s">
        <v>105</v>
      </c>
      <c r="D7069" t="s">
        <v>3219</v>
      </c>
      <c r="E7069">
        <v>29.78</v>
      </c>
      <c r="F7069">
        <v>140.88</v>
      </c>
    </row>
    <row r="7070" spans="1:6" x14ac:dyDescent="0.25">
      <c r="A7070" t="s">
        <v>2711</v>
      </c>
      <c r="B7070" t="s">
        <v>49</v>
      </c>
      <c r="C7070" t="s">
        <v>106</v>
      </c>
      <c r="D7070" t="s">
        <v>3217</v>
      </c>
      <c r="E7070">
        <v>0</v>
      </c>
      <c r="F7070">
        <v>141.76</v>
      </c>
    </row>
    <row r="7071" spans="1:6" x14ac:dyDescent="0.25">
      <c r="A7071" t="s">
        <v>2711</v>
      </c>
      <c r="B7071" t="s">
        <v>49</v>
      </c>
      <c r="C7071" t="s">
        <v>106</v>
      </c>
      <c r="D7071" t="s">
        <v>3218</v>
      </c>
      <c r="E7071">
        <v>15.66</v>
      </c>
      <c r="F7071">
        <v>142.16</v>
      </c>
    </row>
    <row r="7072" spans="1:6" x14ac:dyDescent="0.25">
      <c r="A7072" t="s">
        <v>2711</v>
      </c>
      <c r="B7072" t="s">
        <v>49</v>
      </c>
      <c r="C7072" t="s">
        <v>106</v>
      </c>
      <c r="D7072" t="s">
        <v>3219</v>
      </c>
      <c r="E7072">
        <v>31.06</v>
      </c>
      <c r="F7072">
        <v>141.88999999999999</v>
      </c>
    </row>
    <row r="7073" spans="1:6" x14ac:dyDescent="0.25">
      <c r="A7073" t="s">
        <v>2712</v>
      </c>
      <c r="B7073" t="s">
        <v>49</v>
      </c>
      <c r="C7073" t="s">
        <v>108</v>
      </c>
      <c r="D7073" t="s">
        <v>3217</v>
      </c>
      <c r="E7073">
        <v>0</v>
      </c>
      <c r="F7073">
        <v>143.09</v>
      </c>
    </row>
    <row r="7074" spans="1:6" x14ac:dyDescent="0.25">
      <c r="A7074" t="s">
        <v>2712</v>
      </c>
      <c r="B7074" t="s">
        <v>49</v>
      </c>
      <c r="C7074" t="s">
        <v>108</v>
      </c>
      <c r="D7074" t="s">
        <v>3218</v>
      </c>
      <c r="E7074">
        <v>16.59</v>
      </c>
      <c r="F7074">
        <v>143.05000000000001</v>
      </c>
    </row>
    <row r="7075" spans="1:6" x14ac:dyDescent="0.25">
      <c r="A7075" t="s">
        <v>2712</v>
      </c>
      <c r="B7075" t="s">
        <v>49</v>
      </c>
      <c r="C7075" t="s">
        <v>108</v>
      </c>
      <c r="D7075" t="s">
        <v>3219</v>
      </c>
      <c r="E7075">
        <v>32</v>
      </c>
      <c r="F7075">
        <v>142.27000000000001</v>
      </c>
    </row>
    <row r="7076" spans="1:6" x14ac:dyDescent="0.25">
      <c r="A7076" t="s">
        <v>2713</v>
      </c>
      <c r="B7076" t="s">
        <v>49</v>
      </c>
      <c r="C7076" t="s">
        <v>109</v>
      </c>
      <c r="D7076" t="s">
        <v>3217</v>
      </c>
      <c r="E7076">
        <v>0</v>
      </c>
      <c r="F7076">
        <v>143.68</v>
      </c>
    </row>
    <row r="7077" spans="1:6" x14ac:dyDescent="0.25">
      <c r="A7077" t="s">
        <v>2713</v>
      </c>
      <c r="B7077" t="s">
        <v>49</v>
      </c>
      <c r="C7077" t="s">
        <v>109</v>
      </c>
      <c r="D7077" t="s">
        <v>3218</v>
      </c>
      <c r="E7077">
        <v>16.989999999999998</v>
      </c>
      <c r="F7077">
        <v>143.85</v>
      </c>
    </row>
    <row r="7078" spans="1:6" x14ac:dyDescent="0.25">
      <c r="A7078" t="s">
        <v>2713</v>
      </c>
      <c r="B7078" t="s">
        <v>49</v>
      </c>
      <c r="C7078" t="s">
        <v>109</v>
      </c>
      <c r="D7078" t="s">
        <v>3219</v>
      </c>
      <c r="E7078">
        <v>32.51</v>
      </c>
      <c r="F7078">
        <v>143.29</v>
      </c>
    </row>
    <row r="7079" spans="1:6" x14ac:dyDescent="0.25">
      <c r="A7079" t="s">
        <v>2714</v>
      </c>
      <c r="B7079" t="s">
        <v>49</v>
      </c>
      <c r="C7079" t="s">
        <v>110</v>
      </c>
      <c r="D7079" t="s">
        <v>3217</v>
      </c>
      <c r="E7079">
        <v>0</v>
      </c>
      <c r="F7079">
        <v>144.5</v>
      </c>
    </row>
    <row r="7080" spans="1:6" x14ac:dyDescent="0.25">
      <c r="A7080" t="s">
        <v>2714</v>
      </c>
      <c r="B7080" t="s">
        <v>49</v>
      </c>
      <c r="C7080" t="s">
        <v>110</v>
      </c>
      <c r="D7080" t="s">
        <v>3218</v>
      </c>
      <c r="E7080">
        <v>16.59</v>
      </c>
      <c r="F7080">
        <v>144.74</v>
      </c>
    </row>
    <row r="7081" spans="1:6" x14ac:dyDescent="0.25">
      <c r="A7081" t="s">
        <v>2714</v>
      </c>
      <c r="B7081" t="s">
        <v>49</v>
      </c>
      <c r="C7081" t="s">
        <v>110</v>
      </c>
      <c r="D7081" t="s">
        <v>3219</v>
      </c>
      <c r="E7081">
        <v>36.590000000000003</v>
      </c>
      <c r="F7081">
        <v>144</v>
      </c>
    </row>
    <row r="7082" spans="1:6" x14ac:dyDescent="0.25">
      <c r="A7082" t="s">
        <v>2715</v>
      </c>
      <c r="B7082" t="s">
        <v>49</v>
      </c>
      <c r="C7082" t="s">
        <v>111</v>
      </c>
      <c r="D7082" t="s">
        <v>3217</v>
      </c>
      <c r="E7082">
        <v>0</v>
      </c>
      <c r="F7082">
        <v>145.37</v>
      </c>
    </row>
    <row r="7083" spans="1:6" x14ac:dyDescent="0.25">
      <c r="A7083" t="s">
        <v>2715</v>
      </c>
      <c r="B7083" t="s">
        <v>49</v>
      </c>
      <c r="C7083" t="s">
        <v>111</v>
      </c>
      <c r="D7083" t="s">
        <v>3218</v>
      </c>
      <c r="E7083">
        <v>16.64</v>
      </c>
      <c r="F7083">
        <v>145.38</v>
      </c>
    </row>
    <row r="7084" spans="1:6" x14ac:dyDescent="0.25">
      <c r="A7084" t="s">
        <v>2715</v>
      </c>
      <c r="B7084" t="s">
        <v>49</v>
      </c>
      <c r="C7084" t="s">
        <v>111</v>
      </c>
      <c r="D7084" t="s">
        <v>3219</v>
      </c>
      <c r="E7084">
        <v>36.64</v>
      </c>
      <c r="F7084">
        <v>144.5</v>
      </c>
    </row>
    <row r="7085" spans="1:6" x14ac:dyDescent="0.25">
      <c r="A7085" t="s">
        <v>2716</v>
      </c>
      <c r="B7085" t="s">
        <v>49</v>
      </c>
      <c r="C7085" t="s">
        <v>112</v>
      </c>
      <c r="D7085" t="s">
        <v>3217</v>
      </c>
      <c r="E7085">
        <v>0</v>
      </c>
      <c r="F7085">
        <v>145.81</v>
      </c>
    </row>
    <row r="7086" spans="1:6" x14ac:dyDescent="0.25">
      <c r="A7086" t="s">
        <v>2716</v>
      </c>
      <c r="B7086" t="s">
        <v>49</v>
      </c>
      <c r="C7086" t="s">
        <v>112</v>
      </c>
      <c r="D7086" t="s">
        <v>3218</v>
      </c>
      <c r="E7086">
        <v>17.98</v>
      </c>
      <c r="F7086">
        <v>145.83000000000001</v>
      </c>
    </row>
    <row r="7087" spans="1:6" x14ac:dyDescent="0.25">
      <c r="A7087" t="s">
        <v>2716</v>
      </c>
      <c r="B7087" t="s">
        <v>49</v>
      </c>
      <c r="C7087" t="s">
        <v>112</v>
      </c>
      <c r="D7087" t="s">
        <v>3219</v>
      </c>
      <c r="E7087">
        <v>37.979999999999997</v>
      </c>
      <c r="F7087">
        <v>145.18</v>
      </c>
    </row>
    <row r="7088" spans="1:6" x14ac:dyDescent="0.25">
      <c r="A7088" t="s">
        <v>2717</v>
      </c>
      <c r="B7088" t="s">
        <v>49</v>
      </c>
      <c r="C7088" t="s">
        <v>113</v>
      </c>
      <c r="D7088" t="s">
        <v>3217</v>
      </c>
      <c r="E7088">
        <v>0</v>
      </c>
      <c r="F7088">
        <v>146.4</v>
      </c>
    </row>
    <row r="7089" spans="1:6" x14ac:dyDescent="0.25">
      <c r="A7089" t="s">
        <v>2717</v>
      </c>
      <c r="B7089" t="s">
        <v>49</v>
      </c>
      <c r="C7089" t="s">
        <v>113</v>
      </c>
      <c r="D7089" t="s">
        <v>3218</v>
      </c>
      <c r="E7089">
        <v>17.98</v>
      </c>
      <c r="F7089">
        <v>146.28</v>
      </c>
    </row>
    <row r="7090" spans="1:6" x14ac:dyDescent="0.25">
      <c r="A7090" t="s">
        <v>2717</v>
      </c>
      <c r="B7090" t="s">
        <v>49</v>
      </c>
      <c r="C7090" t="s">
        <v>113</v>
      </c>
      <c r="D7090" t="s">
        <v>3219</v>
      </c>
      <c r="E7090">
        <v>37.979999999999997</v>
      </c>
      <c r="F7090">
        <v>145.80000000000001</v>
      </c>
    </row>
    <row r="7091" spans="1:6" x14ac:dyDescent="0.25">
      <c r="A7091" t="s">
        <v>2718</v>
      </c>
      <c r="B7091" t="s">
        <v>49</v>
      </c>
      <c r="C7091" t="s">
        <v>114</v>
      </c>
      <c r="D7091" t="s">
        <v>3217</v>
      </c>
      <c r="E7091">
        <v>0</v>
      </c>
      <c r="F7091">
        <v>146.87</v>
      </c>
    </row>
    <row r="7092" spans="1:6" x14ac:dyDescent="0.25">
      <c r="A7092" t="s">
        <v>2718</v>
      </c>
      <c r="B7092" t="s">
        <v>49</v>
      </c>
      <c r="C7092" t="s">
        <v>114</v>
      </c>
      <c r="D7092" t="s">
        <v>3218</v>
      </c>
      <c r="E7092">
        <v>17.98</v>
      </c>
      <c r="F7092">
        <v>146.66</v>
      </c>
    </row>
    <row r="7093" spans="1:6" x14ac:dyDescent="0.25">
      <c r="A7093" t="s">
        <v>2718</v>
      </c>
      <c r="B7093" t="s">
        <v>49</v>
      </c>
      <c r="C7093" t="s">
        <v>114</v>
      </c>
      <c r="D7093" t="s">
        <v>3219</v>
      </c>
      <c r="E7093">
        <v>34.979999999999997</v>
      </c>
      <c r="F7093">
        <v>146.15</v>
      </c>
    </row>
    <row r="7094" spans="1:6" x14ac:dyDescent="0.25">
      <c r="A7094" t="s">
        <v>2719</v>
      </c>
      <c r="B7094" t="s">
        <v>49</v>
      </c>
      <c r="C7094" t="s">
        <v>115</v>
      </c>
      <c r="D7094" t="s">
        <v>3217</v>
      </c>
      <c r="E7094">
        <v>0</v>
      </c>
      <c r="F7094">
        <v>147.18</v>
      </c>
    </row>
    <row r="7095" spans="1:6" x14ac:dyDescent="0.25">
      <c r="A7095" t="s">
        <v>2719</v>
      </c>
      <c r="B7095" t="s">
        <v>49</v>
      </c>
      <c r="C7095" t="s">
        <v>115</v>
      </c>
      <c r="D7095" t="s">
        <v>3218</v>
      </c>
      <c r="E7095">
        <v>17.41</v>
      </c>
      <c r="F7095">
        <v>147.11000000000001</v>
      </c>
    </row>
    <row r="7096" spans="1:6" x14ac:dyDescent="0.25">
      <c r="A7096" t="s">
        <v>2719</v>
      </c>
      <c r="B7096" t="s">
        <v>49</v>
      </c>
      <c r="C7096" t="s">
        <v>115</v>
      </c>
      <c r="D7096" t="s">
        <v>3219</v>
      </c>
      <c r="E7096">
        <v>33.659999999999997</v>
      </c>
      <c r="F7096">
        <v>146.5</v>
      </c>
    </row>
    <row r="7097" spans="1:6" x14ac:dyDescent="0.25">
      <c r="A7097" t="s">
        <v>2720</v>
      </c>
      <c r="B7097" t="s">
        <v>49</v>
      </c>
      <c r="C7097" t="s">
        <v>116</v>
      </c>
      <c r="D7097" t="s">
        <v>3217</v>
      </c>
      <c r="E7097">
        <v>0</v>
      </c>
      <c r="F7097">
        <v>147.61000000000001</v>
      </c>
    </row>
    <row r="7098" spans="1:6" x14ac:dyDescent="0.25">
      <c r="A7098" t="s">
        <v>2720</v>
      </c>
      <c r="B7098" t="s">
        <v>49</v>
      </c>
      <c r="C7098" t="s">
        <v>116</v>
      </c>
      <c r="D7098" t="s">
        <v>3218</v>
      </c>
      <c r="E7098">
        <v>16.36</v>
      </c>
      <c r="F7098">
        <v>147.51</v>
      </c>
    </row>
    <row r="7099" spans="1:6" x14ac:dyDescent="0.25">
      <c r="A7099" t="s">
        <v>2720</v>
      </c>
      <c r="B7099" t="s">
        <v>49</v>
      </c>
      <c r="C7099" t="s">
        <v>116</v>
      </c>
      <c r="D7099" t="s">
        <v>3219</v>
      </c>
      <c r="E7099">
        <v>33.06</v>
      </c>
      <c r="F7099">
        <v>146.94999999999999</v>
      </c>
    </row>
    <row r="7100" spans="1:6" x14ac:dyDescent="0.25">
      <c r="A7100" t="s">
        <v>2721</v>
      </c>
      <c r="B7100" t="s">
        <v>49</v>
      </c>
      <c r="C7100" t="s">
        <v>117</v>
      </c>
      <c r="D7100" t="s">
        <v>3217</v>
      </c>
      <c r="E7100">
        <v>0</v>
      </c>
      <c r="F7100">
        <v>148.08000000000001</v>
      </c>
    </row>
    <row r="7101" spans="1:6" x14ac:dyDescent="0.25">
      <c r="A7101" t="s">
        <v>2721</v>
      </c>
      <c r="B7101" t="s">
        <v>49</v>
      </c>
      <c r="C7101" t="s">
        <v>117</v>
      </c>
      <c r="D7101" t="s">
        <v>3218</v>
      </c>
      <c r="E7101">
        <v>17.46</v>
      </c>
      <c r="F7101">
        <v>147.99</v>
      </c>
    </row>
    <row r="7102" spans="1:6" x14ac:dyDescent="0.25">
      <c r="A7102" t="s">
        <v>2721</v>
      </c>
      <c r="B7102" t="s">
        <v>49</v>
      </c>
      <c r="C7102" t="s">
        <v>117</v>
      </c>
      <c r="D7102" t="s">
        <v>3219</v>
      </c>
      <c r="E7102">
        <v>34.15</v>
      </c>
      <c r="F7102">
        <v>147.77000000000001</v>
      </c>
    </row>
    <row r="7103" spans="1:6" x14ac:dyDescent="0.25">
      <c r="A7103" t="s">
        <v>2722</v>
      </c>
      <c r="B7103" t="s">
        <v>49</v>
      </c>
      <c r="C7103" t="s">
        <v>118</v>
      </c>
      <c r="D7103" t="s">
        <v>3217</v>
      </c>
      <c r="E7103">
        <v>0</v>
      </c>
      <c r="F7103">
        <v>148.59</v>
      </c>
    </row>
    <row r="7104" spans="1:6" x14ac:dyDescent="0.25">
      <c r="A7104" t="s">
        <v>2722</v>
      </c>
      <c r="B7104" t="s">
        <v>49</v>
      </c>
      <c r="C7104" t="s">
        <v>118</v>
      </c>
      <c r="D7104" t="s">
        <v>3218</v>
      </c>
      <c r="E7104">
        <v>17.329999999999998</v>
      </c>
      <c r="F7104">
        <v>148.29</v>
      </c>
    </row>
    <row r="7105" spans="1:6" x14ac:dyDescent="0.25">
      <c r="A7105" t="s">
        <v>2722</v>
      </c>
      <c r="B7105" t="s">
        <v>49</v>
      </c>
      <c r="C7105" t="s">
        <v>118</v>
      </c>
      <c r="D7105" t="s">
        <v>3219</v>
      </c>
      <c r="E7105">
        <v>34.03</v>
      </c>
      <c r="F7105">
        <v>147.85</v>
      </c>
    </row>
    <row r="7106" spans="1:6" x14ac:dyDescent="0.25">
      <c r="A7106" t="s">
        <v>2723</v>
      </c>
      <c r="B7106" t="s">
        <v>49</v>
      </c>
      <c r="C7106" t="s">
        <v>119</v>
      </c>
      <c r="D7106" t="s">
        <v>3217</v>
      </c>
      <c r="E7106">
        <v>0</v>
      </c>
      <c r="F7106">
        <v>148.9</v>
      </c>
    </row>
    <row r="7107" spans="1:6" x14ac:dyDescent="0.25">
      <c r="A7107" t="s">
        <v>2723</v>
      </c>
      <c r="B7107" t="s">
        <v>49</v>
      </c>
      <c r="C7107" t="s">
        <v>119</v>
      </c>
      <c r="D7107" t="s">
        <v>3218</v>
      </c>
      <c r="E7107">
        <v>17.329999999999998</v>
      </c>
      <c r="F7107">
        <v>148.52000000000001</v>
      </c>
    </row>
    <row r="7108" spans="1:6" x14ac:dyDescent="0.25">
      <c r="A7108" t="s">
        <v>2723</v>
      </c>
      <c r="B7108" t="s">
        <v>49</v>
      </c>
      <c r="C7108" t="s">
        <v>119</v>
      </c>
      <c r="D7108" t="s">
        <v>3219</v>
      </c>
      <c r="E7108">
        <v>37.33</v>
      </c>
      <c r="F7108">
        <v>147.93</v>
      </c>
    </row>
    <row r="7109" spans="1:6" x14ac:dyDescent="0.25">
      <c r="A7109" t="s">
        <v>2724</v>
      </c>
      <c r="B7109" t="s">
        <v>49</v>
      </c>
      <c r="C7109" t="s">
        <v>331</v>
      </c>
      <c r="D7109" t="s">
        <v>3217</v>
      </c>
      <c r="E7109">
        <v>0</v>
      </c>
      <c r="F7109">
        <v>150.16999999999999</v>
      </c>
    </row>
    <row r="7110" spans="1:6" x14ac:dyDescent="0.25">
      <c r="A7110" t="s">
        <v>2724</v>
      </c>
      <c r="B7110" t="s">
        <v>49</v>
      </c>
      <c r="C7110" t="s">
        <v>331</v>
      </c>
      <c r="D7110" t="s">
        <v>3218</v>
      </c>
      <c r="E7110">
        <v>20</v>
      </c>
      <c r="F7110">
        <v>148.75</v>
      </c>
    </row>
    <row r="7111" spans="1:6" x14ac:dyDescent="0.25">
      <c r="A7111" t="s">
        <v>2724</v>
      </c>
      <c r="B7111" t="s">
        <v>49</v>
      </c>
      <c r="C7111" t="s">
        <v>331</v>
      </c>
      <c r="D7111" t="s">
        <v>3219</v>
      </c>
      <c r="E7111">
        <v>40</v>
      </c>
      <c r="F7111">
        <v>149.97999999999999</v>
      </c>
    </row>
    <row r="7112" spans="1:6" x14ac:dyDescent="0.25">
      <c r="A7112" t="s">
        <v>2725</v>
      </c>
      <c r="B7112" t="s">
        <v>50</v>
      </c>
      <c r="C7112" t="s">
        <v>56</v>
      </c>
      <c r="D7112" t="s">
        <v>3217</v>
      </c>
      <c r="E7112">
        <v>0</v>
      </c>
      <c r="F7112">
        <v>-24.34</v>
      </c>
    </row>
    <row r="7113" spans="1:6" x14ac:dyDescent="0.25">
      <c r="A7113" t="s">
        <v>2725</v>
      </c>
      <c r="B7113" t="s">
        <v>50</v>
      </c>
      <c r="C7113" t="s">
        <v>56</v>
      </c>
      <c r="D7113" t="s">
        <v>3218</v>
      </c>
      <c r="E7113">
        <v>20</v>
      </c>
      <c r="F7113">
        <v>-23.7</v>
      </c>
    </row>
    <row r="7114" spans="1:6" x14ac:dyDescent="0.25">
      <c r="A7114" t="s">
        <v>2725</v>
      </c>
      <c r="B7114" t="s">
        <v>50</v>
      </c>
      <c r="C7114" t="s">
        <v>56</v>
      </c>
      <c r="D7114" t="s">
        <v>3219</v>
      </c>
      <c r="E7114">
        <v>37.94</v>
      </c>
      <c r="F7114">
        <v>-23.22</v>
      </c>
    </row>
    <row r="7115" spans="1:6" x14ac:dyDescent="0.25">
      <c r="A7115" t="s">
        <v>2726</v>
      </c>
      <c r="B7115" t="s">
        <v>50</v>
      </c>
      <c r="C7115" t="s">
        <v>57</v>
      </c>
      <c r="D7115" t="s">
        <v>3217</v>
      </c>
      <c r="E7115">
        <v>0</v>
      </c>
      <c r="F7115">
        <v>-24.78</v>
      </c>
    </row>
    <row r="7116" spans="1:6" x14ac:dyDescent="0.25">
      <c r="A7116" t="s">
        <v>2726</v>
      </c>
      <c r="B7116" t="s">
        <v>50</v>
      </c>
      <c r="C7116" t="s">
        <v>57</v>
      </c>
      <c r="D7116" t="s">
        <v>3218</v>
      </c>
      <c r="E7116">
        <v>20</v>
      </c>
      <c r="F7116">
        <v>-24.21</v>
      </c>
    </row>
    <row r="7117" spans="1:6" x14ac:dyDescent="0.25">
      <c r="A7117" t="s">
        <v>2726</v>
      </c>
      <c r="B7117" t="s">
        <v>50</v>
      </c>
      <c r="C7117" t="s">
        <v>57</v>
      </c>
      <c r="D7117" t="s">
        <v>3219</v>
      </c>
      <c r="E7117">
        <v>37.94</v>
      </c>
      <c r="F7117">
        <v>-23.52</v>
      </c>
    </row>
    <row r="7118" spans="1:6" x14ac:dyDescent="0.25">
      <c r="A7118" t="s">
        <v>2727</v>
      </c>
      <c r="B7118" t="s">
        <v>50</v>
      </c>
      <c r="C7118" t="s">
        <v>58</v>
      </c>
      <c r="D7118" t="s">
        <v>3217</v>
      </c>
      <c r="E7118">
        <v>0</v>
      </c>
      <c r="F7118">
        <v>-25.22</v>
      </c>
    </row>
    <row r="7119" spans="1:6" x14ac:dyDescent="0.25">
      <c r="A7119" t="s">
        <v>2727</v>
      </c>
      <c r="B7119" t="s">
        <v>50</v>
      </c>
      <c r="C7119" t="s">
        <v>58</v>
      </c>
      <c r="D7119" t="s">
        <v>3218</v>
      </c>
      <c r="E7119">
        <v>20</v>
      </c>
      <c r="F7119">
        <v>-24.38</v>
      </c>
    </row>
    <row r="7120" spans="1:6" x14ac:dyDescent="0.25">
      <c r="A7120" t="s">
        <v>2727</v>
      </c>
      <c r="B7120" t="s">
        <v>50</v>
      </c>
      <c r="C7120" t="s">
        <v>58</v>
      </c>
      <c r="D7120" t="s">
        <v>3219</v>
      </c>
      <c r="E7120">
        <v>37.130000000000003</v>
      </c>
      <c r="F7120">
        <v>-23.86</v>
      </c>
    </row>
    <row r="7121" spans="1:6" x14ac:dyDescent="0.25">
      <c r="A7121" t="s">
        <v>2728</v>
      </c>
      <c r="B7121" t="s">
        <v>50</v>
      </c>
      <c r="C7121" t="s">
        <v>59</v>
      </c>
      <c r="D7121" t="s">
        <v>3217</v>
      </c>
      <c r="E7121">
        <v>0</v>
      </c>
      <c r="F7121">
        <v>-25.64</v>
      </c>
    </row>
    <row r="7122" spans="1:6" x14ac:dyDescent="0.25">
      <c r="A7122" t="s">
        <v>2728</v>
      </c>
      <c r="B7122" t="s">
        <v>50</v>
      </c>
      <c r="C7122" t="s">
        <v>59</v>
      </c>
      <c r="D7122" t="s">
        <v>3218</v>
      </c>
      <c r="E7122">
        <v>20</v>
      </c>
      <c r="F7122">
        <v>-24.54</v>
      </c>
    </row>
    <row r="7123" spans="1:6" x14ac:dyDescent="0.25">
      <c r="A7123" t="s">
        <v>2728</v>
      </c>
      <c r="B7123" t="s">
        <v>50</v>
      </c>
      <c r="C7123" t="s">
        <v>59</v>
      </c>
      <c r="D7123" t="s">
        <v>3219</v>
      </c>
      <c r="E7123">
        <v>36.020000000000003</v>
      </c>
      <c r="F7123">
        <v>-24.1</v>
      </c>
    </row>
    <row r="7124" spans="1:6" x14ac:dyDescent="0.25">
      <c r="A7124" t="s">
        <v>2729</v>
      </c>
      <c r="B7124" t="s">
        <v>50</v>
      </c>
      <c r="C7124" t="s">
        <v>60</v>
      </c>
      <c r="D7124" t="s">
        <v>3217</v>
      </c>
      <c r="E7124">
        <v>0</v>
      </c>
      <c r="F7124">
        <v>-25.51</v>
      </c>
    </row>
    <row r="7125" spans="1:6" x14ac:dyDescent="0.25">
      <c r="A7125" t="s">
        <v>2729</v>
      </c>
      <c r="B7125" t="s">
        <v>50</v>
      </c>
      <c r="C7125" t="s">
        <v>60</v>
      </c>
      <c r="D7125" t="s">
        <v>3218</v>
      </c>
      <c r="E7125">
        <v>16.45</v>
      </c>
      <c r="F7125">
        <v>-24.63</v>
      </c>
    </row>
    <row r="7126" spans="1:6" x14ac:dyDescent="0.25">
      <c r="A7126" t="s">
        <v>2729</v>
      </c>
      <c r="B7126" t="s">
        <v>50</v>
      </c>
      <c r="C7126" t="s">
        <v>60</v>
      </c>
      <c r="D7126" t="s">
        <v>3219</v>
      </c>
      <c r="E7126">
        <v>31.61</v>
      </c>
      <c r="F7126">
        <v>-24.29</v>
      </c>
    </row>
    <row r="7127" spans="1:6" x14ac:dyDescent="0.25">
      <c r="A7127" t="s">
        <v>2730</v>
      </c>
      <c r="B7127" t="s">
        <v>50</v>
      </c>
      <c r="C7127" t="s">
        <v>61</v>
      </c>
      <c r="D7127" t="s">
        <v>3217</v>
      </c>
      <c r="E7127">
        <v>0</v>
      </c>
      <c r="F7127">
        <v>-25.69</v>
      </c>
    </row>
    <row r="7128" spans="1:6" x14ac:dyDescent="0.25">
      <c r="A7128" t="s">
        <v>2730</v>
      </c>
      <c r="B7128" t="s">
        <v>50</v>
      </c>
      <c r="C7128" t="s">
        <v>61</v>
      </c>
      <c r="D7128" t="s">
        <v>3218</v>
      </c>
      <c r="E7128">
        <v>17.190000000000001</v>
      </c>
      <c r="F7128">
        <v>-24.81</v>
      </c>
    </row>
    <row r="7129" spans="1:6" x14ac:dyDescent="0.25">
      <c r="A7129" t="s">
        <v>2730</v>
      </c>
      <c r="B7129" t="s">
        <v>50</v>
      </c>
      <c r="C7129" t="s">
        <v>61</v>
      </c>
      <c r="D7129" t="s">
        <v>3219</v>
      </c>
      <c r="E7129">
        <v>32.18</v>
      </c>
      <c r="F7129">
        <v>-24.55</v>
      </c>
    </row>
    <row r="7130" spans="1:6" x14ac:dyDescent="0.25">
      <c r="A7130" t="s">
        <v>2731</v>
      </c>
      <c r="B7130" t="s">
        <v>50</v>
      </c>
      <c r="C7130" t="s">
        <v>62</v>
      </c>
      <c r="D7130" t="s">
        <v>3217</v>
      </c>
      <c r="E7130">
        <v>0</v>
      </c>
      <c r="F7130">
        <v>-25.83</v>
      </c>
    </row>
    <row r="7131" spans="1:6" x14ac:dyDescent="0.25">
      <c r="A7131" t="s">
        <v>2731</v>
      </c>
      <c r="B7131" t="s">
        <v>50</v>
      </c>
      <c r="C7131" t="s">
        <v>62</v>
      </c>
      <c r="D7131" t="s">
        <v>3218</v>
      </c>
      <c r="E7131">
        <v>15.7</v>
      </c>
      <c r="F7131">
        <v>-24.99</v>
      </c>
    </row>
    <row r="7132" spans="1:6" x14ac:dyDescent="0.25">
      <c r="A7132" t="s">
        <v>2731</v>
      </c>
      <c r="B7132" t="s">
        <v>50</v>
      </c>
      <c r="C7132" t="s">
        <v>62</v>
      </c>
      <c r="D7132" t="s">
        <v>3219</v>
      </c>
      <c r="E7132">
        <v>30.69</v>
      </c>
      <c r="F7132">
        <v>-24.84</v>
      </c>
    </row>
    <row r="7133" spans="1:6" x14ac:dyDescent="0.25">
      <c r="A7133" t="s">
        <v>2732</v>
      </c>
      <c r="B7133" t="s">
        <v>50</v>
      </c>
      <c r="C7133" t="s">
        <v>63</v>
      </c>
      <c r="D7133" t="s">
        <v>3217</v>
      </c>
      <c r="E7133">
        <v>0</v>
      </c>
      <c r="F7133">
        <v>-26</v>
      </c>
    </row>
    <row r="7134" spans="1:6" x14ac:dyDescent="0.25">
      <c r="A7134" t="s">
        <v>2732</v>
      </c>
      <c r="B7134" t="s">
        <v>50</v>
      </c>
      <c r="C7134" t="s">
        <v>63</v>
      </c>
      <c r="D7134" t="s">
        <v>3218</v>
      </c>
      <c r="E7134">
        <v>15</v>
      </c>
      <c r="F7134">
        <v>-25.16</v>
      </c>
    </row>
    <row r="7135" spans="1:6" x14ac:dyDescent="0.25">
      <c r="A7135" t="s">
        <v>2732</v>
      </c>
      <c r="B7135" t="s">
        <v>50</v>
      </c>
      <c r="C7135" t="s">
        <v>63</v>
      </c>
      <c r="D7135" t="s">
        <v>3219</v>
      </c>
      <c r="E7135">
        <v>29.16</v>
      </c>
      <c r="F7135">
        <v>-24.94</v>
      </c>
    </row>
    <row r="7136" spans="1:6" x14ac:dyDescent="0.25">
      <c r="A7136" t="s">
        <v>2733</v>
      </c>
      <c r="B7136" t="s">
        <v>50</v>
      </c>
      <c r="C7136" t="s">
        <v>64</v>
      </c>
      <c r="D7136" t="s">
        <v>3217</v>
      </c>
      <c r="E7136">
        <v>0</v>
      </c>
      <c r="F7136">
        <v>-26.19</v>
      </c>
    </row>
    <row r="7137" spans="1:6" x14ac:dyDescent="0.25">
      <c r="A7137" t="s">
        <v>2733</v>
      </c>
      <c r="B7137" t="s">
        <v>50</v>
      </c>
      <c r="C7137" t="s">
        <v>64</v>
      </c>
      <c r="D7137" t="s">
        <v>3218</v>
      </c>
      <c r="E7137">
        <v>13.87</v>
      </c>
      <c r="F7137">
        <v>-25.39</v>
      </c>
    </row>
    <row r="7138" spans="1:6" x14ac:dyDescent="0.25">
      <c r="A7138" t="s">
        <v>2733</v>
      </c>
      <c r="B7138" t="s">
        <v>50</v>
      </c>
      <c r="C7138" t="s">
        <v>64</v>
      </c>
      <c r="D7138" t="s">
        <v>3219</v>
      </c>
      <c r="E7138">
        <v>29.35</v>
      </c>
      <c r="F7138">
        <v>-25.15</v>
      </c>
    </row>
    <row r="7139" spans="1:6" x14ac:dyDescent="0.25">
      <c r="A7139" t="s">
        <v>2734</v>
      </c>
      <c r="B7139" t="s">
        <v>50</v>
      </c>
      <c r="C7139" t="s">
        <v>65</v>
      </c>
      <c r="D7139" t="s">
        <v>3217</v>
      </c>
      <c r="E7139">
        <v>0</v>
      </c>
      <c r="F7139">
        <v>-26.21</v>
      </c>
    </row>
    <row r="7140" spans="1:6" x14ac:dyDescent="0.25">
      <c r="A7140" t="s">
        <v>2734</v>
      </c>
      <c r="B7140" t="s">
        <v>50</v>
      </c>
      <c r="C7140" t="s">
        <v>65</v>
      </c>
      <c r="D7140" t="s">
        <v>3218</v>
      </c>
      <c r="E7140">
        <v>12.74</v>
      </c>
      <c r="F7140">
        <v>-25.64</v>
      </c>
    </row>
    <row r="7141" spans="1:6" x14ac:dyDescent="0.25">
      <c r="A7141" t="s">
        <v>2734</v>
      </c>
      <c r="B7141" t="s">
        <v>50</v>
      </c>
      <c r="C7141" t="s">
        <v>65</v>
      </c>
      <c r="D7141" t="s">
        <v>3219</v>
      </c>
      <c r="E7141">
        <v>31.11</v>
      </c>
      <c r="F7141">
        <v>-25.33</v>
      </c>
    </row>
    <row r="7142" spans="1:6" x14ac:dyDescent="0.25">
      <c r="A7142" t="s">
        <v>2735</v>
      </c>
      <c r="B7142" t="s">
        <v>50</v>
      </c>
      <c r="C7142" t="s">
        <v>66</v>
      </c>
      <c r="D7142" t="s">
        <v>3217</v>
      </c>
      <c r="E7142">
        <v>0</v>
      </c>
      <c r="F7142">
        <v>-26.41</v>
      </c>
    </row>
    <row r="7143" spans="1:6" x14ac:dyDescent="0.25">
      <c r="A7143" t="s">
        <v>2735</v>
      </c>
      <c r="B7143" t="s">
        <v>50</v>
      </c>
      <c r="C7143" t="s">
        <v>66</v>
      </c>
      <c r="D7143" t="s">
        <v>3218</v>
      </c>
      <c r="E7143">
        <v>11.82</v>
      </c>
      <c r="F7143">
        <v>-25.96</v>
      </c>
    </row>
    <row r="7144" spans="1:6" x14ac:dyDescent="0.25">
      <c r="A7144" t="s">
        <v>2735</v>
      </c>
      <c r="B7144" t="s">
        <v>50</v>
      </c>
      <c r="C7144" t="s">
        <v>66</v>
      </c>
      <c r="D7144" t="s">
        <v>3219</v>
      </c>
      <c r="E7144">
        <v>31.82</v>
      </c>
      <c r="F7144">
        <v>-25.7</v>
      </c>
    </row>
    <row r="7145" spans="1:6" x14ac:dyDescent="0.25">
      <c r="A7145" t="s">
        <v>2736</v>
      </c>
      <c r="B7145" t="s">
        <v>50</v>
      </c>
      <c r="C7145" t="s">
        <v>67</v>
      </c>
      <c r="D7145" t="s">
        <v>3217</v>
      </c>
      <c r="E7145">
        <v>0</v>
      </c>
      <c r="F7145">
        <v>-26.74</v>
      </c>
    </row>
    <row r="7146" spans="1:6" x14ac:dyDescent="0.25">
      <c r="A7146" t="s">
        <v>2736</v>
      </c>
      <c r="B7146" t="s">
        <v>50</v>
      </c>
      <c r="C7146" t="s">
        <v>67</v>
      </c>
      <c r="D7146" t="s">
        <v>3218</v>
      </c>
      <c r="E7146">
        <v>12.01</v>
      </c>
      <c r="F7146">
        <v>-26.18</v>
      </c>
    </row>
    <row r="7147" spans="1:6" x14ac:dyDescent="0.25">
      <c r="A7147" t="s">
        <v>2736</v>
      </c>
      <c r="B7147" t="s">
        <v>50</v>
      </c>
      <c r="C7147" t="s">
        <v>67</v>
      </c>
      <c r="D7147" t="s">
        <v>3219</v>
      </c>
      <c r="E7147">
        <v>32.01</v>
      </c>
      <c r="F7147">
        <v>-25.93</v>
      </c>
    </row>
    <row r="7148" spans="1:6" x14ac:dyDescent="0.25">
      <c r="A7148" t="s">
        <v>2737</v>
      </c>
      <c r="B7148" t="s">
        <v>50</v>
      </c>
      <c r="C7148" t="s">
        <v>68</v>
      </c>
      <c r="D7148" t="s">
        <v>3217</v>
      </c>
      <c r="E7148">
        <v>0</v>
      </c>
      <c r="F7148">
        <v>-27.09</v>
      </c>
    </row>
    <row r="7149" spans="1:6" x14ac:dyDescent="0.25">
      <c r="A7149" t="s">
        <v>2737</v>
      </c>
      <c r="B7149" t="s">
        <v>50</v>
      </c>
      <c r="C7149" t="s">
        <v>68</v>
      </c>
      <c r="D7149" t="s">
        <v>3218</v>
      </c>
      <c r="E7149">
        <v>12.51</v>
      </c>
      <c r="F7149">
        <v>-26.59</v>
      </c>
    </row>
    <row r="7150" spans="1:6" x14ac:dyDescent="0.25">
      <c r="A7150" t="s">
        <v>2737</v>
      </c>
      <c r="B7150" t="s">
        <v>50</v>
      </c>
      <c r="C7150" t="s">
        <v>68</v>
      </c>
      <c r="D7150" t="s">
        <v>3219</v>
      </c>
      <c r="E7150">
        <v>32.51</v>
      </c>
      <c r="F7150">
        <v>-26.25</v>
      </c>
    </row>
    <row r="7151" spans="1:6" x14ac:dyDescent="0.25">
      <c r="A7151" t="s">
        <v>2738</v>
      </c>
      <c r="B7151" t="s">
        <v>50</v>
      </c>
      <c r="C7151" t="s">
        <v>69</v>
      </c>
      <c r="D7151" t="s">
        <v>3217</v>
      </c>
      <c r="E7151">
        <v>0</v>
      </c>
      <c r="F7151">
        <v>-27.68</v>
      </c>
    </row>
    <row r="7152" spans="1:6" x14ac:dyDescent="0.25">
      <c r="A7152" t="s">
        <v>2738</v>
      </c>
      <c r="B7152" t="s">
        <v>50</v>
      </c>
      <c r="C7152" t="s">
        <v>69</v>
      </c>
      <c r="D7152" t="s">
        <v>3218</v>
      </c>
      <c r="E7152">
        <v>12.88</v>
      </c>
      <c r="F7152">
        <v>-27.17</v>
      </c>
    </row>
    <row r="7153" spans="1:6" x14ac:dyDescent="0.25">
      <c r="A7153" t="s">
        <v>2738</v>
      </c>
      <c r="B7153" t="s">
        <v>50</v>
      </c>
      <c r="C7153" t="s">
        <v>69</v>
      </c>
      <c r="D7153" t="s">
        <v>3219</v>
      </c>
      <c r="E7153">
        <v>32.880000000000003</v>
      </c>
      <c r="F7153">
        <v>-26.88</v>
      </c>
    </row>
    <row r="7154" spans="1:6" x14ac:dyDescent="0.25">
      <c r="A7154" t="s">
        <v>2739</v>
      </c>
      <c r="B7154" t="s">
        <v>50</v>
      </c>
      <c r="C7154" t="s">
        <v>70</v>
      </c>
      <c r="D7154" t="s">
        <v>3217</v>
      </c>
      <c r="E7154">
        <v>0</v>
      </c>
      <c r="F7154">
        <v>-28.39</v>
      </c>
    </row>
    <row r="7155" spans="1:6" x14ac:dyDescent="0.25">
      <c r="A7155" t="s">
        <v>2739</v>
      </c>
      <c r="B7155" t="s">
        <v>50</v>
      </c>
      <c r="C7155" t="s">
        <v>70</v>
      </c>
      <c r="D7155" t="s">
        <v>3218</v>
      </c>
      <c r="E7155">
        <v>13.72</v>
      </c>
      <c r="F7155">
        <v>-27.83</v>
      </c>
    </row>
    <row r="7156" spans="1:6" x14ac:dyDescent="0.25">
      <c r="A7156" t="s">
        <v>2739</v>
      </c>
      <c r="B7156" t="s">
        <v>50</v>
      </c>
      <c r="C7156" t="s">
        <v>70</v>
      </c>
      <c r="D7156" t="s">
        <v>3219</v>
      </c>
      <c r="E7156">
        <v>33.72</v>
      </c>
      <c r="F7156">
        <v>-27.58</v>
      </c>
    </row>
    <row r="7157" spans="1:6" x14ac:dyDescent="0.25">
      <c r="A7157" t="s">
        <v>2740</v>
      </c>
      <c r="B7157" t="s">
        <v>50</v>
      </c>
      <c r="C7157" t="s">
        <v>71</v>
      </c>
      <c r="D7157" t="s">
        <v>3217</v>
      </c>
      <c r="E7157">
        <v>0</v>
      </c>
      <c r="F7157">
        <v>-29.12</v>
      </c>
    </row>
    <row r="7158" spans="1:6" x14ac:dyDescent="0.25">
      <c r="A7158" t="s">
        <v>2740</v>
      </c>
      <c r="B7158" t="s">
        <v>50</v>
      </c>
      <c r="C7158" t="s">
        <v>71</v>
      </c>
      <c r="D7158" t="s">
        <v>3218</v>
      </c>
      <c r="E7158">
        <v>13.69</v>
      </c>
      <c r="F7158">
        <v>-28.52</v>
      </c>
    </row>
    <row r="7159" spans="1:6" x14ac:dyDescent="0.25">
      <c r="A7159" t="s">
        <v>2740</v>
      </c>
      <c r="B7159" t="s">
        <v>50</v>
      </c>
      <c r="C7159" t="s">
        <v>71</v>
      </c>
      <c r="D7159" t="s">
        <v>3219</v>
      </c>
      <c r="E7159">
        <v>31.64</v>
      </c>
      <c r="F7159">
        <v>-28.22</v>
      </c>
    </row>
    <row r="7160" spans="1:6" x14ac:dyDescent="0.25">
      <c r="A7160" t="s">
        <v>2741</v>
      </c>
      <c r="B7160" t="s">
        <v>50</v>
      </c>
      <c r="C7160" t="s">
        <v>72</v>
      </c>
      <c r="D7160" t="s">
        <v>3217</v>
      </c>
      <c r="E7160">
        <v>0</v>
      </c>
      <c r="F7160">
        <v>-29.59</v>
      </c>
    </row>
    <row r="7161" spans="1:6" x14ac:dyDescent="0.25">
      <c r="A7161" t="s">
        <v>2741</v>
      </c>
      <c r="B7161" t="s">
        <v>50</v>
      </c>
      <c r="C7161" t="s">
        <v>72</v>
      </c>
      <c r="D7161" t="s">
        <v>3218</v>
      </c>
      <c r="E7161">
        <v>14.53</v>
      </c>
      <c r="F7161">
        <v>-29.08</v>
      </c>
    </row>
    <row r="7162" spans="1:6" x14ac:dyDescent="0.25">
      <c r="A7162" t="s">
        <v>2741</v>
      </c>
      <c r="B7162" t="s">
        <v>50</v>
      </c>
      <c r="C7162" t="s">
        <v>72</v>
      </c>
      <c r="D7162" t="s">
        <v>3219</v>
      </c>
      <c r="E7162">
        <v>32.25</v>
      </c>
      <c r="F7162">
        <v>-28.83</v>
      </c>
    </row>
    <row r="7163" spans="1:6" x14ac:dyDescent="0.25">
      <c r="A7163" t="s">
        <v>2742</v>
      </c>
      <c r="B7163" t="s">
        <v>50</v>
      </c>
      <c r="C7163" t="s">
        <v>73</v>
      </c>
      <c r="D7163" t="s">
        <v>3217</v>
      </c>
      <c r="E7163">
        <v>0</v>
      </c>
      <c r="F7163">
        <v>-30.3</v>
      </c>
    </row>
    <row r="7164" spans="1:6" x14ac:dyDescent="0.25">
      <c r="A7164" t="s">
        <v>2742</v>
      </c>
      <c r="B7164" t="s">
        <v>50</v>
      </c>
      <c r="C7164" t="s">
        <v>73</v>
      </c>
      <c r="D7164" t="s">
        <v>3218</v>
      </c>
      <c r="E7164">
        <v>15.21</v>
      </c>
      <c r="F7164">
        <v>-29.73</v>
      </c>
    </row>
    <row r="7165" spans="1:6" x14ac:dyDescent="0.25">
      <c r="A7165" t="s">
        <v>2742</v>
      </c>
      <c r="B7165" t="s">
        <v>50</v>
      </c>
      <c r="C7165" t="s">
        <v>73</v>
      </c>
      <c r="D7165" t="s">
        <v>3219</v>
      </c>
      <c r="E7165">
        <v>32.69</v>
      </c>
      <c r="F7165">
        <v>-29.37</v>
      </c>
    </row>
    <row r="7166" spans="1:6" x14ac:dyDescent="0.25">
      <c r="A7166" t="s">
        <v>2743</v>
      </c>
      <c r="B7166" t="s">
        <v>50</v>
      </c>
      <c r="C7166" t="s">
        <v>74</v>
      </c>
      <c r="D7166" t="s">
        <v>3217</v>
      </c>
      <c r="E7166">
        <v>0</v>
      </c>
      <c r="F7166">
        <v>-30.88</v>
      </c>
    </row>
    <row r="7167" spans="1:6" x14ac:dyDescent="0.25">
      <c r="A7167" t="s">
        <v>2743</v>
      </c>
      <c r="B7167" t="s">
        <v>50</v>
      </c>
      <c r="C7167" t="s">
        <v>74</v>
      </c>
      <c r="D7167" t="s">
        <v>3218</v>
      </c>
      <c r="E7167">
        <v>16.04</v>
      </c>
      <c r="F7167">
        <v>-30.22</v>
      </c>
    </row>
    <row r="7168" spans="1:6" x14ac:dyDescent="0.25">
      <c r="A7168" t="s">
        <v>2743</v>
      </c>
      <c r="B7168" t="s">
        <v>50</v>
      </c>
      <c r="C7168" t="s">
        <v>74</v>
      </c>
      <c r="D7168" t="s">
        <v>3219</v>
      </c>
      <c r="E7168">
        <v>32.32</v>
      </c>
      <c r="F7168">
        <v>-29.9</v>
      </c>
    </row>
    <row r="7169" spans="1:6" x14ac:dyDescent="0.25">
      <c r="A7169" t="s">
        <v>2744</v>
      </c>
      <c r="B7169" t="s">
        <v>50</v>
      </c>
      <c r="C7169" t="s">
        <v>75</v>
      </c>
      <c r="D7169" t="s">
        <v>3217</v>
      </c>
      <c r="E7169">
        <v>0</v>
      </c>
      <c r="F7169">
        <v>-31.38</v>
      </c>
    </row>
    <row r="7170" spans="1:6" x14ac:dyDescent="0.25">
      <c r="A7170" t="s">
        <v>2744</v>
      </c>
      <c r="B7170" t="s">
        <v>50</v>
      </c>
      <c r="C7170" t="s">
        <v>75</v>
      </c>
      <c r="D7170" t="s">
        <v>3218</v>
      </c>
      <c r="E7170">
        <v>16.54</v>
      </c>
      <c r="F7170">
        <v>-30.8</v>
      </c>
    </row>
    <row r="7171" spans="1:6" x14ac:dyDescent="0.25">
      <c r="A7171" t="s">
        <v>2744</v>
      </c>
      <c r="B7171" t="s">
        <v>50</v>
      </c>
      <c r="C7171" t="s">
        <v>75</v>
      </c>
      <c r="D7171" t="s">
        <v>3219</v>
      </c>
      <c r="E7171">
        <v>32.159999999999997</v>
      </c>
      <c r="F7171">
        <v>-30.15</v>
      </c>
    </row>
    <row r="7172" spans="1:6" x14ac:dyDescent="0.25">
      <c r="A7172" t="s">
        <v>2745</v>
      </c>
      <c r="B7172" t="s">
        <v>50</v>
      </c>
      <c r="C7172" t="s">
        <v>76</v>
      </c>
      <c r="D7172" t="s">
        <v>3217</v>
      </c>
      <c r="E7172">
        <v>0</v>
      </c>
      <c r="F7172">
        <v>-31.68</v>
      </c>
    </row>
    <row r="7173" spans="1:6" x14ac:dyDescent="0.25">
      <c r="A7173" t="s">
        <v>2745</v>
      </c>
      <c r="B7173" t="s">
        <v>50</v>
      </c>
      <c r="C7173" t="s">
        <v>76</v>
      </c>
      <c r="D7173" t="s">
        <v>3218</v>
      </c>
      <c r="E7173">
        <v>20</v>
      </c>
      <c r="F7173">
        <v>-31.21</v>
      </c>
    </row>
    <row r="7174" spans="1:6" x14ac:dyDescent="0.25">
      <c r="A7174" t="s">
        <v>2745</v>
      </c>
      <c r="B7174" t="s">
        <v>50</v>
      </c>
      <c r="C7174" t="s">
        <v>76</v>
      </c>
      <c r="D7174" t="s">
        <v>3219</v>
      </c>
      <c r="E7174">
        <v>36.4</v>
      </c>
      <c r="F7174">
        <v>-30.29</v>
      </c>
    </row>
    <row r="7175" spans="1:6" x14ac:dyDescent="0.25">
      <c r="A7175" t="s">
        <v>2746</v>
      </c>
      <c r="B7175" t="s">
        <v>50</v>
      </c>
      <c r="C7175" t="s">
        <v>77</v>
      </c>
      <c r="D7175" t="s">
        <v>3217</v>
      </c>
      <c r="E7175">
        <v>0</v>
      </c>
      <c r="F7175">
        <v>-31.94</v>
      </c>
    </row>
    <row r="7176" spans="1:6" x14ac:dyDescent="0.25">
      <c r="A7176" t="s">
        <v>2746</v>
      </c>
      <c r="B7176" t="s">
        <v>50</v>
      </c>
      <c r="C7176" t="s">
        <v>77</v>
      </c>
      <c r="D7176" t="s">
        <v>3218</v>
      </c>
      <c r="E7176">
        <v>20</v>
      </c>
      <c r="F7176">
        <v>-31.24</v>
      </c>
    </row>
    <row r="7177" spans="1:6" x14ac:dyDescent="0.25">
      <c r="A7177" t="s">
        <v>2746</v>
      </c>
      <c r="B7177" t="s">
        <v>50</v>
      </c>
      <c r="C7177" t="s">
        <v>77</v>
      </c>
      <c r="D7177" t="s">
        <v>3219</v>
      </c>
      <c r="E7177">
        <v>35.33</v>
      </c>
      <c r="F7177">
        <v>-30.26</v>
      </c>
    </row>
    <row r="7178" spans="1:6" x14ac:dyDescent="0.25">
      <c r="A7178" t="s">
        <v>2747</v>
      </c>
      <c r="B7178" t="s">
        <v>50</v>
      </c>
      <c r="C7178" t="s">
        <v>78</v>
      </c>
      <c r="D7178" t="s">
        <v>3217</v>
      </c>
      <c r="E7178">
        <v>0</v>
      </c>
      <c r="F7178">
        <v>-32.229999999999997</v>
      </c>
    </row>
    <row r="7179" spans="1:6" x14ac:dyDescent="0.25">
      <c r="A7179" t="s">
        <v>2747</v>
      </c>
      <c r="B7179" t="s">
        <v>50</v>
      </c>
      <c r="C7179" t="s">
        <v>78</v>
      </c>
      <c r="D7179" t="s">
        <v>3218</v>
      </c>
      <c r="E7179">
        <v>20</v>
      </c>
      <c r="F7179">
        <v>-31.5</v>
      </c>
    </row>
    <row r="7180" spans="1:6" x14ac:dyDescent="0.25">
      <c r="A7180" t="s">
        <v>2747</v>
      </c>
      <c r="B7180" t="s">
        <v>50</v>
      </c>
      <c r="C7180" t="s">
        <v>78</v>
      </c>
      <c r="D7180" t="s">
        <v>3219</v>
      </c>
      <c r="E7180">
        <v>35.46</v>
      </c>
      <c r="F7180">
        <v>-30.66</v>
      </c>
    </row>
    <row r="7181" spans="1:6" x14ac:dyDescent="0.25">
      <c r="A7181" t="s">
        <v>2748</v>
      </c>
      <c r="B7181" t="s">
        <v>50</v>
      </c>
      <c r="C7181" t="s">
        <v>79</v>
      </c>
      <c r="D7181" t="s">
        <v>3217</v>
      </c>
      <c r="E7181">
        <v>0</v>
      </c>
      <c r="F7181">
        <v>-32</v>
      </c>
    </row>
    <row r="7182" spans="1:6" x14ac:dyDescent="0.25">
      <c r="A7182" t="s">
        <v>2748</v>
      </c>
      <c r="B7182" t="s">
        <v>50</v>
      </c>
      <c r="C7182" t="s">
        <v>79</v>
      </c>
      <c r="D7182" t="s">
        <v>3218</v>
      </c>
      <c r="E7182">
        <v>20</v>
      </c>
      <c r="F7182">
        <v>-30.73</v>
      </c>
    </row>
    <row r="7183" spans="1:6" x14ac:dyDescent="0.25">
      <c r="A7183" t="s">
        <v>2748</v>
      </c>
      <c r="B7183" t="s">
        <v>50</v>
      </c>
      <c r="C7183" t="s">
        <v>79</v>
      </c>
      <c r="D7183" t="s">
        <v>3219</v>
      </c>
      <c r="E7183">
        <v>34.979999999999997</v>
      </c>
      <c r="F7183">
        <v>-30.86</v>
      </c>
    </row>
    <row r="7184" spans="1:6" x14ac:dyDescent="0.25">
      <c r="A7184" t="s">
        <v>2749</v>
      </c>
      <c r="B7184" t="s">
        <v>50</v>
      </c>
      <c r="C7184" t="s">
        <v>80</v>
      </c>
      <c r="D7184" t="s">
        <v>3217</v>
      </c>
      <c r="E7184">
        <v>0</v>
      </c>
      <c r="F7184">
        <v>-31.86</v>
      </c>
    </row>
    <row r="7185" spans="1:6" x14ac:dyDescent="0.25">
      <c r="A7185" t="s">
        <v>2749</v>
      </c>
      <c r="B7185" t="s">
        <v>50</v>
      </c>
      <c r="C7185" t="s">
        <v>80</v>
      </c>
      <c r="D7185" t="s">
        <v>3218</v>
      </c>
      <c r="E7185">
        <v>20</v>
      </c>
      <c r="F7185">
        <v>-31.18</v>
      </c>
    </row>
    <row r="7186" spans="1:6" x14ac:dyDescent="0.25">
      <c r="A7186" t="s">
        <v>2749</v>
      </c>
      <c r="B7186" t="s">
        <v>50</v>
      </c>
      <c r="C7186" t="s">
        <v>80</v>
      </c>
      <c r="D7186" t="s">
        <v>3219</v>
      </c>
      <c r="E7186">
        <v>35.770000000000003</v>
      </c>
      <c r="F7186">
        <v>-30.97</v>
      </c>
    </row>
    <row r="7187" spans="1:6" x14ac:dyDescent="0.25">
      <c r="A7187" t="s">
        <v>2750</v>
      </c>
      <c r="B7187" t="s">
        <v>50</v>
      </c>
      <c r="C7187" t="s">
        <v>81</v>
      </c>
      <c r="D7187" t="s">
        <v>3217</v>
      </c>
      <c r="E7187">
        <v>0</v>
      </c>
      <c r="F7187">
        <v>-32.409999999999997</v>
      </c>
    </row>
    <row r="7188" spans="1:6" x14ac:dyDescent="0.25">
      <c r="A7188" t="s">
        <v>2750</v>
      </c>
      <c r="B7188" t="s">
        <v>50</v>
      </c>
      <c r="C7188" t="s">
        <v>81</v>
      </c>
      <c r="D7188" t="s">
        <v>3218</v>
      </c>
      <c r="E7188">
        <v>20</v>
      </c>
      <c r="F7188">
        <v>-31.61</v>
      </c>
    </row>
    <row r="7189" spans="1:6" x14ac:dyDescent="0.25">
      <c r="A7189" t="s">
        <v>2750</v>
      </c>
      <c r="B7189" t="s">
        <v>50</v>
      </c>
      <c r="C7189" t="s">
        <v>81</v>
      </c>
      <c r="D7189" t="s">
        <v>3219</v>
      </c>
      <c r="E7189">
        <v>35.340000000000003</v>
      </c>
      <c r="F7189">
        <v>-31.06</v>
      </c>
    </row>
    <row r="7190" spans="1:6" x14ac:dyDescent="0.25">
      <c r="A7190" t="s">
        <v>2751</v>
      </c>
      <c r="B7190" t="s">
        <v>50</v>
      </c>
      <c r="C7190" t="s">
        <v>82</v>
      </c>
      <c r="D7190" t="s">
        <v>3217</v>
      </c>
      <c r="E7190">
        <v>0</v>
      </c>
      <c r="F7190">
        <v>-31.54</v>
      </c>
    </row>
    <row r="7191" spans="1:6" x14ac:dyDescent="0.25">
      <c r="A7191" t="s">
        <v>2751</v>
      </c>
      <c r="B7191" t="s">
        <v>50</v>
      </c>
      <c r="C7191" t="s">
        <v>82</v>
      </c>
      <c r="D7191" t="s">
        <v>3218</v>
      </c>
      <c r="E7191">
        <v>20</v>
      </c>
      <c r="F7191">
        <v>-31.53</v>
      </c>
    </row>
    <row r="7192" spans="1:6" x14ac:dyDescent="0.25">
      <c r="A7192" t="s">
        <v>2751</v>
      </c>
      <c r="B7192" t="s">
        <v>50</v>
      </c>
      <c r="C7192" t="s">
        <v>82</v>
      </c>
      <c r="D7192" t="s">
        <v>3219</v>
      </c>
      <c r="E7192">
        <v>35.340000000000003</v>
      </c>
      <c r="F7192">
        <v>-30.83</v>
      </c>
    </row>
    <row r="7193" spans="1:6" x14ac:dyDescent="0.25">
      <c r="A7193" t="s">
        <v>2752</v>
      </c>
      <c r="B7193" t="s">
        <v>50</v>
      </c>
      <c r="C7193" t="s">
        <v>83</v>
      </c>
      <c r="D7193" t="s">
        <v>3217</v>
      </c>
      <c r="E7193">
        <v>0</v>
      </c>
      <c r="F7193">
        <v>-31.99</v>
      </c>
    </row>
    <row r="7194" spans="1:6" x14ac:dyDescent="0.25">
      <c r="A7194" t="s">
        <v>2752</v>
      </c>
      <c r="B7194" t="s">
        <v>50</v>
      </c>
      <c r="C7194" t="s">
        <v>83</v>
      </c>
      <c r="D7194" t="s">
        <v>3218</v>
      </c>
      <c r="E7194">
        <v>20</v>
      </c>
      <c r="F7194">
        <v>-31.4</v>
      </c>
    </row>
    <row r="7195" spans="1:6" x14ac:dyDescent="0.25">
      <c r="A7195" t="s">
        <v>2752</v>
      </c>
      <c r="B7195" t="s">
        <v>50</v>
      </c>
      <c r="C7195" t="s">
        <v>83</v>
      </c>
      <c r="D7195" t="s">
        <v>3219</v>
      </c>
      <c r="E7195">
        <v>33.659999999999997</v>
      </c>
      <c r="F7195">
        <v>-30.9</v>
      </c>
    </row>
    <row r="7196" spans="1:6" x14ac:dyDescent="0.25">
      <c r="A7196" t="s">
        <v>2753</v>
      </c>
      <c r="B7196" t="s">
        <v>50</v>
      </c>
      <c r="C7196" t="s">
        <v>84</v>
      </c>
      <c r="D7196" t="s">
        <v>3217</v>
      </c>
      <c r="E7196">
        <v>0</v>
      </c>
      <c r="F7196">
        <v>-32.380000000000003</v>
      </c>
    </row>
    <row r="7197" spans="1:6" x14ac:dyDescent="0.25">
      <c r="A7197" t="s">
        <v>2753</v>
      </c>
      <c r="B7197" t="s">
        <v>50</v>
      </c>
      <c r="C7197" t="s">
        <v>84</v>
      </c>
      <c r="D7197" t="s">
        <v>3218</v>
      </c>
      <c r="E7197">
        <v>20</v>
      </c>
      <c r="F7197">
        <v>-31.35</v>
      </c>
    </row>
    <row r="7198" spans="1:6" x14ac:dyDescent="0.25">
      <c r="A7198" t="s">
        <v>2753</v>
      </c>
      <c r="B7198" t="s">
        <v>50</v>
      </c>
      <c r="C7198" t="s">
        <v>84</v>
      </c>
      <c r="D7198" t="s">
        <v>3219</v>
      </c>
      <c r="E7198">
        <v>31.37</v>
      </c>
      <c r="F7198">
        <v>-30.9</v>
      </c>
    </row>
    <row r="7199" spans="1:6" x14ac:dyDescent="0.25">
      <c r="A7199" t="s">
        <v>2754</v>
      </c>
      <c r="B7199" t="s">
        <v>50</v>
      </c>
      <c r="C7199" t="s">
        <v>85</v>
      </c>
      <c r="D7199" t="s">
        <v>3217</v>
      </c>
      <c r="E7199">
        <v>0</v>
      </c>
      <c r="F7199">
        <v>-32.409999999999997</v>
      </c>
    </row>
    <row r="7200" spans="1:6" x14ac:dyDescent="0.25">
      <c r="A7200" t="s">
        <v>2754</v>
      </c>
      <c r="B7200" t="s">
        <v>50</v>
      </c>
      <c r="C7200" t="s">
        <v>85</v>
      </c>
      <c r="D7200" t="s">
        <v>3218</v>
      </c>
      <c r="E7200">
        <v>20</v>
      </c>
      <c r="F7200">
        <v>-31.41</v>
      </c>
    </row>
    <row r="7201" spans="1:6" x14ac:dyDescent="0.25">
      <c r="A7201" t="s">
        <v>2754</v>
      </c>
      <c r="B7201" t="s">
        <v>50</v>
      </c>
      <c r="C7201" t="s">
        <v>85</v>
      </c>
      <c r="D7201" t="s">
        <v>3219</v>
      </c>
      <c r="E7201">
        <v>30.38</v>
      </c>
      <c r="F7201">
        <v>-31.37</v>
      </c>
    </row>
    <row r="7202" spans="1:6" x14ac:dyDescent="0.25">
      <c r="A7202" t="s">
        <v>2755</v>
      </c>
      <c r="B7202" t="s">
        <v>50</v>
      </c>
      <c r="C7202" t="s">
        <v>86</v>
      </c>
      <c r="D7202" t="s">
        <v>3217</v>
      </c>
      <c r="E7202">
        <v>0</v>
      </c>
      <c r="F7202">
        <v>-32.53</v>
      </c>
    </row>
    <row r="7203" spans="1:6" x14ac:dyDescent="0.25">
      <c r="A7203" t="s">
        <v>2755</v>
      </c>
      <c r="B7203" t="s">
        <v>50</v>
      </c>
      <c r="C7203" t="s">
        <v>86</v>
      </c>
      <c r="D7203" t="s">
        <v>3218</v>
      </c>
      <c r="E7203">
        <v>20</v>
      </c>
      <c r="F7203">
        <v>-31.39</v>
      </c>
    </row>
    <row r="7204" spans="1:6" x14ac:dyDescent="0.25">
      <c r="A7204" t="s">
        <v>2755</v>
      </c>
      <c r="B7204" t="s">
        <v>50</v>
      </c>
      <c r="C7204" t="s">
        <v>86</v>
      </c>
      <c r="D7204" t="s">
        <v>3219</v>
      </c>
      <c r="E7204">
        <v>31.37</v>
      </c>
      <c r="F7204">
        <v>-31.25</v>
      </c>
    </row>
    <row r="7205" spans="1:6" x14ac:dyDescent="0.25">
      <c r="A7205" t="s">
        <v>2756</v>
      </c>
      <c r="B7205" t="s">
        <v>50</v>
      </c>
      <c r="C7205" t="s">
        <v>87</v>
      </c>
      <c r="D7205" t="s">
        <v>3217</v>
      </c>
      <c r="E7205">
        <v>0</v>
      </c>
      <c r="F7205">
        <v>-31.96</v>
      </c>
    </row>
    <row r="7206" spans="1:6" x14ac:dyDescent="0.25">
      <c r="A7206" t="s">
        <v>2756</v>
      </c>
      <c r="B7206" t="s">
        <v>50</v>
      </c>
      <c r="C7206" t="s">
        <v>87</v>
      </c>
      <c r="D7206" t="s">
        <v>3218</v>
      </c>
      <c r="E7206">
        <v>20</v>
      </c>
      <c r="F7206">
        <v>-31.34</v>
      </c>
    </row>
    <row r="7207" spans="1:6" x14ac:dyDescent="0.25">
      <c r="A7207" t="s">
        <v>2756</v>
      </c>
      <c r="B7207" t="s">
        <v>50</v>
      </c>
      <c r="C7207" t="s">
        <v>87</v>
      </c>
      <c r="D7207" t="s">
        <v>3219</v>
      </c>
      <c r="E7207">
        <v>31.25</v>
      </c>
      <c r="F7207">
        <v>-31.06</v>
      </c>
    </row>
    <row r="7208" spans="1:6" x14ac:dyDescent="0.25">
      <c r="A7208" t="s">
        <v>2757</v>
      </c>
      <c r="B7208" t="s">
        <v>50</v>
      </c>
      <c r="C7208" t="s">
        <v>88</v>
      </c>
      <c r="D7208" t="s">
        <v>3217</v>
      </c>
      <c r="E7208">
        <v>0</v>
      </c>
      <c r="F7208">
        <v>-31.58</v>
      </c>
    </row>
    <row r="7209" spans="1:6" x14ac:dyDescent="0.25">
      <c r="A7209" t="s">
        <v>2757</v>
      </c>
      <c r="B7209" t="s">
        <v>50</v>
      </c>
      <c r="C7209" t="s">
        <v>88</v>
      </c>
      <c r="D7209" t="s">
        <v>3218</v>
      </c>
      <c r="E7209">
        <v>17.420000000000002</v>
      </c>
      <c r="F7209">
        <v>-30.98</v>
      </c>
    </row>
    <row r="7210" spans="1:6" x14ac:dyDescent="0.25">
      <c r="A7210" t="s">
        <v>2757</v>
      </c>
      <c r="B7210" t="s">
        <v>50</v>
      </c>
      <c r="C7210" t="s">
        <v>88</v>
      </c>
      <c r="D7210" t="s">
        <v>3219</v>
      </c>
      <c r="E7210">
        <v>29.12</v>
      </c>
      <c r="F7210">
        <v>-30.94</v>
      </c>
    </row>
    <row r="7211" spans="1:6" x14ac:dyDescent="0.25">
      <c r="A7211" t="s">
        <v>2758</v>
      </c>
      <c r="B7211" t="s">
        <v>50</v>
      </c>
      <c r="C7211" t="s">
        <v>89</v>
      </c>
      <c r="D7211" t="s">
        <v>3217</v>
      </c>
      <c r="E7211">
        <v>0</v>
      </c>
      <c r="F7211">
        <v>-31.07</v>
      </c>
    </row>
    <row r="7212" spans="1:6" x14ac:dyDescent="0.25">
      <c r="A7212" t="s">
        <v>2758</v>
      </c>
      <c r="B7212" t="s">
        <v>50</v>
      </c>
      <c r="C7212" t="s">
        <v>89</v>
      </c>
      <c r="D7212" t="s">
        <v>3218</v>
      </c>
      <c r="E7212">
        <v>17.420000000000002</v>
      </c>
      <c r="F7212">
        <v>-30.65</v>
      </c>
    </row>
    <row r="7213" spans="1:6" x14ac:dyDescent="0.25">
      <c r="A7213" t="s">
        <v>2758</v>
      </c>
      <c r="B7213" t="s">
        <v>50</v>
      </c>
      <c r="C7213" t="s">
        <v>89</v>
      </c>
      <c r="D7213" t="s">
        <v>3219</v>
      </c>
      <c r="E7213">
        <v>28.33</v>
      </c>
      <c r="F7213">
        <v>-30.58</v>
      </c>
    </row>
    <row r="7214" spans="1:6" x14ac:dyDescent="0.25">
      <c r="A7214" t="s">
        <v>2759</v>
      </c>
      <c r="B7214" t="s">
        <v>50</v>
      </c>
      <c r="C7214" t="s">
        <v>90</v>
      </c>
      <c r="D7214" t="s">
        <v>3217</v>
      </c>
      <c r="E7214">
        <v>0</v>
      </c>
      <c r="F7214">
        <v>-30.91</v>
      </c>
    </row>
    <row r="7215" spans="1:6" x14ac:dyDescent="0.25">
      <c r="A7215" t="s">
        <v>2759</v>
      </c>
      <c r="B7215" t="s">
        <v>50</v>
      </c>
      <c r="C7215" t="s">
        <v>90</v>
      </c>
      <c r="D7215" t="s">
        <v>3218</v>
      </c>
      <c r="E7215">
        <v>15.43</v>
      </c>
      <c r="F7215">
        <v>-30.42</v>
      </c>
    </row>
    <row r="7216" spans="1:6" x14ac:dyDescent="0.25">
      <c r="A7216" t="s">
        <v>2759</v>
      </c>
      <c r="B7216" t="s">
        <v>50</v>
      </c>
      <c r="C7216" t="s">
        <v>90</v>
      </c>
      <c r="D7216" t="s">
        <v>3219</v>
      </c>
      <c r="E7216">
        <v>28.01</v>
      </c>
      <c r="F7216">
        <v>-30.29</v>
      </c>
    </row>
    <row r="7217" spans="1:6" x14ac:dyDescent="0.25">
      <c r="A7217" t="s">
        <v>2760</v>
      </c>
      <c r="B7217" t="s">
        <v>50</v>
      </c>
      <c r="C7217" t="s">
        <v>91</v>
      </c>
      <c r="D7217" t="s">
        <v>3217</v>
      </c>
      <c r="E7217">
        <v>0</v>
      </c>
      <c r="F7217">
        <v>-30.97</v>
      </c>
    </row>
    <row r="7218" spans="1:6" x14ac:dyDescent="0.25">
      <c r="A7218" t="s">
        <v>2760</v>
      </c>
      <c r="B7218" t="s">
        <v>50</v>
      </c>
      <c r="C7218" t="s">
        <v>91</v>
      </c>
      <c r="D7218" t="s">
        <v>3218</v>
      </c>
      <c r="E7218">
        <v>13.13</v>
      </c>
      <c r="F7218">
        <v>-30.28</v>
      </c>
    </row>
    <row r="7219" spans="1:6" x14ac:dyDescent="0.25">
      <c r="A7219" t="s">
        <v>2760</v>
      </c>
      <c r="B7219" t="s">
        <v>50</v>
      </c>
      <c r="C7219" t="s">
        <v>91</v>
      </c>
      <c r="D7219" t="s">
        <v>3219</v>
      </c>
      <c r="E7219">
        <v>26.67</v>
      </c>
      <c r="F7219">
        <v>-30.1</v>
      </c>
    </row>
    <row r="7220" spans="1:6" x14ac:dyDescent="0.25">
      <c r="A7220" t="s">
        <v>2761</v>
      </c>
      <c r="B7220" t="s">
        <v>50</v>
      </c>
      <c r="C7220" t="s">
        <v>92</v>
      </c>
      <c r="D7220" t="s">
        <v>3217</v>
      </c>
      <c r="E7220">
        <v>0</v>
      </c>
      <c r="F7220">
        <v>-30.61</v>
      </c>
    </row>
    <row r="7221" spans="1:6" x14ac:dyDescent="0.25">
      <c r="A7221" t="s">
        <v>2761</v>
      </c>
      <c r="B7221" t="s">
        <v>50</v>
      </c>
      <c r="C7221" t="s">
        <v>92</v>
      </c>
      <c r="D7221" t="s">
        <v>3218</v>
      </c>
      <c r="E7221">
        <v>11.7</v>
      </c>
      <c r="F7221">
        <v>-30.11</v>
      </c>
    </row>
    <row r="7222" spans="1:6" x14ac:dyDescent="0.25">
      <c r="A7222" t="s">
        <v>2761</v>
      </c>
      <c r="B7222" t="s">
        <v>50</v>
      </c>
      <c r="C7222" t="s">
        <v>92</v>
      </c>
      <c r="D7222" t="s">
        <v>3219</v>
      </c>
      <c r="E7222">
        <v>26.93</v>
      </c>
      <c r="F7222">
        <v>-29.66</v>
      </c>
    </row>
    <row r="7223" spans="1:6" x14ac:dyDescent="0.25">
      <c r="A7223" t="s">
        <v>2762</v>
      </c>
      <c r="B7223" t="s">
        <v>50</v>
      </c>
      <c r="C7223" t="s">
        <v>93</v>
      </c>
      <c r="D7223" t="s">
        <v>3217</v>
      </c>
      <c r="E7223">
        <v>0</v>
      </c>
      <c r="F7223">
        <v>-30.33</v>
      </c>
    </row>
    <row r="7224" spans="1:6" x14ac:dyDescent="0.25">
      <c r="A7224" t="s">
        <v>2762</v>
      </c>
      <c r="B7224" t="s">
        <v>50</v>
      </c>
      <c r="C7224" t="s">
        <v>93</v>
      </c>
      <c r="D7224" t="s">
        <v>3218</v>
      </c>
      <c r="E7224">
        <v>12.23</v>
      </c>
      <c r="F7224">
        <v>-30.03</v>
      </c>
    </row>
    <row r="7225" spans="1:6" x14ac:dyDescent="0.25">
      <c r="A7225" t="s">
        <v>2762</v>
      </c>
      <c r="B7225" t="s">
        <v>50</v>
      </c>
      <c r="C7225" t="s">
        <v>93</v>
      </c>
      <c r="D7225" t="s">
        <v>3219</v>
      </c>
      <c r="E7225">
        <v>26.33</v>
      </c>
      <c r="F7225">
        <v>-29.88</v>
      </c>
    </row>
    <row r="7226" spans="1:6" x14ac:dyDescent="0.25">
      <c r="A7226" t="s">
        <v>2763</v>
      </c>
      <c r="B7226" t="s">
        <v>50</v>
      </c>
      <c r="C7226" t="s">
        <v>94</v>
      </c>
      <c r="D7226" t="s">
        <v>3217</v>
      </c>
      <c r="E7226">
        <v>0</v>
      </c>
      <c r="F7226">
        <v>-29.96</v>
      </c>
    </row>
    <row r="7227" spans="1:6" x14ac:dyDescent="0.25">
      <c r="A7227" t="s">
        <v>2763</v>
      </c>
      <c r="B7227" t="s">
        <v>50</v>
      </c>
      <c r="C7227" t="s">
        <v>94</v>
      </c>
      <c r="D7227" t="s">
        <v>3218</v>
      </c>
      <c r="E7227">
        <v>12.3</v>
      </c>
      <c r="F7227">
        <v>-29.75</v>
      </c>
    </row>
    <row r="7228" spans="1:6" x14ac:dyDescent="0.25">
      <c r="A7228" t="s">
        <v>2763</v>
      </c>
      <c r="B7228" t="s">
        <v>50</v>
      </c>
      <c r="C7228" t="s">
        <v>94</v>
      </c>
      <c r="D7228" t="s">
        <v>3219</v>
      </c>
      <c r="E7228">
        <v>26.94</v>
      </c>
      <c r="F7228">
        <v>-29.69</v>
      </c>
    </row>
    <row r="7229" spans="1:6" x14ac:dyDescent="0.25">
      <c r="A7229" t="s">
        <v>2764</v>
      </c>
      <c r="B7229" t="s">
        <v>50</v>
      </c>
      <c r="C7229" t="s">
        <v>95</v>
      </c>
      <c r="D7229" t="s">
        <v>3217</v>
      </c>
      <c r="E7229">
        <v>0</v>
      </c>
      <c r="F7229">
        <v>-29.83</v>
      </c>
    </row>
    <row r="7230" spans="1:6" x14ac:dyDescent="0.25">
      <c r="A7230" t="s">
        <v>2764</v>
      </c>
      <c r="B7230" t="s">
        <v>50</v>
      </c>
      <c r="C7230" t="s">
        <v>95</v>
      </c>
      <c r="D7230" t="s">
        <v>3218</v>
      </c>
      <c r="E7230">
        <v>11.47</v>
      </c>
      <c r="F7230">
        <v>-29.6</v>
      </c>
    </row>
    <row r="7231" spans="1:6" x14ac:dyDescent="0.25">
      <c r="A7231" t="s">
        <v>2764</v>
      </c>
      <c r="B7231" t="s">
        <v>50</v>
      </c>
      <c r="C7231" t="s">
        <v>95</v>
      </c>
      <c r="D7231" t="s">
        <v>3219</v>
      </c>
      <c r="E7231">
        <v>25.18</v>
      </c>
      <c r="F7231">
        <v>-29.32</v>
      </c>
    </row>
    <row r="7232" spans="1:6" x14ac:dyDescent="0.25">
      <c r="A7232" t="s">
        <v>2765</v>
      </c>
      <c r="B7232" t="s">
        <v>50</v>
      </c>
      <c r="C7232" t="s">
        <v>96</v>
      </c>
      <c r="D7232" t="s">
        <v>3217</v>
      </c>
      <c r="E7232">
        <v>0</v>
      </c>
      <c r="F7232">
        <v>-29.85</v>
      </c>
    </row>
    <row r="7233" spans="1:6" x14ac:dyDescent="0.25">
      <c r="A7233" t="s">
        <v>2765</v>
      </c>
      <c r="B7233" t="s">
        <v>50</v>
      </c>
      <c r="C7233" t="s">
        <v>96</v>
      </c>
      <c r="D7233" t="s">
        <v>3218</v>
      </c>
      <c r="E7233">
        <v>13.19</v>
      </c>
      <c r="F7233">
        <v>-29.26</v>
      </c>
    </row>
    <row r="7234" spans="1:6" x14ac:dyDescent="0.25">
      <c r="A7234" t="s">
        <v>2765</v>
      </c>
      <c r="B7234" t="s">
        <v>50</v>
      </c>
      <c r="C7234" t="s">
        <v>96</v>
      </c>
      <c r="D7234" t="s">
        <v>3219</v>
      </c>
      <c r="E7234">
        <v>26.28</v>
      </c>
      <c r="F7234">
        <v>-29.14</v>
      </c>
    </row>
    <row r="7235" spans="1:6" x14ac:dyDescent="0.25">
      <c r="A7235" t="s">
        <v>2766</v>
      </c>
      <c r="B7235" t="s">
        <v>50</v>
      </c>
      <c r="C7235" t="s">
        <v>97</v>
      </c>
      <c r="D7235" t="s">
        <v>3217</v>
      </c>
      <c r="E7235">
        <v>0</v>
      </c>
      <c r="F7235">
        <v>-29.67</v>
      </c>
    </row>
    <row r="7236" spans="1:6" x14ac:dyDescent="0.25">
      <c r="A7236" t="s">
        <v>2766</v>
      </c>
      <c r="B7236" t="s">
        <v>50</v>
      </c>
      <c r="C7236" t="s">
        <v>97</v>
      </c>
      <c r="D7236" t="s">
        <v>3218</v>
      </c>
      <c r="E7236">
        <v>15.53</v>
      </c>
      <c r="F7236">
        <v>-28.96</v>
      </c>
    </row>
    <row r="7237" spans="1:6" x14ac:dyDescent="0.25">
      <c r="A7237" t="s">
        <v>2766</v>
      </c>
      <c r="B7237" t="s">
        <v>50</v>
      </c>
      <c r="C7237" t="s">
        <v>97</v>
      </c>
      <c r="D7237" t="s">
        <v>3219</v>
      </c>
      <c r="E7237">
        <v>29.11</v>
      </c>
      <c r="F7237">
        <v>-28.73</v>
      </c>
    </row>
    <row r="7238" spans="1:6" x14ac:dyDescent="0.25">
      <c r="A7238" t="s">
        <v>2767</v>
      </c>
      <c r="B7238" t="s">
        <v>50</v>
      </c>
      <c r="C7238" t="s">
        <v>98</v>
      </c>
      <c r="D7238" t="s">
        <v>3217</v>
      </c>
      <c r="E7238">
        <v>0</v>
      </c>
      <c r="F7238">
        <v>-29.45</v>
      </c>
    </row>
    <row r="7239" spans="1:6" x14ac:dyDescent="0.25">
      <c r="A7239" t="s">
        <v>2767</v>
      </c>
      <c r="B7239" t="s">
        <v>50</v>
      </c>
      <c r="C7239" t="s">
        <v>98</v>
      </c>
      <c r="D7239" t="s">
        <v>3218</v>
      </c>
      <c r="E7239">
        <v>16.920000000000002</v>
      </c>
      <c r="F7239">
        <v>-28.66</v>
      </c>
    </row>
    <row r="7240" spans="1:6" x14ac:dyDescent="0.25">
      <c r="A7240" t="s">
        <v>2767</v>
      </c>
      <c r="B7240" t="s">
        <v>50</v>
      </c>
      <c r="C7240" t="s">
        <v>98</v>
      </c>
      <c r="D7240" t="s">
        <v>3219</v>
      </c>
      <c r="E7240">
        <v>28.91</v>
      </c>
      <c r="F7240">
        <v>-28.58</v>
      </c>
    </row>
    <row r="7241" spans="1:6" x14ac:dyDescent="0.25">
      <c r="A7241" t="s">
        <v>2768</v>
      </c>
      <c r="B7241" t="s">
        <v>50</v>
      </c>
      <c r="C7241" t="s">
        <v>99</v>
      </c>
      <c r="D7241" t="s">
        <v>3217</v>
      </c>
      <c r="E7241">
        <v>0</v>
      </c>
      <c r="F7241">
        <v>-29.09</v>
      </c>
    </row>
    <row r="7242" spans="1:6" x14ac:dyDescent="0.25">
      <c r="A7242" t="s">
        <v>2768</v>
      </c>
      <c r="B7242" t="s">
        <v>50</v>
      </c>
      <c r="C7242" t="s">
        <v>99</v>
      </c>
      <c r="D7242" t="s">
        <v>3218</v>
      </c>
      <c r="E7242">
        <v>16.920000000000002</v>
      </c>
      <c r="F7242">
        <v>-28.4</v>
      </c>
    </row>
    <row r="7243" spans="1:6" x14ac:dyDescent="0.25">
      <c r="A7243" t="s">
        <v>2768</v>
      </c>
      <c r="B7243" t="s">
        <v>50</v>
      </c>
      <c r="C7243" t="s">
        <v>99</v>
      </c>
      <c r="D7243" t="s">
        <v>3219</v>
      </c>
      <c r="E7243">
        <v>27.89</v>
      </c>
      <c r="F7243">
        <v>-28.27</v>
      </c>
    </row>
    <row r="7244" spans="1:6" x14ac:dyDescent="0.25">
      <c r="A7244" t="s">
        <v>2769</v>
      </c>
      <c r="B7244" t="s">
        <v>50</v>
      </c>
      <c r="C7244" t="s">
        <v>100</v>
      </c>
      <c r="D7244" t="s">
        <v>3217</v>
      </c>
      <c r="E7244">
        <v>0</v>
      </c>
      <c r="F7244">
        <v>-28.69</v>
      </c>
    </row>
    <row r="7245" spans="1:6" x14ac:dyDescent="0.25">
      <c r="A7245" t="s">
        <v>2769</v>
      </c>
      <c r="B7245" t="s">
        <v>50</v>
      </c>
      <c r="C7245" t="s">
        <v>100</v>
      </c>
      <c r="D7245" t="s">
        <v>3218</v>
      </c>
      <c r="E7245">
        <v>16.920000000000002</v>
      </c>
      <c r="F7245">
        <v>-28.08</v>
      </c>
    </row>
    <row r="7246" spans="1:6" x14ac:dyDescent="0.25">
      <c r="A7246" t="s">
        <v>2769</v>
      </c>
      <c r="B7246" t="s">
        <v>50</v>
      </c>
      <c r="C7246" t="s">
        <v>100</v>
      </c>
      <c r="D7246" t="s">
        <v>3219</v>
      </c>
      <c r="E7246">
        <v>27.43</v>
      </c>
      <c r="F7246">
        <v>-28.03</v>
      </c>
    </row>
    <row r="7247" spans="1:6" x14ac:dyDescent="0.25">
      <c r="A7247" t="s">
        <v>2770</v>
      </c>
      <c r="B7247" t="s">
        <v>50</v>
      </c>
      <c r="C7247" t="s">
        <v>101</v>
      </c>
      <c r="D7247" t="s">
        <v>3217</v>
      </c>
      <c r="E7247">
        <v>0</v>
      </c>
      <c r="F7247">
        <v>-28.1</v>
      </c>
    </row>
    <row r="7248" spans="1:6" x14ac:dyDescent="0.25">
      <c r="A7248" t="s">
        <v>2770</v>
      </c>
      <c r="B7248" t="s">
        <v>50</v>
      </c>
      <c r="C7248" t="s">
        <v>101</v>
      </c>
      <c r="D7248" t="s">
        <v>3218</v>
      </c>
      <c r="E7248">
        <v>14.55</v>
      </c>
      <c r="F7248">
        <v>-27.57</v>
      </c>
    </row>
    <row r="7249" spans="1:6" x14ac:dyDescent="0.25">
      <c r="A7249" t="s">
        <v>2770</v>
      </c>
      <c r="B7249" t="s">
        <v>50</v>
      </c>
      <c r="C7249" t="s">
        <v>101</v>
      </c>
      <c r="D7249" t="s">
        <v>3219</v>
      </c>
      <c r="E7249">
        <v>24.99</v>
      </c>
      <c r="F7249">
        <v>-27.64</v>
      </c>
    </row>
    <row r="7250" spans="1:6" x14ac:dyDescent="0.25">
      <c r="A7250" t="s">
        <v>2771</v>
      </c>
      <c r="B7250" t="s">
        <v>50</v>
      </c>
      <c r="C7250" t="s">
        <v>332</v>
      </c>
      <c r="D7250" t="s">
        <v>3217</v>
      </c>
      <c r="E7250">
        <v>0</v>
      </c>
      <c r="F7250">
        <v>-27.62</v>
      </c>
    </row>
    <row r="7251" spans="1:6" x14ac:dyDescent="0.25">
      <c r="A7251" t="s">
        <v>2771</v>
      </c>
      <c r="B7251" t="s">
        <v>50</v>
      </c>
      <c r="C7251" t="s">
        <v>332</v>
      </c>
      <c r="D7251" t="s">
        <v>3218</v>
      </c>
      <c r="E7251">
        <v>14.33</v>
      </c>
      <c r="F7251">
        <v>-27.15</v>
      </c>
    </row>
    <row r="7252" spans="1:6" x14ac:dyDescent="0.25">
      <c r="A7252" t="s">
        <v>2771</v>
      </c>
      <c r="B7252" t="s">
        <v>50</v>
      </c>
      <c r="C7252" t="s">
        <v>332</v>
      </c>
      <c r="D7252" t="s">
        <v>3219</v>
      </c>
      <c r="E7252">
        <v>24.35</v>
      </c>
      <c r="F7252">
        <v>-27.08</v>
      </c>
    </row>
    <row r="7253" spans="1:6" x14ac:dyDescent="0.25">
      <c r="A7253" t="s">
        <v>2772</v>
      </c>
      <c r="B7253" t="s">
        <v>51</v>
      </c>
      <c r="C7253" t="s">
        <v>56</v>
      </c>
      <c r="D7253" t="s">
        <v>3217</v>
      </c>
      <c r="E7253">
        <v>0</v>
      </c>
      <c r="F7253">
        <v>-20.170000000000002</v>
      </c>
    </row>
    <row r="7254" spans="1:6" x14ac:dyDescent="0.25">
      <c r="A7254" t="s">
        <v>2772</v>
      </c>
      <c r="B7254" t="s">
        <v>51</v>
      </c>
      <c r="C7254" t="s">
        <v>56</v>
      </c>
      <c r="D7254" t="s">
        <v>3218</v>
      </c>
      <c r="E7254">
        <v>15.37</v>
      </c>
      <c r="F7254">
        <v>-20.13</v>
      </c>
    </row>
    <row r="7255" spans="1:6" x14ac:dyDescent="0.25">
      <c r="A7255" t="s">
        <v>2772</v>
      </c>
      <c r="B7255" t="s">
        <v>51</v>
      </c>
      <c r="C7255" t="s">
        <v>56</v>
      </c>
      <c r="D7255" t="s">
        <v>3219</v>
      </c>
      <c r="E7255">
        <v>28.47</v>
      </c>
      <c r="F7255">
        <v>-20.350000000000001</v>
      </c>
    </row>
    <row r="7256" spans="1:6" x14ac:dyDescent="0.25">
      <c r="A7256" t="s">
        <v>2773</v>
      </c>
      <c r="B7256" t="s">
        <v>51</v>
      </c>
      <c r="C7256" t="s">
        <v>57</v>
      </c>
      <c r="D7256" t="s">
        <v>3217</v>
      </c>
      <c r="E7256">
        <v>0</v>
      </c>
      <c r="F7256">
        <v>-19.29</v>
      </c>
    </row>
    <row r="7257" spans="1:6" x14ac:dyDescent="0.25">
      <c r="A7257" t="s">
        <v>2773</v>
      </c>
      <c r="B7257" t="s">
        <v>51</v>
      </c>
      <c r="C7257" t="s">
        <v>57</v>
      </c>
      <c r="D7257" t="s">
        <v>3218</v>
      </c>
      <c r="E7257">
        <v>15.74</v>
      </c>
      <c r="F7257">
        <v>-19.18</v>
      </c>
    </row>
    <row r="7258" spans="1:6" x14ac:dyDescent="0.25">
      <c r="A7258" t="s">
        <v>2773</v>
      </c>
      <c r="B7258" t="s">
        <v>51</v>
      </c>
      <c r="C7258" t="s">
        <v>57</v>
      </c>
      <c r="D7258" t="s">
        <v>3219</v>
      </c>
      <c r="E7258">
        <v>27.35</v>
      </c>
      <c r="F7258">
        <v>-19.34</v>
      </c>
    </row>
    <row r="7259" spans="1:6" x14ac:dyDescent="0.25">
      <c r="A7259" t="s">
        <v>2774</v>
      </c>
      <c r="B7259" t="s">
        <v>51</v>
      </c>
      <c r="C7259" t="s">
        <v>58</v>
      </c>
      <c r="D7259" t="s">
        <v>3217</v>
      </c>
      <c r="E7259">
        <v>0</v>
      </c>
      <c r="F7259">
        <v>-18.2</v>
      </c>
    </row>
    <row r="7260" spans="1:6" x14ac:dyDescent="0.25">
      <c r="A7260" t="s">
        <v>2774</v>
      </c>
      <c r="B7260" t="s">
        <v>51</v>
      </c>
      <c r="C7260" t="s">
        <v>58</v>
      </c>
      <c r="D7260" t="s">
        <v>3218</v>
      </c>
      <c r="E7260">
        <v>16.149999999999999</v>
      </c>
      <c r="F7260">
        <v>-18.21</v>
      </c>
    </row>
    <row r="7261" spans="1:6" x14ac:dyDescent="0.25">
      <c r="A7261" t="s">
        <v>2774</v>
      </c>
      <c r="B7261" t="s">
        <v>51</v>
      </c>
      <c r="C7261" t="s">
        <v>58</v>
      </c>
      <c r="D7261" t="s">
        <v>3219</v>
      </c>
      <c r="E7261">
        <v>28.33</v>
      </c>
      <c r="F7261">
        <v>-18.41</v>
      </c>
    </row>
    <row r="7262" spans="1:6" x14ac:dyDescent="0.25">
      <c r="A7262" t="s">
        <v>2775</v>
      </c>
      <c r="B7262" t="s">
        <v>51</v>
      </c>
      <c r="C7262" t="s">
        <v>59</v>
      </c>
      <c r="D7262" t="s">
        <v>3217</v>
      </c>
      <c r="E7262">
        <v>0</v>
      </c>
      <c r="F7262">
        <v>-17.16</v>
      </c>
    </row>
    <row r="7263" spans="1:6" x14ac:dyDescent="0.25">
      <c r="A7263" t="s">
        <v>2775</v>
      </c>
      <c r="B7263" t="s">
        <v>51</v>
      </c>
      <c r="C7263" t="s">
        <v>59</v>
      </c>
      <c r="D7263" t="s">
        <v>3218</v>
      </c>
      <c r="E7263">
        <v>15.5</v>
      </c>
      <c r="F7263">
        <v>-17.190000000000001</v>
      </c>
    </row>
    <row r="7264" spans="1:6" x14ac:dyDescent="0.25">
      <c r="A7264" t="s">
        <v>2775</v>
      </c>
      <c r="B7264" t="s">
        <v>51</v>
      </c>
      <c r="C7264" t="s">
        <v>59</v>
      </c>
      <c r="D7264" t="s">
        <v>3219</v>
      </c>
      <c r="E7264">
        <v>29.86</v>
      </c>
      <c r="F7264">
        <v>-17.309999999999999</v>
      </c>
    </row>
    <row r="7265" spans="1:6" x14ac:dyDescent="0.25">
      <c r="A7265" t="s">
        <v>2776</v>
      </c>
      <c r="B7265" t="s">
        <v>51</v>
      </c>
      <c r="C7265" t="s">
        <v>60</v>
      </c>
      <c r="D7265" t="s">
        <v>3217</v>
      </c>
      <c r="E7265">
        <v>0</v>
      </c>
      <c r="F7265">
        <v>-16.12</v>
      </c>
    </row>
    <row r="7266" spans="1:6" x14ac:dyDescent="0.25">
      <c r="A7266" t="s">
        <v>2776</v>
      </c>
      <c r="B7266" t="s">
        <v>51</v>
      </c>
      <c r="C7266" t="s">
        <v>60</v>
      </c>
      <c r="D7266" t="s">
        <v>3218</v>
      </c>
      <c r="E7266">
        <v>15.23</v>
      </c>
      <c r="F7266">
        <v>-16.14</v>
      </c>
    </row>
    <row r="7267" spans="1:6" x14ac:dyDescent="0.25">
      <c r="A7267" t="s">
        <v>2776</v>
      </c>
      <c r="B7267" t="s">
        <v>51</v>
      </c>
      <c r="C7267" t="s">
        <v>60</v>
      </c>
      <c r="D7267" t="s">
        <v>3219</v>
      </c>
      <c r="E7267">
        <v>29.6</v>
      </c>
      <c r="F7267">
        <v>-16.23</v>
      </c>
    </row>
    <row r="7268" spans="1:6" x14ac:dyDescent="0.25">
      <c r="A7268" t="s">
        <v>2777</v>
      </c>
      <c r="B7268" t="s">
        <v>51</v>
      </c>
      <c r="C7268" t="s">
        <v>61</v>
      </c>
      <c r="D7268" t="s">
        <v>3217</v>
      </c>
      <c r="E7268">
        <v>0</v>
      </c>
      <c r="F7268">
        <v>-14.95</v>
      </c>
    </row>
    <row r="7269" spans="1:6" x14ac:dyDescent="0.25">
      <c r="A7269" t="s">
        <v>2777</v>
      </c>
      <c r="B7269" t="s">
        <v>51</v>
      </c>
      <c r="C7269" t="s">
        <v>61</v>
      </c>
      <c r="D7269" t="s">
        <v>3218</v>
      </c>
      <c r="E7269">
        <v>15.83</v>
      </c>
      <c r="F7269">
        <v>-15.13</v>
      </c>
    </row>
    <row r="7270" spans="1:6" x14ac:dyDescent="0.25">
      <c r="A7270" t="s">
        <v>2777</v>
      </c>
      <c r="B7270" t="s">
        <v>51</v>
      </c>
      <c r="C7270" t="s">
        <v>61</v>
      </c>
      <c r="D7270" t="s">
        <v>3219</v>
      </c>
      <c r="E7270">
        <v>30.53</v>
      </c>
      <c r="F7270">
        <v>-15.26</v>
      </c>
    </row>
    <row r="7271" spans="1:6" x14ac:dyDescent="0.25">
      <c r="A7271" t="s">
        <v>2778</v>
      </c>
      <c r="B7271" t="s">
        <v>51</v>
      </c>
      <c r="C7271" t="s">
        <v>62</v>
      </c>
      <c r="D7271" t="s">
        <v>3217</v>
      </c>
      <c r="E7271">
        <v>0</v>
      </c>
      <c r="F7271">
        <v>-14.03</v>
      </c>
    </row>
    <row r="7272" spans="1:6" x14ac:dyDescent="0.25">
      <c r="A7272" t="s">
        <v>2778</v>
      </c>
      <c r="B7272" t="s">
        <v>51</v>
      </c>
      <c r="C7272" t="s">
        <v>62</v>
      </c>
      <c r="D7272" t="s">
        <v>3218</v>
      </c>
      <c r="E7272">
        <v>15.23</v>
      </c>
      <c r="F7272">
        <v>-13.74</v>
      </c>
    </row>
    <row r="7273" spans="1:6" x14ac:dyDescent="0.25">
      <c r="A7273" t="s">
        <v>2778</v>
      </c>
      <c r="B7273" t="s">
        <v>51</v>
      </c>
      <c r="C7273" t="s">
        <v>62</v>
      </c>
      <c r="D7273" t="s">
        <v>3219</v>
      </c>
      <c r="E7273">
        <v>29.93</v>
      </c>
      <c r="F7273">
        <v>-13.53</v>
      </c>
    </row>
    <row r="7274" spans="1:6" x14ac:dyDescent="0.25">
      <c r="A7274" t="s">
        <v>2779</v>
      </c>
      <c r="B7274" t="s">
        <v>51</v>
      </c>
      <c r="C7274" t="s">
        <v>63</v>
      </c>
      <c r="D7274" t="s">
        <v>3217</v>
      </c>
      <c r="E7274">
        <v>0</v>
      </c>
      <c r="F7274">
        <v>-12.5</v>
      </c>
    </row>
    <row r="7275" spans="1:6" x14ac:dyDescent="0.25">
      <c r="A7275" t="s">
        <v>2779</v>
      </c>
      <c r="B7275" t="s">
        <v>51</v>
      </c>
      <c r="C7275" t="s">
        <v>63</v>
      </c>
      <c r="D7275" t="s">
        <v>3218</v>
      </c>
      <c r="E7275">
        <v>15.1</v>
      </c>
      <c r="F7275">
        <v>-12.29</v>
      </c>
    </row>
    <row r="7276" spans="1:6" x14ac:dyDescent="0.25">
      <c r="A7276" t="s">
        <v>2779</v>
      </c>
      <c r="B7276" t="s">
        <v>51</v>
      </c>
      <c r="C7276" t="s">
        <v>63</v>
      </c>
      <c r="D7276" t="s">
        <v>3219</v>
      </c>
      <c r="E7276">
        <v>29.79</v>
      </c>
      <c r="F7276">
        <v>-12.44</v>
      </c>
    </row>
    <row r="7277" spans="1:6" x14ac:dyDescent="0.25">
      <c r="A7277" t="s">
        <v>2780</v>
      </c>
      <c r="B7277" t="s">
        <v>51</v>
      </c>
      <c r="C7277" t="s">
        <v>64</v>
      </c>
      <c r="D7277" t="s">
        <v>3217</v>
      </c>
      <c r="E7277">
        <v>0</v>
      </c>
      <c r="F7277">
        <v>-10.91</v>
      </c>
    </row>
    <row r="7278" spans="1:6" x14ac:dyDescent="0.25">
      <c r="A7278" t="s">
        <v>2780</v>
      </c>
      <c r="B7278" t="s">
        <v>51</v>
      </c>
      <c r="C7278" t="s">
        <v>64</v>
      </c>
      <c r="D7278" t="s">
        <v>3218</v>
      </c>
      <c r="E7278">
        <v>13.99</v>
      </c>
      <c r="F7278">
        <v>-10.75</v>
      </c>
    </row>
    <row r="7279" spans="1:6" x14ac:dyDescent="0.25">
      <c r="A7279" t="s">
        <v>2780</v>
      </c>
      <c r="B7279" t="s">
        <v>51</v>
      </c>
      <c r="C7279" t="s">
        <v>64</v>
      </c>
      <c r="D7279" t="s">
        <v>3219</v>
      </c>
      <c r="E7279">
        <v>27.26</v>
      </c>
      <c r="F7279">
        <v>-11.06</v>
      </c>
    </row>
    <row r="7280" spans="1:6" x14ac:dyDescent="0.25">
      <c r="A7280" t="s">
        <v>2781</v>
      </c>
      <c r="B7280" t="s">
        <v>51</v>
      </c>
      <c r="C7280" t="s">
        <v>65</v>
      </c>
      <c r="D7280" t="s">
        <v>3217</v>
      </c>
      <c r="E7280">
        <v>0</v>
      </c>
      <c r="F7280">
        <v>-9.24</v>
      </c>
    </row>
    <row r="7281" spans="1:6" x14ac:dyDescent="0.25">
      <c r="A7281" t="s">
        <v>2781</v>
      </c>
      <c r="B7281" t="s">
        <v>51</v>
      </c>
      <c r="C7281" t="s">
        <v>65</v>
      </c>
      <c r="D7281" t="s">
        <v>3218</v>
      </c>
      <c r="E7281">
        <v>13.83</v>
      </c>
      <c r="F7281">
        <v>-9.1300000000000008</v>
      </c>
    </row>
    <row r="7282" spans="1:6" x14ac:dyDescent="0.25">
      <c r="A7282" t="s">
        <v>2781</v>
      </c>
      <c r="B7282" t="s">
        <v>51</v>
      </c>
      <c r="C7282" t="s">
        <v>65</v>
      </c>
      <c r="D7282" t="s">
        <v>3219</v>
      </c>
      <c r="E7282">
        <v>26.73</v>
      </c>
      <c r="F7282">
        <v>-9.6300000000000008</v>
      </c>
    </row>
    <row r="7283" spans="1:6" x14ac:dyDescent="0.25">
      <c r="A7283" t="s">
        <v>2782</v>
      </c>
      <c r="B7283" t="s">
        <v>51</v>
      </c>
      <c r="C7283" t="s">
        <v>66</v>
      </c>
      <c r="D7283" t="s">
        <v>3217</v>
      </c>
      <c r="E7283">
        <v>0</v>
      </c>
      <c r="F7283">
        <v>-7.99</v>
      </c>
    </row>
    <row r="7284" spans="1:6" x14ac:dyDescent="0.25">
      <c r="A7284" t="s">
        <v>2782</v>
      </c>
      <c r="B7284" t="s">
        <v>51</v>
      </c>
      <c r="C7284" t="s">
        <v>66</v>
      </c>
      <c r="D7284" t="s">
        <v>3218</v>
      </c>
      <c r="E7284">
        <v>14.56</v>
      </c>
      <c r="F7284">
        <v>-7.62</v>
      </c>
    </row>
    <row r="7285" spans="1:6" x14ac:dyDescent="0.25">
      <c r="A7285" t="s">
        <v>2782</v>
      </c>
      <c r="B7285" t="s">
        <v>51</v>
      </c>
      <c r="C7285" t="s">
        <v>66</v>
      </c>
      <c r="D7285" t="s">
        <v>3219</v>
      </c>
      <c r="E7285">
        <v>28</v>
      </c>
      <c r="F7285">
        <v>-7.99</v>
      </c>
    </row>
    <row r="7286" spans="1:6" x14ac:dyDescent="0.25">
      <c r="A7286" t="s">
        <v>2783</v>
      </c>
      <c r="B7286" t="s">
        <v>51</v>
      </c>
      <c r="C7286" t="s">
        <v>67</v>
      </c>
      <c r="D7286" t="s">
        <v>3217</v>
      </c>
      <c r="E7286">
        <v>0</v>
      </c>
      <c r="F7286">
        <v>-6.47</v>
      </c>
    </row>
    <row r="7287" spans="1:6" x14ac:dyDescent="0.25">
      <c r="A7287" t="s">
        <v>2783</v>
      </c>
      <c r="B7287" t="s">
        <v>51</v>
      </c>
      <c r="C7287" t="s">
        <v>67</v>
      </c>
      <c r="D7287" t="s">
        <v>3218</v>
      </c>
      <c r="E7287">
        <v>13.33</v>
      </c>
      <c r="F7287">
        <v>-6.06</v>
      </c>
    </row>
    <row r="7288" spans="1:6" x14ac:dyDescent="0.25">
      <c r="A7288" t="s">
        <v>2783</v>
      </c>
      <c r="B7288" t="s">
        <v>51</v>
      </c>
      <c r="C7288" t="s">
        <v>67</v>
      </c>
      <c r="D7288" t="s">
        <v>3219</v>
      </c>
      <c r="E7288">
        <v>27.41</v>
      </c>
      <c r="F7288">
        <v>-6.41</v>
      </c>
    </row>
    <row r="7289" spans="1:6" x14ac:dyDescent="0.25">
      <c r="A7289" t="s">
        <v>2784</v>
      </c>
      <c r="B7289" t="s">
        <v>51</v>
      </c>
      <c r="C7289" t="s">
        <v>68</v>
      </c>
      <c r="D7289" t="s">
        <v>3217</v>
      </c>
      <c r="E7289">
        <v>0</v>
      </c>
      <c r="F7289">
        <v>-4.63</v>
      </c>
    </row>
    <row r="7290" spans="1:6" x14ac:dyDescent="0.25">
      <c r="A7290" t="s">
        <v>2784</v>
      </c>
      <c r="B7290" t="s">
        <v>51</v>
      </c>
      <c r="C7290" t="s">
        <v>68</v>
      </c>
      <c r="D7290" t="s">
        <v>3218</v>
      </c>
      <c r="E7290">
        <v>14.13</v>
      </c>
      <c r="F7290">
        <v>-4.58</v>
      </c>
    </row>
    <row r="7291" spans="1:6" x14ac:dyDescent="0.25">
      <c r="A7291" t="s">
        <v>2784</v>
      </c>
      <c r="B7291" t="s">
        <v>51</v>
      </c>
      <c r="C7291" t="s">
        <v>68</v>
      </c>
      <c r="D7291" t="s">
        <v>3219</v>
      </c>
      <c r="E7291">
        <v>29.22</v>
      </c>
      <c r="F7291">
        <v>-5.13</v>
      </c>
    </row>
    <row r="7292" spans="1:6" x14ac:dyDescent="0.25">
      <c r="A7292" t="s">
        <v>2785</v>
      </c>
      <c r="B7292" t="s">
        <v>51</v>
      </c>
      <c r="C7292" t="s">
        <v>69</v>
      </c>
      <c r="D7292" t="s">
        <v>3217</v>
      </c>
      <c r="E7292">
        <v>0</v>
      </c>
      <c r="F7292">
        <v>-3.06</v>
      </c>
    </row>
    <row r="7293" spans="1:6" x14ac:dyDescent="0.25">
      <c r="A7293" t="s">
        <v>2785</v>
      </c>
      <c r="B7293" t="s">
        <v>51</v>
      </c>
      <c r="C7293" t="s">
        <v>69</v>
      </c>
      <c r="D7293" t="s">
        <v>3218</v>
      </c>
      <c r="E7293">
        <v>14.92</v>
      </c>
      <c r="F7293">
        <v>-3.14</v>
      </c>
    </row>
    <row r="7294" spans="1:6" x14ac:dyDescent="0.25">
      <c r="A7294" t="s">
        <v>2785</v>
      </c>
      <c r="B7294" t="s">
        <v>51</v>
      </c>
      <c r="C7294" t="s">
        <v>69</v>
      </c>
      <c r="D7294" t="s">
        <v>3219</v>
      </c>
      <c r="E7294">
        <v>29.23</v>
      </c>
      <c r="F7294">
        <v>-3.71</v>
      </c>
    </row>
    <row r="7295" spans="1:6" x14ac:dyDescent="0.25">
      <c r="A7295" t="s">
        <v>2786</v>
      </c>
      <c r="B7295" t="s">
        <v>51</v>
      </c>
      <c r="C7295" t="s">
        <v>70</v>
      </c>
      <c r="D7295" t="s">
        <v>3217</v>
      </c>
      <c r="E7295">
        <v>0</v>
      </c>
      <c r="F7295">
        <v>-1.32</v>
      </c>
    </row>
    <row r="7296" spans="1:6" x14ac:dyDescent="0.25">
      <c r="A7296" t="s">
        <v>2786</v>
      </c>
      <c r="B7296" t="s">
        <v>51</v>
      </c>
      <c r="C7296" t="s">
        <v>70</v>
      </c>
      <c r="D7296" t="s">
        <v>3218</v>
      </c>
      <c r="E7296">
        <v>15.5</v>
      </c>
      <c r="F7296">
        <v>-1.55</v>
      </c>
    </row>
    <row r="7297" spans="1:6" x14ac:dyDescent="0.25">
      <c r="A7297" t="s">
        <v>2786</v>
      </c>
      <c r="B7297" t="s">
        <v>51</v>
      </c>
      <c r="C7297" t="s">
        <v>70</v>
      </c>
      <c r="D7297" t="s">
        <v>3219</v>
      </c>
      <c r="E7297">
        <v>30</v>
      </c>
      <c r="F7297">
        <v>-2.08</v>
      </c>
    </row>
    <row r="7298" spans="1:6" x14ac:dyDescent="0.25">
      <c r="A7298" t="s">
        <v>2787</v>
      </c>
      <c r="B7298" t="s">
        <v>51</v>
      </c>
      <c r="C7298" t="s">
        <v>71</v>
      </c>
      <c r="D7298" t="s">
        <v>3217</v>
      </c>
      <c r="E7298">
        <v>0</v>
      </c>
      <c r="F7298">
        <v>0</v>
      </c>
    </row>
    <row r="7299" spans="1:6" x14ac:dyDescent="0.25">
      <c r="A7299" t="s">
        <v>2787</v>
      </c>
      <c r="B7299" t="s">
        <v>51</v>
      </c>
      <c r="C7299" t="s">
        <v>71</v>
      </c>
      <c r="D7299" t="s">
        <v>3218</v>
      </c>
      <c r="E7299">
        <v>16.28</v>
      </c>
      <c r="F7299">
        <v>0</v>
      </c>
    </row>
    <row r="7300" spans="1:6" x14ac:dyDescent="0.25">
      <c r="A7300" t="s">
        <v>2787</v>
      </c>
      <c r="B7300" t="s">
        <v>51</v>
      </c>
      <c r="C7300" t="s">
        <v>71</v>
      </c>
      <c r="D7300" t="s">
        <v>3219</v>
      </c>
      <c r="E7300">
        <v>30.76</v>
      </c>
      <c r="F7300">
        <v>-0.5</v>
      </c>
    </row>
    <row r="7301" spans="1:6" x14ac:dyDescent="0.25">
      <c r="A7301" t="s">
        <v>2788</v>
      </c>
      <c r="B7301" t="s">
        <v>51</v>
      </c>
      <c r="C7301" t="s">
        <v>72</v>
      </c>
      <c r="D7301" t="s">
        <v>3217</v>
      </c>
      <c r="E7301">
        <v>0</v>
      </c>
      <c r="F7301">
        <v>1.32</v>
      </c>
    </row>
    <row r="7302" spans="1:6" x14ac:dyDescent="0.25">
      <c r="A7302" t="s">
        <v>2788</v>
      </c>
      <c r="B7302" t="s">
        <v>51</v>
      </c>
      <c r="C7302" t="s">
        <v>72</v>
      </c>
      <c r="D7302" t="s">
        <v>3218</v>
      </c>
      <c r="E7302">
        <v>16.87</v>
      </c>
      <c r="F7302">
        <v>1.53</v>
      </c>
    </row>
    <row r="7303" spans="1:6" x14ac:dyDescent="0.25">
      <c r="A7303" t="s">
        <v>2788</v>
      </c>
      <c r="B7303" t="s">
        <v>51</v>
      </c>
      <c r="C7303" t="s">
        <v>72</v>
      </c>
      <c r="D7303" t="s">
        <v>3219</v>
      </c>
      <c r="E7303">
        <v>30.8</v>
      </c>
      <c r="F7303">
        <v>1.04</v>
      </c>
    </row>
    <row r="7304" spans="1:6" x14ac:dyDescent="0.25">
      <c r="A7304" t="s">
        <v>2789</v>
      </c>
      <c r="B7304" t="s">
        <v>51</v>
      </c>
      <c r="C7304" t="s">
        <v>73</v>
      </c>
      <c r="D7304" t="s">
        <v>3217</v>
      </c>
      <c r="E7304">
        <v>0</v>
      </c>
      <c r="F7304">
        <v>2.9</v>
      </c>
    </row>
    <row r="7305" spans="1:6" x14ac:dyDescent="0.25">
      <c r="A7305" t="s">
        <v>2789</v>
      </c>
      <c r="B7305" t="s">
        <v>51</v>
      </c>
      <c r="C7305" t="s">
        <v>73</v>
      </c>
      <c r="D7305" t="s">
        <v>3218</v>
      </c>
      <c r="E7305">
        <v>17.61</v>
      </c>
      <c r="F7305">
        <v>3.1</v>
      </c>
    </row>
    <row r="7306" spans="1:6" x14ac:dyDescent="0.25">
      <c r="A7306" t="s">
        <v>2789</v>
      </c>
      <c r="B7306" t="s">
        <v>51</v>
      </c>
      <c r="C7306" t="s">
        <v>73</v>
      </c>
      <c r="D7306" t="s">
        <v>3219</v>
      </c>
      <c r="E7306">
        <v>31.27</v>
      </c>
      <c r="F7306">
        <v>2.59</v>
      </c>
    </row>
    <row r="7307" spans="1:6" x14ac:dyDescent="0.25">
      <c r="A7307" t="s">
        <v>2790</v>
      </c>
      <c r="B7307" t="s">
        <v>51</v>
      </c>
      <c r="C7307" t="s">
        <v>74</v>
      </c>
      <c r="D7307" t="s">
        <v>3217</v>
      </c>
      <c r="E7307">
        <v>0</v>
      </c>
      <c r="F7307">
        <v>4.5199999999999996</v>
      </c>
    </row>
    <row r="7308" spans="1:6" x14ac:dyDescent="0.25">
      <c r="A7308" t="s">
        <v>2790</v>
      </c>
      <c r="B7308" t="s">
        <v>51</v>
      </c>
      <c r="C7308" t="s">
        <v>74</v>
      </c>
      <c r="D7308" t="s">
        <v>3218</v>
      </c>
      <c r="E7308">
        <v>17.53</v>
      </c>
      <c r="F7308">
        <v>4.59</v>
      </c>
    </row>
    <row r="7309" spans="1:6" x14ac:dyDescent="0.25">
      <c r="A7309" t="s">
        <v>2790</v>
      </c>
      <c r="B7309" t="s">
        <v>51</v>
      </c>
      <c r="C7309" t="s">
        <v>74</v>
      </c>
      <c r="D7309" t="s">
        <v>3219</v>
      </c>
      <c r="E7309">
        <v>30.81</v>
      </c>
      <c r="F7309">
        <v>4.13</v>
      </c>
    </row>
    <row r="7310" spans="1:6" x14ac:dyDescent="0.25">
      <c r="A7310" t="s">
        <v>2791</v>
      </c>
      <c r="B7310" t="s">
        <v>51</v>
      </c>
      <c r="C7310" t="s">
        <v>75</v>
      </c>
      <c r="D7310" t="s">
        <v>3217</v>
      </c>
      <c r="E7310">
        <v>0</v>
      </c>
      <c r="F7310">
        <v>6.09</v>
      </c>
    </row>
    <row r="7311" spans="1:6" x14ac:dyDescent="0.25">
      <c r="A7311" t="s">
        <v>2791</v>
      </c>
      <c r="B7311" t="s">
        <v>51</v>
      </c>
      <c r="C7311" t="s">
        <v>75</v>
      </c>
      <c r="D7311" t="s">
        <v>3218</v>
      </c>
      <c r="E7311">
        <v>17.55</v>
      </c>
      <c r="F7311">
        <v>6.11</v>
      </c>
    </row>
    <row r="7312" spans="1:6" x14ac:dyDescent="0.25">
      <c r="A7312" t="s">
        <v>2791</v>
      </c>
      <c r="B7312" t="s">
        <v>51</v>
      </c>
      <c r="C7312" t="s">
        <v>75</v>
      </c>
      <c r="D7312" t="s">
        <v>3219</v>
      </c>
      <c r="E7312">
        <v>31.56</v>
      </c>
      <c r="F7312">
        <v>5.65</v>
      </c>
    </row>
    <row r="7313" spans="1:6" x14ac:dyDescent="0.25">
      <c r="A7313" t="s">
        <v>2792</v>
      </c>
      <c r="B7313" t="s">
        <v>51</v>
      </c>
      <c r="C7313" t="s">
        <v>76</v>
      </c>
      <c r="D7313" t="s">
        <v>3217</v>
      </c>
      <c r="E7313">
        <v>0</v>
      </c>
      <c r="F7313">
        <v>7.72</v>
      </c>
    </row>
    <row r="7314" spans="1:6" x14ac:dyDescent="0.25">
      <c r="A7314" t="s">
        <v>2792</v>
      </c>
      <c r="B7314" t="s">
        <v>51</v>
      </c>
      <c r="C7314" t="s">
        <v>76</v>
      </c>
      <c r="D7314" t="s">
        <v>3218</v>
      </c>
      <c r="E7314">
        <v>16.63</v>
      </c>
      <c r="F7314">
        <v>7.74</v>
      </c>
    </row>
    <row r="7315" spans="1:6" x14ac:dyDescent="0.25">
      <c r="A7315" t="s">
        <v>2792</v>
      </c>
      <c r="B7315" t="s">
        <v>51</v>
      </c>
      <c r="C7315" t="s">
        <v>76</v>
      </c>
      <c r="D7315" t="s">
        <v>3219</v>
      </c>
      <c r="E7315">
        <v>32.17</v>
      </c>
      <c r="F7315">
        <v>7.3</v>
      </c>
    </row>
    <row r="7316" spans="1:6" x14ac:dyDescent="0.25">
      <c r="A7316" t="s">
        <v>2793</v>
      </c>
      <c r="B7316" t="s">
        <v>51</v>
      </c>
      <c r="C7316" t="s">
        <v>77</v>
      </c>
      <c r="D7316" t="s">
        <v>3217</v>
      </c>
      <c r="E7316">
        <v>0</v>
      </c>
      <c r="F7316">
        <v>9.34</v>
      </c>
    </row>
    <row r="7317" spans="1:6" x14ac:dyDescent="0.25">
      <c r="A7317" t="s">
        <v>2793</v>
      </c>
      <c r="B7317" t="s">
        <v>51</v>
      </c>
      <c r="C7317" t="s">
        <v>77</v>
      </c>
      <c r="D7317" t="s">
        <v>3218</v>
      </c>
      <c r="E7317">
        <v>15.48</v>
      </c>
      <c r="F7317">
        <v>9.3699999999999992</v>
      </c>
    </row>
    <row r="7318" spans="1:6" x14ac:dyDescent="0.25">
      <c r="A7318" t="s">
        <v>2793</v>
      </c>
      <c r="B7318" t="s">
        <v>51</v>
      </c>
      <c r="C7318" t="s">
        <v>77</v>
      </c>
      <c r="D7318" t="s">
        <v>3219</v>
      </c>
      <c r="E7318">
        <v>31.15</v>
      </c>
      <c r="F7318">
        <v>8.9600000000000009</v>
      </c>
    </row>
    <row r="7319" spans="1:6" x14ac:dyDescent="0.25">
      <c r="A7319" t="s">
        <v>2794</v>
      </c>
      <c r="B7319" t="s">
        <v>51</v>
      </c>
      <c r="C7319" t="s">
        <v>78</v>
      </c>
      <c r="D7319" t="s">
        <v>3217</v>
      </c>
      <c r="E7319">
        <v>0</v>
      </c>
      <c r="F7319">
        <v>11</v>
      </c>
    </row>
    <row r="7320" spans="1:6" x14ac:dyDescent="0.25">
      <c r="A7320" t="s">
        <v>2794</v>
      </c>
      <c r="B7320" t="s">
        <v>51</v>
      </c>
      <c r="C7320" t="s">
        <v>78</v>
      </c>
      <c r="D7320" t="s">
        <v>3218</v>
      </c>
      <c r="E7320">
        <v>14.47</v>
      </c>
      <c r="F7320">
        <v>11.03</v>
      </c>
    </row>
    <row r="7321" spans="1:6" x14ac:dyDescent="0.25">
      <c r="A7321" t="s">
        <v>2794</v>
      </c>
      <c r="B7321" t="s">
        <v>51</v>
      </c>
      <c r="C7321" t="s">
        <v>78</v>
      </c>
      <c r="D7321" t="s">
        <v>3219</v>
      </c>
      <c r="E7321">
        <v>29.41</v>
      </c>
      <c r="F7321">
        <v>10.51</v>
      </c>
    </row>
    <row r="7322" spans="1:6" x14ac:dyDescent="0.25">
      <c r="A7322" t="s">
        <v>2795</v>
      </c>
      <c r="B7322" t="s">
        <v>51</v>
      </c>
      <c r="C7322" t="s">
        <v>79</v>
      </c>
      <c r="D7322" t="s">
        <v>3217</v>
      </c>
      <c r="E7322">
        <v>0</v>
      </c>
      <c r="F7322">
        <v>12.53</v>
      </c>
    </row>
    <row r="7323" spans="1:6" x14ac:dyDescent="0.25">
      <c r="A7323" t="s">
        <v>2795</v>
      </c>
      <c r="B7323" t="s">
        <v>51</v>
      </c>
      <c r="C7323" t="s">
        <v>79</v>
      </c>
      <c r="D7323" t="s">
        <v>3218</v>
      </c>
      <c r="E7323">
        <v>12.97</v>
      </c>
      <c r="F7323">
        <v>12.62</v>
      </c>
    </row>
    <row r="7324" spans="1:6" x14ac:dyDescent="0.25">
      <c r="A7324" t="s">
        <v>2795</v>
      </c>
      <c r="B7324" t="s">
        <v>51</v>
      </c>
      <c r="C7324" t="s">
        <v>79</v>
      </c>
      <c r="D7324" t="s">
        <v>3219</v>
      </c>
      <c r="E7324">
        <v>27.08</v>
      </c>
      <c r="F7324">
        <v>12.07</v>
      </c>
    </row>
    <row r="7325" spans="1:6" x14ac:dyDescent="0.25">
      <c r="A7325" t="s">
        <v>2796</v>
      </c>
      <c r="B7325" t="s">
        <v>51</v>
      </c>
      <c r="C7325" t="s">
        <v>80</v>
      </c>
      <c r="D7325" t="s">
        <v>3217</v>
      </c>
      <c r="E7325">
        <v>0</v>
      </c>
      <c r="F7325">
        <v>13.98</v>
      </c>
    </row>
    <row r="7326" spans="1:6" x14ac:dyDescent="0.25">
      <c r="A7326" t="s">
        <v>2796</v>
      </c>
      <c r="B7326" t="s">
        <v>51</v>
      </c>
      <c r="C7326" t="s">
        <v>80</v>
      </c>
      <c r="D7326" t="s">
        <v>3218</v>
      </c>
      <c r="E7326">
        <v>11.52</v>
      </c>
      <c r="F7326">
        <v>14.16</v>
      </c>
    </row>
    <row r="7327" spans="1:6" x14ac:dyDescent="0.25">
      <c r="A7327" t="s">
        <v>2796</v>
      </c>
      <c r="B7327" t="s">
        <v>51</v>
      </c>
      <c r="C7327" t="s">
        <v>80</v>
      </c>
      <c r="D7327" t="s">
        <v>3219</v>
      </c>
      <c r="E7327">
        <v>25.32</v>
      </c>
      <c r="F7327">
        <v>13.6</v>
      </c>
    </row>
    <row r="7328" spans="1:6" x14ac:dyDescent="0.25">
      <c r="A7328" t="s">
        <v>2797</v>
      </c>
      <c r="B7328" t="s">
        <v>51</v>
      </c>
      <c r="C7328" t="s">
        <v>81</v>
      </c>
      <c r="D7328" t="s">
        <v>3217</v>
      </c>
      <c r="E7328">
        <v>0</v>
      </c>
      <c r="F7328">
        <v>15.39</v>
      </c>
    </row>
    <row r="7329" spans="1:6" x14ac:dyDescent="0.25">
      <c r="A7329" t="s">
        <v>2797</v>
      </c>
      <c r="B7329" t="s">
        <v>51</v>
      </c>
      <c r="C7329" t="s">
        <v>81</v>
      </c>
      <c r="D7329" t="s">
        <v>3218</v>
      </c>
      <c r="E7329">
        <v>11.35</v>
      </c>
      <c r="F7329">
        <v>15.5</v>
      </c>
    </row>
    <row r="7330" spans="1:6" x14ac:dyDescent="0.25">
      <c r="A7330" t="s">
        <v>2797</v>
      </c>
      <c r="B7330" t="s">
        <v>51</v>
      </c>
      <c r="C7330" t="s">
        <v>81</v>
      </c>
      <c r="D7330" t="s">
        <v>3219</v>
      </c>
      <c r="E7330">
        <v>25.34</v>
      </c>
      <c r="F7330">
        <v>15.15</v>
      </c>
    </row>
    <row r="7331" spans="1:6" x14ac:dyDescent="0.25">
      <c r="A7331" t="s">
        <v>2798</v>
      </c>
      <c r="B7331" t="s">
        <v>51</v>
      </c>
      <c r="C7331" t="s">
        <v>82</v>
      </c>
      <c r="D7331" t="s">
        <v>3217</v>
      </c>
      <c r="E7331">
        <v>0</v>
      </c>
      <c r="F7331">
        <v>16.809999999999999</v>
      </c>
    </row>
    <row r="7332" spans="1:6" x14ac:dyDescent="0.25">
      <c r="A7332" t="s">
        <v>2798</v>
      </c>
      <c r="B7332" t="s">
        <v>51</v>
      </c>
      <c r="C7332" t="s">
        <v>82</v>
      </c>
      <c r="D7332" t="s">
        <v>3218</v>
      </c>
      <c r="E7332">
        <v>12.5</v>
      </c>
      <c r="F7332">
        <v>16.739999999999998</v>
      </c>
    </row>
    <row r="7333" spans="1:6" x14ac:dyDescent="0.25">
      <c r="A7333" t="s">
        <v>2798</v>
      </c>
      <c r="B7333" t="s">
        <v>51</v>
      </c>
      <c r="C7333" t="s">
        <v>82</v>
      </c>
      <c r="D7333" t="s">
        <v>3219</v>
      </c>
      <c r="E7333">
        <v>26.34</v>
      </c>
      <c r="F7333">
        <v>16.32</v>
      </c>
    </row>
    <row r="7334" spans="1:6" x14ac:dyDescent="0.25">
      <c r="A7334" t="s">
        <v>2799</v>
      </c>
      <c r="B7334" t="s">
        <v>51</v>
      </c>
      <c r="C7334" t="s">
        <v>83</v>
      </c>
      <c r="D7334" t="s">
        <v>3217</v>
      </c>
      <c r="E7334">
        <v>0</v>
      </c>
      <c r="F7334">
        <v>17.760000000000002</v>
      </c>
    </row>
    <row r="7335" spans="1:6" x14ac:dyDescent="0.25">
      <c r="A7335" t="s">
        <v>2799</v>
      </c>
      <c r="B7335" t="s">
        <v>51</v>
      </c>
      <c r="C7335" t="s">
        <v>83</v>
      </c>
      <c r="D7335" t="s">
        <v>3218</v>
      </c>
      <c r="E7335">
        <v>11.26</v>
      </c>
      <c r="F7335">
        <v>17.71</v>
      </c>
    </row>
    <row r="7336" spans="1:6" x14ac:dyDescent="0.25">
      <c r="A7336" t="s">
        <v>2799</v>
      </c>
      <c r="B7336" t="s">
        <v>51</v>
      </c>
      <c r="C7336" t="s">
        <v>83</v>
      </c>
      <c r="D7336" t="s">
        <v>3219</v>
      </c>
      <c r="E7336">
        <v>25.1</v>
      </c>
      <c r="F7336">
        <v>17.239999999999998</v>
      </c>
    </row>
    <row r="7337" spans="1:6" x14ac:dyDescent="0.25">
      <c r="A7337" t="s">
        <v>2800</v>
      </c>
      <c r="B7337" t="s">
        <v>51</v>
      </c>
      <c r="C7337" t="s">
        <v>84</v>
      </c>
      <c r="D7337" t="s">
        <v>3217</v>
      </c>
      <c r="E7337">
        <v>0</v>
      </c>
      <c r="F7337">
        <v>19.21</v>
      </c>
    </row>
    <row r="7338" spans="1:6" x14ac:dyDescent="0.25">
      <c r="A7338" t="s">
        <v>2800</v>
      </c>
      <c r="B7338" t="s">
        <v>51</v>
      </c>
      <c r="C7338" t="s">
        <v>84</v>
      </c>
      <c r="D7338" t="s">
        <v>3218</v>
      </c>
      <c r="E7338">
        <v>20</v>
      </c>
      <c r="F7338">
        <v>18.14</v>
      </c>
    </row>
    <row r="7339" spans="1:6" x14ac:dyDescent="0.25">
      <c r="A7339" t="s">
        <v>2800</v>
      </c>
      <c r="B7339" t="s">
        <v>51</v>
      </c>
      <c r="C7339" t="s">
        <v>84</v>
      </c>
      <c r="D7339" t="s">
        <v>3219</v>
      </c>
      <c r="E7339">
        <v>32.78</v>
      </c>
      <c r="F7339">
        <v>17.79</v>
      </c>
    </row>
    <row r="7340" spans="1:6" x14ac:dyDescent="0.25">
      <c r="A7340" t="s">
        <v>2801</v>
      </c>
      <c r="B7340" t="s">
        <v>51</v>
      </c>
      <c r="C7340" t="s">
        <v>85</v>
      </c>
      <c r="D7340" t="s">
        <v>3217</v>
      </c>
      <c r="E7340">
        <v>0</v>
      </c>
      <c r="F7340">
        <v>19.399999999999999</v>
      </c>
    </row>
    <row r="7341" spans="1:6" x14ac:dyDescent="0.25">
      <c r="A7341" t="s">
        <v>2801</v>
      </c>
      <c r="B7341" t="s">
        <v>51</v>
      </c>
      <c r="C7341" t="s">
        <v>85</v>
      </c>
      <c r="D7341" t="s">
        <v>3218</v>
      </c>
      <c r="E7341">
        <v>20</v>
      </c>
      <c r="F7341">
        <v>18.64</v>
      </c>
    </row>
    <row r="7342" spans="1:6" x14ac:dyDescent="0.25">
      <c r="A7342" t="s">
        <v>2801</v>
      </c>
      <c r="B7342" t="s">
        <v>51</v>
      </c>
      <c r="C7342" t="s">
        <v>85</v>
      </c>
      <c r="D7342" t="s">
        <v>3219</v>
      </c>
      <c r="E7342">
        <v>34.25</v>
      </c>
      <c r="F7342">
        <v>18.13</v>
      </c>
    </row>
    <row r="7343" spans="1:6" x14ac:dyDescent="0.25">
      <c r="A7343" t="s">
        <v>2802</v>
      </c>
      <c r="B7343" t="s">
        <v>51</v>
      </c>
      <c r="C7343" t="s">
        <v>86</v>
      </c>
      <c r="D7343" t="s">
        <v>3217</v>
      </c>
      <c r="E7343">
        <v>0</v>
      </c>
      <c r="F7343">
        <v>19.91</v>
      </c>
    </row>
    <row r="7344" spans="1:6" x14ac:dyDescent="0.25">
      <c r="A7344" t="s">
        <v>2802</v>
      </c>
      <c r="B7344" t="s">
        <v>51</v>
      </c>
      <c r="C7344" t="s">
        <v>86</v>
      </c>
      <c r="D7344" t="s">
        <v>3218</v>
      </c>
      <c r="E7344">
        <v>20</v>
      </c>
      <c r="F7344">
        <v>19.18</v>
      </c>
    </row>
    <row r="7345" spans="1:6" x14ac:dyDescent="0.25">
      <c r="A7345" t="s">
        <v>2802</v>
      </c>
      <c r="B7345" t="s">
        <v>51</v>
      </c>
      <c r="C7345" t="s">
        <v>86</v>
      </c>
      <c r="D7345" t="s">
        <v>3219</v>
      </c>
      <c r="E7345">
        <v>35.99</v>
      </c>
      <c r="F7345">
        <v>18.690000000000001</v>
      </c>
    </row>
    <row r="7346" spans="1:6" x14ac:dyDescent="0.25">
      <c r="A7346" t="s">
        <v>2803</v>
      </c>
      <c r="B7346" t="s">
        <v>51</v>
      </c>
      <c r="C7346" t="s">
        <v>87</v>
      </c>
      <c r="D7346" t="s">
        <v>3217</v>
      </c>
      <c r="E7346">
        <v>0</v>
      </c>
      <c r="F7346">
        <v>20.14</v>
      </c>
    </row>
    <row r="7347" spans="1:6" x14ac:dyDescent="0.25">
      <c r="A7347" t="s">
        <v>2803</v>
      </c>
      <c r="B7347" t="s">
        <v>51</v>
      </c>
      <c r="C7347" t="s">
        <v>87</v>
      </c>
      <c r="D7347" t="s">
        <v>3218</v>
      </c>
      <c r="E7347">
        <v>20</v>
      </c>
      <c r="F7347">
        <v>19.53</v>
      </c>
    </row>
    <row r="7348" spans="1:6" x14ac:dyDescent="0.25">
      <c r="A7348" t="s">
        <v>2803</v>
      </c>
      <c r="B7348" t="s">
        <v>51</v>
      </c>
      <c r="C7348" t="s">
        <v>87</v>
      </c>
      <c r="D7348" t="s">
        <v>3219</v>
      </c>
      <c r="E7348">
        <v>35.99</v>
      </c>
      <c r="F7348">
        <v>18.920000000000002</v>
      </c>
    </row>
    <row r="7349" spans="1:6" x14ac:dyDescent="0.25">
      <c r="A7349" t="s">
        <v>2804</v>
      </c>
      <c r="B7349" t="s">
        <v>51</v>
      </c>
      <c r="C7349" t="s">
        <v>88</v>
      </c>
      <c r="D7349" t="s">
        <v>3217</v>
      </c>
      <c r="E7349">
        <v>0</v>
      </c>
      <c r="F7349">
        <v>20.309999999999999</v>
      </c>
    </row>
    <row r="7350" spans="1:6" x14ac:dyDescent="0.25">
      <c r="A7350" t="s">
        <v>2804</v>
      </c>
      <c r="B7350" t="s">
        <v>51</v>
      </c>
      <c r="C7350" t="s">
        <v>88</v>
      </c>
      <c r="D7350" t="s">
        <v>3218</v>
      </c>
      <c r="E7350">
        <v>20</v>
      </c>
      <c r="F7350">
        <v>19.22</v>
      </c>
    </row>
    <row r="7351" spans="1:6" x14ac:dyDescent="0.25">
      <c r="A7351" t="s">
        <v>2804</v>
      </c>
      <c r="B7351" t="s">
        <v>51</v>
      </c>
      <c r="C7351" t="s">
        <v>88</v>
      </c>
      <c r="D7351" t="s">
        <v>3219</v>
      </c>
      <c r="E7351">
        <v>35.99</v>
      </c>
      <c r="F7351">
        <v>18.95</v>
      </c>
    </row>
    <row r="7352" spans="1:6" x14ac:dyDescent="0.25">
      <c r="A7352" t="s">
        <v>2805</v>
      </c>
      <c r="B7352" t="s">
        <v>51</v>
      </c>
      <c r="C7352" t="s">
        <v>89</v>
      </c>
      <c r="D7352" t="s">
        <v>3217</v>
      </c>
      <c r="E7352">
        <v>0</v>
      </c>
      <c r="F7352">
        <v>18.87</v>
      </c>
    </row>
    <row r="7353" spans="1:6" x14ac:dyDescent="0.25">
      <c r="A7353" t="s">
        <v>2805</v>
      </c>
      <c r="B7353" t="s">
        <v>51</v>
      </c>
      <c r="C7353" t="s">
        <v>89</v>
      </c>
      <c r="D7353" t="s">
        <v>3218</v>
      </c>
      <c r="E7353">
        <v>16</v>
      </c>
      <c r="F7353">
        <v>18.37</v>
      </c>
    </row>
    <row r="7354" spans="1:6" x14ac:dyDescent="0.25">
      <c r="A7354" t="s">
        <v>2805</v>
      </c>
      <c r="B7354" t="s">
        <v>51</v>
      </c>
      <c r="C7354" t="s">
        <v>89</v>
      </c>
      <c r="D7354" t="s">
        <v>3219</v>
      </c>
      <c r="E7354">
        <v>30.28</v>
      </c>
      <c r="F7354">
        <v>17.559999999999999</v>
      </c>
    </row>
    <row r="7355" spans="1:6" x14ac:dyDescent="0.25">
      <c r="A7355" t="s">
        <v>2806</v>
      </c>
      <c r="B7355" t="s">
        <v>51</v>
      </c>
      <c r="C7355" t="s">
        <v>90</v>
      </c>
      <c r="D7355" t="s">
        <v>3217</v>
      </c>
      <c r="E7355">
        <v>0</v>
      </c>
      <c r="F7355">
        <v>18.68</v>
      </c>
    </row>
    <row r="7356" spans="1:6" x14ac:dyDescent="0.25">
      <c r="A7356" t="s">
        <v>2806</v>
      </c>
      <c r="B7356" t="s">
        <v>51</v>
      </c>
      <c r="C7356" t="s">
        <v>90</v>
      </c>
      <c r="D7356" t="s">
        <v>3218</v>
      </c>
      <c r="E7356">
        <v>15.87</v>
      </c>
      <c r="F7356">
        <v>18.16</v>
      </c>
    </row>
    <row r="7357" spans="1:6" x14ac:dyDescent="0.25">
      <c r="A7357" t="s">
        <v>2806</v>
      </c>
      <c r="B7357" t="s">
        <v>51</v>
      </c>
      <c r="C7357" t="s">
        <v>90</v>
      </c>
      <c r="D7357" t="s">
        <v>3219</v>
      </c>
      <c r="E7357">
        <v>28.56</v>
      </c>
      <c r="F7357">
        <v>17.3</v>
      </c>
    </row>
    <row r="7358" spans="1:6" x14ac:dyDescent="0.25">
      <c r="A7358" t="s">
        <v>2807</v>
      </c>
      <c r="B7358" t="s">
        <v>51</v>
      </c>
      <c r="C7358" t="s">
        <v>91</v>
      </c>
      <c r="D7358" t="s">
        <v>3217</v>
      </c>
      <c r="E7358">
        <v>0</v>
      </c>
      <c r="F7358">
        <v>18.649999999999999</v>
      </c>
    </row>
    <row r="7359" spans="1:6" x14ac:dyDescent="0.25">
      <c r="A7359" t="s">
        <v>2807</v>
      </c>
      <c r="B7359" t="s">
        <v>51</v>
      </c>
      <c r="C7359" t="s">
        <v>91</v>
      </c>
      <c r="D7359" t="s">
        <v>3218</v>
      </c>
      <c r="E7359">
        <v>14.72</v>
      </c>
      <c r="F7359">
        <v>18.350000000000001</v>
      </c>
    </row>
    <row r="7360" spans="1:6" x14ac:dyDescent="0.25">
      <c r="A7360" t="s">
        <v>2807</v>
      </c>
      <c r="B7360" t="s">
        <v>51</v>
      </c>
      <c r="C7360" t="s">
        <v>91</v>
      </c>
      <c r="D7360" t="s">
        <v>3219</v>
      </c>
      <c r="E7360">
        <v>29</v>
      </c>
      <c r="F7360">
        <v>17.309999999999999</v>
      </c>
    </row>
    <row r="7361" spans="1:6" x14ac:dyDescent="0.25">
      <c r="A7361" t="s">
        <v>2808</v>
      </c>
      <c r="B7361" t="s">
        <v>51</v>
      </c>
      <c r="C7361" t="s">
        <v>92</v>
      </c>
      <c r="D7361" t="s">
        <v>3217</v>
      </c>
      <c r="E7361">
        <v>0</v>
      </c>
      <c r="F7361">
        <v>18.43</v>
      </c>
    </row>
    <row r="7362" spans="1:6" x14ac:dyDescent="0.25">
      <c r="A7362" t="s">
        <v>2808</v>
      </c>
      <c r="B7362" t="s">
        <v>51</v>
      </c>
      <c r="C7362" t="s">
        <v>92</v>
      </c>
      <c r="D7362" t="s">
        <v>3218</v>
      </c>
      <c r="E7362">
        <v>15.87</v>
      </c>
      <c r="F7362">
        <v>17.97</v>
      </c>
    </row>
    <row r="7363" spans="1:6" x14ac:dyDescent="0.25">
      <c r="A7363" t="s">
        <v>2808</v>
      </c>
      <c r="B7363" t="s">
        <v>51</v>
      </c>
      <c r="C7363" t="s">
        <v>92</v>
      </c>
      <c r="D7363" t="s">
        <v>3219</v>
      </c>
      <c r="E7363">
        <v>30.01</v>
      </c>
      <c r="F7363">
        <v>17.260000000000002</v>
      </c>
    </row>
    <row r="7364" spans="1:6" x14ac:dyDescent="0.25">
      <c r="A7364" t="s">
        <v>2809</v>
      </c>
      <c r="B7364" t="s">
        <v>51</v>
      </c>
      <c r="C7364" t="s">
        <v>93</v>
      </c>
      <c r="D7364" t="s">
        <v>3217</v>
      </c>
      <c r="E7364">
        <v>0</v>
      </c>
      <c r="F7364">
        <v>17.97</v>
      </c>
    </row>
    <row r="7365" spans="1:6" x14ac:dyDescent="0.25">
      <c r="A7365" t="s">
        <v>2809</v>
      </c>
      <c r="B7365" t="s">
        <v>51</v>
      </c>
      <c r="C7365" t="s">
        <v>93</v>
      </c>
      <c r="D7365" t="s">
        <v>3218</v>
      </c>
      <c r="E7365">
        <v>14.4</v>
      </c>
      <c r="F7365">
        <v>17.82</v>
      </c>
    </row>
    <row r="7366" spans="1:6" x14ac:dyDescent="0.25">
      <c r="A7366" t="s">
        <v>2809</v>
      </c>
      <c r="B7366" t="s">
        <v>51</v>
      </c>
      <c r="C7366" t="s">
        <v>93</v>
      </c>
      <c r="D7366" t="s">
        <v>3219</v>
      </c>
      <c r="E7366">
        <v>28.12</v>
      </c>
      <c r="F7366">
        <v>17.18</v>
      </c>
    </row>
    <row r="7367" spans="1:6" x14ac:dyDescent="0.25">
      <c r="A7367" t="s">
        <v>2810</v>
      </c>
      <c r="B7367" t="s">
        <v>51</v>
      </c>
      <c r="C7367" t="s">
        <v>94</v>
      </c>
      <c r="D7367" t="s">
        <v>3217</v>
      </c>
      <c r="E7367">
        <v>0</v>
      </c>
      <c r="F7367">
        <v>17.690000000000001</v>
      </c>
    </row>
    <row r="7368" spans="1:6" x14ac:dyDescent="0.25">
      <c r="A7368" t="s">
        <v>2810</v>
      </c>
      <c r="B7368" t="s">
        <v>51</v>
      </c>
      <c r="C7368" t="s">
        <v>94</v>
      </c>
      <c r="D7368" t="s">
        <v>3218</v>
      </c>
      <c r="E7368">
        <v>12.66</v>
      </c>
      <c r="F7368">
        <v>17.79</v>
      </c>
    </row>
    <row r="7369" spans="1:6" x14ac:dyDescent="0.25">
      <c r="A7369" t="s">
        <v>2810</v>
      </c>
      <c r="B7369" t="s">
        <v>51</v>
      </c>
      <c r="C7369" t="s">
        <v>94</v>
      </c>
      <c r="D7369" t="s">
        <v>3219</v>
      </c>
      <c r="E7369">
        <v>25.88</v>
      </c>
      <c r="F7369">
        <v>17.03</v>
      </c>
    </row>
    <row r="7370" spans="1:6" x14ac:dyDescent="0.25">
      <c r="A7370" t="s">
        <v>2811</v>
      </c>
      <c r="B7370" t="s">
        <v>51</v>
      </c>
      <c r="C7370" t="s">
        <v>95</v>
      </c>
      <c r="D7370" t="s">
        <v>3217</v>
      </c>
      <c r="E7370">
        <v>0</v>
      </c>
      <c r="F7370">
        <v>17.66</v>
      </c>
    </row>
    <row r="7371" spans="1:6" x14ac:dyDescent="0.25">
      <c r="A7371" t="s">
        <v>2811</v>
      </c>
      <c r="B7371" t="s">
        <v>51</v>
      </c>
      <c r="C7371" t="s">
        <v>95</v>
      </c>
      <c r="D7371" t="s">
        <v>3218</v>
      </c>
      <c r="E7371">
        <v>13.25</v>
      </c>
      <c r="F7371">
        <v>17.420000000000002</v>
      </c>
    </row>
    <row r="7372" spans="1:6" x14ac:dyDescent="0.25">
      <c r="A7372" t="s">
        <v>2811</v>
      </c>
      <c r="B7372" t="s">
        <v>51</v>
      </c>
      <c r="C7372" t="s">
        <v>95</v>
      </c>
      <c r="D7372" t="s">
        <v>3219</v>
      </c>
      <c r="E7372">
        <v>26.06</v>
      </c>
      <c r="F7372">
        <v>16.96</v>
      </c>
    </row>
    <row r="7373" spans="1:6" x14ac:dyDescent="0.25">
      <c r="A7373" t="s">
        <v>2812</v>
      </c>
      <c r="B7373" t="s">
        <v>51</v>
      </c>
      <c r="C7373" t="s">
        <v>96</v>
      </c>
      <c r="D7373" t="s">
        <v>3217</v>
      </c>
      <c r="E7373">
        <v>0</v>
      </c>
      <c r="F7373">
        <v>17.489999999999998</v>
      </c>
    </row>
    <row r="7374" spans="1:6" x14ac:dyDescent="0.25">
      <c r="A7374" t="s">
        <v>2812</v>
      </c>
      <c r="B7374" t="s">
        <v>51</v>
      </c>
      <c r="C7374" t="s">
        <v>96</v>
      </c>
      <c r="D7374" t="s">
        <v>3218</v>
      </c>
      <c r="E7374">
        <v>13.29</v>
      </c>
      <c r="F7374">
        <v>17.43</v>
      </c>
    </row>
    <row r="7375" spans="1:6" x14ac:dyDescent="0.25">
      <c r="A7375" t="s">
        <v>2812</v>
      </c>
      <c r="B7375" t="s">
        <v>51</v>
      </c>
      <c r="C7375" t="s">
        <v>96</v>
      </c>
      <c r="D7375" t="s">
        <v>3219</v>
      </c>
      <c r="E7375">
        <v>26.43</v>
      </c>
      <c r="F7375">
        <v>16.899999999999999</v>
      </c>
    </row>
    <row r="7376" spans="1:6" x14ac:dyDescent="0.25">
      <c r="A7376" t="s">
        <v>2813</v>
      </c>
      <c r="B7376" t="s">
        <v>51</v>
      </c>
      <c r="C7376" t="s">
        <v>97</v>
      </c>
      <c r="D7376" t="s">
        <v>3217</v>
      </c>
      <c r="E7376">
        <v>0</v>
      </c>
      <c r="F7376">
        <v>17.7</v>
      </c>
    </row>
    <row r="7377" spans="1:6" x14ac:dyDescent="0.25">
      <c r="A7377" t="s">
        <v>2813</v>
      </c>
      <c r="B7377" t="s">
        <v>51</v>
      </c>
      <c r="C7377" t="s">
        <v>97</v>
      </c>
      <c r="D7377" t="s">
        <v>3218</v>
      </c>
      <c r="E7377">
        <v>13.25</v>
      </c>
      <c r="F7377">
        <v>17.61</v>
      </c>
    </row>
    <row r="7378" spans="1:6" x14ac:dyDescent="0.25">
      <c r="A7378" t="s">
        <v>2813</v>
      </c>
      <c r="B7378" t="s">
        <v>51</v>
      </c>
      <c r="C7378" t="s">
        <v>97</v>
      </c>
      <c r="D7378" t="s">
        <v>3219</v>
      </c>
      <c r="E7378">
        <v>26</v>
      </c>
      <c r="F7378">
        <v>17</v>
      </c>
    </row>
    <row r="7379" spans="1:6" x14ac:dyDescent="0.25">
      <c r="A7379" t="s">
        <v>2814</v>
      </c>
      <c r="B7379" t="s">
        <v>51</v>
      </c>
      <c r="C7379" t="s">
        <v>98</v>
      </c>
      <c r="D7379" t="s">
        <v>3217</v>
      </c>
      <c r="E7379">
        <v>0</v>
      </c>
      <c r="F7379">
        <v>17.61</v>
      </c>
    </row>
    <row r="7380" spans="1:6" x14ac:dyDescent="0.25">
      <c r="A7380" t="s">
        <v>2814</v>
      </c>
      <c r="B7380" t="s">
        <v>51</v>
      </c>
      <c r="C7380" t="s">
        <v>98</v>
      </c>
      <c r="D7380" t="s">
        <v>3218</v>
      </c>
      <c r="E7380">
        <v>12.37</v>
      </c>
      <c r="F7380">
        <v>17.52</v>
      </c>
    </row>
    <row r="7381" spans="1:6" x14ac:dyDescent="0.25">
      <c r="A7381" t="s">
        <v>2814</v>
      </c>
      <c r="B7381" t="s">
        <v>51</v>
      </c>
      <c r="C7381" t="s">
        <v>98</v>
      </c>
      <c r="D7381" t="s">
        <v>3219</v>
      </c>
      <c r="E7381">
        <v>27.99</v>
      </c>
      <c r="F7381">
        <v>17.079999999999998</v>
      </c>
    </row>
    <row r="7382" spans="1:6" x14ac:dyDescent="0.25">
      <c r="A7382" t="s">
        <v>2815</v>
      </c>
      <c r="B7382" t="s">
        <v>51</v>
      </c>
      <c r="C7382" t="s">
        <v>99</v>
      </c>
      <c r="D7382" t="s">
        <v>3217</v>
      </c>
      <c r="E7382">
        <v>0</v>
      </c>
      <c r="F7382">
        <v>17.690000000000001</v>
      </c>
    </row>
    <row r="7383" spans="1:6" x14ac:dyDescent="0.25">
      <c r="A7383" t="s">
        <v>2815</v>
      </c>
      <c r="B7383" t="s">
        <v>51</v>
      </c>
      <c r="C7383" t="s">
        <v>99</v>
      </c>
      <c r="D7383" t="s">
        <v>3218</v>
      </c>
      <c r="E7383">
        <v>14.33</v>
      </c>
      <c r="F7383">
        <v>17.2</v>
      </c>
    </row>
    <row r="7384" spans="1:6" x14ac:dyDescent="0.25">
      <c r="A7384" t="s">
        <v>2815</v>
      </c>
      <c r="B7384" t="s">
        <v>51</v>
      </c>
      <c r="C7384" t="s">
        <v>99</v>
      </c>
      <c r="D7384" t="s">
        <v>3219</v>
      </c>
      <c r="E7384">
        <v>34.33</v>
      </c>
      <c r="F7384">
        <v>16.66</v>
      </c>
    </row>
    <row r="7385" spans="1:6" x14ac:dyDescent="0.25">
      <c r="A7385" t="s">
        <v>2816</v>
      </c>
      <c r="B7385" t="s">
        <v>51</v>
      </c>
      <c r="C7385" t="s">
        <v>100</v>
      </c>
      <c r="D7385" t="s">
        <v>3217</v>
      </c>
      <c r="E7385">
        <v>0</v>
      </c>
      <c r="F7385">
        <v>17.940000000000001</v>
      </c>
    </row>
    <row r="7386" spans="1:6" x14ac:dyDescent="0.25">
      <c r="A7386" t="s">
        <v>2816</v>
      </c>
      <c r="B7386" t="s">
        <v>51</v>
      </c>
      <c r="C7386" t="s">
        <v>100</v>
      </c>
      <c r="D7386" t="s">
        <v>3218</v>
      </c>
      <c r="E7386">
        <v>14.68</v>
      </c>
      <c r="F7386">
        <v>17.440000000000001</v>
      </c>
    </row>
    <row r="7387" spans="1:6" x14ac:dyDescent="0.25">
      <c r="A7387" t="s">
        <v>2816</v>
      </c>
      <c r="B7387" t="s">
        <v>51</v>
      </c>
      <c r="C7387" t="s">
        <v>100</v>
      </c>
      <c r="D7387" t="s">
        <v>3219</v>
      </c>
      <c r="E7387">
        <v>34.68</v>
      </c>
      <c r="F7387">
        <v>18.2</v>
      </c>
    </row>
    <row r="7388" spans="1:6" x14ac:dyDescent="0.25">
      <c r="A7388" t="s">
        <v>2817</v>
      </c>
      <c r="B7388" t="s">
        <v>51</v>
      </c>
      <c r="C7388" t="s">
        <v>101</v>
      </c>
      <c r="D7388" t="s">
        <v>3217</v>
      </c>
      <c r="E7388">
        <v>0</v>
      </c>
      <c r="F7388">
        <v>18.41</v>
      </c>
    </row>
    <row r="7389" spans="1:6" x14ac:dyDescent="0.25">
      <c r="A7389" t="s">
        <v>2817</v>
      </c>
      <c r="B7389" t="s">
        <v>51</v>
      </c>
      <c r="C7389" t="s">
        <v>101</v>
      </c>
      <c r="D7389" t="s">
        <v>3218</v>
      </c>
      <c r="E7389">
        <v>16.14</v>
      </c>
      <c r="F7389">
        <v>17.73</v>
      </c>
    </row>
    <row r="7390" spans="1:6" x14ac:dyDescent="0.25">
      <c r="A7390" t="s">
        <v>2817</v>
      </c>
      <c r="B7390" t="s">
        <v>51</v>
      </c>
      <c r="C7390" t="s">
        <v>101</v>
      </c>
      <c r="D7390" t="s">
        <v>3219</v>
      </c>
      <c r="E7390">
        <v>31.77</v>
      </c>
      <c r="F7390">
        <v>17.23</v>
      </c>
    </row>
    <row r="7391" spans="1:6" x14ac:dyDescent="0.25">
      <c r="A7391" t="s">
        <v>2818</v>
      </c>
      <c r="B7391" t="s">
        <v>51</v>
      </c>
      <c r="C7391" t="s">
        <v>102</v>
      </c>
      <c r="D7391" t="s">
        <v>3217</v>
      </c>
      <c r="E7391">
        <v>0</v>
      </c>
      <c r="F7391">
        <v>19.13</v>
      </c>
    </row>
    <row r="7392" spans="1:6" x14ac:dyDescent="0.25">
      <c r="A7392" t="s">
        <v>2818</v>
      </c>
      <c r="B7392" t="s">
        <v>51</v>
      </c>
      <c r="C7392" t="s">
        <v>102</v>
      </c>
      <c r="D7392" t="s">
        <v>3218</v>
      </c>
      <c r="E7392">
        <v>16.46</v>
      </c>
      <c r="F7392">
        <v>18.43</v>
      </c>
    </row>
    <row r="7393" spans="1:6" x14ac:dyDescent="0.25">
      <c r="A7393" t="s">
        <v>2818</v>
      </c>
      <c r="B7393" t="s">
        <v>51</v>
      </c>
      <c r="C7393" t="s">
        <v>102</v>
      </c>
      <c r="D7393" t="s">
        <v>3219</v>
      </c>
      <c r="E7393">
        <v>29.89</v>
      </c>
      <c r="F7393">
        <v>18.079999999999998</v>
      </c>
    </row>
    <row r="7394" spans="1:6" x14ac:dyDescent="0.25">
      <c r="A7394" t="s">
        <v>2819</v>
      </c>
      <c r="B7394" t="s">
        <v>51</v>
      </c>
      <c r="C7394" t="s">
        <v>103</v>
      </c>
      <c r="D7394" t="s">
        <v>3217</v>
      </c>
      <c r="E7394">
        <v>0</v>
      </c>
      <c r="F7394">
        <v>19.8</v>
      </c>
    </row>
    <row r="7395" spans="1:6" x14ac:dyDescent="0.25">
      <c r="A7395" t="s">
        <v>2819</v>
      </c>
      <c r="B7395" t="s">
        <v>51</v>
      </c>
      <c r="C7395" t="s">
        <v>103</v>
      </c>
      <c r="D7395" t="s">
        <v>3218</v>
      </c>
      <c r="E7395">
        <v>16.55</v>
      </c>
      <c r="F7395">
        <v>19.37</v>
      </c>
    </row>
    <row r="7396" spans="1:6" x14ac:dyDescent="0.25">
      <c r="A7396" t="s">
        <v>2819</v>
      </c>
      <c r="B7396" t="s">
        <v>51</v>
      </c>
      <c r="C7396" t="s">
        <v>103</v>
      </c>
      <c r="D7396" t="s">
        <v>3219</v>
      </c>
      <c r="E7396">
        <v>29.04</v>
      </c>
      <c r="F7396">
        <v>19.079999999999998</v>
      </c>
    </row>
    <row r="7397" spans="1:6" x14ac:dyDescent="0.25">
      <c r="A7397" t="s">
        <v>2820</v>
      </c>
      <c r="B7397" t="s">
        <v>51</v>
      </c>
      <c r="C7397" t="s">
        <v>104</v>
      </c>
      <c r="D7397" t="s">
        <v>3217</v>
      </c>
      <c r="E7397">
        <v>0</v>
      </c>
      <c r="F7397">
        <v>20.65</v>
      </c>
    </row>
    <row r="7398" spans="1:6" x14ac:dyDescent="0.25">
      <c r="A7398" t="s">
        <v>2820</v>
      </c>
      <c r="B7398" t="s">
        <v>51</v>
      </c>
      <c r="C7398" t="s">
        <v>104</v>
      </c>
      <c r="D7398" t="s">
        <v>3218</v>
      </c>
      <c r="E7398">
        <v>15.85</v>
      </c>
      <c r="F7398">
        <v>20.52</v>
      </c>
    </row>
    <row r="7399" spans="1:6" x14ac:dyDescent="0.25">
      <c r="A7399" t="s">
        <v>2820</v>
      </c>
      <c r="B7399" t="s">
        <v>51</v>
      </c>
      <c r="C7399" t="s">
        <v>104</v>
      </c>
      <c r="D7399" t="s">
        <v>3219</v>
      </c>
      <c r="E7399">
        <v>28.25</v>
      </c>
      <c r="F7399">
        <v>20.190000000000001</v>
      </c>
    </row>
    <row r="7400" spans="1:6" x14ac:dyDescent="0.25">
      <c r="A7400" t="s">
        <v>2821</v>
      </c>
      <c r="B7400" t="s">
        <v>51</v>
      </c>
      <c r="C7400" t="s">
        <v>105</v>
      </c>
      <c r="D7400" t="s">
        <v>3217</v>
      </c>
      <c r="E7400">
        <v>0</v>
      </c>
      <c r="F7400">
        <v>22.12</v>
      </c>
    </row>
    <row r="7401" spans="1:6" x14ac:dyDescent="0.25">
      <c r="A7401" t="s">
        <v>2821</v>
      </c>
      <c r="B7401" t="s">
        <v>51</v>
      </c>
      <c r="C7401" t="s">
        <v>105</v>
      </c>
      <c r="D7401" t="s">
        <v>3218</v>
      </c>
      <c r="E7401">
        <v>14.04</v>
      </c>
      <c r="F7401">
        <v>21.81</v>
      </c>
    </row>
    <row r="7402" spans="1:6" x14ac:dyDescent="0.25">
      <c r="A7402" t="s">
        <v>2821</v>
      </c>
      <c r="B7402" t="s">
        <v>51</v>
      </c>
      <c r="C7402" t="s">
        <v>105</v>
      </c>
      <c r="D7402" t="s">
        <v>3219</v>
      </c>
      <c r="E7402">
        <v>25.77</v>
      </c>
      <c r="F7402">
        <v>21.48</v>
      </c>
    </row>
    <row r="7403" spans="1:6" x14ac:dyDescent="0.25">
      <c r="A7403" t="s">
        <v>2822</v>
      </c>
      <c r="B7403" t="s">
        <v>51</v>
      </c>
      <c r="C7403" t="s">
        <v>106</v>
      </c>
      <c r="D7403" t="s">
        <v>3217</v>
      </c>
      <c r="E7403">
        <v>0</v>
      </c>
      <c r="F7403">
        <v>23.58</v>
      </c>
    </row>
    <row r="7404" spans="1:6" x14ac:dyDescent="0.25">
      <c r="A7404" t="s">
        <v>2822</v>
      </c>
      <c r="B7404" t="s">
        <v>51</v>
      </c>
      <c r="C7404" t="s">
        <v>106</v>
      </c>
      <c r="D7404" t="s">
        <v>3218</v>
      </c>
      <c r="E7404">
        <v>13.32</v>
      </c>
      <c r="F7404">
        <v>23.27</v>
      </c>
    </row>
    <row r="7405" spans="1:6" x14ac:dyDescent="0.25">
      <c r="A7405" t="s">
        <v>2822</v>
      </c>
      <c r="B7405" t="s">
        <v>51</v>
      </c>
      <c r="C7405" t="s">
        <v>106</v>
      </c>
      <c r="D7405" t="s">
        <v>3219</v>
      </c>
      <c r="E7405">
        <v>24.38</v>
      </c>
      <c r="F7405">
        <v>23.03</v>
      </c>
    </row>
    <row r="7406" spans="1:6" x14ac:dyDescent="0.25">
      <c r="A7406" t="s">
        <v>2823</v>
      </c>
      <c r="B7406" t="s">
        <v>51</v>
      </c>
      <c r="C7406" t="s">
        <v>108</v>
      </c>
      <c r="D7406" t="s">
        <v>3217</v>
      </c>
      <c r="E7406">
        <v>0</v>
      </c>
      <c r="F7406">
        <v>25.02</v>
      </c>
    </row>
    <row r="7407" spans="1:6" x14ac:dyDescent="0.25">
      <c r="A7407" t="s">
        <v>2823</v>
      </c>
      <c r="B7407" t="s">
        <v>51</v>
      </c>
      <c r="C7407" t="s">
        <v>108</v>
      </c>
      <c r="D7407" t="s">
        <v>3218</v>
      </c>
      <c r="E7407">
        <v>12.23</v>
      </c>
      <c r="F7407">
        <v>25.18</v>
      </c>
    </row>
    <row r="7408" spans="1:6" x14ac:dyDescent="0.25">
      <c r="A7408" t="s">
        <v>2823</v>
      </c>
      <c r="B7408" t="s">
        <v>51</v>
      </c>
      <c r="C7408" t="s">
        <v>108</v>
      </c>
      <c r="D7408" t="s">
        <v>3219</v>
      </c>
      <c r="E7408">
        <v>23.56</v>
      </c>
      <c r="F7408">
        <v>24.88</v>
      </c>
    </row>
    <row r="7409" spans="1:6" x14ac:dyDescent="0.25">
      <c r="A7409" t="s">
        <v>2824</v>
      </c>
      <c r="B7409" t="s">
        <v>51</v>
      </c>
      <c r="C7409" t="s">
        <v>109</v>
      </c>
      <c r="D7409" t="s">
        <v>3217</v>
      </c>
      <c r="E7409">
        <v>0</v>
      </c>
      <c r="F7409">
        <v>26.61</v>
      </c>
    </row>
    <row r="7410" spans="1:6" x14ac:dyDescent="0.25">
      <c r="A7410" t="s">
        <v>2824</v>
      </c>
      <c r="B7410" t="s">
        <v>51</v>
      </c>
      <c r="C7410" t="s">
        <v>109</v>
      </c>
      <c r="D7410" t="s">
        <v>3218</v>
      </c>
      <c r="E7410">
        <v>12.27</v>
      </c>
      <c r="F7410">
        <v>26.69</v>
      </c>
    </row>
    <row r="7411" spans="1:6" x14ac:dyDescent="0.25">
      <c r="A7411" t="s">
        <v>2824</v>
      </c>
      <c r="B7411" t="s">
        <v>51</v>
      </c>
      <c r="C7411" t="s">
        <v>109</v>
      </c>
      <c r="D7411" t="s">
        <v>3219</v>
      </c>
      <c r="E7411">
        <v>23.72</v>
      </c>
      <c r="F7411">
        <v>26.5</v>
      </c>
    </row>
    <row r="7412" spans="1:6" x14ac:dyDescent="0.25">
      <c r="A7412" t="s">
        <v>2825</v>
      </c>
      <c r="B7412" t="s">
        <v>51</v>
      </c>
      <c r="C7412" t="s">
        <v>110</v>
      </c>
      <c r="D7412" t="s">
        <v>3217</v>
      </c>
      <c r="E7412">
        <v>0</v>
      </c>
      <c r="F7412">
        <v>28.11</v>
      </c>
    </row>
    <row r="7413" spans="1:6" x14ac:dyDescent="0.25">
      <c r="A7413" t="s">
        <v>2825</v>
      </c>
      <c r="B7413" t="s">
        <v>51</v>
      </c>
      <c r="C7413" t="s">
        <v>110</v>
      </c>
      <c r="D7413" t="s">
        <v>3218</v>
      </c>
      <c r="E7413">
        <v>13.06</v>
      </c>
      <c r="F7413">
        <v>28.05</v>
      </c>
    </row>
    <row r="7414" spans="1:6" x14ac:dyDescent="0.25">
      <c r="A7414" t="s">
        <v>2825</v>
      </c>
      <c r="B7414" t="s">
        <v>51</v>
      </c>
      <c r="C7414" t="s">
        <v>110</v>
      </c>
      <c r="D7414" t="s">
        <v>3219</v>
      </c>
      <c r="E7414">
        <v>25.9</v>
      </c>
      <c r="F7414">
        <v>28.02</v>
      </c>
    </row>
    <row r="7415" spans="1:6" x14ac:dyDescent="0.25">
      <c r="A7415" t="s">
        <v>2826</v>
      </c>
      <c r="B7415" t="s">
        <v>51</v>
      </c>
      <c r="C7415" t="s">
        <v>111</v>
      </c>
      <c r="D7415" t="s">
        <v>3217</v>
      </c>
      <c r="E7415">
        <v>0</v>
      </c>
      <c r="F7415">
        <v>29.59</v>
      </c>
    </row>
    <row r="7416" spans="1:6" x14ac:dyDescent="0.25">
      <c r="A7416" t="s">
        <v>2826</v>
      </c>
      <c r="B7416" t="s">
        <v>51</v>
      </c>
      <c r="C7416" t="s">
        <v>111</v>
      </c>
      <c r="D7416" t="s">
        <v>3218</v>
      </c>
      <c r="E7416">
        <v>13.11</v>
      </c>
      <c r="F7416">
        <v>29.81</v>
      </c>
    </row>
    <row r="7417" spans="1:6" x14ac:dyDescent="0.25">
      <c r="A7417" t="s">
        <v>2826</v>
      </c>
      <c r="B7417" t="s">
        <v>51</v>
      </c>
      <c r="C7417" t="s">
        <v>111</v>
      </c>
      <c r="D7417" t="s">
        <v>3219</v>
      </c>
      <c r="E7417">
        <v>24.64</v>
      </c>
      <c r="F7417">
        <v>29.68</v>
      </c>
    </row>
    <row r="7418" spans="1:6" x14ac:dyDescent="0.25">
      <c r="A7418" t="s">
        <v>2827</v>
      </c>
      <c r="B7418" t="s">
        <v>51</v>
      </c>
      <c r="C7418" t="s">
        <v>112</v>
      </c>
      <c r="D7418" t="s">
        <v>3217</v>
      </c>
      <c r="E7418">
        <v>0</v>
      </c>
      <c r="F7418">
        <v>31.27</v>
      </c>
    </row>
    <row r="7419" spans="1:6" x14ac:dyDescent="0.25">
      <c r="A7419" t="s">
        <v>2827</v>
      </c>
      <c r="B7419" t="s">
        <v>51</v>
      </c>
      <c r="C7419" t="s">
        <v>112</v>
      </c>
      <c r="D7419" t="s">
        <v>3218</v>
      </c>
      <c r="E7419">
        <v>12.13</v>
      </c>
      <c r="F7419">
        <v>31.5</v>
      </c>
    </row>
    <row r="7420" spans="1:6" x14ac:dyDescent="0.25">
      <c r="A7420" t="s">
        <v>2827</v>
      </c>
      <c r="B7420" t="s">
        <v>51</v>
      </c>
      <c r="C7420" t="s">
        <v>112</v>
      </c>
      <c r="D7420" t="s">
        <v>3219</v>
      </c>
      <c r="E7420">
        <v>24.21</v>
      </c>
      <c r="F7420">
        <v>31.36</v>
      </c>
    </row>
    <row r="7421" spans="1:6" x14ac:dyDescent="0.25">
      <c r="A7421" t="s">
        <v>2828</v>
      </c>
      <c r="B7421" t="s">
        <v>51</v>
      </c>
      <c r="C7421" t="s">
        <v>113</v>
      </c>
      <c r="D7421" t="s">
        <v>3217</v>
      </c>
      <c r="E7421">
        <v>0</v>
      </c>
      <c r="F7421">
        <v>32.97</v>
      </c>
    </row>
    <row r="7422" spans="1:6" x14ac:dyDescent="0.25">
      <c r="A7422" t="s">
        <v>2828</v>
      </c>
      <c r="B7422" t="s">
        <v>51</v>
      </c>
      <c r="C7422" t="s">
        <v>113</v>
      </c>
      <c r="D7422" t="s">
        <v>3218</v>
      </c>
      <c r="E7422">
        <v>12.75</v>
      </c>
      <c r="F7422">
        <v>32.950000000000003</v>
      </c>
    </row>
    <row r="7423" spans="1:6" x14ac:dyDescent="0.25">
      <c r="A7423" t="s">
        <v>2828</v>
      </c>
      <c r="B7423" t="s">
        <v>51</v>
      </c>
      <c r="C7423" t="s">
        <v>113</v>
      </c>
      <c r="D7423" t="s">
        <v>3219</v>
      </c>
      <c r="E7423">
        <v>25.5</v>
      </c>
      <c r="F7423">
        <v>32.71</v>
      </c>
    </row>
    <row r="7424" spans="1:6" x14ac:dyDescent="0.25">
      <c r="A7424" t="s">
        <v>2829</v>
      </c>
      <c r="B7424" t="s">
        <v>51</v>
      </c>
      <c r="C7424" t="s">
        <v>114</v>
      </c>
      <c r="D7424" t="s">
        <v>3217</v>
      </c>
      <c r="E7424">
        <v>0</v>
      </c>
      <c r="F7424">
        <v>34.6</v>
      </c>
    </row>
    <row r="7425" spans="1:6" x14ac:dyDescent="0.25">
      <c r="A7425" t="s">
        <v>2829</v>
      </c>
      <c r="B7425" t="s">
        <v>51</v>
      </c>
      <c r="C7425" t="s">
        <v>114</v>
      </c>
      <c r="D7425" t="s">
        <v>3218</v>
      </c>
      <c r="E7425">
        <v>12.75</v>
      </c>
      <c r="F7425">
        <v>34.56</v>
      </c>
    </row>
    <row r="7426" spans="1:6" x14ac:dyDescent="0.25">
      <c r="A7426" t="s">
        <v>2829</v>
      </c>
      <c r="B7426" t="s">
        <v>51</v>
      </c>
      <c r="C7426" t="s">
        <v>114</v>
      </c>
      <c r="D7426" t="s">
        <v>3219</v>
      </c>
      <c r="E7426">
        <v>26.83</v>
      </c>
      <c r="F7426">
        <v>34.28</v>
      </c>
    </row>
    <row r="7427" spans="1:6" x14ac:dyDescent="0.25">
      <c r="A7427" t="s">
        <v>2830</v>
      </c>
      <c r="B7427" t="s">
        <v>51</v>
      </c>
      <c r="C7427" t="s">
        <v>115</v>
      </c>
      <c r="D7427" t="s">
        <v>3217</v>
      </c>
      <c r="E7427">
        <v>0</v>
      </c>
      <c r="F7427">
        <v>36.18</v>
      </c>
    </row>
    <row r="7428" spans="1:6" x14ac:dyDescent="0.25">
      <c r="A7428" t="s">
        <v>2830</v>
      </c>
      <c r="B7428" t="s">
        <v>51</v>
      </c>
      <c r="C7428" t="s">
        <v>115</v>
      </c>
      <c r="D7428" t="s">
        <v>3218</v>
      </c>
      <c r="E7428">
        <v>14</v>
      </c>
      <c r="F7428">
        <v>36.17</v>
      </c>
    </row>
    <row r="7429" spans="1:6" x14ac:dyDescent="0.25">
      <c r="A7429" t="s">
        <v>2830</v>
      </c>
      <c r="B7429" t="s">
        <v>51</v>
      </c>
      <c r="C7429" t="s">
        <v>115</v>
      </c>
      <c r="D7429" t="s">
        <v>3219</v>
      </c>
      <c r="E7429">
        <v>29.35</v>
      </c>
      <c r="F7429">
        <v>35.86</v>
      </c>
    </row>
    <row r="7430" spans="1:6" x14ac:dyDescent="0.25">
      <c r="A7430" t="s">
        <v>2831</v>
      </c>
      <c r="B7430" t="s">
        <v>51</v>
      </c>
      <c r="C7430" t="s">
        <v>116</v>
      </c>
      <c r="D7430" t="s">
        <v>3217</v>
      </c>
      <c r="E7430">
        <v>0</v>
      </c>
      <c r="F7430">
        <v>38.06</v>
      </c>
    </row>
    <row r="7431" spans="1:6" x14ac:dyDescent="0.25">
      <c r="A7431" t="s">
        <v>2831</v>
      </c>
      <c r="B7431" t="s">
        <v>51</v>
      </c>
      <c r="C7431" t="s">
        <v>116</v>
      </c>
      <c r="D7431" t="s">
        <v>3218</v>
      </c>
      <c r="E7431">
        <v>15.71</v>
      </c>
      <c r="F7431">
        <v>38.04</v>
      </c>
    </row>
    <row r="7432" spans="1:6" x14ac:dyDescent="0.25">
      <c r="A7432" t="s">
        <v>2831</v>
      </c>
      <c r="B7432" t="s">
        <v>51</v>
      </c>
      <c r="C7432" t="s">
        <v>116</v>
      </c>
      <c r="D7432" t="s">
        <v>3219</v>
      </c>
      <c r="E7432">
        <v>31.91</v>
      </c>
      <c r="F7432">
        <v>37.659999999999997</v>
      </c>
    </row>
    <row r="7433" spans="1:6" x14ac:dyDescent="0.25">
      <c r="A7433" t="s">
        <v>2832</v>
      </c>
      <c r="B7433" t="s">
        <v>51</v>
      </c>
      <c r="C7433" t="s">
        <v>117</v>
      </c>
      <c r="D7433" t="s">
        <v>3217</v>
      </c>
      <c r="E7433">
        <v>0</v>
      </c>
      <c r="F7433">
        <v>39.659999999999997</v>
      </c>
    </row>
    <row r="7434" spans="1:6" x14ac:dyDescent="0.25">
      <c r="A7434" t="s">
        <v>2832</v>
      </c>
      <c r="B7434" t="s">
        <v>51</v>
      </c>
      <c r="C7434" t="s">
        <v>117</v>
      </c>
      <c r="D7434" t="s">
        <v>3218</v>
      </c>
      <c r="E7434">
        <v>16.55</v>
      </c>
      <c r="F7434">
        <v>39.64</v>
      </c>
    </row>
    <row r="7435" spans="1:6" x14ac:dyDescent="0.25">
      <c r="A7435" t="s">
        <v>2832</v>
      </c>
      <c r="B7435" t="s">
        <v>51</v>
      </c>
      <c r="C7435" t="s">
        <v>117</v>
      </c>
      <c r="D7435" t="s">
        <v>3219</v>
      </c>
      <c r="E7435">
        <v>33.380000000000003</v>
      </c>
      <c r="F7435">
        <v>39.25</v>
      </c>
    </row>
    <row r="7436" spans="1:6" x14ac:dyDescent="0.25">
      <c r="A7436" t="s">
        <v>2833</v>
      </c>
      <c r="B7436" t="s">
        <v>51</v>
      </c>
      <c r="C7436" t="s">
        <v>118</v>
      </c>
      <c r="D7436" t="s">
        <v>3217</v>
      </c>
      <c r="E7436">
        <v>0</v>
      </c>
      <c r="F7436">
        <v>41.21</v>
      </c>
    </row>
    <row r="7437" spans="1:6" x14ac:dyDescent="0.25">
      <c r="A7437" t="s">
        <v>2833</v>
      </c>
      <c r="B7437" t="s">
        <v>51</v>
      </c>
      <c r="C7437" t="s">
        <v>118</v>
      </c>
      <c r="D7437" t="s">
        <v>3218</v>
      </c>
      <c r="E7437">
        <v>18.13</v>
      </c>
      <c r="F7437">
        <v>41.1</v>
      </c>
    </row>
    <row r="7438" spans="1:6" x14ac:dyDescent="0.25">
      <c r="A7438" t="s">
        <v>2833</v>
      </c>
      <c r="B7438" t="s">
        <v>51</v>
      </c>
      <c r="C7438" t="s">
        <v>118</v>
      </c>
      <c r="D7438" t="s">
        <v>3219</v>
      </c>
      <c r="E7438">
        <v>34.75</v>
      </c>
      <c r="F7438">
        <v>40.619999999999997</v>
      </c>
    </row>
    <row r="7439" spans="1:6" x14ac:dyDescent="0.25">
      <c r="A7439" t="s">
        <v>2834</v>
      </c>
      <c r="B7439" t="s">
        <v>51</v>
      </c>
      <c r="C7439" t="s">
        <v>119</v>
      </c>
      <c r="D7439" t="s">
        <v>3217</v>
      </c>
      <c r="E7439">
        <v>0</v>
      </c>
      <c r="F7439">
        <v>42.34</v>
      </c>
    </row>
    <row r="7440" spans="1:6" x14ac:dyDescent="0.25">
      <c r="A7440" t="s">
        <v>2834</v>
      </c>
      <c r="B7440" t="s">
        <v>51</v>
      </c>
      <c r="C7440" t="s">
        <v>119</v>
      </c>
      <c r="D7440" t="s">
        <v>3218</v>
      </c>
      <c r="E7440">
        <v>20</v>
      </c>
      <c r="F7440">
        <v>42.36</v>
      </c>
    </row>
    <row r="7441" spans="1:6" x14ac:dyDescent="0.25">
      <c r="A7441" t="s">
        <v>2834</v>
      </c>
      <c r="B7441" t="s">
        <v>51</v>
      </c>
      <c r="C7441" t="s">
        <v>119</v>
      </c>
      <c r="D7441" t="s">
        <v>3219</v>
      </c>
      <c r="E7441">
        <v>35.729999999999997</v>
      </c>
      <c r="F7441">
        <v>41.87</v>
      </c>
    </row>
    <row r="7442" spans="1:6" x14ac:dyDescent="0.25">
      <c r="A7442" t="s">
        <v>2835</v>
      </c>
      <c r="B7442" t="s">
        <v>51</v>
      </c>
      <c r="C7442" t="s">
        <v>120</v>
      </c>
      <c r="D7442" t="s">
        <v>3217</v>
      </c>
      <c r="E7442">
        <v>0</v>
      </c>
      <c r="F7442">
        <v>43.83</v>
      </c>
    </row>
    <row r="7443" spans="1:6" x14ac:dyDescent="0.25">
      <c r="A7443" t="s">
        <v>2835</v>
      </c>
      <c r="B7443" t="s">
        <v>51</v>
      </c>
      <c r="C7443" t="s">
        <v>120</v>
      </c>
      <c r="D7443" t="s">
        <v>3218</v>
      </c>
      <c r="E7443">
        <v>20</v>
      </c>
      <c r="F7443">
        <v>43.58</v>
      </c>
    </row>
    <row r="7444" spans="1:6" x14ac:dyDescent="0.25">
      <c r="A7444" t="s">
        <v>2835</v>
      </c>
      <c r="B7444" t="s">
        <v>51</v>
      </c>
      <c r="C7444" t="s">
        <v>120</v>
      </c>
      <c r="D7444" t="s">
        <v>3219</v>
      </c>
      <c r="E7444">
        <v>34.68</v>
      </c>
      <c r="F7444">
        <v>43.22</v>
      </c>
    </row>
    <row r="7445" spans="1:6" x14ac:dyDescent="0.25">
      <c r="A7445" t="s">
        <v>2836</v>
      </c>
      <c r="B7445" t="s">
        <v>51</v>
      </c>
      <c r="C7445" t="s">
        <v>121</v>
      </c>
      <c r="D7445" t="s">
        <v>3217</v>
      </c>
      <c r="E7445">
        <v>0</v>
      </c>
      <c r="F7445">
        <v>45.28</v>
      </c>
    </row>
    <row r="7446" spans="1:6" x14ac:dyDescent="0.25">
      <c r="A7446" t="s">
        <v>2836</v>
      </c>
      <c r="B7446" t="s">
        <v>51</v>
      </c>
      <c r="C7446" t="s">
        <v>121</v>
      </c>
      <c r="D7446" t="s">
        <v>3218</v>
      </c>
      <c r="E7446">
        <v>20</v>
      </c>
      <c r="F7446">
        <v>45.26</v>
      </c>
    </row>
    <row r="7447" spans="1:6" x14ac:dyDescent="0.25">
      <c r="A7447" t="s">
        <v>2836</v>
      </c>
      <c r="B7447" t="s">
        <v>51</v>
      </c>
      <c r="C7447" t="s">
        <v>121</v>
      </c>
      <c r="D7447" t="s">
        <v>3219</v>
      </c>
      <c r="E7447">
        <v>34.21</v>
      </c>
      <c r="F7447">
        <v>44.72</v>
      </c>
    </row>
    <row r="7448" spans="1:6" x14ac:dyDescent="0.25">
      <c r="A7448" t="s">
        <v>2837</v>
      </c>
      <c r="B7448" t="s">
        <v>51</v>
      </c>
      <c r="C7448" t="s">
        <v>123</v>
      </c>
      <c r="D7448" t="s">
        <v>3217</v>
      </c>
      <c r="E7448">
        <v>0</v>
      </c>
      <c r="F7448">
        <v>46.84</v>
      </c>
    </row>
    <row r="7449" spans="1:6" x14ac:dyDescent="0.25">
      <c r="A7449" t="s">
        <v>2837</v>
      </c>
      <c r="B7449" t="s">
        <v>51</v>
      </c>
      <c r="C7449" t="s">
        <v>123</v>
      </c>
      <c r="D7449" t="s">
        <v>3218</v>
      </c>
      <c r="E7449">
        <v>20</v>
      </c>
      <c r="F7449">
        <v>46.69</v>
      </c>
    </row>
    <row r="7450" spans="1:6" x14ac:dyDescent="0.25">
      <c r="A7450" t="s">
        <v>2837</v>
      </c>
      <c r="B7450" t="s">
        <v>51</v>
      </c>
      <c r="C7450" t="s">
        <v>123</v>
      </c>
      <c r="D7450" t="s">
        <v>3219</v>
      </c>
      <c r="E7450">
        <v>33.200000000000003</v>
      </c>
      <c r="F7450">
        <v>46.36</v>
      </c>
    </row>
    <row r="7451" spans="1:6" x14ac:dyDescent="0.25">
      <c r="A7451" t="s">
        <v>2838</v>
      </c>
      <c r="B7451" t="s">
        <v>51</v>
      </c>
      <c r="C7451" t="s">
        <v>124</v>
      </c>
      <c r="D7451" t="s">
        <v>3217</v>
      </c>
      <c r="E7451">
        <v>0</v>
      </c>
      <c r="F7451">
        <v>48.5</v>
      </c>
    </row>
    <row r="7452" spans="1:6" x14ac:dyDescent="0.25">
      <c r="A7452" t="s">
        <v>2838</v>
      </c>
      <c r="B7452" t="s">
        <v>51</v>
      </c>
      <c r="C7452" t="s">
        <v>124</v>
      </c>
      <c r="D7452" t="s">
        <v>3218</v>
      </c>
      <c r="E7452">
        <v>20</v>
      </c>
      <c r="F7452">
        <v>48.27</v>
      </c>
    </row>
    <row r="7453" spans="1:6" x14ac:dyDescent="0.25">
      <c r="A7453" t="s">
        <v>2838</v>
      </c>
      <c r="B7453" t="s">
        <v>51</v>
      </c>
      <c r="C7453" t="s">
        <v>124</v>
      </c>
      <c r="D7453" t="s">
        <v>3219</v>
      </c>
      <c r="E7453">
        <v>32.409999999999997</v>
      </c>
      <c r="F7453">
        <v>47.93</v>
      </c>
    </row>
    <row r="7454" spans="1:6" x14ac:dyDescent="0.25">
      <c r="A7454" t="s">
        <v>2839</v>
      </c>
      <c r="B7454" t="s">
        <v>51</v>
      </c>
      <c r="C7454" t="s">
        <v>125</v>
      </c>
      <c r="D7454" t="s">
        <v>3217</v>
      </c>
      <c r="E7454">
        <v>0</v>
      </c>
      <c r="F7454">
        <v>50</v>
      </c>
    </row>
    <row r="7455" spans="1:6" x14ac:dyDescent="0.25">
      <c r="A7455" t="s">
        <v>2839</v>
      </c>
      <c r="B7455" t="s">
        <v>51</v>
      </c>
      <c r="C7455" t="s">
        <v>125</v>
      </c>
      <c r="D7455" t="s">
        <v>3218</v>
      </c>
      <c r="E7455">
        <v>20</v>
      </c>
      <c r="F7455">
        <v>49.73</v>
      </c>
    </row>
    <row r="7456" spans="1:6" x14ac:dyDescent="0.25">
      <c r="A7456" t="s">
        <v>2839</v>
      </c>
      <c r="B7456" t="s">
        <v>51</v>
      </c>
      <c r="C7456" t="s">
        <v>125</v>
      </c>
      <c r="D7456" t="s">
        <v>3219</v>
      </c>
      <c r="E7456">
        <v>32.799999999999997</v>
      </c>
      <c r="F7456">
        <v>49.37</v>
      </c>
    </row>
    <row r="7457" spans="1:6" x14ac:dyDescent="0.25">
      <c r="A7457" t="s">
        <v>2840</v>
      </c>
      <c r="B7457" t="s">
        <v>51</v>
      </c>
      <c r="C7457" t="s">
        <v>126</v>
      </c>
      <c r="D7457" t="s">
        <v>3217</v>
      </c>
      <c r="E7457">
        <v>0</v>
      </c>
      <c r="F7457">
        <v>51.38</v>
      </c>
    </row>
    <row r="7458" spans="1:6" x14ac:dyDescent="0.25">
      <c r="A7458" t="s">
        <v>2840</v>
      </c>
      <c r="B7458" t="s">
        <v>51</v>
      </c>
      <c r="C7458" t="s">
        <v>126</v>
      </c>
      <c r="D7458" t="s">
        <v>3218</v>
      </c>
      <c r="E7458">
        <v>20</v>
      </c>
      <c r="F7458">
        <v>51.27</v>
      </c>
    </row>
    <row r="7459" spans="1:6" x14ac:dyDescent="0.25">
      <c r="A7459" t="s">
        <v>2840</v>
      </c>
      <c r="B7459" t="s">
        <v>51</v>
      </c>
      <c r="C7459" t="s">
        <v>126</v>
      </c>
      <c r="D7459" t="s">
        <v>3219</v>
      </c>
      <c r="E7459">
        <v>32.119999999999997</v>
      </c>
      <c r="F7459">
        <v>50.89</v>
      </c>
    </row>
    <row r="7460" spans="1:6" x14ac:dyDescent="0.25">
      <c r="A7460" t="s">
        <v>2841</v>
      </c>
      <c r="B7460" t="s">
        <v>51</v>
      </c>
      <c r="C7460" t="s">
        <v>127</v>
      </c>
      <c r="D7460" t="s">
        <v>3217</v>
      </c>
      <c r="E7460">
        <v>0</v>
      </c>
      <c r="F7460">
        <v>52.95</v>
      </c>
    </row>
    <row r="7461" spans="1:6" x14ac:dyDescent="0.25">
      <c r="A7461" t="s">
        <v>2841</v>
      </c>
      <c r="B7461" t="s">
        <v>51</v>
      </c>
      <c r="C7461" t="s">
        <v>127</v>
      </c>
      <c r="D7461" t="s">
        <v>3218</v>
      </c>
      <c r="E7461">
        <v>20</v>
      </c>
      <c r="F7461">
        <v>52.92</v>
      </c>
    </row>
    <row r="7462" spans="1:6" x14ac:dyDescent="0.25">
      <c r="A7462" t="s">
        <v>2841</v>
      </c>
      <c r="B7462" t="s">
        <v>51</v>
      </c>
      <c r="C7462" t="s">
        <v>127</v>
      </c>
      <c r="D7462" t="s">
        <v>3219</v>
      </c>
      <c r="E7462">
        <v>33.299999999999997</v>
      </c>
      <c r="F7462">
        <v>52.68</v>
      </c>
    </row>
    <row r="7463" spans="1:6" x14ac:dyDescent="0.25">
      <c r="A7463" t="s">
        <v>2842</v>
      </c>
      <c r="B7463" t="s">
        <v>51</v>
      </c>
      <c r="C7463" t="s">
        <v>128</v>
      </c>
      <c r="D7463" t="s">
        <v>3217</v>
      </c>
      <c r="E7463">
        <v>0</v>
      </c>
      <c r="F7463">
        <v>54.64</v>
      </c>
    </row>
    <row r="7464" spans="1:6" x14ac:dyDescent="0.25">
      <c r="A7464" t="s">
        <v>2842</v>
      </c>
      <c r="B7464" t="s">
        <v>51</v>
      </c>
      <c r="C7464" t="s">
        <v>128</v>
      </c>
      <c r="D7464" t="s">
        <v>3218</v>
      </c>
      <c r="E7464">
        <v>17.899999999999999</v>
      </c>
      <c r="F7464">
        <v>54.62</v>
      </c>
    </row>
    <row r="7465" spans="1:6" x14ac:dyDescent="0.25">
      <c r="A7465" t="s">
        <v>2842</v>
      </c>
      <c r="B7465" t="s">
        <v>51</v>
      </c>
      <c r="C7465" t="s">
        <v>128</v>
      </c>
      <c r="D7465" t="s">
        <v>3219</v>
      </c>
      <c r="E7465">
        <v>32.6</v>
      </c>
      <c r="F7465">
        <v>54.26</v>
      </c>
    </row>
    <row r="7466" spans="1:6" x14ac:dyDescent="0.25">
      <c r="A7466" t="s">
        <v>2843</v>
      </c>
      <c r="B7466" t="s">
        <v>51</v>
      </c>
      <c r="C7466" t="s">
        <v>129</v>
      </c>
      <c r="D7466" t="s">
        <v>3217</v>
      </c>
      <c r="E7466">
        <v>0</v>
      </c>
      <c r="F7466">
        <v>56.34</v>
      </c>
    </row>
    <row r="7467" spans="1:6" x14ac:dyDescent="0.25">
      <c r="A7467" t="s">
        <v>2843</v>
      </c>
      <c r="B7467" t="s">
        <v>51</v>
      </c>
      <c r="C7467" t="s">
        <v>129</v>
      </c>
      <c r="D7467" t="s">
        <v>3218</v>
      </c>
      <c r="E7467">
        <v>16.8</v>
      </c>
      <c r="F7467">
        <v>56.21</v>
      </c>
    </row>
    <row r="7468" spans="1:6" x14ac:dyDescent="0.25">
      <c r="A7468" t="s">
        <v>2843</v>
      </c>
      <c r="B7468" t="s">
        <v>51</v>
      </c>
      <c r="C7468" t="s">
        <v>129</v>
      </c>
      <c r="D7468" t="s">
        <v>3219</v>
      </c>
      <c r="E7468">
        <v>33.03</v>
      </c>
      <c r="F7468">
        <v>55.59</v>
      </c>
    </row>
    <row r="7469" spans="1:6" x14ac:dyDescent="0.25">
      <c r="A7469" t="s">
        <v>2844</v>
      </c>
      <c r="B7469" t="s">
        <v>51</v>
      </c>
      <c r="C7469" t="s">
        <v>130</v>
      </c>
      <c r="D7469" t="s">
        <v>3217</v>
      </c>
      <c r="E7469">
        <v>0</v>
      </c>
      <c r="F7469">
        <v>57.87</v>
      </c>
    </row>
    <row r="7470" spans="1:6" x14ac:dyDescent="0.25">
      <c r="A7470" t="s">
        <v>2844</v>
      </c>
      <c r="B7470" t="s">
        <v>51</v>
      </c>
      <c r="C7470" t="s">
        <v>130</v>
      </c>
      <c r="D7470" t="s">
        <v>3218</v>
      </c>
      <c r="E7470">
        <v>16.649999999999999</v>
      </c>
      <c r="F7470">
        <v>57.53</v>
      </c>
    </row>
    <row r="7471" spans="1:6" x14ac:dyDescent="0.25">
      <c r="A7471" t="s">
        <v>2844</v>
      </c>
      <c r="B7471" t="s">
        <v>51</v>
      </c>
      <c r="C7471" t="s">
        <v>130</v>
      </c>
      <c r="D7471" t="s">
        <v>3219</v>
      </c>
      <c r="E7471">
        <v>32.9</v>
      </c>
      <c r="F7471">
        <v>57.09</v>
      </c>
    </row>
    <row r="7472" spans="1:6" x14ac:dyDescent="0.25">
      <c r="A7472" t="s">
        <v>2845</v>
      </c>
      <c r="B7472" t="s">
        <v>51</v>
      </c>
      <c r="C7472" t="s">
        <v>131</v>
      </c>
      <c r="D7472" t="s">
        <v>3217</v>
      </c>
      <c r="E7472">
        <v>0</v>
      </c>
      <c r="F7472">
        <v>59.33</v>
      </c>
    </row>
    <row r="7473" spans="1:6" x14ac:dyDescent="0.25">
      <c r="A7473" t="s">
        <v>2845</v>
      </c>
      <c r="B7473" t="s">
        <v>51</v>
      </c>
      <c r="C7473" t="s">
        <v>131</v>
      </c>
      <c r="D7473" t="s">
        <v>3218</v>
      </c>
      <c r="E7473">
        <v>16.25</v>
      </c>
      <c r="F7473">
        <v>59.08</v>
      </c>
    </row>
    <row r="7474" spans="1:6" x14ac:dyDescent="0.25">
      <c r="A7474" t="s">
        <v>2845</v>
      </c>
      <c r="B7474" t="s">
        <v>51</v>
      </c>
      <c r="C7474" t="s">
        <v>131</v>
      </c>
      <c r="D7474" t="s">
        <v>3219</v>
      </c>
      <c r="E7474">
        <v>33.24</v>
      </c>
      <c r="F7474">
        <v>58.76</v>
      </c>
    </row>
    <row r="7475" spans="1:6" x14ac:dyDescent="0.25">
      <c r="A7475" t="s">
        <v>2846</v>
      </c>
      <c r="B7475" t="s">
        <v>51</v>
      </c>
      <c r="C7475" t="s">
        <v>132</v>
      </c>
      <c r="D7475" t="s">
        <v>3217</v>
      </c>
      <c r="E7475">
        <v>0</v>
      </c>
      <c r="F7475">
        <v>60.84</v>
      </c>
    </row>
    <row r="7476" spans="1:6" x14ac:dyDescent="0.25">
      <c r="A7476" t="s">
        <v>2846</v>
      </c>
      <c r="B7476" t="s">
        <v>51</v>
      </c>
      <c r="C7476" t="s">
        <v>132</v>
      </c>
      <c r="D7476" t="s">
        <v>3218</v>
      </c>
      <c r="E7476">
        <v>14.73</v>
      </c>
      <c r="F7476">
        <v>60.56</v>
      </c>
    </row>
    <row r="7477" spans="1:6" x14ac:dyDescent="0.25">
      <c r="A7477" t="s">
        <v>2846</v>
      </c>
      <c r="B7477" t="s">
        <v>51</v>
      </c>
      <c r="C7477" t="s">
        <v>132</v>
      </c>
      <c r="D7477" t="s">
        <v>3219</v>
      </c>
      <c r="E7477">
        <v>32.409999999999997</v>
      </c>
      <c r="F7477">
        <v>60.11</v>
      </c>
    </row>
    <row r="7478" spans="1:6" x14ac:dyDescent="0.25">
      <c r="A7478" t="s">
        <v>2847</v>
      </c>
      <c r="B7478" t="s">
        <v>51</v>
      </c>
      <c r="C7478" t="s">
        <v>133</v>
      </c>
      <c r="D7478" t="s">
        <v>3217</v>
      </c>
      <c r="E7478">
        <v>0</v>
      </c>
      <c r="F7478">
        <v>62.32</v>
      </c>
    </row>
    <row r="7479" spans="1:6" x14ac:dyDescent="0.25">
      <c r="A7479" t="s">
        <v>2847</v>
      </c>
      <c r="B7479" t="s">
        <v>51</v>
      </c>
      <c r="C7479" t="s">
        <v>133</v>
      </c>
      <c r="D7479" t="s">
        <v>3218</v>
      </c>
      <c r="E7479">
        <v>14.36</v>
      </c>
      <c r="F7479">
        <v>61.96</v>
      </c>
    </row>
    <row r="7480" spans="1:6" x14ac:dyDescent="0.25">
      <c r="A7480" t="s">
        <v>2847</v>
      </c>
      <c r="B7480" t="s">
        <v>51</v>
      </c>
      <c r="C7480" t="s">
        <v>133</v>
      </c>
      <c r="D7480" t="s">
        <v>3219</v>
      </c>
      <c r="E7480">
        <v>31.83</v>
      </c>
      <c r="F7480">
        <v>61.47</v>
      </c>
    </row>
    <row r="7481" spans="1:6" x14ac:dyDescent="0.25">
      <c r="A7481" t="s">
        <v>2848</v>
      </c>
      <c r="B7481" t="s">
        <v>51</v>
      </c>
      <c r="C7481" t="s">
        <v>134</v>
      </c>
      <c r="D7481" t="s">
        <v>3217</v>
      </c>
      <c r="E7481">
        <v>0</v>
      </c>
      <c r="F7481">
        <v>63.79</v>
      </c>
    </row>
    <row r="7482" spans="1:6" x14ac:dyDescent="0.25">
      <c r="A7482" t="s">
        <v>2848</v>
      </c>
      <c r="B7482" t="s">
        <v>51</v>
      </c>
      <c r="C7482" t="s">
        <v>134</v>
      </c>
      <c r="D7482" t="s">
        <v>3218</v>
      </c>
      <c r="E7482">
        <v>14.24</v>
      </c>
      <c r="F7482">
        <v>63.41</v>
      </c>
    </row>
    <row r="7483" spans="1:6" x14ac:dyDescent="0.25">
      <c r="A7483" t="s">
        <v>2848</v>
      </c>
      <c r="B7483" t="s">
        <v>51</v>
      </c>
      <c r="C7483" t="s">
        <v>134</v>
      </c>
      <c r="D7483" t="s">
        <v>3219</v>
      </c>
      <c r="E7483">
        <v>31.28</v>
      </c>
      <c r="F7483">
        <v>62.94</v>
      </c>
    </row>
    <row r="7484" spans="1:6" x14ac:dyDescent="0.25">
      <c r="A7484" t="s">
        <v>2849</v>
      </c>
      <c r="B7484" t="s">
        <v>51</v>
      </c>
      <c r="C7484" t="s">
        <v>135</v>
      </c>
      <c r="D7484" t="s">
        <v>3217</v>
      </c>
      <c r="E7484">
        <v>0</v>
      </c>
      <c r="F7484">
        <v>65.61</v>
      </c>
    </row>
    <row r="7485" spans="1:6" x14ac:dyDescent="0.25">
      <c r="A7485" t="s">
        <v>2849</v>
      </c>
      <c r="B7485" t="s">
        <v>51</v>
      </c>
      <c r="C7485" t="s">
        <v>135</v>
      </c>
      <c r="D7485" t="s">
        <v>3218</v>
      </c>
      <c r="E7485">
        <v>13.96</v>
      </c>
      <c r="F7485">
        <v>65.03</v>
      </c>
    </row>
    <row r="7486" spans="1:6" x14ac:dyDescent="0.25">
      <c r="A7486" t="s">
        <v>2849</v>
      </c>
      <c r="B7486" t="s">
        <v>51</v>
      </c>
      <c r="C7486" t="s">
        <v>135</v>
      </c>
      <c r="D7486" t="s">
        <v>3219</v>
      </c>
      <c r="E7486">
        <v>30.55</v>
      </c>
      <c r="F7486">
        <v>64.430000000000007</v>
      </c>
    </row>
    <row r="7487" spans="1:6" x14ac:dyDescent="0.25">
      <c r="A7487" t="s">
        <v>2850</v>
      </c>
      <c r="B7487" t="s">
        <v>51</v>
      </c>
      <c r="C7487" t="s">
        <v>136</v>
      </c>
      <c r="D7487" t="s">
        <v>3217</v>
      </c>
      <c r="E7487">
        <v>0</v>
      </c>
      <c r="F7487">
        <v>67.319999999999993</v>
      </c>
    </row>
    <row r="7488" spans="1:6" x14ac:dyDescent="0.25">
      <c r="A7488" t="s">
        <v>2850</v>
      </c>
      <c r="B7488" t="s">
        <v>51</v>
      </c>
      <c r="C7488" t="s">
        <v>136</v>
      </c>
      <c r="D7488" t="s">
        <v>3218</v>
      </c>
      <c r="E7488">
        <v>14.95</v>
      </c>
      <c r="F7488">
        <v>67.03</v>
      </c>
    </row>
    <row r="7489" spans="1:6" x14ac:dyDescent="0.25">
      <c r="A7489" t="s">
        <v>2850</v>
      </c>
      <c r="B7489" t="s">
        <v>51</v>
      </c>
      <c r="C7489" t="s">
        <v>136</v>
      </c>
      <c r="D7489" t="s">
        <v>3219</v>
      </c>
      <c r="E7489">
        <v>31.85</v>
      </c>
      <c r="F7489">
        <v>66.27</v>
      </c>
    </row>
    <row r="7490" spans="1:6" x14ac:dyDescent="0.25">
      <c r="A7490" t="s">
        <v>2851</v>
      </c>
      <c r="B7490" t="s">
        <v>51</v>
      </c>
      <c r="C7490" t="s">
        <v>333</v>
      </c>
      <c r="D7490" t="s">
        <v>3217</v>
      </c>
      <c r="E7490">
        <v>0</v>
      </c>
      <c r="F7490">
        <v>68.16</v>
      </c>
    </row>
    <row r="7491" spans="1:6" x14ac:dyDescent="0.25">
      <c r="A7491" t="s">
        <v>2851</v>
      </c>
      <c r="B7491" t="s">
        <v>51</v>
      </c>
      <c r="C7491" t="s">
        <v>333</v>
      </c>
      <c r="D7491" t="s">
        <v>3218</v>
      </c>
      <c r="E7491">
        <v>16.66</v>
      </c>
      <c r="F7491">
        <v>67.81</v>
      </c>
    </row>
    <row r="7492" spans="1:6" x14ac:dyDescent="0.25">
      <c r="A7492" t="s">
        <v>2851</v>
      </c>
      <c r="B7492" t="s">
        <v>51</v>
      </c>
      <c r="C7492" t="s">
        <v>333</v>
      </c>
      <c r="D7492" t="s">
        <v>3219</v>
      </c>
      <c r="E7492">
        <v>34.119999999999997</v>
      </c>
      <c r="F7492">
        <v>66.72</v>
      </c>
    </row>
    <row r="7493" spans="1:6" x14ac:dyDescent="0.25">
      <c r="A7493" t="s">
        <v>2852</v>
      </c>
      <c r="B7493" t="s">
        <v>52</v>
      </c>
      <c r="C7493" t="s">
        <v>56</v>
      </c>
      <c r="D7493" t="s">
        <v>3217</v>
      </c>
      <c r="E7493">
        <v>0</v>
      </c>
      <c r="F7493">
        <v>68.790000000000006</v>
      </c>
    </row>
    <row r="7494" spans="1:6" x14ac:dyDescent="0.25">
      <c r="A7494" t="s">
        <v>2852</v>
      </c>
      <c r="B7494" t="s">
        <v>52</v>
      </c>
      <c r="C7494" t="s">
        <v>56</v>
      </c>
      <c r="D7494" t="s">
        <v>3218</v>
      </c>
      <c r="E7494">
        <v>16.739999999999998</v>
      </c>
      <c r="F7494">
        <v>69.14</v>
      </c>
    </row>
    <row r="7495" spans="1:6" x14ac:dyDescent="0.25">
      <c r="A7495" t="s">
        <v>2852</v>
      </c>
      <c r="B7495" t="s">
        <v>52</v>
      </c>
      <c r="C7495" t="s">
        <v>56</v>
      </c>
      <c r="D7495" t="s">
        <v>3219</v>
      </c>
      <c r="E7495">
        <v>33.99</v>
      </c>
      <c r="F7495">
        <v>69.16</v>
      </c>
    </row>
    <row r="7496" spans="1:6" x14ac:dyDescent="0.25">
      <c r="A7496" t="s">
        <v>2853</v>
      </c>
      <c r="B7496" t="s">
        <v>52</v>
      </c>
      <c r="C7496" t="s">
        <v>57</v>
      </c>
      <c r="D7496" t="s">
        <v>3217</v>
      </c>
      <c r="E7496">
        <v>0</v>
      </c>
      <c r="F7496">
        <v>68.88</v>
      </c>
    </row>
    <row r="7497" spans="1:6" x14ac:dyDescent="0.25">
      <c r="A7497" t="s">
        <v>2853</v>
      </c>
      <c r="B7497" t="s">
        <v>52</v>
      </c>
      <c r="C7497" t="s">
        <v>57</v>
      </c>
      <c r="D7497" t="s">
        <v>3218</v>
      </c>
      <c r="E7497">
        <v>16.66</v>
      </c>
      <c r="F7497">
        <v>68.97</v>
      </c>
    </row>
    <row r="7498" spans="1:6" x14ac:dyDescent="0.25">
      <c r="A7498" t="s">
        <v>2853</v>
      </c>
      <c r="B7498" t="s">
        <v>52</v>
      </c>
      <c r="C7498" t="s">
        <v>57</v>
      </c>
      <c r="D7498" t="s">
        <v>3219</v>
      </c>
      <c r="E7498">
        <v>33.909999999999997</v>
      </c>
      <c r="F7498">
        <v>69.02</v>
      </c>
    </row>
    <row r="7499" spans="1:6" x14ac:dyDescent="0.25">
      <c r="A7499" t="s">
        <v>2854</v>
      </c>
      <c r="B7499" t="s">
        <v>52</v>
      </c>
      <c r="C7499" t="s">
        <v>58</v>
      </c>
      <c r="D7499" t="s">
        <v>3217</v>
      </c>
      <c r="E7499">
        <v>0</v>
      </c>
      <c r="F7499">
        <v>68.78</v>
      </c>
    </row>
    <row r="7500" spans="1:6" x14ac:dyDescent="0.25">
      <c r="A7500" t="s">
        <v>2854</v>
      </c>
      <c r="B7500" t="s">
        <v>52</v>
      </c>
      <c r="C7500" t="s">
        <v>58</v>
      </c>
      <c r="D7500" t="s">
        <v>3218</v>
      </c>
      <c r="E7500">
        <v>16.739999999999998</v>
      </c>
      <c r="F7500">
        <v>69.040000000000006</v>
      </c>
    </row>
    <row r="7501" spans="1:6" x14ac:dyDescent="0.25">
      <c r="A7501" t="s">
        <v>2854</v>
      </c>
      <c r="B7501" t="s">
        <v>52</v>
      </c>
      <c r="C7501" t="s">
        <v>58</v>
      </c>
      <c r="D7501" t="s">
        <v>3219</v>
      </c>
      <c r="E7501">
        <v>30.08</v>
      </c>
      <c r="F7501">
        <v>68.900000000000006</v>
      </c>
    </row>
    <row r="7502" spans="1:6" x14ac:dyDescent="0.25">
      <c r="A7502" t="s">
        <v>2855</v>
      </c>
      <c r="B7502" t="s">
        <v>52</v>
      </c>
      <c r="C7502" t="s">
        <v>59</v>
      </c>
      <c r="D7502" t="s">
        <v>3217</v>
      </c>
      <c r="E7502">
        <v>0</v>
      </c>
      <c r="F7502">
        <v>68.5</v>
      </c>
    </row>
    <row r="7503" spans="1:6" x14ac:dyDescent="0.25">
      <c r="A7503" t="s">
        <v>2855</v>
      </c>
      <c r="B7503" t="s">
        <v>52</v>
      </c>
      <c r="C7503" t="s">
        <v>59</v>
      </c>
      <c r="D7503" t="s">
        <v>3218</v>
      </c>
      <c r="E7503">
        <v>16.34</v>
      </c>
      <c r="F7503">
        <v>69</v>
      </c>
    </row>
    <row r="7504" spans="1:6" x14ac:dyDescent="0.25">
      <c r="A7504" t="s">
        <v>2855</v>
      </c>
      <c r="B7504" t="s">
        <v>52</v>
      </c>
      <c r="C7504" t="s">
        <v>59</v>
      </c>
      <c r="D7504" t="s">
        <v>3219</v>
      </c>
      <c r="E7504">
        <v>28.82</v>
      </c>
      <c r="F7504">
        <v>69.03</v>
      </c>
    </row>
    <row r="7505" spans="1:6" x14ac:dyDescent="0.25">
      <c r="A7505" t="s">
        <v>2856</v>
      </c>
      <c r="B7505" t="s">
        <v>52</v>
      </c>
      <c r="C7505" t="s">
        <v>60</v>
      </c>
      <c r="D7505" t="s">
        <v>3217</v>
      </c>
      <c r="E7505">
        <v>0</v>
      </c>
      <c r="F7505">
        <v>68.47</v>
      </c>
    </row>
    <row r="7506" spans="1:6" x14ac:dyDescent="0.25">
      <c r="A7506" t="s">
        <v>2856</v>
      </c>
      <c r="B7506" t="s">
        <v>52</v>
      </c>
      <c r="C7506" t="s">
        <v>60</v>
      </c>
      <c r="D7506" t="s">
        <v>3218</v>
      </c>
      <c r="E7506">
        <v>16.95</v>
      </c>
      <c r="F7506">
        <v>68.81</v>
      </c>
    </row>
    <row r="7507" spans="1:6" x14ac:dyDescent="0.25">
      <c r="A7507" t="s">
        <v>2856</v>
      </c>
      <c r="B7507" t="s">
        <v>52</v>
      </c>
      <c r="C7507" t="s">
        <v>60</v>
      </c>
      <c r="D7507" t="s">
        <v>3219</v>
      </c>
      <c r="E7507">
        <v>30.17</v>
      </c>
      <c r="F7507">
        <v>69.3</v>
      </c>
    </row>
    <row r="7508" spans="1:6" x14ac:dyDescent="0.25">
      <c r="A7508" t="s">
        <v>2857</v>
      </c>
      <c r="B7508" t="s">
        <v>52</v>
      </c>
      <c r="C7508" t="s">
        <v>61</v>
      </c>
      <c r="D7508" t="s">
        <v>3217</v>
      </c>
      <c r="E7508">
        <v>0</v>
      </c>
      <c r="F7508">
        <v>68.75</v>
      </c>
    </row>
    <row r="7509" spans="1:6" x14ac:dyDescent="0.25">
      <c r="A7509" t="s">
        <v>2857</v>
      </c>
      <c r="B7509" t="s">
        <v>52</v>
      </c>
      <c r="C7509" t="s">
        <v>61</v>
      </c>
      <c r="D7509" t="s">
        <v>3218</v>
      </c>
      <c r="E7509">
        <v>16.95</v>
      </c>
      <c r="F7509">
        <v>69.09</v>
      </c>
    </row>
    <row r="7510" spans="1:6" x14ac:dyDescent="0.25">
      <c r="A7510" t="s">
        <v>2857</v>
      </c>
      <c r="B7510" t="s">
        <v>52</v>
      </c>
      <c r="C7510" t="s">
        <v>61</v>
      </c>
      <c r="D7510" t="s">
        <v>3219</v>
      </c>
      <c r="E7510">
        <v>31.2</v>
      </c>
      <c r="F7510">
        <v>69.78</v>
      </c>
    </row>
    <row r="7511" spans="1:6" x14ac:dyDescent="0.25">
      <c r="A7511" t="s">
        <v>2858</v>
      </c>
      <c r="B7511" t="s">
        <v>52</v>
      </c>
      <c r="C7511" t="s">
        <v>62</v>
      </c>
      <c r="D7511" t="s">
        <v>3217</v>
      </c>
      <c r="E7511">
        <v>0</v>
      </c>
      <c r="F7511">
        <v>69.28</v>
      </c>
    </row>
    <row r="7512" spans="1:6" x14ac:dyDescent="0.25">
      <c r="A7512" t="s">
        <v>2858</v>
      </c>
      <c r="B7512" t="s">
        <v>52</v>
      </c>
      <c r="C7512" t="s">
        <v>62</v>
      </c>
      <c r="D7512" t="s">
        <v>3218</v>
      </c>
      <c r="E7512">
        <v>16.489999999999998</v>
      </c>
      <c r="F7512">
        <v>69.61</v>
      </c>
    </row>
    <row r="7513" spans="1:6" x14ac:dyDescent="0.25">
      <c r="A7513" t="s">
        <v>2858</v>
      </c>
      <c r="B7513" t="s">
        <v>52</v>
      </c>
      <c r="C7513" t="s">
        <v>62</v>
      </c>
      <c r="D7513" t="s">
        <v>3219</v>
      </c>
      <c r="E7513">
        <v>30.53</v>
      </c>
      <c r="F7513">
        <v>70.12</v>
      </c>
    </row>
    <row r="7514" spans="1:6" x14ac:dyDescent="0.25">
      <c r="A7514" t="s">
        <v>2859</v>
      </c>
      <c r="B7514" t="s">
        <v>52</v>
      </c>
      <c r="C7514" t="s">
        <v>63</v>
      </c>
      <c r="D7514" t="s">
        <v>3217</v>
      </c>
      <c r="E7514">
        <v>0</v>
      </c>
      <c r="F7514">
        <v>69.81</v>
      </c>
    </row>
    <row r="7515" spans="1:6" x14ac:dyDescent="0.25">
      <c r="A7515" t="s">
        <v>2859</v>
      </c>
      <c r="B7515" t="s">
        <v>52</v>
      </c>
      <c r="C7515" t="s">
        <v>63</v>
      </c>
      <c r="D7515" t="s">
        <v>3218</v>
      </c>
      <c r="E7515">
        <v>15.52</v>
      </c>
      <c r="F7515">
        <v>70.27</v>
      </c>
    </row>
    <row r="7516" spans="1:6" x14ac:dyDescent="0.25">
      <c r="A7516" t="s">
        <v>2859</v>
      </c>
      <c r="B7516" t="s">
        <v>52</v>
      </c>
      <c r="C7516" t="s">
        <v>63</v>
      </c>
      <c r="D7516" t="s">
        <v>3219</v>
      </c>
      <c r="E7516">
        <v>28.8</v>
      </c>
      <c r="F7516">
        <v>70.31</v>
      </c>
    </row>
    <row r="7517" spans="1:6" x14ac:dyDescent="0.25">
      <c r="A7517" t="s">
        <v>2860</v>
      </c>
      <c r="B7517" t="s">
        <v>52</v>
      </c>
      <c r="C7517" t="s">
        <v>64</v>
      </c>
      <c r="D7517" t="s">
        <v>3217</v>
      </c>
      <c r="E7517">
        <v>0</v>
      </c>
      <c r="F7517">
        <v>70.31</v>
      </c>
    </row>
    <row r="7518" spans="1:6" x14ac:dyDescent="0.25">
      <c r="A7518" t="s">
        <v>2860</v>
      </c>
      <c r="B7518" t="s">
        <v>52</v>
      </c>
      <c r="C7518" t="s">
        <v>64</v>
      </c>
      <c r="D7518" t="s">
        <v>3218</v>
      </c>
      <c r="E7518">
        <v>14.36</v>
      </c>
      <c r="F7518">
        <v>70.709999999999994</v>
      </c>
    </row>
    <row r="7519" spans="1:6" x14ac:dyDescent="0.25">
      <c r="A7519" t="s">
        <v>2860</v>
      </c>
      <c r="B7519" t="s">
        <v>52</v>
      </c>
      <c r="C7519" t="s">
        <v>64</v>
      </c>
      <c r="D7519" t="s">
        <v>3219</v>
      </c>
      <c r="E7519">
        <v>27.54</v>
      </c>
      <c r="F7519">
        <v>70.739999999999995</v>
      </c>
    </row>
    <row r="7520" spans="1:6" x14ac:dyDescent="0.25">
      <c r="A7520" t="s">
        <v>2861</v>
      </c>
      <c r="B7520" t="s">
        <v>52</v>
      </c>
      <c r="C7520" t="s">
        <v>65</v>
      </c>
      <c r="D7520" t="s">
        <v>3217</v>
      </c>
      <c r="E7520">
        <v>0</v>
      </c>
      <c r="F7520">
        <v>70.8</v>
      </c>
    </row>
    <row r="7521" spans="1:6" x14ac:dyDescent="0.25">
      <c r="A7521" t="s">
        <v>2861</v>
      </c>
      <c r="B7521" t="s">
        <v>52</v>
      </c>
      <c r="C7521" t="s">
        <v>65</v>
      </c>
      <c r="D7521" t="s">
        <v>3218</v>
      </c>
      <c r="E7521">
        <v>14.25</v>
      </c>
      <c r="F7521">
        <v>71.239999999999995</v>
      </c>
    </row>
    <row r="7522" spans="1:6" x14ac:dyDescent="0.25">
      <c r="A7522" t="s">
        <v>2861</v>
      </c>
      <c r="B7522" t="s">
        <v>52</v>
      </c>
      <c r="C7522" t="s">
        <v>65</v>
      </c>
      <c r="D7522" t="s">
        <v>3219</v>
      </c>
      <c r="E7522">
        <v>28.46</v>
      </c>
      <c r="F7522">
        <v>71.22</v>
      </c>
    </row>
    <row r="7523" spans="1:6" x14ac:dyDescent="0.25">
      <c r="A7523" t="s">
        <v>2862</v>
      </c>
      <c r="B7523" t="s">
        <v>52</v>
      </c>
      <c r="C7523" t="s">
        <v>66</v>
      </c>
      <c r="D7523" t="s">
        <v>3217</v>
      </c>
      <c r="E7523">
        <v>0</v>
      </c>
      <c r="F7523">
        <v>71.459999999999994</v>
      </c>
    </row>
    <row r="7524" spans="1:6" x14ac:dyDescent="0.25">
      <c r="A7524" t="s">
        <v>2862</v>
      </c>
      <c r="B7524" t="s">
        <v>52</v>
      </c>
      <c r="C7524" t="s">
        <v>66</v>
      </c>
      <c r="D7524" t="s">
        <v>3218</v>
      </c>
      <c r="E7524">
        <v>15.04</v>
      </c>
      <c r="F7524">
        <v>71.72</v>
      </c>
    </row>
    <row r="7525" spans="1:6" x14ac:dyDescent="0.25">
      <c r="A7525" t="s">
        <v>2862</v>
      </c>
      <c r="B7525" t="s">
        <v>52</v>
      </c>
      <c r="C7525" t="s">
        <v>66</v>
      </c>
      <c r="D7525" t="s">
        <v>3219</v>
      </c>
      <c r="E7525">
        <v>30.02</v>
      </c>
      <c r="F7525">
        <v>71.650000000000006</v>
      </c>
    </row>
    <row r="7526" spans="1:6" x14ac:dyDescent="0.25">
      <c r="A7526" t="s">
        <v>2863</v>
      </c>
      <c r="B7526" t="s">
        <v>52</v>
      </c>
      <c r="C7526" t="s">
        <v>67</v>
      </c>
      <c r="D7526" t="s">
        <v>3217</v>
      </c>
      <c r="E7526">
        <v>0</v>
      </c>
      <c r="F7526">
        <v>72.099999999999994</v>
      </c>
    </row>
    <row r="7527" spans="1:6" x14ac:dyDescent="0.25">
      <c r="A7527" t="s">
        <v>2863</v>
      </c>
      <c r="B7527" t="s">
        <v>52</v>
      </c>
      <c r="C7527" t="s">
        <v>67</v>
      </c>
      <c r="D7527" t="s">
        <v>3218</v>
      </c>
      <c r="E7527">
        <v>16.11</v>
      </c>
      <c r="F7527">
        <v>72.27</v>
      </c>
    </row>
    <row r="7528" spans="1:6" x14ac:dyDescent="0.25">
      <c r="A7528" t="s">
        <v>2863</v>
      </c>
      <c r="B7528" t="s">
        <v>52</v>
      </c>
      <c r="C7528" t="s">
        <v>67</v>
      </c>
      <c r="D7528" t="s">
        <v>3219</v>
      </c>
      <c r="E7528">
        <v>31.92</v>
      </c>
      <c r="F7528">
        <v>72.19</v>
      </c>
    </row>
    <row r="7529" spans="1:6" x14ac:dyDescent="0.25">
      <c r="A7529" t="s">
        <v>2864</v>
      </c>
      <c r="B7529" t="s">
        <v>52</v>
      </c>
      <c r="C7529" t="s">
        <v>68</v>
      </c>
      <c r="D7529" t="s">
        <v>3217</v>
      </c>
      <c r="E7529">
        <v>0</v>
      </c>
      <c r="F7529">
        <v>72.62</v>
      </c>
    </row>
    <row r="7530" spans="1:6" x14ac:dyDescent="0.25">
      <c r="A7530" t="s">
        <v>2864</v>
      </c>
      <c r="B7530" t="s">
        <v>52</v>
      </c>
      <c r="C7530" t="s">
        <v>68</v>
      </c>
      <c r="D7530" t="s">
        <v>3218</v>
      </c>
      <c r="E7530">
        <v>17.809999999999999</v>
      </c>
      <c r="F7530">
        <v>72.900000000000006</v>
      </c>
    </row>
    <row r="7531" spans="1:6" x14ac:dyDescent="0.25">
      <c r="A7531" t="s">
        <v>2864</v>
      </c>
      <c r="B7531" t="s">
        <v>52</v>
      </c>
      <c r="C7531" t="s">
        <v>68</v>
      </c>
      <c r="D7531" t="s">
        <v>3219</v>
      </c>
      <c r="E7531">
        <v>33.61</v>
      </c>
      <c r="F7531">
        <v>72.739999999999995</v>
      </c>
    </row>
    <row r="7532" spans="1:6" x14ac:dyDescent="0.25">
      <c r="A7532" t="s">
        <v>2865</v>
      </c>
      <c r="B7532" t="s">
        <v>52</v>
      </c>
      <c r="C7532" t="s">
        <v>69</v>
      </c>
      <c r="D7532" t="s">
        <v>3217</v>
      </c>
      <c r="E7532">
        <v>0</v>
      </c>
      <c r="F7532">
        <v>73.06</v>
      </c>
    </row>
    <row r="7533" spans="1:6" x14ac:dyDescent="0.25">
      <c r="A7533" t="s">
        <v>2865</v>
      </c>
      <c r="B7533" t="s">
        <v>52</v>
      </c>
      <c r="C7533" t="s">
        <v>69</v>
      </c>
      <c r="D7533" t="s">
        <v>3218</v>
      </c>
      <c r="E7533">
        <v>17.59</v>
      </c>
      <c r="F7533">
        <v>73.28</v>
      </c>
    </row>
    <row r="7534" spans="1:6" x14ac:dyDescent="0.25">
      <c r="A7534" t="s">
        <v>2865</v>
      </c>
      <c r="B7534" t="s">
        <v>52</v>
      </c>
      <c r="C7534" t="s">
        <v>69</v>
      </c>
      <c r="D7534" t="s">
        <v>3219</v>
      </c>
      <c r="E7534">
        <v>33.93</v>
      </c>
      <c r="F7534">
        <v>73.099999999999994</v>
      </c>
    </row>
    <row r="7535" spans="1:6" x14ac:dyDescent="0.25">
      <c r="A7535" t="s">
        <v>2866</v>
      </c>
      <c r="B7535" t="s">
        <v>52</v>
      </c>
      <c r="C7535" t="s">
        <v>70</v>
      </c>
      <c r="D7535" t="s">
        <v>3217</v>
      </c>
      <c r="E7535">
        <v>0</v>
      </c>
      <c r="F7535">
        <v>73.56</v>
      </c>
    </row>
    <row r="7536" spans="1:6" x14ac:dyDescent="0.25">
      <c r="A7536" t="s">
        <v>2866</v>
      </c>
      <c r="B7536" t="s">
        <v>52</v>
      </c>
      <c r="C7536" t="s">
        <v>70</v>
      </c>
      <c r="D7536" t="s">
        <v>3218</v>
      </c>
      <c r="E7536">
        <v>17.59</v>
      </c>
      <c r="F7536">
        <v>73.64</v>
      </c>
    </row>
    <row r="7537" spans="1:6" x14ac:dyDescent="0.25">
      <c r="A7537" t="s">
        <v>2866</v>
      </c>
      <c r="B7537" t="s">
        <v>52</v>
      </c>
      <c r="C7537" t="s">
        <v>70</v>
      </c>
      <c r="D7537" t="s">
        <v>3219</v>
      </c>
      <c r="E7537">
        <v>31.07</v>
      </c>
      <c r="F7537">
        <v>73.61</v>
      </c>
    </row>
    <row r="7538" spans="1:6" x14ac:dyDescent="0.25">
      <c r="A7538" t="s">
        <v>2867</v>
      </c>
      <c r="B7538" t="s">
        <v>52</v>
      </c>
      <c r="C7538" t="s">
        <v>71</v>
      </c>
      <c r="D7538" t="s">
        <v>3217</v>
      </c>
      <c r="E7538">
        <v>0</v>
      </c>
      <c r="F7538">
        <v>74.180000000000007</v>
      </c>
    </row>
    <row r="7539" spans="1:6" x14ac:dyDescent="0.25">
      <c r="A7539" t="s">
        <v>2867</v>
      </c>
      <c r="B7539" t="s">
        <v>52</v>
      </c>
      <c r="C7539" t="s">
        <v>71</v>
      </c>
      <c r="D7539" t="s">
        <v>3218</v>
      </c>
      <c r="E7539">
        <v>15.59</v>
      </c>
      <c r="F7539">
        <v>74.040000000000006</v>
      </c>
    </row>
    <row r="7540" spans="1:6" x14ac:dyDescent="0.25">
      <c r="A7540" t="s">
        <v>2867</v>
      </c>
      <c r="B7540" t="s">
        <v>52</v>
      </c>
      <c r="C7540" t="s">
        <v>71</v>
      </c>
      <c r="D7540" t="s">
        <v>3219</v>
      </c>
      <c r="E7540">
        <v>28.77</v>
      </c>
      <c r="F7540">
        <v>73.98</v>
      </c>
    </row>
    <row r="7541" spans="1:6" x14ac:dyDescent="0.25">
      <c r="A7541" t="s">
        <v>2868</v>
      </c>
      <c r="B7541" t="s">
        <v>52</v>
      </c>
      <c r="C7541" t="s">
        <v>72</v>
      </c>
      <c r="D7541" t="s">
        <v>3217</v>
      </c>
      <c r="E7541">
        <v>0</v>
      </c>
      <c r="F7541">
        <v>74.66</v>
      </c>
    </row>
    <row r="7542" spans="1:6" x14ac:dyDescent="0.25">
      <c r="A7542" t="s">
        <v>2868</v>
      </c>
      <c r="B7542" t="s">
        <v>52</v>
      </c>
      <c r="C7542" t="s">
        <v>72</v>
      </c>
      <c r="D7542" t="s">
        <v>3218</v>
      </c>
      <c r="E7542">
        <v>14.87</v>
      </c>
      <c r="F7542">
        <v>74.569999999999993</v>
      </c>
    </row>
    <row r="7543" spans="1:6" x14ac:dyDescent="0.25">
      <c r="A7543" t="s">
        <v>2868</v>
      </c>
      <c r="B7543" t="s">
        <v>52</v>
      </c>
      <c r="C7543" t="s">
        <v>72</v>
      </c>
      <c r="D7543" t="s">
        <v>3219</v>
      </c>
      <c r="E7543">
        <v>27.22</v>
      </c>
      <c r="F7543">
        <v>74.56</v>
      </c>
    </row>
    <row r="7544" spans="1:6" x14ac:dyDescent="0.25">
      <c r="A7544" t="s">
        <v>2869</v>
      </c>
      <c r="B7544" t="s">
        <v>52</v>
      </c>
      <c r="C7544" t="s">
        <v>73</v>
      </c>
      <c r="D7544" t="s">
        <v>3217</v>
      </c>
      <c r="E7544">
        <v>0</v>
      </c>
      <c r="F7544">
        <v>75.459999999999994</v>
      </c>
    </row>
    <row r="7545" spans="1:6" x14ac:dyDescent="0.25">
      <c r="A7545" t="s">
        <v>2869</v>
      </c>
      <c r="B7545" t="s">
        <v>52</v>
      </c>
      <c r="C7545" t="s">
        <v>73</v>
      </c>
      <c r="D7545" t="s">
        <v>3218</v>
      </c>
      <c r="E7545">
        <v>12.62</v>
      </c>
      <c r="F7545">
        <v>75.47</v>
      </c>
    </row>
    <row r="7546" spans="1:6" x14ac:dyDescent="0.25">
      <c r="A7546" t="s">
        <v>2869</v>
      </c>
      <c r="B7546" t="s">
        <v>52</v>
      </c>
      <c r="C7546" t="s">
        <v>73</v>
      </c>
      <c r="D7546" t="s">
        <v>3219</v>
      </c>
      <c r="E7546">
        <v>24.45</v>
      </c>
      <c r="F7546">
        <v>75.12</v>
      </c>
    </row>
    <row r="7547" spans="1:6" x14ac:dyDescent="0.25">
      <c r="A7547" t="s">
        <v>2870</v>
      </c>
      <c r="B7547" t="s">
        <v>52</v>
      </c>
      <c r="C7547" t="s">
        <v>74</v>
      </c>
      <c r="D7547" t="s">
        <v>3217</v>
      </c>
      <c r="E7547">
        <v>0</v>
      </c>
      <c r="F7547">
        <v>76</v>
      </c>
    </row>
    <row r="7548" spans="1:6" x14ac:dyDescent="0.25">
      <c r="A7548" t="s">
        <v>2870</v>
      </c>
      <c r="B7548" t="s">
        <v>52</v>
      </c>
      <c r="C7548" t="s">
        <v>74</v>
      </c>
      <c r="D7548" t="s">
        <v>3218</v>
      </c>
      <c r="E7548">
        <v>12.68</v>
      </c>
      <c r="F7548">
        <v>76.099999999999994</v>
      </c>
    </row>
    <row r="7549" spans="1:6" x14ac:dyDescent="0.25">
      <c r="A7549" t="s">
        <v>2870</v>
      </c>
      <c r="B7549" t="s">
        <v>52</v>
      </c>
      <c r="C7549" t="s">
        <v>74</v>
      </c>
      <c r="D7549" t="s">
        <v>3219</v>
      </c>
      <c r="E7549">
        <v>23.03</v>
      </c>
      <c r="F7549">
        <v>75.849999999999994</v>
      </c>
    </row>
    <row r="7550" spans="1:6" x14ac:dyDescent="0.25">
      <c r="A7550" t="s">
        <v>2871</v>
      </c>
      <c r="B7550" t="s">
        <v>52</v>
      </c>
      <c r="C7550" t="s">
        <v>75</v>
      </c>
      <c r="D7550" t="s">
        <v>3217</v>
      </c>
      <c r="E7550">
        <v>0</v>
      </c>
      <c r="F7550">
        <v>76.959999999999994</v>
      </c>
    </row>
    <row r="7551" spans="1:6" x14ac:dyDescent="0.25">
      <c r="A7551" t="s">
        <v>2871</v>
      </c>
      <c r="B7551" t="s">
        <v>52</v>
      </c>
      <c r="C7551" t="s">
        <v>75</v>
      </c>
      <c r="D7551" t="s">
        <v>3218</v>
      </c>
      <c r="E7551">
        <v>12.69</v>
      </c>
      <c r="F7551">
        <v>76.92</v>
      </c>
    </row>
    <row r="7552" spans="1:6" x14ac:dyDescent="0.25">
      <c r="A7552" t="s">
        <v>2871</v>
      </c>
      <c r="B7552" t="s">
        <v>52</v>
      </c>
      <c r="C7552" t="s">
        <v>75</v>
      </c>
      <c r="D7552" t="s">
        <v>3219</v>
      </c>
      <c r="E7552">
        <v>23.96</v>
      </c>
      <c r="F7552">
        <v>76.72</v>
      </c>
    </row>
    <row r="7553" spans="1:6" x14ac:dyDescent="0.25">
      <c r="A7553" t="s">
        <v>2872</v>
      </c>
      <c r="B7553" t="s">
        <v>52</v>
      </c>
      <c r="C7553" t="s">
        <v>76</v>
      </c>
      <c r="D7553" t="s">
        <v>3217</v>
      </c>
      <c r="E7553">
        <v>0</v>
      </c>
      <c r="F7553">
        <v>77.930000000000007</v>
      </c>
    </row>
    <row r="7554" spans="1:6" x14ac:dyDescent="0.25">
      <c r="A7554" t="s">
        <v>2872</v>
      </c>
      <c r="B7554" t="s">
        <v>52</v>
      </c>
      <c r="C7554" t="s">
        <v>76</v>
      </c>
      <c r="D7554" t="s">
        <v>3218</v>
      </c>
      <c r="E7554">
        <v>12.71</v>
      </c>
      <c r="F7554">
        <v>77.97</v>
      </c>
    </row>
    <row r="7555" spans="1:6" x14ac:dyDescent="0.25">
      <c r="A7555" t="s">
        <v>2872</v>
      </c>
      <c r="B7555" t="s">
        <v>52</v>
      </c>
      <c r="C7555" t="s">
        <v>76</v>
      </c>
      <c r="D7555" t="s">
        <v>3219</v>
      </c>
      <c r="E7555">
        <v>24.87</v>
      </c>
      <c r="F7555">
        <v>77.709999999999994</v>
      </c>
    </row>
    <row r="7556" spans="1:6" x14ac:dyDescent="0.25">
      <c r="A7556" t="s">
        <v>2873</v>
      </c>
      <c r="B7556" t="s">
        <v>52</v>
      </c>
      <c r="C7556" t="s">
        <v>77</v>
      </c>
      <c r="D7556" t="s">
        <v>3217</v>
      </c>
      <c r="E7556">
        <v>0</v>
      </c>
      <c r="F7556">
        <v>79.040000000000006</v>
      </c>
    </row>
    <row r="7557" spans="1:6" x14ac:dyDescent="0.25">
      <c r="A7557" t="s">
        <v>2873</v>
      </c>
      <c r="B7557" t="s">
        <v>52</v>
      </c>
      <c r="C7557" t="s">
        <v>77</v>
      </c>
      <c r="D7557" t="s">
        <v>3218</v>
      </c>
      <c r="E7557">
        <v>13.38</v>
      </c>
      <c r="F7557">
        <v>79.150000000000006</v>
      </c>
    </row>
    <row r="7558" spans="1:6" x14ac:dyDescent="0.25">
      <c r="A7558" t="s">
        <v>2873</v>
      </c>
      <c r="B7558" t="s">
        <v>52</v>
      </c>
      <c r="C7558" t="s">
        <v>77</v>
      </c>
      <c r="D7558" t="s">
        <v>3219</v>
      </c>
      <c r="E7558">
        <v>25.54</v>
      </c>
      <c r="F7558">
        <v>79.09</v>
      </c>
    </row>
    <row r="7559" spans="1:6" x14ac:dyDescent="0.25">
      <c r="A7559" t="s">
        <v>2874</v>
      </c>
      <c r="B7559" t="s">
        <v>52</v>
      </c>
      <c r="C7559" t="s">
        <v>78</v>
      </c>
      <c r="D7559" t="s">
        <v>3217</v>
      </c>
      <c r="E7559">
        <v>0</v>
      </c>
      <c r="F7559">
        <v>80.34</v>
      </c>
    </row>
    <row r="7560" spans="1:6" x14ac:dyDescent="0.25">
      <c r="A7560" t="s">
        <v>2874</v>
      </c>
      <c r="B7560" t="s">
        <v>52</v>
      </c>
      <c r="C7560" t="s">
        <v>78</v>
      </c>
      <c r="D7560" t="s">
        <v>3218</v>
      </c>
      <c r="E7560">
        <v>14.3</v>
      </c>
      <c r="F7560">
        <v>80.400000000000006</v>
      </c>
    </row>
    <row r="7561" spans="1:6" x14ac:dyDescent="0.25">
      <c r="A7561" t="s">
        <v>2874</v>
      </c>
      <c r="B7561" t="s">
        <v>52</v>
      </c>
      <c r="C7561" t="s">
        <v>78</v>
      </c>
      <c r="D7561" t="s">
        <v>3219</v>
      </c>
      <c r="E7561">
        <v>26.69</v>
      </c>
      <c r="F7561">
        <v>80.38</v>
      </c>
    </row>
    <row r="7562" spans="1:6" x14ac:dyDescent="0.25">
      <c r="A7562" t="s">
        <v>2875</v>
      </c>
      <c r="B7562" t="s">
        <v>52</v>
      </c>
      <c r="C7562" t="s">
        <v>79</v>
      </c>
      <c r="D7562" t="s">
        <v>3217</v>
      </c>
      <c r="E7562">
        <v>0</v>
      </c>
      <c r="F7562">
        <v>81.61</v>
      </c>
    </row>
    <row r="7563" spans="1:6" x14ac:dyDescent="0.25">
      <c r="A7563" t="s">
        <v>2875</v>
      </c>
      <c r="B7563" t="s">
        <v>52</v>
      </c>
      <c r="C7563" t="s">
        <v>79</v>
      </c>
      <c r="D7563" t="s">
        <v>3218</v>
      </c>
      <c r="E7563">
        <v>15.05</v>
      </c>
      <c r="F7563">
        <v>81.61</v>
      </c>
    </row>
    <row r="7564" spans="1:6" x14ac:dyDescent="0.25">
      <c r="A7564" t="s">
        <v>2875</v>
      </c>
      <c r="B7564" t="s">
        <v>52</v>
      </c>
      <c r="C7564" t="s">
        <v>79</v>
      </c>
      <c r="D7564" t="s">
        <v>3219</v>
      </c>
      <c r="E7564">
        <v>28.02</v>
      </c>
      <c r="F7564">
        <v>81.55</v>
      </c>
    </row>
    <row r="7565" spans="1:6" x14ac:dyDescent="0.25">
      <c r="A7565" t="s">
        <v>2876</v>
      </c>
      <c r="B7565" t="s">
        <v>52</v>
      </c>
      <c r="C7565" t="s">
        <v>80</v>
      </c>
      <c r="D7565" t="s">
        <v>3217</v>
      </c>
      <c r="E7565">
        <v>0</v>
      </c>
      <c r="F7565">
        <v>82.75</v>
      </c>
    </row>
    <row r="7566" spans="1:6" x14ac:dyDescent="0.25">
      <c r="A7566" t="s">
        <v>2876</v>
      </c>
      <c r="B7566" t="s">
        <v>52</v>
      </c>
      <c r="C7566" t="s">
        <v>80</v>
      </c>
      <c r="D7566" t="s">
        <v>3218</v>
      </c>
      <c r="E7566">
        <v>15.08</v>
      </c>
      <c r="F7566">
        <v>82.85</v>
      </c>
    </row>
    <row r="7567" spans="1:6" x14ac:dyDescent="0.25">
      <c r="A7567" t="s">
        <v>2876</v>
      </c>
      <c r="B7567" t="s">
        <v>52</v>
      </c>
      <c r="C7567" t="s">
        <v>80</v>
      </c>
      <c r="D7567" t="s">
        <v>3219</v>
      </c>
      <c r="E7567">
        <v>28.14</v>
      </c>
      <c r="F7567">
        <v>82.87</v>
      </c>
    </row>
    <row r="7568" spans="1:6" x14ac:dyDescent="0.25">
      <c r="A7568" t="s">
        <v>2877</v>
      </c>
      <c r="B7568" t="s">
        <v>52</v>
      </c>
      <c r="C7568" t="s">
        <v>81</v>
      </c>
      <c r="D7568" t="s">
        <v>3217</v>
      </c>
      <c r="E7568">
        <v>0</v>
      </c>
      <c r="F7568">
        <v>83.84</v>
      </c>
    </row>
    <row r="7569" spans="1:6" x14ac:dyDescent="0.25">
      <c r="A7569" t="s">
        <v>2877</v>
      </c>
      <c r="B7569" t="s">
        <v>52</v>
      </c>
      <c r="C7569" t="s">
        <v>81</v>
      </c>
      <c r="D7569" t="s">
        <v>3218</v>
      </c>
      <c r="E7569">
        <v>14.34</v>
      </c>
      <c r="F7569">
        <v>84.16</v>
      </c>
    </row>
    <row r="7570" spans="1:6" x14ac:dyDescent="0.25">
      <c r="A7570" t="s">
        <v>2877</v>
      </c>
      <c r="B7570" t="s">
        <v>52</v>
      </c>
      <c r="C7570" t="s">
        <v>81</v>
      </c>
      <c r="D7570" t="s">
        <v>3219</v>
      </c>
      <c r="E7570">
        <v>28.14</v>
      </c>
      <c r="F7570">
        <v>84.16</v>
      </c>
    </row>
    <row r="7571" spans="1:6" x14ac:dyDescent="0.25">
      <c r="A7571" t="s">
        <v>2878</v>
      </c>
      <c r="B7571" t="s">
        <v>52</v>
      </c>
      <c r="C7571" t="s">
        <v>82</v>
      </c>
      <c r="D7571" t="s">
        <v>3217</v>
      </c>
      <c r="E7571">
        <v>0</v>
      </c>
      <c r="F7571">
        <v>85.27</v>
      </c>
    </row>
    <row r="7572" spans="1:6" x14ac:dyDescent="0.25">
      <c r="A7572" t="s">
        <v>2878</v>
      </c>
      <c r="B7572" t="s">
        <v>52</v>
      </c>
      <c r="C7572" t="s">
        <v>82</v>
      </c>
      <c r="D7572" t="s">
        <v>3218</v>
      </c>
      <c r="E7572">
        <v>16.57</v>
      </c>
      <c r="F7572">
        <v>85.34</v>
      </c>
    </row>
    <row r="7573" spans="1:6" x14ac:dyDescent="0.25">
      <c r="A7573" t="s">
        <v>2878</v>
      </c>
      <c r="B7573" t="s">
        <v>52</v>
      </c>
      <c r="C7573" t="s">
        <v>82</v>
      </c>
      <c r="D7573" t="s">
        <v>3219</v>
      </c>
      <c r="E7573">
        <v>31.33</v>
      </c>
      <c r="F7573">
        <v>85.27</v>
      </c>
    </row>
    <row r="7574" spans="1:6" x14ac:dyDescent="0.25">
      <c r="A7574" t="s">
        <v>2879</v>
      </c>
      <c r="B7574" t="s">
        <v>52</v>
      </c>
      <c r="C7574" t="s">
        <v>83</v>
      </c>
      <c r="D7574" t="s">
        <v>3217</v>
      </c>
      <c r="E7574">
        <v>0</v>
      </c>
      <c r="F7574">
        <v>86.28</v>
      </c>
    </row>
    <row r="7575" spans="1:6" x14ac:dyDescent="0.25">
      <c r="A7575" t="s">
        <v>2879</v>
      </c>
      <c r="B7575" t="s">
        <v>52</v>
      </c>
      <c r="C7575" t="s">
        <v>83</v>
      </c>
      <c r="D7575" t="s">
        <v>3218</v>
      </c>
      <c r="E7575">
        <v>16.57</v>
      </c>
      <c r="F7575">
        <v>86.33</v>
      </c>
    </row>
    <row r="7576" spans="1:6" x14ac:dyDescent="0.25">
      <c r="A7576" t="s">
        <v>2879</v>
      </c>
      <c r="B7576" t="s">
        <v>52</v>
      </c>
      <c r="C7576" t="s">
        <v>83</v>
      </c>
      <c r="D7576" t="s">
        <v>3219</v>
      </c>
      <c r="E7576">
        <v>30.83</v>
      </c>
      <c r="F7576">
        <v>86.29</v>
      </c>
    </row>
    <row r="7577" spans="1:6" x14ac:dyDescent="0.25">
      <c r="A7577" t="s">
        <v>2880</v>
      </c>
      <c r="B7577" t="s">
        <v>52</v>
      </c>
      <c r="C7577" t="s">
        <v>84</v>
      </c>
      <c r="D7577" t="s">
        <v>3217</v>
      </c>
      <c r="E7577">
        <v>0</v>
      </c>
      <c r="F7577">
        <v>87.39</v>
      </c>
    </row>
    <row r="7578" spans="1:6" x14ac:dyDescent="0.25">
      <c r="A7578" t="s">
        <v>2880</v>
      </c>
      <c r="B7578" t="s">
        <v>52</v>
      </c>
      <c r="C7578" t="s">
        <v>84</v>
      </c>
      <c r="D7578" t="s">
        <v>3218</v>
      </c>
      <c r="E7578">
        <v>16.57</v>
      </c>
      <c r="F7578">
        <v>87.4</v>
      </c>
    </row>
    <row r="7579" spans="1:6" x14ac:dyDescent="0.25">
      <c r="A7579" t="s">
        <v>2880</v>
      </c>
      <c r="B7579" t="s">
        <v>52</v>
      </c>
      <c r="C7579" t="s">
        <v>84</v>
      </c>
      <c r="D7579" t="s">
        <v>3219</v>
      </c>
      <c r="E7579">
        <v>31.44</v>
      </c>
      <c r="F7579">
        <v>87.31</v>
      </c>
    </row>
    <row r="7580" spans="1:6" x14ac:dyDescent="0.25">
      <c r="A7580" t="s">
        <v>2881</v>
      </c>
      <c r="B7580" t="s">
        <v>52</v>
      </c>
      <c r="C7580" t="s">
        <v>85</v>
      </c>
      <c r="D7580" t="s">
        <v>3217</v>
      </c>
      <c r="E7580">
        <v>0</v>
      </c>
      <c r="F7580">
        <v>88.38</v>
      </c>
    </row>
    <row r="7581" spans="1:6" x14ac:dyDescent="0.25">
      <c r="A7581" t="s">
        <v>2881</v>
      </c>
      <c r="B7581" t="s">
        <v>52</v>
      </c>
      <c r="C7581" t="s">
        <v>85</v>
      </c>
      <c r="D7581" t="s">
        <v>3218</v>
      </c>
      <c r="E7581">
        <v>15.95</v>
      </c>
      <c r="F7581">
        <v>88.36</v>
      </c>
    </row>
    <row r="7582" spans="1:6" x14ac:dyDescent="0.25">
      <c r="A7582" t="s">
        <v>2881</v>
      </c>
      <c r="B7582" t="s">
        <v>52</v>
      </c>
      <c r="C7582" t="s">
        <v>85</v>
      </c>
      <c r="D7582" t="s">
        <v>3219</v>
      </c>
      <c r="E7582">
        <v>31.22</v>
      </c>
      <c r="F7582">
        <v>88.23</v>
      </c>
    </row>
    <row r="7583" spans="1:6" x14ac:dyDescent="0.25">
      <c r="A7583" t="s">
        <v>2882</v>
      </c>
      <c r="B7583" t="s">
        <v>52</v>
      </c>
      <c r="C7583" t="s">
        <v>86</v>
      </c>
      <c r="D7583" t="s">
        <v>3217</v>
      </c>
      <c r="E7583">
        <v>0</v>
      </c>
      <c r="F7583">
        <v>89.18</v>
      </c>
    </row>
    <row r="7584" spans="1:6" x14ac:dyDescent="0.25">
      <c r="A7584" t="s">
        <v>2882</v>
      </c>
      <c r="B7584" t="s">
        <v>52</v>
      </c>
      <c r="C7584" t="s">
        <v>86</v>
      </c>
      <c r="D7584" t="s">
        <v>3218</v>
      </c>
      <c r="E7584">
        <v>16.14</v>
      </c>
      <c r="F7584">
        <v>89.26</v>
      </c>
    </row>
    <row r="7585" spans="1:6" x14ac:dyDescent="0.25">
      <c r="A7585" t="s">
        <v>2882</v>
      </c>
      <c r="B7585" t="s">
        <v>52</v>
      </c>
      <c r="C7585" t="s">
        <v>86</v>
      </c>
      <c r="D7585" t="s">
        <v>3219</v>
      </c>
      <c r="E7585">
        <v>31.53</v>
      </c>
      <c r="F7585">
        <v>89.07</v>
      </c>
    </row>
    <row r="7586" spans="1:6" x14ac:dyDescent="0.25">
      <c r="A7586" t="s">
        <v>2883</v>
      </c>
      <c r="B7586" t="s">
        <v>52</v>
      </c>
      <c r="C7586" t="s">
        <v>87</v>
      </c>
      <c r="D7586" t="s">
        <v>3217</v>
      </c>
      <c r="E7586">
        <v>0</v>
      </c>
      <c r="F7586">
        <v>90.23</v>
      </c>
    </row>
    <row r="7587" spans="1:6" x14ac:dyDescent="0.25">
      <c r="A7587" t="s">
        <v>2883</v>
      </c>
      <c r="B7587" t="s">
        <v>52</v>
      </c>
      <c r="C7587" t="s">
        <v>87</v>
      </c>
      <c r="D7587" t="s">
        <v>3218</v>
      </c>
      <c r="E7587">
        <v>13.92</v>
      </c>
      <c r="F7587">
        <v>90.05</v>
      </c>
    </row>
    <row r="7588" spans="1:6" x14ac:dyDescent="0.25">
      <c r="A7588" t="s">
        <v>2883</v>
      </c>
      <c r="B7588" t="s">
        <v>52</v>
      </c>
      <c r="C7588" t="s">
        <v>87</v>
      </c>
      <c r="D7588" t="s">
        <v>3219</v>
      </c>
      <c r="E7588">
        <v>29.57</v>
      </c>
      <c r="F7588">
        <v>89.75</v>
      </c>
    </row>
    <row r="7589" spans="1:6" x14ac:dyDescent="0.25">
      <c r="A7589" t="s">
        <v>2884</v>
      </c>
      <c r="B7589" t="s">
        <v>52</v>
      </c>
      <c r="C7589" t="s">
        <v>88</v>
      </c>
      <c r="D7589" t="s">
        <v>3217</v>
      </c>
      <c r="E7589">
        <v>0</v>
      </c>
      <c r="F7589">
        <v>91.07</v>
      </c>
    </row>
    <row r="7590" spans="1:6" x14ac:dyDescent="0.25">
      <c r="A7590" t="s">
        <v>2884</v>
      </c>
      <c r="B7590" t="s">
        <v>52</v>
      </c>
      <c r="C7590" t="s">
        <v>88</v>
      </c>
      <c r="D7590" t="s">
        <v>3218</v>
      </c>
      <c r="E7590">
        <v>14.76</v>
      </c>
      <c r="F7590">
        <v>90.7</v>
      </c>
    </row>
    <row r="7591" spans="1:6" x14ac:dyDescent="0.25">
      <c r="A7591" t="s">
        <v>2884</v>
      </c>
      <c r="B7591" t="s">
        <v>52</v>
      </c>
      <c r="C7591" t="s">
        <v>88</v>
      </c>
      <c r="D7591" t="s">
        <v>3219</v>
      </c>
      <c r="E7591">
        <v>30.41</v>
      </c>
      <c r="F7591">
        <v>90.35</v>
      </c>
    </row>
    <row r="7592" spans="1:6" x14ac:dyDescent="0.25">
      <c r="A7592" t="s">
        <v>2885</v>
      </c>
      <c r="B7592" t="s">
        <v>52</v>
      </c>
      <c r="C7592" t="s">
        <v>89</v>
      </c>
      <c r="D7592" t="s">
        <v>3217</v>
      </c>
      <c r="E7592">
        <v>0</v>
      </c>
      <c r="F7592">
        <v>91.84</v>
      </c>
    </row>
    <row r="7593" spans="1:6" x14ac:dyDescent="0.25">
      <c r="A7593" t="s">
        <v>2885</v>
      </c>
      <c r="B7593" t="s">
        <v>52</v>
      </c>
      <c r="C7593" t="s">
        <v>89</v>
      </c>
      <c r="D7593" t="s">
        <v>3218</v>
      </c>
      <c r="E7593">
        <v>14.84</v>
      </c>
      <c r="F7593">
        <v>91.41</v>
      </c>
    </row>
    <row r="7594" spans="1:6" x14ac:dyDescent="0.25">
      <c r="A7594" t="s">
        <v>2885</v>
      </c>
      <c r="B7594" t="s">
        <v>52</v>
      </c>
      <c r="C7594" t="s">
        <v>89</v>
      </c>
      <c r="D7594" t="s">
        <v>3219</v>
      </c>
      <c r="E7594">
        <v>30.49</v>
      </c>
      <c r="F7594">
        <v>90.93</v>
      </c>
    </row>
    <row r="7595" spans="1:6" x14ac:dyDescent="0.25">
      <c r="A7595" t="s">
        <v>2886</v>
      </c>
      <c r="B7595" t="s">
        <v>52</v>
      </c>
      <c r="C7595" t="s">
        <v>90</v>
      </c>
      <c r="D7595" t="s">
        <v>3217</v>
      </c>
      <c r="E7595">
        <v>0</v>
      </c>
      <c r="F7595">
        <v>92.65</v>
      </c>
    </row>
    <row r="7596" spans="1:6" x14ac:dyDescent="0.25">
      <c r="A7596" t="s">
        <v>2886</v>
      </c>
      <c r="B7596" t="s">
        <v>52</v>
      </c>
      <c r="C7596" t="s">
        <v>90</v>
      </c>
      <c r="D7596" t="s">
        <v>3218</v>
      </c>
      <c r="E7596">
        <v>13.83</v>
      </c>
      <c r="F7596">
        <v>92.44</v>
      </c>
    </row>
    <row r="7597" spans="1:6" x14ac:dyDescent="0.25">
      <c r="A7597" t="s">
        <v>2886</v>
      </c>
      <c r="B7597" t="s">
        <v>52</v>
      </c>
      <c r="C7597" t="s">
        <v>90</v>
      </c>
      <c r="D7597" t="s">
        <v>3219</v>
      </c>
      <c r="E7597">
        <v>28.71</v>
      </c>
      <c r="F7597">
        <v>91.89</v>
      </c>
    </row>
    <row r="7598" spans="1:6" x14ac:dyDescent="0.25">
      <c r="A7598" t="s">
        <v>2887</v>
      </c>
      <c r="B7598" t="s">
        <v>52</v>
      </c>
      <c r="C7598" t="s">
        <v>91</v>
      </c>
      <c r="D7598" t="s">
        <v>3217</v>
      </c>
      <c r="E7598">
        <v>0</v>
      </c>
      <c r="F7598">
        <v>93.53</v>
      </c>
    </row>
    <row r="7599" spans="1:6" x14ac:dyDescent="0.25">
      <c r="A7599" t="s">
        <v>2887</v>
      </c>
      <c r="B7599" t="s">
        <v>52</v>
      </c>
      <c r="C7599" t="s">
        <v>91</v>
      </c>
      <c r="D7599" t="s">
        <v>3218</v>
      </c>
      <c r="E7599">
        <v>15.1</v>
      </c>
      <c r="F7599">
        <v>93.58</v>
      </c>
    </row>
    <row r="7600" spans="1:6" x14ac:dyDescent="0.25">
      <c r="A7600" t="s">
        <v>2887</v>
      </c>
      <c r="B7600" t="s">
        <v>52</v>
      </c>
      <c r="C7600" t="s">
        <v>91</v>
      </c>
      <c r="D7600" t="s">
        <v>3219</v>
      </c>
      <c r="E7600">
        <v>29.63</v>
      </c>
      <c r="F7600">
        <v>93.2</v>
      </c>
    </row>
    <row r="7601" spans="1:6" x14ac:dyDescent="0.25">
      <c r="A7601" t="s">
        <v>2888</v>
      </c>
      <c r="B7601" t="s">
        <v>52</v>
      </c>
      <c r="C7601" t="s">
        <v>92</v>
      </c>
      <c r="D7601" t="s">
        <v>3217</v>
      </c>
      <c r="E7601">
        <v>0</v>
      </c>
      <c r="F7601">
        <v>94.94</v>
      </c>
    </row>
    <row r="7602" spans="1:6" x14ac:dyDescent="0.25">
      <c r="A7602" t="s">
        <v>2888</v>
      </c>
      <c r="B7602" t="s">
        <v>52</v>
      </c>
      <c r="C7602" t="s">
        <v>92</v>
      </c>
      <c r="D7602" t="s">
        <v>3218</v>
      </c>
      <c r="E7602">
        <v>15.1</v>
      </c>
      <c r="F7602">
        <v>94.8</v>
      </c>
    </row>
    <row r="7603" spans="1:6" x14ac:dyDescent="0.25">
      <c r="A7603" t="s">
        <v>2888</v>
      </c>
      <c r="B7603" t="s">
        <v>52</v>
      </c>
      <c r="C7603" t="s">
        <v>92</v>
      </c>
      <c r="D7603" t="s">
        <v>3219</v>
      </c>
      <c r="E7603">
        <v>29.53</v>
      </c>
      <c r="F7603">
        <v>94.3</v>
      </c>
    </row>
    <row r="7604" spans="1:6" x14ac:dyDescent="0.25">
      <c r="A7604" t="s">
        <v>2889</v>
      </c>
      <c r="B7604" t="s">
        <v>52</v>
      </c>
      <c r="C7604" t="s">
        <v>93</v>
      </c>
      <c r="D7604" t="s">
        <v>3217</v>
      </c>
      <c r="E7604">
        <v>0</v>
      </c>
      <c r="F7604">
        <v>96.32</v>
      </c>
    </row>
    <row r="7605" spans="1:6" x14ac:dyDescent="0.25">
      <c r="A7605" t="s">
        <v>2889</v>
      </c>
      <c r="B7605" t="s">
        <v>52</v>
      </c>
      <c r="C7605" t="s">
        <v>93</v>
      </c>
      <c r="D7605" t="s">
        <v>3218</v>
      </c>
      <c r="E7605">
        <v>15.26</v>
      </c>
      <c r="F7605">
        <v>96.07</v>
      </c>
    </row>
    <row r="7606" spans="1:6" x14ac:dyDescent="0.25">
      <c r="A7606" t="s">
        <v>2889</v>
      </c>
      <c r="B7606" t="s">
        <v>52</v>
      </c>
      <c r="C7606" t="s">
        <v>93</v>
      </c>
      <c r="D7606" t="s">
        <v>3219</v>
      </c>
      <c r="E7606">
        <v>28.58</v>
      </c>
      <c r="F7606">
        <v>95.73</v>
      </c>
    </row>
    <row r="7607" spans="1:6" x14ac:dyDescent="0.25">
      <c r="A7607" t="s">
        <v>2890</v>
      </c>
      <c r="B7607" t="s">
        <v>52</v>
      </c>
      <c r="C7607" t="s">
        <v>94</v>
      </c>
      <c r="D7607" t="s">
        <v>3217</v>
      </c>
      <c r="E7607">
        <v>0</v>
      </c>
      <c r="F7607">
        <v>97.51</v>
      </c>
    </row>
    <row r="7608" spans="1:6" x14ac:dyDescent="0.25">
      <c r="A7608" t="s">
        <v>2890</v>
      </c>
      <c r="B7608" t="s">
        <v>52</v>
      </c>
      <c r="C7608" t="s">
        <v>94</v>
      </c>
      <c r="D7608" t="s">
        <v>3218</v>
      </c>
      <c r="E7608">
        <v>15.66</v>
      </c>
      <c r="F7608">
        <v>97.34</v>
      </c>
    </row>
    <row r="7609" spans="1:6" x14ac:dyDescent="0.25">
      <c r="A7609" t="s">
        <v>2890</v>
      </c>
      <c r="B7609" t="s">
        <v>52</v>
      </c>
      <c r="C7609" t="s">
        <v>94</v>
      </c>
      <c r="D7609" t="s">
        <v>3219</v>
      </c>
      <c r="E7609">
        <v>30.25</v>
      </c>
      <c r="F7609">
        <v>97.14</v>
      </c>
    </row>
    <row r="7610" spans="1:6" x14ac:dyDescent="0.25">
      <c r="A7610" t="s">
        <v>2891</v>
      </c>
      <c r="B7610" t="s">
        <v>52</v>
      </c>
      <c r="C7610" t="s">
        <v>95</v>
      </c>
      <c r="D7610" t="s">
        <v>3217</v>
      </c>
      <c r="E7610">
        <v>0</v>
      </c>
      <c r="F7610">
        <v>98.94</v>
      </c>
    </row>
    <row r="7611" spans="1:6" x14ac:dyDescent="0.25">
      <c r="A7611" t="s">
        <v>2891</v>
      </c>
      <c r="B7611" t="s">
        <v>52</v>
      </c>
      <c r="C7611" t="s">
        <v>95</v>
      </c>
      <c r="D7611" t="s">
        <v>3218</v>
      </c>
      <c r="E7611">
        <v>15.36</v>
      </c>
      <c r="F7611">
        <v>98.78</v>
      </c>
    </row>
    <row r="7612" spans="1:6" x14ac:dyDescent="0.25">
      <c r="A7612" t="s">
        <v>2891</v>
      </c>
      <c r="B7612" t="s">
        <v>52</v>
      </c>
      <c r="C7612" t="s">
        <v>95</v>
      </c>
      <c r="D7612" t="s">
        <v>3219</v>
      </c>
      <c r="E7612">
        <v>31.63</v>
      </c>
      <c r="F7612">
        <v>98.67</v>
      </c>
    </row>
    <row r="7613" spans="1:6" x14ac:dyDescent="0.25">
      <c r="A7613" t="s">
        <v>2892</v>
      </c>
      <c r="B7613" t="s">
        <v>52</v>
      </c>
      <c r="C7613" t="s">
        <v>96</v>
      </c>
      <c r="D7613" t="s">
        <v>3217</v>
      </c>
      <c r="E7613">
        <v>0</v>
      </c>
      <c r="F7613">
        <v>100.42</v>
      </c>
    </row>
    <row r="7614" spans="1:6" x14ac:dyDescent="0.25">
      <c r="A7614" t="s">
        <v>2892</v>
      </c>
      <c r="B7614" t="s">
        <v>52</v>
      </c>
      <c r="C7614" t="s">
        <v>96</v>
      </c>
      <c r="D7614" t="s">
        <v>3218</v>
      </c>
      <c r="E7614">
        <v>15.36</v>
      </c>
      <c r="F7614">
        <v>100.19</v>
      </c>
    </row>
    <row r="7615" spans="1:6" x14ac:dyDescent="0.25">
      <c r="A7615" t="s">
        <v>2892</v>
      </c>
      <c r="B7615" t="s">
        <v>52</v>
      </c>
      <c r="C7615" t="s">
        <v>96</v>
      </c>
      <c r="D7615" t="s">
        <v>3219</v>
      </c>
      <c r="E7615">
        <v>33.93</v>
      </c>
      <c r="F7615">
        <v>100.11</v>
      </c>
    </row>
    <row r="7616" spans="1:6" x14ac:dyDescent="0.25">
      <c r="A7616" t="s">
        <v>2893</v>
      </c>
      <c r="B7616" t="s">
        <v>52</v>
      </c>
      <c r="C7616" t="s">
        <v>97</v>
      </c>
      <c r="D7616" t="s">
        <v>3217</v>
      </c>
      <c r="E7616">
        <v>0</v>
      </c>
      <c r="F7616">
        <v>101.81</v>
      </c>
    </row>
    <row r="7617" spans="1:6" x14ac:dyDescent="0.25">
      <c r="A7617" t="s">
        <v>2893</v>
      </c>
      <c r="B7617" t="s">
        <v>52</v>
      </c>
      <c r="C7617" t="s">
        <v>97</v>
      </c>
      <c r="D7617" t="s">
        <v>3218</v>
      </c>
      <c r="E7617">
        <v>13.68</v>
      </c>
      <c r="F7617">
        <v>101.75</v>
      </c>
    </row>
    <row r="7618" spans="1:6" x14ac:dyDescent="0.25">
      <c r="A7618" t="s">
        <v>2893</v>
      </c>
      <c r="B7618" t="s">
        <v>52</v>
      </c>
      <c r="C7618" t="s">
        <v>97</v>
      </c>
      <c r="D7618" t="s">
        <v>3219</v>
      </c>
      <c r="E7618">
        <v>33.68</v>
      </c>
      <c r="F7618">
        <v>101.48</v>
      </c>
    </row>
    <row r="7619" spans="1:6" x14ac:dyDescent="0.25">
      <c r="A7619" t="s">
        <v>2894</v>
      </c>
      <c r="B7619" t="s">
        <v>52</v>
      </c>
      <c r="C7619" t="s">
        <v>98</v>
      </c>
      <c r="D7619" t="s">
        <v>3217</v>
      </c>
      <c r="E7619">
        <v>0</v>
      </c>
      <c r="F7619">
        <v>103.26</v>
      </c>
    </row>
    <row r="7620" spans="1:6" x14ac:dyDescent="0.25">
      <c r="A7620" t="s">
        <v>2894</v>
      </c>
      <c r="B7620" t="s">
        <v>52</v>
      </c>
      <c r="C7620" t="s">
        <v>98</v>
      </c>
      <c r="D7620" t="s">
        <v>3218</v>
      </c>
      <c r="E7620">
        <v>13.24</v>
      </c>
      <c r="F7620">
        <v>103.16</v>
      </c>
    </row>
    <row r="7621" spans="1:6" x14ac:dyDescent="0.25">
      <c r="A7621" t="s">
        <v>2894</v>
      </c>
      <c r="B7621" t="s">
        <v>52</v>
      </c>
      <c r="C7621" t="s">
        <v>98</v>
      </c>
      <c r="D7621" t="s">
        <v>3219</v>
      </c>
      <c r="E7621">
        <v>33.24</v>
      </c>
      <c r="F7621">
        <v>102.75</v>
      </c>
    </row>
    <row r="7622" spans="1:6" x14ac:dyDescent="0.25">
      <c r="A7622" t="s">
        <v>2895</v>
      </c>
      <c r="B7622" t="s">
        <v>52</v>
      </c>
      <c r="C7622" t="s">
        <v>99</v>
      </c>
      <c r="D7622" t="s">
        <v>3217</v>
      </c>
      <c r="E7622">
        <v>0</v>
      </c>
      <c r="F7622">
        <v>104.8</v>
      </c>
    </row>
    <row r="7623" spans="1:6" x14ac:dyDescent="0.25">
      <c r="A7623" t="s">
        <v>2895</v>
      </c>
      <c r="B7623" t="s">
        <v>52</v>
      </c>
      <c r="C7623" t="s">
        <v>99</v>
      </c>
      <c r="D7623" t="s">
        <v>3218</v>
      </c>
      <c r="E7623">
        <v>13</v>
      </c>
      <c r="F7623">
        <v>104.55</v>
      </c>
    </row>
    <row r="7624" spans="1:6" x14ac:dyDescent="0.25">
      <c r="A7624" t="s">
        <v>2895</v>
      </c>
      <c r="B7624" t="s">
        <v>52</v>
      </c>
      <c r="C7624" t="s">
        <v>99</v>
      </c>
      <c r="D7624" t="s">
        <v>3219</v>
      </c>
      <c r="E7624">
        <v>33</v>
      </c>
      <c r="F7624">
        <v>104.51</v>
      </c>
    </row>
    <row r="7625" spans="1:6" x14ac:dyDescent="0.25">
      <c r="A7625" t="s">
        <v>2896</v>
      </c>
      <c r="B7625" t="s">
        <v>52</v>
      </c>
      <c r="C7625" t="s">
        <v>100</v>
      </c>
      <c r="D7625" t="s">
        <v>3217</v>
      </c>
      <c r="E7625">
        <v>0</v>
      </c>
      <c r="F7625">
        <v>106.03</v>
      </c>
    </row>
    <row r="7626" spans="1:6" x14ac:dyDescent="0.25">
      <c r="A7626" t="s">
        <v>2896</v>
      </c>
      <c r="B7626" t="s">
        <v>52</v>
      </c>
      <c r="C7626" t="s">
        <v>100</v>
      </c>
      <c r="D7626" t="s">
        <v>3218</v>
      </c>
      <c r="E7626">
        <v>12.48</v>
      </c>
      <c r="F7626">
        <v>105.91</v>
      </c>
    </row>
    <row r="7627" spans="1:6" x14ac:dyDescent="0.25">
      <c r="A7627" t="s">
        <v>2896</v>
      </c>
      <c r="B7627" t="s">
        <v>52</v>
      </c>
      <c r="C7627" t="s">
        <v>100</v>
      </c>
      <c r="D7627" t="s">
        <v>3219</v>
      </c>
      <c r="E7627">
        <v>29.55</v>
      </c>
      <c r="F7627">
        <v>105.34</v>
      </c>
    </row>
    <row r="7628" spans="1:6" x14ac:dyDescent="0.25">
      <c r="A7628" t="s">
        <v>2897</v>
      </c>
      <c r="B7628" t="s">
        <v>52</v>
      </c>
      <c r="C7628" t="s">
        <v>101</v>
      </c>
      <c r="D7628" t="s">
        <v>3217</v>
      </c>
      <c r="E7628">
        <v>0</v>
      </c>
      <c r="F7628">
        <v>107.18</v>
      </c>
    </row>
    <row r="7629" spans="1:6" x14ac:dyDescent="0.25">
      <c r="A7629" t="s">
        <v>2897</v>
      </c>
      <c r="B7629" t="s">
        <v>52</v>
      </c>
      <c r="C7629" t="s">
        <v>101</v>
      </c>
      <c r="D7629" t="s">
        <v>3218</v>
      </c>
      <c r="E7629">
        <v>11.67</v>
      </c>
      <c r="F7629">
        <v>107.08</v>
      </c>
    </row>
    <row r="7630" spans="1:6" x14ac:dyDescent="0.25">
      <c r="A7630" t="s">
        <v>2897</v>
      </c>
      <c r="B7630" t="s">
        <v>52</v>
      </c>
      <c r="C7630" t="s">
        <v>101</v>
      </c>
      <c r="D7630" t="s">
        <v>3219</v>
      </c>
      <c r="E7630">
        <v>27.06</v>
      </c>
      <c r="F7630">
        <v>106.62</v>
      </c>
    </row>
    <row r="7631" spans="1:6" x14ac:dyDescent="0.25">
      <c r="A7631" t="s">
        <v>2898</v>
      </c>
      <c r="B7631" t="s">
        <v>52</v>
      </c>
      <c r="C7631" t="s">
        <v>102</v>
      </c>
      <c r="D7631" t="s">
        <v>3217</v>
      </c>
      <c r="E7631">
        <v>0</v>
      </c>
      <c r="F7631">
        <v>108.01</v>
      </c>
    </row>
    <row r="7632" spans="1:6" x14ac:dyDescent="0.25">
      <c r="A7632" t="s">
        <v>2898</v>
      </c>
      <c r="B7632" t="s">
        <v>52</v>
      </c>
      <c r="C7632" t="s">
        <v>102</v>
      </c>
      <c r="D7632" t="s">
        <v>3218</v>
      </c>
      <c r="E7632">
        <v>13.75</v>
      </c>
      <c r="F7632">
        <v>108.08</v>
      </c>
    </row>
    <row r="7633" spans="1:6" x14ac:dyDescent="0.25">
      <c r="A7633" t="s">
        <v>2898</v>
      </c>
      <c r="B7633" t="s">
        <v>52</v>
      </c>
      <c r="C7633" t="s">
        <v>102</v>
      </c>
      <c r="D7633" t="s">
        <v>3219</v>
      </c>
      <c r="E7633">
        <v>29.43</v>
      </c>
      <c r="F7633">
        <v>107.85</v>
      </c>
    </row>
    <row r="7634" spans="1:6" x14ac:dyDescent="0.25">
      <c r="A7634" t="s">
        <v>2899</v>
      </c>
      <c r="B7634" t="s">
        <v>52</v>
      </c>
      <c r="C7634" t="s">
        <v>103</v>
      </c>
      <c r="D7634" t="s">
        <v>3217</v>
      </c>
      <c r="E7634">
        <v>0</v>
      </c>
      <c r="F7634">
        <v>108.59</v>
      </c>
    </row>
    <row r="7635" spans="1:6" x14ac:dyDescent="0.25">
      <c r="A7635" t="s">
        <v>2899</v>
      </c>
      <c r="B7635" t="s">
        <v>52</v>
      </c>
      <c r="C7635" t="s">
        <v>103</v>
      </c>
      <c r="D7635" t="s">
        <v>3218</v>
      </c>
      <c r="E7635">
        <v>13.11</v>
      </c>
      <c r="F7635">
        <v>108.86</v>
      </c>
    </row>
    <row r="7636" spans="1:6" x14ac:dyDescent="0.25">
      <c r="A7636" t="s">
        <v>2899</v>
      </c>
      <c r="B7636" t="s">
        <v>52</v>
      </c>
      <c r="C7636" t="s">
        <v>103</v>
      </c>
      <c r="D7636" t="s">
        <v>3219</v>
      </c>
      <c r="E7636">
        <v>28.5</v>
      </c>
      <c r="F7636">
        <v>109.44</v>
      </c>
    </row>
    <row r="7637" spans="1:6" x14ac:dyDescent="0.25">
      <c r="A7637" t="s">
        <v>2900</v>
      </c>
      <c r="B7637" t="s">
        <v>52</v>
      </c>
      <c r="C7637" t="s">
        <v>104</v>
      </c>
      <c r="D7637" t="s">
        <v>3217</v>
      </c>
      <c r="E7637">
        <v>0</v>
      </c>
      <c r="F7637">
        <v>109.28</v>
      </c>
    </row>
    <row r="7638" spans="1:6" x14ac:dyDescent="0.25">
      <c r="A7638" t="s">
        <v>2900</v>
      </c>
      <c r="B7638" t="s">
        <v>52</v>
      </c>
      <c r="C7638" t="s">
        <v>104</v>
      </c>
      <c r="D7638" t="s">
        <v>3218</v>
      </c>
      <c r="E7638">
        <v>14.35</v>
      </c>
      <c r="F7638">
        <v>109.53</v>
      </c>
    </row>
    <row r="7639" spans="1:6" x14ac:dyDescent="0.25">
      <c r="A7639" t="s">
        <v>2900</v>
      </c>
      <c r="B7639" t="s">
        <v>52</v>
      </c>
      <c r="C7639" t="s">
        <v>104</v>
      </c>
      <c r="D7639" t="s">
        <v>3219</v>
      </c>
      <c r="E7639">
        <v>28.31</v>
      </c>
      <c r="F7639">
        <v>110.07</v>
      </c>
    </row>
    <row r="7640" spans="1:6" x14ac:dyDescent="0.25">
      <c r="A7640" t="s">
        <v>2901</v>
      </c>
      <c r="B7640" t="s">
        <v>52</v>
      </c>
      <c r="C7640" t="s">
        <v>105</v>
      </c>
      <c r="D7640" t="s">
        <v>3217</v>
      </c>
      <c r="E7640">
        <v>0</v>
      </c>
      <c r="F7640">
        <v>109.84</v>
      </c>
    </row>
    <row r="7641" spans="1:6" x14ac:dyDescent="0.25">
      <c r="A7641" t="s">
        <v>2901</v>
      </c>
      <c r="B7641" t="s">
        <v>52</v>
      </c>
      <c r="C7641" t="s">
        <v>105</v>
      </c>
      <c r="D7641" t="s">
        <v>3218</v>
      </c>
      <c r="E7641">
        <v>14.98</v>
      </c>
      <c r="F7641">
        <v>110.39</v>
      </c>
    </row>
    <row r="7642" spans="1:6" x14ac:dyDescent="0.25">
      <c r="A7642" t="s">
        <v>2901</v>
      </c>
      <c r="B7642" t="s">
        <v>52</v>
      </c>
      <c r="C7642" t="s">
        <v>105</v>
      </c>
      <c r="D7642" t="s">
        <v>3219</v>
      </c>
      <c r="E7642">
        <v>28.32</v>
      </c>
      <c r="F7642">
        <v>110.68</v>
      </c>
    </row>
    <row r="7643" spans="1:6" x14ac:dyDescent="0.25">
      <c r="A7643" t="s">
        <v>2902</v>
      </c>
      <c r="B7643" t="s">
        <v>52</v>
      </c>
      <c r="C7643" t="s">
        <v>106</v>
      </c>
      <c r="D7643" t="s">
        <v>3217</v>
      </c>
      <c r="E7643">
        <v>0</v>
      </c>
      <c r="F7643">
        <v>110.42</v>
      </c>
    </row>
    <row r="7644" spans="1:6" x14ac:dyDescent="0.25">
      <c r="A7644" t="s">
        <v>2902</v>
      </c>
      <c r="B7644" t="s">
        <v>52</v>
      </c>
      <c r="C7644" t="s">
        <v>106</v>
      </c>
      <c r="D7644" t="s">
        <v>3218</v>
      </c>
      <c r="E7644">
        <v>15.9</v>
      </c>
      <c r="F7644">
        <v>111.05</v>
      </c>
    </row>
    <row r="7645" spans="1:6" x14ac:dyDescent="0.25">
      <c r="A7645" t="s">
        <v>2902</v>
      </c>
      <c r="B7645" t="s">
        <v>52</v>
      </c>
      <c r="C7645" t="s">
        <v>106</v>
      </c>
      <c r="D7645" t="s">
        <v>3219</v>
      </c>
      <c r="E7645">
        <v>26.33</v>
      </c>
      <c r="F7645">
        <v>111.25</v>
      </c>
    </row>
    <row r="7646" spans="1:6" x14ac:dyDescent="0.25">
      <c r="A7646" t="s">
        <v>2903</v>
      </c>
      <c r="B7646" t="s">
        <v>52</v>
      </c>
      <c r="C7646" t="s">
        <v>108</v>
      </c>
      <c r="D7646" t="s">
        <v>3217</v>
      </c>
      <c r="E7646">
        <v>0</v>
      </c>
      <c r="F7646">
        <v>111.41</v>
      </c>
    </row>
    <row r="7647" spans="1:6" x14ac:dyDescent="0.25">
      <c r="A7647" t="s">
        <v>2903</v>
      </c>
      <c r="B7647" t="s">
        <v>52</v>
      </c>
      <c r="C7647" t="s">
        <v>108</v>
      </c>
      <c r="D7647" t="s">
        <v>3218</v>
      </c>
      <c r="E7647">
        <v>14.98</v>
      </c>
      <c r="F7647">
        <v>112.12</v>
      </c>
    </row>
    <row r="7648" spans="1:6" x14ac:dyDescent="0.25">
      <c r="A7648" t="s">
        <v>2903</v>
      </c>
      <c r="B7648" t="s">
        <v>52</v>
      </c>
      <c r="C7648" t="s">
        <v>108</v>
      </c>
      <c r="D7648" t="s">
        <v>3219</v>
      </c>
      <c r="E7648">
        <v>24.81</v>
      </c>
      <c r="F7648">
        <v>112.19</v>
      </c>
    </row>
    <row r="7649" spans="1:6" x14ac:dyDescent="0.25">
      <c r="A7649" t="s">
        <v>2904</v>
      </c>
      <c r="B7649" t="s">
        <v>52</v>
      </c>
      <c r="C7649" t="s">
        <v>109</v>
      </c>
      <c r="D7649" t="s">
        <v>3217</v>
      </c>
      <c r="E7649">
        <v>0</v>
      </c>
      <c r="F7649">
        <v>112.98</v>
      </c>
    </row>
    <row r="7650" spans="1:6" x14ac:dyDescent="0.25">
      <c r="A7650" t="s">
        <v>2904</v>
      </c>
      <c r="B7650" t="s">
        <v>52</v>
      </c>
      <c r="C7650" t="s">
        <v>109</v>
      </c>
      <c r="D7650" t="s">
        <v>3218</v>
      </c>
      <c r="E7650">
        <v>14.45</v>
      </c>
      <c r="F7650">
        <v>113.42</v>
      </c>
    </row>
    <row r="7651" spans="1:6" x14ac:dyDescent="0.25">
      <c r="A7651" t="s">
        <v>2904</v>
      </c>
      <c r="B7651" t="s">
        <v>52</v>
      </c>
      <c r="C7651" t="s">
        <v>109</v>
      </c>
      <c r="D7651" t="s">
        <v>3219</v>
      </c>
      <c r="E7651">
        <v>25.11</v>
      </c>
      <c r="F7651">
        <v>113.37</v>
      </c>
    </row>
    <row r="7652" spans="1:6" x14ac:dyDescent="0.25">
      <c r="A7652" t="s">
        <v>2905</v>
      </c>
      <c r="B7652" t="s">
        <v>52</v>
      </c>
      <c r="C7652" t="s">
        <v>110</v>
      </c>
      <c r="D7652" t="s">
        <v>3217</v>
      </c>
      <c r="E7652">
        <v>0</v>
      </c>
      <c r="F7652">
        <v>114.5</v>
      </c>
    </row>
    <row r="7653" spans="1:6" x14ac:dyDescent="0.25">
      <c r="A7653" t="s">
        <v>2905</v>
      </c>
      <c r="B7653" t="s">
        <v>52</v>
      </c>
      <c r="C7653" t="s">
        <v>110</v>
      </c>
      <c r="D7653" t="s">
        <v>3218</v>
      </c>
      <c r="E7653">
        <v>14.36</v>
      </c>
      <c r="F7653">
        <v>114.79</v>
      </c>
    </row>
    <row r="7654" spans="1:6" x14ac:dyDescent="0.25">
      <c r="A7654" t="s">
        <v>2905</v>
      </c>
      <c r="B7654" t="s">
        <v>52</v>
      </c>
      <c r="C7654" t="s">
        <v>110</v>
      </c>
      <c r="D7654" t="s">
        <v>3219</v>
      </c>
      <c r="E7654">
        <v>26.51</v>
      </c>
      <c r="F7654">
        <v>114.79</v>
      </c>
    </row>
    <row r="7655" spans="1:6" x14ac:dyDescent="0.25">
      <c r="A7655" t="s">
        <v>2906</v>
      </c>
      <c r="B7655" t="s">
        <v>52</v>
      </c>
      <c r="C7655" t="s">
        <v>111</v>
      </c>
      <c r="D7655" t="s">
        <v>3217</v>
      </c>
      <c r="E7655">
        <v>0</v>
      </c>
      <c r="F7655">
        <v>115.94</v>
      </c>
    </row>
    <row r="7656" spans="1:6" x14ac:dyDescent="0.25">
      <c r="A7656" t="s">
        <v>2906</v>
      </c>
      <c r="B7656" t="s">
        <v>52</v>
      </c>
      <c r="C7656" t="s">
        <v>111</v>
      </c>
      <c r="D7656" t="s">
        <v>3218</v>
      </c>
      <c r="E7656">
        <v>12.49</v>
      </c>
      <c r="F7656">
        <v>116.21</v>
      </c>
    </row>
    <row r="7657" spans="1:6" x14ac:dyDescent="0.25">
      <c r="A7657" t="s">
        <v>2906</v>
      </c>
      <c r="B7657" t="s">
        <v>52</v>
      </c>
      <c r="C7657" t="s">
        <v>111</v>
      </c>
      <c r="D7657" t="s">
        <v>3219</v>
      </c>
      <c r="E7657">
        <v>26.85</v>
      </c>
      <c r="F7657">
        <v>116.36</v>
      </c>
    </row>
    <row r="7658" spans="1:6" x14ac:dyDescent="0.25">
      <c r="A7658" t="s">
        <v>2907</v>
      </c>
      <c r="B7658" t="s">
        <v>52</v>
      </c>
      <c r="C7658" t="s">
        <v>112</v>
      </c>
      <c r="D7658" t="s">
        <v>3217</v>
      </c>
      <c r="E7658">
        <v>0</v>
      </c>
      <c r="F7658">
        <v>117.42</v>
      </c>
    </row>
    <row r="7659" spans="1:6" x14ac:dyDescent="0.25">
      <c r="A7659" t="s">
        <v>2907</v>
      </c>
      <c r="B7659" t="s">
        <v>52</v>
      </c>
      <c r="C7659" t="s">
        <v>112</v>
      </c>
      <c r="D7659" t="s">
        <v>3218</v>
      </c>
      <c r="E7659">
        <v>11.41</v>
      </c>
      <c r="F7659">
        <v>117.66</v>
      </c>
    </row>
    <row r="7660" spans="1:6" x14ac:dyDescent="0.25">
      <c r="A7660" t="s">
        <v>2907</v>
      </c>
      <c r="B7660" t="s">
        <v>52</v>
      </c>
      <c r="C7660" t="s">
        <v>112</v>
      </c>
      <c r="D7660" t="s">
        <v>3219</v>
      </c>
      <c r="E7660">
        <v>26.24</v>
      </c>
      <c r="F7660">
        <v>117.69</v>
      </c>
    </row>
    <row r="7661" spans="1:6" x14ac:dyDescent="0.25">
      <c r="A7661" t="s">
        <v>2908</v>
      </c>
      <c r="B7661" t="s">
        <v>52</v>
      </c>
      <c r="C7661" t="s">
        <v>113</v>
      </c>
      <c r="D7661" t="s">
        <v>3217</v>
      </c>
      <c r="E7661">
        <v>0</v>
      </c>
      <c r="F7661">
        <v>118.84</v>
      </c>
    </row>
    <row r="7662" spans="1:6" x14ac:dyDescent="0.25">
      <c r="A7662" t="s">
        <v>2908</v>
      </c>
      <c r="B7662" t="s">
        <v>52</v>
      </c>
      <c r="C7662" t="s">
        <v>113</v>
      </c>
      <c r="D7662" t="s">
        <v>3218</v>
      </c>
      <c r="E7662">
        <v>11.41</v>
      </c>
      <c r="F7662">
        <v>119.07</v>
      </c>
    </row>
    <row r="7663" spans="1:6" x14ac:dyDescent="0.25">
      <c r="A7663" t="s">
        <v>2908</v>
      </c>
      <c r="B7663" t="s">
        <v>52</v>
      </c>
      <c r="C7663" t="s">
        <v>113</v>
      </c>
      <c r="D7663" t="s">
        <v>3219</v>
      </c>
      <c r="E7663">
        <v>26.45</v>
      </c>
      <c r="F7663">
        <v>119.23</v>
      </c>
    </row>
    <row r="7664" spans="1:6" x14ac:dyDescent="0.25">
      <c r="A7664" t="s">
        <v>2909</v>
      </c>
      <c r="B7664" t="s">
        <v>52</v>
      </c>
      <c r="C7664" t="s">
        <v>114</v>
      </c>
      <c r="D7664" t="s">
        <v>3217</v>
      </c>
      <c r="E7664">
        <v>0</v>
      </c>
      <c r="F7664">
        <v>120.29</v>
      </c>
    </row>
    <row r="7665" spans="1:6" x14ac:dyDescent="0.25">
      <c r="A7665" t="s">
        <v>2909</v>
      </c>
      <c r="B7665" t="s">
        <v>52</v>
      </c>
      <c r="C7665" t="s">
        <v>114</v>
      </c>
      <c r="D7665" t="s">
        <v>3218</v>
      </c>
      <c r="E7665">
        <v>10.29</v>
      </c>
      <c r="F7665">
        <v>120.42</v>
      </c>
    </row>
    <row r="7666" spans="1:6" x14ac:dyDescent="0.25">
      <c r="A7666" t="s">
        <v>2909</v>
      </c>
      <c r="B7666" t="s">
        <v>52</v>
      </c>
      <c r="C7666" t="s">
        <v>114</v>
      </c>
      <c r="D7666" t="s">
        <v>3219</v>
      </c>
      <c r="E7666">
        <v>25.47</v>
      </c>
      <c r="F7666">
        <v>120.46</v>
      </c>
    </row>
    <row r="7667" spans="1:6" x14ac:dyDescent="0.25">
      <c r="A7667" t="s">
        <v>2910</v>
      </c>
      <c r="B7667" t="s">
        <v>52</v>
      </c>
      <c r="C7667" t="s">
        <v>115</v>
      </c>
      <c r="D7667" t="s">
        <v>3217</v>
      </c>
      <c r="E7667">
        <v>0</v>
      </c>
      <c r="F7667">
        <v>121.31</v>
      </c>
    </row>
    <row r="7668" spans="1:6" x14ac:dyDescent="0.25">
      <c r="A7668" t="s">
        <v>2910</v>
      </c>
      <c r="B7668" t="s">
        <v>52</v>
      </c>
      <c r="C7668" t="s">
        <v>115</v>
      </c>
      <c r="D7668" t="s">
        <v>3218</v>
      </c>
      <c r="E7668">
        <v>13.36</v>
      </c>
      <c r="F7668">
        <v>121.42</v>
      </c>
    </row>
    <row r="7669" spans="1:6" x14ac:dyDescent="0.25">
      <c r="A7669" t="s">
        <v>2910</v>
      </c>
      <c r="B7669" t="s">
        <v>52</v>
      </c>
      <c r="C7669" t="s">
        <v>115</v>
      </c>
      <c r="D7669" t="s">
        <v>3219</v>
      </c>
      <c r="E7669">
        <v>29</v>
      </c>
      <c r="F7669">
        <v>121.28</v>
      </c>
    </row>
    <row r="7670" spans="1:6" x14ac:dyDescent="0.25">
      <c r="A7670" t="s">
        <v>2911</v>
      </c>
      <c r="B7670" t="s">
        <v>52</v>
      </c>
      <c r="C7670" t="s">
        <v>116</v>
      </c>
      <c r="D7670" t="s">
        <v>3217</v>
      </c>
      <c r="E7670">
        <v>0</v>
      </c>
      <c r="F7670">
        <v>121.66</v>
      </c>
    </row>
    <row r="7671" spans="1:6" x14ac:dyDescent="0.25">
      <c r="A7671" t="s">
        <v>2911</v>
      </c>
      <c r="B7671" t="s">
        <v>52</v>
      </c>
      <c r="C7671" t="s">
        <v>116</v>
      </c>
      <c r="D7671" t="s">
        <v>3218</v>
      </c>
      <c r="E7671">
        <v>14.31</v>
      </c>
      <c r="F7671">
        <v>122</v>
      </c>
    </row>
    <row r="7672" spans="1:6" x14ac:dyDescent="0.25">
      <c r="A7672" t="s">
        <v>2911</v>
      </c>
      <c r="B7672" t="s">
        <v>52</v>
      </c>
      <c r="C7672" t="s">
        <v>116</v>
      </c>
      <c r="D7672" t="s">
        <v>3219</v>
      </c>
      <c r="E7672">
        <v>30.33</v>
      </c>
      <c r="F7672">
        <v>121.94</v>
      </c>
    </row>
    <row r="7673" spans="1:6" x14ac:dyDescent="0.25">
      <c r="A7673" t="s">
        <v>2912</v>
      </c>
      <c r="B7673" t="s">
        <v>52</v>
      </c>
      <c r="C7673" t="s">
        <v>117</v>
      </c>
      <c r="D7673" t="s">
        <v>3217</v>
      </c>
      <c r="E7673">
        <v>0</v>
      </c>
      <c r="F7673">
        <v>122.58</v>
      </c>
    </row>
    <row r="7674" spans="1:6" x14ac:dyDescent="0.25">
      <c r="A7674" t="s">
        <v>2912</v>
      </c>
      <c r="B7674" t="s">
        <v>52</v>
      </c>
      <c r="C7674" t="s">
        <v>117</v>
      </c>
      <c r="D7674" t="s">
        <v>3218</v>
      </c>
      <c r="E7674">
        <v>14.31</v>
      </c>
      <c r="F7674">
        <v>122.74</v>
      </c>
    </row>
    <row r="7675" spans="1:6" x14ac:dyDescent="0.25">
      <c r="A7675" t="s">
        <v>2912</v>
      </c>
      <c r="B7675" t="s">
        <v>52</v>
      </c>
      <c r="C7675" t="s">
        <v>117</v>
      </c>
      <c r="D7675" t="s">
        <v>3219</v>
      </c>
      <c r="E7675">
        <v>30.86</v>
      </c>
      <c r="F7675">
        <v>122.51</v>
      </c>
    </row>
    <row r="7676" spans="1:6" x14ac:dyDescent="0.25">
      <c r="A7676" t="s">
        <v>2913</v>
      </c>
      <c r="B7676" t="s">
        <v>52</v>
      </c>
      <c r="C7676" t="s">
        <v>118</v>
      </c>
      <c r="D7676" t="s">
        <v>3217</v>
      </c>
      <c r="E7676">
        <v>0</v>
      </c>
      <c r="F7676">
        <v>123.19</v>
      </c>
    </row>
    <row r="7677" spans="1:6" x14ac:dyDescent="0.25">
      <c r="A7677" t="s">
        <v>2913</v>
      </c>
      <c r="B7677" t="s">
        <v>52</v>
      </c>
      <c r="C7677" t="s">
        <v>118</v>
      </c>
      <c r="D7677" t="s">
        <v>3218</v>
      </c>
      <c r="E7677">
        <v>14.64</v>
      </c>
      <c r="F7677">
        <v>123.35</v>
      </c>
    </row>
    <row r="7678" spans="1:6" x14ac:dyDescent="0.25">
      <c r="A7678" t="s">
        <v>2913</v>
      </c>
      <c r="B7678" t="s">
        <v>52</v>
      </c>
      <c r="C7678" t="s">
        <v>118</v>
      </c>
      <c r="D7678" t="s">
        <v>3219</v>
      </c>
      <c r="E7678">
        <v>31.44</v>
      </c>
      <c r="F7678">
        <v>123.15</v>
      </c>
    </row>
    <row r="7679" spans="1:6" x14ac:dyDescent="0.25">
      <c r="A7679" t="s">
        <v>2914</v>
      </c>
      <c r="B7679" t="s">
        <v>52</v>
      </c>
      <c r="C7679" t="s">
        <v>119</v>
      </c>
      <c r="D7679" t="s">
        <v>3217</v>
      </c>
      <c r="E7679">
        <v>0</v>
      </c>
      <c r="F7679">
        <v>123.5</v>
      </c>
    </row>
    <row r="7680" spans="1:6" x14ac:dyDescent="0.25">
      <c r="A7680" t="s">
        <v>2914</v>
      </c>
      <c r="B7680" t="s">
        <v>52</v>
      </c>
      <c r="C7680" t="s">
        <v>119</v>
      </c>
      <c r="D7680" t="s">
        <v>3218</v>
      </c>
      <c r="E7680">
        <v>14.46</v>
      </c>
      <c r="F7680">
        <v>123.86</v>
      </c>
    </row>
    <row r="7681" spans="1:6" x14ac:dyDescent="0.25">
      <c r="A7681" t="s">
        <v>2914</v>
      </c>
      <c r="B7681" t="s">
        <v>52</v>
      </c>
      <c r="C7681" t="s">
        <v>119</v>
      </c>
      <c r="D7681" t="s">
        <v>3219</v>
      </c>
      <c r="E7681">
        <v>31.38</v>
      </c>
      <c r="F7681">
        <v>123.71</v>
      </c>
    </row>
    <row r="7682" spans="1:6" x14ac:dyDescent="0.25">
      <c r="A7682" t="s">
        <v>2915</v>
      </c>
      <c r="B7682" t="s">
        <v>52</v>
      </c>
      <c r="C7682" t="s">
        <v>120</v>
      </c>
      <c r="D7682" t="s">
        <v>3217</v>
      </c>
      <c r="E7682">
        <v>0</v>
      </c>
      <c r="F7682">
        <v>124.28</v>
      </c>
    </row>
    <row r="7683" spans="1:6" x14ac:dyDescent="0.25">
      <c r="A7683" t="s">
        <v>2915</v>
      </c>
      <c r="B7683" t="s">
        <v>52</v>
      </c>
      <c r="C7683" t="s">
        <v>120</v>
      </c>
      <c r="D7683" t="s">
        <v>3218</v>
      </c>
      <c r="E7683">
        <v>13.77</v>
      </c>
      <c r="F7683">
        <v>124.62</v>
      </c>
    </row>
    <row r="7684" spans="1:6" x14ac:dyDescent="0.25">
      <c r="A7684" t="s">
        <v>2915</v>
      </c>
      <c r="B7684" t="s">
        <v>52</v>
      </c>
      <c r="C7684" t="s">
        <v>120</v>
      </c>
      <c r="D7684" t="s">
        <v>3219</v>
      </c>
      <c r="E7684">
        <v>29.91</v>
      </c>
      <c r="F7684">
        <v>124.4</v>
      </c>
    </row>
    <row r="7685" spans="1:6" x14ac:dyDescent="0.25">
      <c r="A7685" t="s">
        <v>2916</v>
      </c>
      <c r="B7685" t="s">
        <v>52</v>
      </c>
      <c r="C7685" t="s">
        <v>121</v>
      </c>
      <c r="D7685" t="s">
        <v>3217</v>
      </c>
      <c r="E7685">
        <v>0</v>
      </c>
      <c r="F7685">
        <v>125.37</v>
      </c>
    </row>
    <row r="7686" spans="1:6" x14ac:dyDescent="0.25">
      <c r="A7686" t="s">
        <v>2916</v>
      </c>
      <c r="B7686" t="s">
        <v>52</v>
      </c>
      <c r="C7686" t="s">
        <v>121</v>
      </c>
      <c r="D7686" t="s">
        <v>3218</v>
      </c>
      <c r="E7686">
        <v>13.11</v>
      </c>
      <c r="F7686">
        <v>125.54</v>
      </c>
    </row>
    <row r="7687" spans="1:6" x14ac:dyDescent="0.25">
      <c r="A7687" t="s">
        <v>2916</v>
      </c>
      <c r="B7687" t="s">
        <v>52</v>
      </c>
      <c r="C7687" t="s">
        <v>121</v>
      </c>
      <c r="D7687" t="s">
        <v>3219</v>
      </c>
      <c r="E7687">
        <v>29.42</v>
      </c>
      <c r="F7687">
        <v>125.45</v>
      </c>
    </row>
    <row r="7688" spans="1:6" x14ac:dyDescent="0.25">
      <c r="A7688" t="s">
        <v>2917</v>
      </c>
      <c r="B7688" t="s">
        <v>52</v>
      </c>
      <c r="C7688" t="s">
        <v>123</v>
      </c>
      <c r="D7688" t="s">
        <v>3217</v>
      </c>
      <c r="E7688">
        <v>0</v>
      </c>
      <c r="F7688">
        <v>126.28</v>
      </c>
    </row>
    <row r="7689" spans="1:6" x14ac:dyDescent="0.25">
      <c r="A7689" t="s">
        <v>2917</v>
      </c>
      <c r="B7689" t="s">
        <v>52</v>
      </c>
      <c r="C7689" t="s">
        <v>123</v>
      </c>
      <c r="D7689" t="s">
        <v>3218</v>
      </c>
      <c r="E7689">
        <v>13.88</v>
      </c>
      <c r="F7689">
        <v>126.63</v>
      </c>
    </row>
    <row r="7690" spans="1:6" x14ac:dyDescent="0.25">
      <c r="A7690" t="s">
        <v>2917</v>
      </c>
      <c r="B7690" t="s">
        <v>52</v>
      </c>
      <c r="C7690" t="s">
        <v>123</v>
      </c>
      <c r="D7690" t="s">
        <v>3219</v>
      </c>
      <c r="E7690">
        <v>30.68</v>
      </c>
      <c r="F7690">
        <v>126.65</v>
      </c>
    </row>
    <row r="7691" spans="1:6" x14ac:dyDescent="0.25">
      <c r="A7691" t="s">
        <v>2918</v>
      </c>
      <c r="B7691" t="s">
        <v>52</v>
      </c>
      <c r="C7691" t="s">
        <v>124</v>
      </c>
      <c r="D7691" t="s">
        <v>3217</v>
      </c>
      <c r="E7691">
        <v>0</v>
      </c>
      <c r="F7691">
        <v>127.7</v>
      </c>
    </row>
    <row r="7692" spans="1:6" x14ac:dyDescent="0.25">
      <c r="A7692" t="s">
        <v>2918</v>
      </c>
      <c r="B7692" t="s">
        <v>52</v>
      </c>
      <c r="C7692" t="s">
        <v>124</v>
      </c>
      <c r="D7692" t="s">
        <v>3218</v>
      </c>
      <c r="E7692">
        <v>13.26</v>
      </c>
      <c r="F7692">
        <v>127.96</v>
      </c>
    </row>
    <row r="7693" spans="1:6" x14ac:dyDescent="0.25">
      <c r="A7693" t="s">
        <v>2918</v>
      </c>
      <c r="B7693" t="s">
        <v>52</v>
      </c>
      <c r="C7693" t="s">
        <v>124</v>
      </c>
      <c r="D7693" t="s">
        <v>3219</v>
      </c>
      <c r="E7693">
        <v>29.86</v>
      </c>
      <c r="F7693">
        <v>127.97</v>
      </c>
    </row>
    <row r="7694" spans="1:6" x14ac:dyDescent="0.25">
      <c r="A7694" t="s">
        <v>2919</v>
      </c>
      <c r="B7694" t="s">
        <v>52</v>
      </c>
      <c r="C7694" t="s">
        <v>125</v>
      </c>
      <c r="D7694" t="s">
        <v>3217</v>
      </c>
      <c r="E7694">
        <v>0</v>
      </c>
      <c r="F7694">
        <v>129.13999999999999</v>
      </c>
    </row>
    <row r="7695" spans="1:6" x14ac:dyDescent="0.25">
      <c r="A7695" t="s">
        <v>2919</v>
      </c>
      <c r="B7695" t="s">
        <v>52</v>
      </c>
      <c r="C7695" t="s">
        <v>125</v>
      </c>
      <c r="D7695" t="s">
        <v>3218</v>
      </c>
      <c r="E7695">
        <v>12.46</v>
      </c>
      <c r="F7695">
        <v>129.43</v>
      </c>
    </row>
    <row r="7696" spans="1:6" x14ac:dyDescent="0.25">
      <c r="A7696" t="s">
        <v>2919</v>
      </c>
      <c r="B7696" t="s">
        <v>52</v>
      </c>
      <c r="C7696" t="s">
        <v>125</v>
      </c>
      <c r="D7696" t="s">
        <v>3219</v>
      </c>
      <c r="E7696">
        <v>28.76</v>
      </c>
      <c r="F7696">
        <v>129.27000000000001</v>
      </c>
    </row>
    <row r="7697" spans="1:6" x14ac:dyDescent="0.25">
      <c r="A7697" t="s">
        <v>2920</v>
      </c>
      <c r="B7697" t="s">
        <v>52</v>
      </c>
      <c r="C7697" t="s">
        <v>126</v>
      </c>
      <c r="D7697" t="s">
        <v>3217</v>
      </c>
      <c r="E7697">
        <v>0</v>
      </c>
      <c r="F7697">
        <v>130.49</v>
      </c>
    </row>
    <row r="7698" spans="1:6" x14ac:dyDescent="0.25">
      <c r="A7698" t="s">
        <v>2920</v>
      </c>
      <c r="B7698" t="s">
        <v>52</v>
      </c>
      <c r="C7698" t="s">
        <v>126</v>
      </c>
      <c r="D7698" t="s">
        <v>3218</v>
      </c>
      <c r="E7698">
        <v>11.7</v>
      </c>
      <c r="F7698">
        <v>130.84</v>
      </c>
    </row>
    <row r="7699" spans="1:6" x14ac:dyDescent="0.25">
      <c r="A7699" t="s">
        <v>2920</v>
      </c>
      <c r="B7699" t="s">
        <v>52</v>
      </c>
      <c r="C7699" t="s">
        <v>126</v>
      </c>
      <c r="D7699" t="s">
        <v>3219</v>
      </c>
      <c r="E7699">
        <v>28.84</v>
      </c>
      <c r="F7699">
        <v>130.41</v>
      </c>
    </row>
    <row r="7700" spans="1:6" x14ac:dyDescent="0.25">
      <c r="A7700" t="s">
        <v>2921</v>
      </c>
      <c r="B7700" t="s">
        <v>52</v>
      </c>
      <c r="C7700" t="s">
        <v>127</v>
      </c>
      <c r="D7700" t="s">
        <v>3217</v>
      </c>
      <c r="E7700">
        <v>0</v>
      </c>
      <c r="F7700">
        <v>131.9</v>
      </c>
    </row>
    <row r="7701" spans="1:6" x14ac:dyDescent="0.25">
      <c r="A7701" t="s">
        <v>2921</v>
      </c>
      <c r="B7701" t="s">
        <v>52</v>
      </c>
      <c r="C7701" t="s">
        <v>127</v>
      </c>
      <c r="D7701" t="s">
        <v>3218</v>
      </c>
      <c r="E7701">
        <v>13.12</v>
      </c>
      <c r="F7701">
        <v>132.26</v>
      </c>
    </row>
    <row r="7702" spans="1:6" x14ac:dyDescent="0.25">
      <c r="A7702" t="s">
        <v>2921</v>
      </c>
      <c r="B7702" t="s">
        <v>52</v>
      </c>
      <c r="C7702" t="s">
        <v>127</v>
      </c>
      <c r="D7702" t="s">
        <v>3219</v>
      </c>
      <c r="E7702">
        <v>28.02</v>
      </c>
      <c r="F7702">
        <v>131.81</v>
      </c>
    </row>
    <row r="7703" spans="1:6" x14ac:dyDescent="0.25">
      <c r="A7703" t="s">
        <v>2922</v>
      </c>
      <c r="B7703" t="s">
        <v>52</v>
      </c>
      <c r="C7703" t="s">
        <v>128</v>
      </c>
      <c r="D7703" t="s">
        <v>3217</v>
      </c>
      <c r="E7703">
        <v>0</v>
      </c>
      <c r="F7703">
        <v>133.30000000000001</v>
      </c>
    </row>
    <row r="7704" spans="1:6" x14ac:dyDescent="0.25">
      <c r="A7704" t="s">
        <v>2922</v>
      </c>
      <c r="B7704" t="s">
        <v>52</v>
      </c>
      <c r="C7704" t="s">
        <v>128</v>
      </c>
      <c r="D7704" t="s">
        <v>3218</v>
      </c>
      <c r="E7704">
        <v>11.26</v>
      </c>
      <c r="F7704">
        <v>133.63</v>
      </c>
    </row>
    <row r="7705" spans="1:6" x14ac:dyDescent="0.25">
      <c r="A7705" t="s">
        <v>2922</v>
      </c>
      <c r="B7705" t="s">
        <v>52</v>
      </c>
      <c r="C7705" t="s">
        <v>128</v>
      </c>
      <c r="D7705" t="s">
        <v>3219</v>
      </c>
      <c r="E7705">
        <v>24.94</v>
      </c>
      <c r="F7705">
        <v>133.18</v>
      </c>
    </row>
    <row r="7706" spans="1:6" x14ac:dyDescent="0.25">
      <c r="A7706" t="s">
        <v>2923</v>
      </c>
      <c r="B7706" t="s">
        <v>52</v>
      </c>
      <c r="C7706" t="s">
        <v>129</v>
      </c>
      <c r="D7706" t="s">
        <v>3217</v>
      </c>
      <c r="E7706">
        <v>0</v>
      </c>
      <c r="F7706">
        <v>134.81</v>
      </c>
    </row>
    <row r="7707" spans="1:6" x14ac:dyDescent="0.25">
      <c r="A7707" t="s">
        <v>2923</v>
      </c>
      <c r="B7707" t="s">
        <v>52</v>
      </c>
      <c r="C7707" t="s">
        <v>129</v>
      </c>
      <c r="D7707" t="s">
        <v>3218</v>
      </c>
      <c r="E7707">
        <v>11.73</v>
      </c>
      <c r="F7707">
        <v>134.85</v>
      </c>
    </row>
    <row r="7708" spans="1:6" x14ac:dyDescent="0.25">
      <c r="A7708" t="s">
        <v>2923</v>
      </c>
      <c r="B7708" t="s">
        <v>52</v>
      </c>
      <c r="C7708" t="s">
        <v>129</v>
      </c>
      <c r="D7708" t="s">
        <v>3219</v>
      </c>
      <c r="E7708">
        <v>24.3</v>
      </c>
      <c r="F7708">
        <v>134.55000000000001</v>
      </c>
    </row>
    <row r="7709" spans="1:6" x14ac:dyDescent="0.25">
      <c r="A7709" t="s">
        <v>2924</v>
      </c>
      <c r="B7709" t="s">
        <v>52</v>
      </c>
      <c r="C7709" t="s">
        <v>130</v>
      </c>
      <c r="D7709" t="s">
        <v>3217</v>
      </c>
      <c r="E7709">
        <v>0</v>
      </c>
      <c r="F7709">
        <v>136.18</v>
      </c>
    </row>
    <row r="7710" spans="1:6" x14ac:dyDescent="0.25">
      <c r="A7710" t="s">
        <v>2924</v>
      </c>
      <c r="B7710" t="s">
        <v>52</v>
      </c>
      <c r="C7710" t="s">
        <v>130</v>
      </c>
      <c r="D7710" t="s">
        <v>3218</v>
      </c>
      <c r="E7710">
        <v>11.21</v>
      </c>
      <c r="F7710">
        <v>136.28</v>
      </c>
    </row>
    <row r="7711" spans="1:6" x14ac:dyDescent="0.25">
      <c r="A7711" t="s">
        <v>2924</v>
      </c>
      <c r="B7711" t="s">
        <v>52</v>
      </c>
      <c r="C7711" t="s">
        <v>130</v>
      </c>
      <c r="D7711" t="s">
        <v>3219</v>
      </c>
      <c r="E7711">
        <v>24.27</v>
      </c>
      <c r="F7711">
        <v>136.16</v>
      </c>
    </row>
    <row r="7712" spans="1:6" x14ac:dyDescent="0.25">
      <c r="A7712" t="s">
        <v>2925</v>
      </c>
      <c r="B7712" t="s">
        <v>52</v>
      </c>
      <c r="C7712" t="s">
        <v>131</v>
      </c>
      <c r="D7712" t="s">
        <v>3217</v>
      </c>
      <c r="E7712">
        <v>0</v>
      </c>
      <c r="F7712">
        <v>138.01</v>
      </c>
    </row>
    <row r="7713" spans="1:6" x14ac:dyDescent="0.25">
      <c r="A7713" t="s">
        <v>2925</v>
      </c>
      <c r="B7713" t="s">
        <v>52</v>
      </c>
      <c r="C7713" t="s">
        <v>131</v>
      </c>
      <c r="D7713" t="s">
        <v>3218</v>
      </c>
      <c r="E7713">
        <v>12.84</v>
      </c>
      <c r="F7713">
        <v>137.91999999999999</v>
      </c>
    </row>
    <row r="7714" spans="1:6" x14ac:dyDescent="0.25">
      <c r="A7714" t="s">
        <v>2925</v>
      </c>
      <c r="B7714" t="s">
        <v>52</v>
      </c>
      <c r="C7714" t="s">
        <v>131</v>
      </c>
      <c r="D7714" t="s">
        <v>3219</v>
      </c>
      <c r="E7714">
        <v>24.17</v>
      </c>
      <c r="F7714">
        <v>137.49</v>
      </c>
    </row>
    <row r="7715" spans="1:6" x14ac:dyDescent="0.25">
      <c r="A7715" t="s">
        <v>2926</v>
      </c>
      <c r="B7715" t="s">
        <v>52</v>
      </c>
      <c r="C7715" t="s">
        <v>132</v>
      </c>
      <c r="D7715" t="s">
        <v>3217</v>
      </c>
      <c r="E7715">
        <v>0</v>
      </c>
      <c r="F7715">
        <v>139.69</v>
      </c>
    </row>
    <row r="7716" spans="1:6" x14ac:dyDescent="0.25">
      <c r="A7716" t="s">
        <v>2926</v>
      </c>
      <c r="B7716" t="s">
        <v>52</v>
      </c>
      <c r="C7716" t="s">
        <v>132</v>
      </c>
      <c r="D7716" t="s">
        <v>3218</v>
      </c>
      <c r="E7716">
        <v>12.84</v>
      </c>
      <c r="F7716">
        <v>139.47</v>
      </c>
    </row>
    <row r="7717" spans="1:6" x14ac:dyDescent="0.25">
      <c r="A7717" t="s">
        <v>2926</v>
      </c>
      <c r="B7717" t="s">
        <v>52</v>
      </c>
      <c r="C7717" t="s">
        <v>132</v>
      </c>
      <c r="D7717" t="s">
        <v>3219</v>
      </c>
      <c r="E7717">
        <v>24.58</v>
      </c>
      <c r="F7717">
        <v>138.83000000000001</v>
      </c>
    </row>
    <row r="7718" spans="1:6" x14ac:dyDescent="0.25">
      <c r="A7718" t="s">
        <v>2927</v>
      </c>
      <c r="B7718" t="s">
        <v>52</v>
      </c>
      <c r="C7718" t="s">
        <v>133</v>
      </c>
      <c r="D7718" t="s">
        <v>3217</v>
      </c>
      <c r="E7718">
        <v>0</v>
      </c>
      <c r="F7718">
        <v>141.85</v>
      </c>
    </row>
    <row r="7719" spans="1:6" x14ac:dyDescent="0.25">
      <c r="A7719" t="s">
        <v>2927</v>
      </c>
      <c r="B7719" t="s">
        <v>52</v>
      </c>
      <c r="C7719" t="s">
        <v>133</v>
      </c>
      <c r="D7719" t="s">
        <v>3218</v>
      </c>
      <c r="E7719">
        <v>13.74</v>
      </c>
      <c r="F7719">
        <v>140.91</v>
      </c>
    </row>
    <row r="7720" spans="1:6" x14ac:dyDescent="0.25">
      <c r="A7720" t="s">
        <v>2927</v>
      </c>
      <c r="B7720" t="s">
        <v>52</v>
      </c>
      <c r="C7720" t="s">
        <v>133</v>
      </c>
      <c r="D7720" t="s">
        <v>3219</v>
      </c>
      <c r="E7720">
        <v>24.98</v>
      </c>
      <c r="F7720">
        <v>140.5</v>
      </c>
    </row>
    <row r="7721" spans="1:6" x14ac:dyDescent="0.25">
      <c r="A7721" t="s">
        <v>2928</v>
      </c>
      <c r="B7721" t="s">
        <v>52</v>
      </c>
      <c r="C7721" t="s">
        <v>134</v>
      </c>
      <c r="D7721" t="s">
        <v>3217</v>
      </c>
      <c r="E7721">
        <v>0</v>
      </c>
      <c r="F7721">
        <v>143.26</v>
      </c>
    </row>
    <row r="7722" spans="1:6" x14ac:dyDescent="0.25">
      <c r="A7722" t="s">
        <v>2928</v>
      </c>
      <c r="B7722" t="s">
        <v>52</v>
      </c>
      <c r="C7722" t="s">
        <v>134</v>
      </c>
      <c r="D7722" t="s">
        <v>3218</v>
      </c>
      <c r="E7722">
        <v>14.79</v>
      </c>
      <c r="F7722">
        <v>142.27000000000001</v>
      </c>
    </row>
    <row r="7723" spans="1:6" x14ac:dyDescent="0.25">
      <c r="A7723" t="s">
        <v>2928</v>
      </c>
      <c r="B7723" t="s">
        <v>52</v>
      </c>
      <c r="C7723" t="s">
        <v>134</v>
      </c>
      <c r="D7723" t="s">
        <v>3219</v>
      </c>
      <c r="E7723">
        <v>26.53</v>
      </c>
      <c r="F7723">
        <v>141.94</v>
      </c>
    </row>
    <row r="7724" spans="1:6" x14ac:dyDescent="0.25">
      <c r="A7724" t="s">
        <v>2929</v>
      </c>
      <c r="B7724" t="s">
        <v>52</v>
      </c>
      <c r="C7724" t="s">
        <v>135</v>
      </c>
      <c r="D7724" t="s">
        <v>3217</v>
      </c>
      <c r="E7724">
        <v>0</v>
      </c>
      <c r="F7724">
        <v>143.74</v>
      </c>
    </row>
    <row r="7725" spans="1:6" x14ac:dyDescent="0.25">
      <c r="A7725" t="s">
        <v>2929</v>
      </c>
      <c r="B7725" t="s">
        <v>52</v>
      </c>
      <c r="C7725" t="s">
        <v>135</v>
      </c>
      <c r="D7725" t="s">
        <v>3218</v>
      </c>
      <c r="E7725">
        <v>13.74</v>
      </c>
      <c r="F7725">
        <v>143.58000000000001</v>
      </c>
    </row>
    <row r="7726" spans="1:6" x14ac:dyDescent="0.25">
      <c r="A7726" t="s">
        <v>2929</v>
      </c>
      <c r="B7726" t="s">
        <v>52</v>
      </c>
      <c r="C7726" t="s">
        <v>135</v>
      </c>
      <c r="D7726" t="s">
        <v>3219</v>
      </c>
      <c r="E7726">
        <v>27.63</v>
      </c>
      <c r="F7726">
        <v>143.11000000000001</v>
      </c>
    </row>
    <row r="7727" spans="1:6" x14ac:dyDescent="0.25">
      <c r="A7727" t="s">
        <v>2930</v>
      </c>
      <c r="B7727" t="s">
        <v>52</v>
      </c>
      <c r="C7727" t="s">
        <v>136</v>
      </c>
      <c r="D7727" t="s">
        <v>3217</v>
      </c>
      <c r="E7727">
        <v>0</v>
      </c>
      <c r="F7727">
        <v>144.30000000000001</v>
      </c>
    </row>
    <row r="7728" spans="1:6" x14ac:dyDescent="0.25">
      <c r="A7728" t="s">
        <v>2930</v>
      </c>
      <c r="B7728" t="s">
        <v>52</v>
      </c>
      <c r="C7728" t="s">
        <v>136</v>
      </c>
      <c r="D7728" t="s">
        <v>3218</v>
      </c>
      <c r="E7728">
        <v>14.79</v>
      </c>
      <c r="F7728">
        <v>144.27000000000001</v>
      </c>
    </row>
    <row r="7729" spans="1:6" x14ac:dyDescent="0.25">
      <c r="A7729" t="s">
        <v>2930</v>
      </c>
      <c r="B7729" t="s">
        <v>52</v>
      </c>
      <c r="C7729" t="s">
        <v>136</v>
      </c>
      <c r="D7729" t="s">
        <v>3219</v>
      </c>
      <c r="E7729">
        <v>28.51</v>
      </c>
      <c r="F7729">
        <v>143.84</v>
      </c>
    </row>
    <row r="7730" spans="1:6" x14ac:dyDescent="0.25">
      <c r="A7730" t="s">
        <v>2931</v>
      </c>
      <c r="B7730" t="s">
        <v>52</v>
      </c>
      <c r="C7730" t="s">
        <v>137</v>
      </c>
      <c r="D7730" t="s">
        <v>3217</v>
      </c>
      <c r="E7730">
        <v>0</v>
      </c>
      <c r="F7730">
        <v>144.83000000000001</v>
      </c>
    </row>
    <row r="7731" spans="1:6" x14ac:dyDescent="0.25">
      <c r="A7731" t="s">
        <v>2931</v>
      </c>
      <c r="B7731" t="s">
        <v>52</v>
      </c>
      <c r="C7731" t="s">
        <v>137</v>
      </c>
      <c r="D7731" t="s">
        <v>3218</v>
      </c>
      <c r="E7731">
        <v>14.5</v>
      </c>
      <c r="F7731">
        <v>144.86000000000001</v>
      </c>
    </row>
    <row r="7732" spans="1:6" x14ac:dyDescent="0.25">
      <c r="A7732" t="s">
        <v>2931</v>
      </c>
      <c r="B7732" t="s">
        <v>52</v>
      </c>
      <c r="C7732" t="s">
        <v>137</v>
      </c>
      <c r="D7732" t="s">
        <v>3219</v>
      </c>
      <c r="E7732">
        <v>29.3</v>
      </c>
      <c r="F7732">
        <v>144.51</v>
      </c>
    </row>
    <row r="7733" spans="1:6" x14ac:dyDescent="0.25">
      <c r="A7733" t="s">
        <v>2932</v>
      </c>
      <c r="B7733" t="s">
        <v>52</v>
      </c>
      <c r="C7733" t="s">
        <v>138</v>
      </c>
      <c r="D7733" t="s">
        <v>3217</v>
      </c>
      <c r="E7733">
        <v>0</v>
      </c>
      <c r="F7733">
        <v>145.25</v>
      </c>
    </row>
    <row r="7734" spans="1:6" x14ac:dyDescent="0.25">
      <c r="A7734" t="s">
        <v>2932</v>
      </c>
      <c r="B7734" t="s">
        <v>52</v>
      </c>
      <c r="C7734" t="s">
        <v>138</v>
      </c>
      <c r="D7734" t="s">
        <v>3218</v>
      </c>
      <c r="E7734">
        <v>15.18</v>
      </c>
      <c r="F7734">
        <v>145.34</v>
      </c>
    </row>
    <row r="7735" spans="1:6" x14ac:dyDescent="0.25">
      <c r="A7735" t="s">
        <v>2932</v>
      </c>
      <c r="B7735" t="s">
        <v>52</v>
      </c>
      <c r="C7735" t="s">
        <v>138</v>
      </c>
      <c r="D7735" t="s">
        <v>3219</v>
      </c>
      <c r="E7735">
        <v>28.43</v>
      </c>
      <c r="F7735">
        <v>145.13999999999999</v>
      </c>
    </row>
    <row r="7736" spans="1:6" x14ac:dyDescent="0.25">
      <c r="A7736" t="s">
        <v>2933</v>
      </c>
      <c r="B7736" t="s">
        <v>52</v>
      </c>
      <c r="C7736" t="s">
        <v>139</v>
      </c>
      <c r="D7736" t="s">
        <v>3217</v>
      </c>
      <c r="E7736">
        <v>0</v>
      </c>
      <c r="F7736">
        <v>145.77000000000001</v>
      </c>
    </row>
    <row r="7737" spans="1:6" x14ac:dyDescent="0.25">
      <c r="A7737" t="s">
        <v>2933</v>
      </c>
      <c r="B7737" t="s">
        <v>52</v>
      </c>
      <c r="C7737" t="s">
        <v>139</v>
      </c>
      <c r="D7737" t="s">
        <v>3218</v>
      </c>
      <c r="E7737">
        <v>13.91</v>
      </c>
      <c r="F7737">
        <v>145.79</v>
      </c>
    </row>
    <row r="7738" spans="1:6" x14ac:dyDescent="0.25">
      <c r="A7738" t="s">
        <v>2933</v>
      </c>
      <c r="B7738" t="s">
        <v>52</v>
      </c>
      <c r="C7738" t="s">
        <v>139</v>
      </c>
      <c r="D7738" t="s">
        <v>3219</v>
      </c>
      <c r="E7738">
        <v>26.52</v>
      </c>
      <c r="F7738">
        <v>145.58000000000001</v>
      </c>
    </row>
    <row r="7739" spans="1:6" x14ac:dyDescent="0.25">
      <c r="A7739" t="s">
        <v>2934</v>
      </c>
      <c r="B7739" t="s">
        <v>52</v>
      </c>
      <c r="C7739" t="s">
        <v>140</v>
      </c>
      <c r="D7739" t="s">
        <v>3217</v>
      </c>
      <c r="E7739">
        <v>0</v>
      </c>
      <c r="F7739">
        <v>146.21</v>
      </c>
    </row>
    <row r="7740" spans="1:6" x14ac:dyDescent="0.25">
      <c r="A7740" t="s">
        <v>2934</v>
      </c>
      <c r="B7740" t="s">
        <v>52</v>
      </c>
      <c r="C7740" t="s">
        <v>140</v>
      </c>
      <c r="D7740" t="s">
        <v>3218</v>
      </c>
      <c r="E7740">
        <v>14.86</v>
      </c>
      <c r="F7740">
        <v>146.22</v>
      </c>
    </row>
    <row r="7741" spans="1:6" x14ac:dyDescent="0.25">
      <c r="A7741" t="s">
        <v>2934</v>
      </c>
      <c r="B7741" t="s">
        <v>52</v>
      </c>
      <c r="C7741" t="s">
        <v>140</v>
      </c>
      <c r="D7741" t="s">
        <v>3219</v>
      </c>
      <c r="E7741">
        <v>27.84</v>
      </c>
      <c r="F7741">
        <v>145.94</v>
      </c>
    </row>
    <row r="7742" spans="1:6" x14ac:dyDescent="0.25">
      <c r="A7742" t="s">
        <v>2935</v>
      </c>
      <c r="B7742" t="s">
        <v>52</v>
      </c>
      <c r="C7742" t="s">
        <v>141</v>
      </c>
      <c r="D7742" t="s">
        <v>3217</v>
      </c>
      <c r="E7742">
        <v>0</v>
      </c>
      <c r="F7742">
        <v>146.32</v>
      </c>
    </row>
    <row r="7743" spans="1:6" x14ac:dyDescent="0.25">
      <c r="A7743" t="s">
        <v>2935</v>
      </c>
      <c r="B7743" t="s">
        <v>52</v>
      </c>
      <c r="C7743" t="s">
        <v>141</v>
      </c>
      <c r="D7743" t="s">
        <v>3218</v>
      </c>
      <c r="E7743">
        <v>14.66</v>
      </c>
      <c r="F7743">
        <v>146.46</v>
      </c>
    </row>
    <row r="7744" spans="1:6" x14ac:dyDescent="0.25">
      <c r="A7744" t="s">
        <v>2935</v>
      </c>
      <c r="B7744" t="s">
        <v>52</v>
      </c>
      <c r="C7744" t="s">
        <v>141</v>
      </c>
      <c r="D7744" t="s">
        <v>3219</v>
      </c>
      <c r="E7744">
        <v>27.58</v>
      </c>
      <c r="F7744">
        <v>146.41</v>
      </c>
    </row>
    <row r="7745" spans="1:6" x14ac:dyDescent="0.25">
      <c r="A7745" t="s">
        <v>2936</v>
      </c>
      <c r="B7745" t="s">
        <v>52</v>
      </c>
      <c r="C7745" t="s">
        <v>142</v>
      </c>
      <c r="D7745" t="s">
        <v>3217</v>
      </c>
      <c r="E7745">
        <v>0</v>
      </c>
      <c r="F7745">
        <v>146.52000000000001</v>
      </c>
    </row>
    <row r="7746" spans="1:6" x14ac:dyDescent="0.25">
      <c r="A7746" t="s">
        <v>2936</v>
      </c>
      <c r="B7746" t="s">
        <v>52</v>
      </c>
      <c r="C7746" t="s">
        <v>142</v>
      </c>
      <c r="D7746" t="s">
        <v>3218</v>
      </c>
      <c r="E7746">
        <v>12.24</v>
      </c>
      <c r="F7746">
        <v>146.62</v>
      </c>
    </row>
    <row r="7747" spans="1:6" x14ac:dyDescent="0.25">
      <c r="A7747" t="s">
        <v>2936</v>
      </c>
      <c r="B7747" t="s">
        <v>52</v>
      </c>
      <c r="C7747" t="s">
        <v>142</v>
      </c>
      <c r="D7747" t="s">
        <v>3219</v>
      </c>
      <c r="E7747">
        <v>24.94</v>
      </c>
      <c r="F7747">
        <v>146.65</v>
      </c>
    </row>
    <row r="7748" spans="1:6" x14ac:dyDescent="0.25">
      <c r="A7748" t="s">
        <v>2937</v>
      </c>
      <c r="B7748" t="s">
        <v>52</v>
      </c>
      <c r="C7748" t="s">
        <v>143</v>
      </c>
      <c r="D7748" t="s">
        <v>3217</v>
      </c>
      <c r="E7748">
        <v>0</v>
      </c>
      <c r="F7748">
        <v>146.43</v>
      </c>
    </row>
    <row r="7749" spans="1:6" x14ac:dyDescent="0.25">
      <c r="A7749" t="s">
        <v>2937</v>
      </c>
      <c r="B7749" t="s">
        <v>52</v>
      </c>
      <c r="C7749" t="s">
        <v>143</v>
      </c>
      <c r="D7749" t="s">
        <v>3218</v>
      </c>
      <c r="E7749">
        <v>11.97</v>
      </c>
      <c r="F7749">
        <v>146.6</v>
      </c>
    </row>
    <row r="7750" spans="1:6" x14ac:dyDescent="0.25">
      <c r="A7750" t="s">
        <v>2937</v>
      </c>
      <c r="B7750" t="s">
        <v>52</v>
      </c>
      <c r="C7750" t="s">
        <v>143</v>
      </c>
      <c r="D7750" t="s">
        <v>3219</v>
      </c>
      <c r="E7750">
        <v>23.79</v>
      </c>
      <c r="F7750">
        <v>146.61000000000001</v>
      </c>
    </row>
    <row r="7751" spans="1:6" x14ac:dyDescent="0.25">
      <c r="A7751" t="s">
        <v>2938</v>
      </c>
      <c r="B7751" t="s">
        <v>52</v>
      </c>
      <c r="C7751" t="s">
        <v>144</v>
      </c>
      <c r="D7751" t="s">
        <v>3217</v>
      </c>
      <c r="E7751">
        <v>0</v>
      </c>
      <c r="F7751">
        <v>146.55000000000001</v>
      </c>
    </row>
    <row r="7752" spans="1:6" x14ac:dyDescent="0.25">
      <c r="A7752" t="s">
        <v>2938</v>
      </c>
      <c r="B7752" t="s">
        <v>52</v>
      </c>
      <c r="C7752" t="s">
        <v>144</v>
      </c>
      <c r="D7752" t="s">
        <v>3218</v>
      </c>
      <c r="E7752">
        <v>11.46</v>
      </c>
      <c r="F7752">
        <v>146.68</v>
      </c>
    </row>
    <row r="7753" spans="1:6" x14ac:dyDescent="0.25">
      <c r="A7753" t="s">
        <v>2938</v>
      </c>
      <c r="B7753" t="s">
        <v>52</v>
      </c>
      <c r="C7753" t="s">
        <v>144</v>
      </c>
      <c r="D7753" t="s">
        <v>3219</v>
      </c>
      <c r="E7753">
        <v>23.82</v>
      </c>
      <c r="F7753">
        <v>146.63</v>
      </c>
    </row>
    <row r="7754" spans="1:6" x14ac:dyDescent="0.25">
      <c r="A7754" t="s">
        <v>2939</v>
      </c>
      <c r="B7754" t="s">
        <v>52</v>
      </c>
      <c r="C7754" t="s">
        <v>145</v>
      </c>
      <c r="D7754" t="s">
        <v>3217</v>
      </c>
      <c r="E7754">
        <v>0</v>
      </c>
      <c r="F7754">
        <v>146.35</v>
      </c>
    </row>
    <row r="7755" spans="1:6" x14ac:dyDescent="0.25">
      <c r="A7755" t="s">
        <v>2939</v>
      </c>
      <c r="B7755" t="s">
        <v>52</v>
      </c>
      <c r="C7755" t="s">
        <v>145</v>
      </c>
      <c r="D7755" t="s">
        <v>3218</v>
      </c>
      <c r="E7755">
        <v>14.04</v>
      </c>
      <c r="F7755">
        <v>146.66</v>
      </c>
    </row>
    <row r="7756" spans="1:6" x14ac:dyDescent="0.25">
      <c r="A7756" t="s">
        <v>2939</v>
      </c>
      <c r="B7756" t="s">
        <v>52</v>
      </c>
      <c r="C7756" t="s">
        <v>145</v>
      </c>
      <c r="D7756" t="s">
        <v>3219</v>
      </c>
      <c r="E7756">
        <v>25.58</v>
      </c>
      <c r="F7756">
        <v>146.63</v>
      </c>
    </row>
    <row r="7757" spans="1:6" x14ac:dyDescent="0.25">
      <c r="A7757" t="s">
        <v>2940</v>
      </c>
      <c r="B7757" t="s">
        <v>52</v>
      </c>
      <c r="C7757" t="s">
        <v>146</v>
      </c>
      <c r="D7757" t="s">
        <v>3217</v>
      </c>
      <c r="E7757">
        <v>0</v>
      </c>
      <c r="F7757">
        <v>146.41</v>
      </c>
    </row>
    <row r="7758" spans="1:6" x14ac:dyDescent="0.25">
      <c r="A7758" t="s">
        <v>2940</v>
      </c>
      <c r="B7758" t="s">
        <v>52</v>
      </c>
      <c r="C7758" t="s">
        <v>146</v>
      </c>
      <c r="D7758" t="s">
        <v>3218</v>
      </c>
      <c r="E7758">
        <v>14.28</v>
      </c>
      <c r="F7758">
        <v>146.63999999999999</v>
      </c>
    </row>
    <row r="7759" spans="1:6" x14ac:dyDescent="0.25">
      <c r="A7759" t="s">
        <v>2940</v>
      </c>
      <c r="B7759" t="s">
        <v>52</v>
      </c>
      <c r="C7759" t="s">
        <v>146</v>
      </c>
      <c r="D7759" t="s">
        <v>3219</v>
      </c>
      <c r="E7759">
        <v>29.21</v>
      </c>
      <c r="F7759">
        <v>146.76</v>
      </c>
    </row>
    <row r="7760" spans="1:6" x14ac:dyDescent="0.25">
      <c r="A7760" t="s">
        <v>2941</v>
      </c>
      <c r="B7760" t="s">
        <v>52</v>
      </c>
      <c r="C7760" t="s">
        <v>147</v>
      </c>
      <c r="D7760" t="s">
        <v>3217</v>
      </c>
      <c r="E7760">
        <v>0</v>
      </c>
      <c r="F7760">
        <v>146.49</v>
      </c>
    </row>
    <row r="7761" spans="1:6" x14ac:dyDescent="0.25">
      <c r="A7761" t="s">
        <v>2941</v>
      </c>
      <c r="B7761" t="s">
        <v>52</v>
      </c>
      <c r="C7761" t="s">
        <v>147</v>
      </c>
      <c r="D7761" t="s">
        <v>3218</v>
      </c>
      <c r="E7761">
        <v>14.28</v>
      </c>
      <c r="F7761">
        <v>146.91</v>
      </c>
    </row>
    <row r="7762" spans="1:6" x14ac:dyDescent="0.25">
      <c r="A7762" t="s">
        <v>2941</v>
      </c>
      <c r="B7762" t="s">
        <v>52</v>
      </c>
      <c r="C7762" t="s">
        <v>147</v>
      </c>
      <c r="D7762" t="s">
        <v>3219</v>
      </c>
      <c r="E7762">
        <v>28.33</v>
      </c>
      <c r="F7762">
        <v>146.86000000000001</v>
      </c>
    </row>
    <row r="7763" spans="1:6" x14ac:dyDescent="0.25">
      <c r="A7763" t="s">
        <v>2942</v>
      </c>
      <c r="B7763" t="s">
        <v>52</v>
      </c>
      <c r="C7763" t="s">
        <v>148</v>
      </c>
      <c r="D7763" t="s">
        <v>3217</v>
      </c>
      <c r="E7763">
        <v>0</v>
      </c>
      <c r="F7763">
        <v>146.54</v>
      </c>
    </row>
    <row r="7764" spans="1:6" x14ac:dyDescent="0.25">
      <c r="A7764" t="s">
        <v>2942</v>
      </c>
      <c r="B7764" t="s">
        <v>52</v>
      </c>
      <c r="C7764" t="s">
        <v>148</v>
      </c>
      <c r="D7764" t="s">
        <v>3218</v>
      </c>
      <c r="E7764">
        <v>14.61</v>
      </c>
      <c r="F7764">
        <v>146.71</v>
      </c>
    </row>
    <row r="7765" spans="1:6" x14ac:dyDescent="0.25">
      <c r="A7765" t="s">
        <v>2942</v>
      </c>
      <c r="B7765" t="s">
        <v>52</v>
      </c>
      <c r="C7765" t="s">
        <v>148</v>
      </c>
      <c r="D7765" t="s">
        <v>3219</v>
      </c>
      <c r="E7765">
        <v>28.66</v>
      </c>
      <c r="F7765">
        <v>146.69999999999999</v>
      </c>
    </row>
    <row r="7766" spans="1:6" x14ac:dyDescent="0.25">
      <c r="A7766" t="s">
        <v>2943</v>
      </c>
      <c r="B7766" t="s">
        <v>52</v>
      </c>
      <c r="C7766" t="s">
        <v>149</v>
      </c>
      <c r="D7766" t="s">
        <v>3217</v>
      </c>
      <c r="E7766">
        <v>0</v>
      </c>
      <c r="F7766">
        <v>146.54</v>
      </c>
    </row>
    <row r="7767" spans="1:6" x14ac:dyDescent="0.25">
      <c r="A7767" t="s">
        <v>2943</v>
      </c>
      <c r="B7767" t="s">
        <v>52</v>
      </c>
      <c r="C7767" t="s">
        <v>149</v>
      </c>
      <c r="D7767" t="s">
        <v>3218</v>
      </c>
      <c r="E7767">
        <v>14.99</v>
      </c>
      <c r="F7767">
        <v>146.72</v>
      </c>
    </row>
    <row r="7768" spans="1:6" x14ac:dyDescent="0.25">
      <c r="A7768" t="s">
        <v>2943</v>
      </c>
      <c r="B7768" t="s">
        <v>52</v>
      </c>
      <c r="C7768" t="s">
        <v>149</v>
      </c>
      <c r="D7768" t="s">
        <v>3219</v>
      </c>
      <c r="E7768">
        <v>28.81</v>
      </c>
      <c r="F7768">
        <v>146.72999999999999</v>
      </c>
    </row>
    <row r="7769" spans="1:6" x14ac:dyDescent="0.25">
      <c r="A7769" t="s">
        <v>2944</v>
      </c>
      <c r="B7769" t="s">
        <v>52</v>
      </c>
      <c r="C7769" t="s">
        <v>150</v>
      </c>
      <c r="D7769" t="s">
        <v>3217</v>
      </c>
      <c r="E7769">
        <v>0</v>
      </c>
      <c r="F7769">
        <v>146.55000000000001</v>
      </c>
    </row>
    <row r="7770" spans="1:6" x14ac:dyDescent="0.25">
      <c r="A7770" t="s">
        <v>2944</v>
      </c>
      <c r="B7770" t="s">
        <v>52</v>
      </c>
      <c r="C7770" t="s">
        <v>150</v>
      </c>
      <c r="D7770" t="s">
        <v>3218</v>
      </c>
      <c r="E7770">
        <v>15.07</v>
      </c>
      <c r="F7770">
        <v>146.74</v>
      </c>
    </row>
    <row r="7771" spans="1:6" x14ac:dyDescent="0.25">
      <c r="A7771" t="s">
        <v>2944</v>
      </c>
      <c r="B7771" t="s">
        <v>52</v>
      </c>
      <c r="C7771" t="s">
        <v>150</v>
      </c>
      <c r="D7771" t="s">
        <v>3219</v>
      </c>
      <c r="E7771">
        <v>28.04</v>
      </c>
      <c r="F7771">
        <v>146.66999999999999</v>
      </c>
    </row>
    <row r="7772" spans="1:6" x14ac:dyDescent="0.25">
      <c r="A7772" t="s">
        <v>2945</v>
      </c>
      <c r="B7772" t="s">
        <v>52</v>
      </c>
      <c r="C7772" t="s">
        <v>151</v>
      </c>
      <c r="D7772" t="s">
        <v>3217</v>
      </c>
      <c r="E7772">
        <v>0</v>
      </c>
      <c r="F7772">
        <v>146.47999999999999</v>
      </c>
    </row>
    <row r="7773" spans="1:6" x14ac:dyDescent="0.25">
      <c r="A7773" t="s">
        <v>2945</v>
      </c>
      <c r="B7773" t="s">
        <v>52</v>
      </c>
      <c r="C7773" t="s">
        <v>151</v>
      </c>
      <c r="D7773" t="s">
        <v>3218</v>
      </c>
      <c r="E7773">
        <v>15.13</v>
      </c>
      <c r="F7773">
        <v>146.66</v>
      </c>
    </row>
    <row r="7774" spans="1:6" x14ac:dyDescent="0.25">
      <c r="A7774" t="s">
        <v>2945</v>
      </c>
      <c r="B7774" t="s">
        <v>52</v>
      </c>
      <c r="C7774" t="s">
        <v>151</v>
      </c>
      <c r="D7774" t="s">
        <v>3219</v>
      </c>
      <c r="E7774">
        <v>28.11</v>
      </c>
      <c r="F7774">
        <v>146.44999999999999</v>
      </c>
    </row>
    <row r="7775" spans="1:6" x14ac:dyDescent="0.25">
      <c r="A7775" t="s">
        <v>2946</v>
      </c>
      <c r="B7775" t="s">
        <v>52</v>
      </c>
      <c r="C7775" t="s">
        <v>152</v>
      </c>
      <c r="D7775" t="s">
        <v>3217</v>
      </c>
      <c r="E7775">
        <v>0</v>
      </c>
      <c r="F7775">
        <v>146.41</v>
      </c>
    </row>
    <row r="7776" spans="1:6" x14ac:dyDescent="0.25">
      <c r="A7776" t="s">
        <v>2946</v>
      </c>
      <c r="B7776" t="s">
        <v>52</v>
      </c>
      <c r="C7776" t="s">
        <v>152</v>
      </c>
      <c r="D7776" t="s">
        <v>3218</v>
      </c>
      <c r="E7776">
        <v>15.02</v>
      </c>
      <c r="F7776">
        <v>146.66999999999999</v>
      </c>
    </row>
    <row r="7777" spans="1:6" x14ac:dyDescent="0.25">
      <c r="A7777" t="s">
        <v>2946</v>
      </c>
      <c r="B7777" t="s">
        <v>52</v>
      </c>
      <c r="C7777" t="s">
        <v>152</v>
      </c>
      <c r="D7777" t="s">
        <v>3219</v>
      </c>
      <c r="E7777">
        <v>28.19</v>
      </c>
      <c r="F7777">
        <v>146.47</v>
      </c>
    </row>
    <row r="7778" spans="1:6" x14ac:dyDescent="0.25">
      <c r="A7778" t="s">
        <v>2947</v>
      </c>
      <c r="B7778" t="s">
        <v>52</v>
      </c>
      <c r="C7778" t="s">
        <v>153</v>
      </c>
      <c r="D7778" t="s">
        <v>3217</v>
      </c>
      <c r="E7778">
        <v>0</v>
      </c>
      <c r="F7778">
        <v>146.24</v>
      </c>
    </row>
    <row r="7779" spans="1:6" x14ac:dyDescent="0.25">
      <c r="A7779" t="s">
        <v>2947</v>
      </c>
      <c r="B7779" t="s">
        <v>52</v>
      </c>
      <c r="C7779" t="s">
        <v>153</v>
      </c>
      <c r="D7779" t="s">
        <v>3218</v>
      </c>
      <c r="E7779">
        <v>14.8</v>
      </c>
      <c r="F7779">
        <v>146.43</v>
      </c>
    </row>
    <row r="7780" spans="1:6" x14ac:dyDescent="0.25">
      <c r="A7780" t="s">
        <v>2947</v>
      </c>
      <c r="B7780" t="s">
        <v>52</v>
      </c>
      <c r="C7780" t="s">
        <v>153</v>
      </c>
      <c r="D7780" t="s">
        <v>3219</v>
      </c>
      <c r="E7780">
        <v>28.34</v>
      </c>
      <c r="F7780">
        <v>146.37</v>
      </c>
    </row>
    <row r="7781" spans="1:6" x14ac:dyDescent="0.25">
      <c r="A7781" t="s">
        <v>2948</v>
      </c>
      <c r="B7781" t="s">
        <v>52</v>
      </c>
      <c r="C7781" t="s">
        <v>154</v>
      </c>
      <c r="D7781" t="s">
        <v>3217</v>
      </c>
      <c r="E7781">
        <v>0</v>
      </c>
      <c r="F7781">
        <v>146.22999999999999</v>
      </c>
    </row>
    <row r="7782" spans="1:6" x14ac:dyDescent="0.25">
      <c r="A7782" t="s">
        <v>2948</v>
      </c>
      <c r="B7782" t="s">
        <v>52</v>
      </c>
      <c r="C7782" t="s">
        <v>154</v>
      </c>
      <c r="D7782" t="s">
        <v>3218</v>
      </c>
      <c r="E7782">
        <v>15.48</v>
      </c>
      <c r="F7782">
        <v>146.41999999999999</v>
      </c>
    </row>
    <row r="7783" spans="1:6" x14ac:dyDescent="0.25">
      <c r="A7783" t="s">
        <v>2948</v>
      </c>
      <c r="B7783" t="s">
        <v>52</v>
      </c>
      <c r="C7783" t="s">
        <v>154</v>
      </c>
      <c r="D7783" t="s">
        <v>3219</v>
      </c>
      <c r="E7783">
        <v>28.55</v>
      </c>
      <c r="F7783">
        <v>146.30000000000001</v>
      </c>
    </row>
    <row r="7784" spans="1:6" x14ac:dyDescent="0.25">
      <c r="A7784" t="s">
        <v>2949</v>
      </c>
      <c r="B7784" t="s">
        <v>52</v>
      </c>
      <c r="C7784" t="s">
        <v>155</v>
      </c>
      <c r="D7784" t="s">
        <v>3217</v>
      </c>
      <c r="E7784">
        <v>0</v>
      </c>
      <c r="F7784">
        <v>146.19999999999999</v>
      </c>
    </row>
    <row r="7785" spans="1:6" x14ac:dyDescent="0.25">
      <c r="A7785" t="s">
        <v>2949</v>
      </c>
      <c r="B7785" t="s">
        <v>52</v>
      </c>
      <c r="C7785" t="s">
        <v>155</v>
      </c>
      <c r="D7785" t="s">
        <v>3218</v>
      </c>
      <c r="E7785">
        <v>15.38</v>
      </c>
      <c r="F7785">
        <v>146.36000000000001</v>
      </c>
    </row>
    <row r="7786" spans="1:6" x14ac:dyDescent="0.25">
      <c r="A7786" t="s">
        <v>2949</v>
      </c>
      <c r="B7786" t="s">
        <v>52</v>
      </c>
      <c r="C7786" t="s">
        <v>155</v>
      </c>
      <c r="D7786" t="s">
        <v>3219</v>
      </c>
      <c r="E7786">
        <v>28.48</v>
      </c>
      <c r="F7786">
        <v>146.29</v>
      </c>
    </row>
    <row r="7787" spans="1:6" x14ac:dyDescent="0.25">
      <c r="A7787" t="s">
        <v>2950</v>
      </c>
      <c r="B7787" t="s">
        <v>52</v>
      </c>
      <c r="C7787" t="s">
        <v>156</v>
      </c>
      <c r="D7787" t="s">
        <v>3217</v>
      </c>
      <c r="E7787">
        <v>0</v>
      </c>
      <c r="F7787">
        <v>146.08000000000001</v>
      </c>
    </row>
    <row r="7788" spans="1:6" x14ac:dyDescent="0.25">
      <c r="A7788" t="s">
        <v>2950</v>
      </c>
      <c r="B7788" t="s">
        <v>52</v>
      </c>
      <c r="C7788" t="s">
        <v>156</v>
      </c>
      <c r="D7788" t="s">
        <v>3218</v>
      </c>
      <c r="E7788">
        <v>14.66</v>
      </c>
      <c r="F7788">
        <v>146.47</v>
      </c>
    </row>
    <row r="7789" spans="1:6" x14ac:dyDescent="0.25">
      <c r="A7789" t="s">
        <v>2950</v>
      </c>
      <c r="B7789" t="s">
        <v>52</v>
      </c>
      <c r="C7789" t="s">
        <v>156</v>
      </c>
      <c r="D7789" t="s">
        <v>3219</v>
      </c>
      <c r="E7789">
        <v>27.62</v>
      </c>
      <c r="F7789">
        <v>146.34</v>
      </c>
    </row>
    <row r="7790" spans="1:6" x14ac:dyDescent="0.25">
      <c r="A7790" t="s">
        <v>2951</v>
      </c>
      <c r="B7790" t="s">
        <v>52</v>
      </c>
      <c r="C7790" t="s">
        <v>157</v>
      </c>
      <c r="D7790" t="s">
        <v>3217</v>
      </c>
      <c r="E7790">
        <v>0</v>
      </c>
      <c r="F7790">
        <v>146.25</v>
      </c>
    </row>
    <row r="7791" spans="1:6" x14ac:dyDescent="0.25">
      <c r="A7791" t="s">
        <v>2951</v>
      </c>
      <c r="B7791" t="s">
        <v>52</v>
      </c>
      <c r="C7791" t="s">
        <v>157</v>
      </c>
      <c r="D7791" t="s">
        <v>3218</v>
      </c>
      <c r="E7791">
        <v>13.93</v>
      </c>
      <c r="F7791">
        <v>146.53</v>
      </c>
    </row>
    <row r="7792" spans="1:6" x14ac:dyDescent="0.25">
      <c r="A7792" t="s">
        <v>2951</v>
      </c>
      <c r="B7792" t="s">
        <v>52</v>
      </c>
      <c r="C7792" t="s">
        <v>157</v>
      </c>
      <c r="D7792" t="s">
        <v>3219</v>
      </c>
      <c r="E7792">
        <v>27.15</v>
      </c>
      <c r="F7792">
        <v>146.63999999999999</v>
      </c>
    </row>
    <row r="7793" spans="1:6" x14ac:dyDescent="0.25">
      <c r="A7793" t="s">
        <v>2952</v>
      </c>
      <c r="B7793" t="s">
        <v>52</v>
      </c>
      <c r="C7793" t="s">
        <v>158</v>
      </c>
      <c r="D7793" t="s">
        <v>3217</v>
      </c>
      <c r="E7793">
        <v>0</v>
      </c>
      <c r="F7793">
        <v>146.36000000000001</v>
      </c>
    </row>
    <row r="7794" spans="1:6" x14ac:dyDescent="0.25">
      <c r="A7794" t="s">
        <v>2952</v>
      </c>
      <c r="B7794" t="s">
        <v>52</v>
      </c>
      <c r="C7794" t="s">
        <v>158</v>
      </c>
      <c r="D7794" t="s">
        <v>3218</v>
      </c>
      <c r="E7794">
        <v>16.149999999999999</v>
      </c>
      <c r="F7794">
        <v>146.71</v>
      </c>
    </row>
    <row r="7795" spans="1:6" x14ac:dyDescent="0.25">
      <c r="A7795" t="s">
        <v>2952</v>
      </c>
      <c r="B7795" t="s">
        <v>52</v>
      </c>
      <c r="C7795" t="s">
        <v>158</v>
      </c>
      <c r="D7795" t="s">
        <v>3219</v>
      </c>
      <c r="E7795">
        <v>30.67</v>
      </c>
      <c r="F7795">
        <v>146.62</v>
      </c>
    </row>
    <row r="7796" spans="1:6" x14ac:dyDescent="0.25">
      <c r="A7796" t="s">
        <v>2953</v>
      </c>
      <c r="B7796" t="s">
        <v>52</v>
      </c>
      <c r="C7796" t="s">
        <v>159</v>
      </c>
      <c r="D7796" t="s">
        <v>3217</v>
      </c>
      <c r="E7796">
        <v>0</v>
      </c>
      <c r="F7796">
        <v>146.51</v>
      </c>
    </row>
    <row r="7797" spans="1:6" x14ac:dyDescent="0.25">
      <c r="A7797" t="s">
        <v>2953</v>
      </c>
      <c r="B7797" t="s">
        <v>52</v>
      </c>
      <c r="C7797" t="s">
        <v>159</v>
      </c>
      <c r="D7797" t="s">
        <v>3218</v>
      </c>
      <c r="E7797">
        <v>16.149999999999999</v>
      </c>
      <c r="F7797">
        <v>146.57</v>
      </c>
    </row>
    <row r="7798" spans="1:6" x14ac:dyDescent="0.25">
      <c r="A7798" t="s">
        <v>2953</v>
      </c>
      <c r="B7798" t="s">
        <v>52</v>
      </c>
      <c r="C7798" t="s">
        <v>159</v>
      </c>
      <c r="D7798" t="s">
        <v>3219</v>
      </c>
      <c r="E7798">
        <v>31.81</v>
      </c>
      <c r="F7798">
        <v>146.35</v>
      </c>
    </row>
    <row r="7799" spans="1:6" x14ac:dyDescent="0.25">
      <c r="A7799" t="s">
        <v>2954</v>
      </c>
      <c r="B7799" t="s">
        <v>52</v>
      </c>
      <c r="C7799" t="s">
        <v>160</v>
      </c>
      <c r="D7799" t="s">
        <v>3217</v>
      </c>
      <c r="E7799">
        <v>0</v>
      </c>
      <c r="F7799">
        <v>146.66</v>
      </c>
    </row>
    <row r="7800" spans="1:6" x14ac:dyDescent="0.25">
      <c r="A7800" t="s">
        <v>2954</v>
      </c>
      <c r="B7800" t="s">
        <v>52</v>
      </c>
      <c r="C7800" t="s">
        <v>160</v>
      </c>
      <c r="D7800" t="s">
        <v>3218</v>
      </c>
      <c r="E7800">
        <v>16.64</v>
      </c>
      <c r="F7800">
        <v>146.30000000000001</v>
      </c>
    </row>
    <row r="7801" spans="1:6" x14ac:dyDescent="0.25">
      <c r="A7801" t="s">
        <v>2954</v>
      </c>
      <c r="B7801" t="s">
        <v>52</v>
      </c>
      <c r="C7801" t="s">
        <v>160</v>
      </c>
      <c r="D7801" t="s">
        <v>3219</v>
      </c>
      <c r="E7801">
        <v>32.270000000000003</v>
      </c>
      <c r="F7801">
        <v>146.08000000000001</v>
      </c>
    </row>
    <row r="7802" spans="1:6" x14ac:dyDescent="0.25">
      <c r="A7802" t="s">
        <v>2955</v>
      </c>
      <c r="B7802" t="s">
        <v>52</v>
      </c>
      <c r="C7802" t="s">
        <v>161</v>
      </c>
      <c r="D7802" t="s">
        <v>3217</v>
      </c>
      <c r="E7802">
        <v>0</v>
      </c>
      <c r="F7802">
        <v>146.36000000000001</v>
      </c>
    </row>
    <row r="7803" spans="1:6" x14ac:dyDescent="0.25">
      <c r="A7803" t="s">
        <v>2955</v>
      </c>
      <c r="B7803" t="s">
        <v>52</v>
      </c>
      <c r="C7803" t="s">
        <v>161</v>
      </c>
      <c r="D7803" t="s">
        <v>3218</v>
      </c>
      <c r="E7803">
        <v>15.51</v>
      </c>
      <c r="F7803">
        <v>146.08000000000001</v>
      </c>
    </row>
    <row r="7804" spans="1:6" x14ac:dyDescent="0.25">
      <c r="A7804" t="s">
        <v>2955</v>
      </c>
      <c r="B7804" t="s">
        <v>52</v>
      </c>
      <c r="C7804" t="s">
        <v>161</v>
      </c>
      <c r="D7804" t="s">
        <v>3219</v>
      </c>
      <c r="E7804">
        <v>30.91</v>
      </c>
      <c r="F7804">
        <v>145.88</v>
      </c>
    </row>
    <row r="7805" spans="1:6" x14ac:dyDescent="0.25">
      <c r="A7805" t="s">
        <v>2956</v>
      </c>
      <c r="B7805" t="s">
        <v>52</v>
      </c>
      <c r="C7805" t="s">
        <v>162</v>
      </c>
      <c r="D7805" t="s">
        <v>3217</v>
      </c>
      <c r="E7805">
        <v>0</v>
      </c>
      <c r="F7805">
        <v>145.97999999999999</v>
      </c>
    </row>
    <row r="7806" spans="1:6" x14ac:dyDescent="0.25">
      <c r="A7806" t="s">
        <v>2956</v>
      </c>
      <c r="B7806" t="s">
        <v>52</v>
      </c>
      <c r="C7806" t="s">
        <v>162</v>
      </c>
      <c r="D7806" t="s">
        <v>3218</v>
      </c>
      <c r="E7806">
        <v>14.6</v>
      </c>
      <c r="F7806">
        <v>145.84</v>
      </c>
    </row>
    <row r="7807" spans="1:6" x14ac:dyDescent="0.25">
      <c r="A7807" t="s">
        <v>2956</v>
      </c>
      <c r="B7807" t="s">
        <v>52</v>
      </c>
      <c r="C7807" t="s">
        <v>162</v>
      </c>
      <c r="D7807" t="s">
        <v>3219</v>
      </c>
      <c r="E7807">
        <v>28.95</v>
      </c>
      <c r="F7807">
        <v>145.6</v>
      </c>
    </row>
    <row r="7808" spans="1:6" x14ac:dyDescent="0.25">
      <c r="A7808" t="s">
        <v>2957</v>
      </c>
      <c r="B7808" t="s">
        <v>52</v>
      </c>
      <c r="C7808" t="s">
        <v>163</v>
      </c>
      <c r="D7808" t="s">
        <v>3217</v>
      </c>
      <c r="E7808">
        <v>0</v>
      </c>
      <c r="F7808">
        <v>145.66999999999999</v>
      </c>
    </row>
    <row r="7809" spans="1:6" x14ac:dyDescent="0.25">
      <c r="A7809" t="s">
        <v>2957</v>
      </c>
      <c r="B7809" t="s">
        <v>52</v>
      </c>
      <c r="C7809" t="s">
        <v>163</v>
      </c>
      <c r="D7809" t="s">
        <v>3218</v>
      </c>
      <c r="E7809">
        <v>14.27</v>
      </c>
      <c r="F7809">
        <v>145.43</v>
      </c>
    </row>
    <row r="7810" spans="1:6" x14ac:dyDescent="0.25">
      <c r="A7810" t="s">
        <v>2957</v>
      </c>
      <c r="B7810" t="s">
        <v>52</v>
      </c>
      <c r="C7810" t="s">
        <v>163</v>
      </c>
      <c r="D7810" t="s">
        <v>3219</v>
      </c>
      <c r="E7810">
        <v>26.82</v>
      </c>
      <c r="F7810">
        <v>145.28</v>
      </c>
    </row>
    <row r="7811" spans="1:6" x14ac:dyDescent="0.25">
      <c r="A7811" t="s">
        <v>2958</v>
      </c>
      <c r="B7811" t="s">
        <v>52</v>
      </c>
      <c r="C7811" t="s">
        <v>164</v>
      </c>
      <c r="D7811" t="s">
        <v>3217</v>
      </c>
      <c r="E7811">
        <v>0</v>
      </c>
      <c r="F7811">
        <v>145.44</v>
      </c>
    </row>
    <row r="7812" spans="1:6" x14ac:dyDescent="0.25">
      <c r="A7812" t="s">
        <v>2958</v>
      </c>
      <c r="B7812" t="s">
        <v>52</v>
      </c>
      <c r="C7812" t="s">
        <v>164</v>
      </c>
      <c r="D7812" t="s">
        <v>3218</v>
      </c>
      <c r="E7812">
        <v>14.89</v>
      </c>
      <c r="F7812">
        <v>145.31</v>
      </c>
    </row>
    <row r="7813" spans="1:6" x14ac:dyDescent="0.25">
      <c r="A7813" t="s">
        <v>2958</v>
      </c>
      <c r="B7813" t="s">
        <v>52</v>
      </c>
      <c r="C7813" t="s">
        <v>164</v>
      </c>
      <c r="D7813" t="s">
        <v>3219</v>
      </c>
      <c r="E7813">
        <v>26.52</v>
      </c>
      <c r="F7813">
        <v>144.99</v>
      </c>
    </row>
    <row r="7814" spans="1:6" x14ac:dyDescent="0.25">
      <c r="A7814" t="s">
        <v>2959</v>
      </c>
      <c r="B7814" t="s">
        <v>52</v>
      </c>
      <c r="C7814" t="s">
        <v>170</v>
      </c>
      <c r="D7814" t="s">
        <v>3217</v>
      </c>
      <c r="E7814">
        <v>0</v>
      </c>
      <c r="F7814">
        <v>145.15</v>
      </c>
    </row>
    <row r="7815" spans="1:6" x14ac:dyDescent="0.25">
      <c r="A7815" t="s">
        <v>2959</v>
      </c>
      <c r="B7815" t="s">
        <v>52</v>
      </c>
      <c r="C7815" t="s">
        <v>170</v>
      </c>
      <c r="D7815" t="s">
        <v>3218</v>
      </c>
      <c r="E7815">
        <v>16.13</v>
      </c>
      <c r="F7815">
        <v>145.1</v>
      </c>
    </row>
    <row r="7816" spans="1:6" x14ac:dyDescent="0.25">
      <c r="A7816" t="s">
        <v>2959</v>
      </c>
      <c r="B7816" t="s">
        <v>52</v>
      </c>
      <c r="C7816" t="s">
        <v>170</v>
      </c>
      <c r="D7816" t="s">
        <v>3219</v>
      </c>
      <c r="E7816">
        <v>27.76</v>
      </c>
      <c r="F7816">
        <v>144.86000000000001</v>
      </c>
    </row>
    <row r="7817" spans="1:6" x14ac:dyDescent="0.25">
      <c r="A7817" t="s">
        <v>2960</v>
      </c>
      <c r="B7817" t="s">
        <v>52</v>
      </c>
      <c r="C7817" t="s">
        <v>171</v>
      </c>
      <c r="D7817" t="s">
        <v>3217</v>
      </c>
      <c r="E7817">
        <v>0</v>
      </c>
      <c r="F7817">
        <v>145.07</v>
      </c>
    </row>
    <row r="7818" spans="1:6" x14ac:dyDescent="0.25">
      <c r="A7818" t="s">
        <v>2960</v>
      </c>
      <c r="B7818" t="s">
        <v>52</v>
      </c>
      <c r="C7818" t="s">
        <v>171</v>
      </c>
      <c r="D7818" t="s">
        <v>3218</v>
      </c>
      <c r="E7818">
        <v>16.170000000000002</v>
      </c>
      <c r="F7818">
        <v>145.09</v>
      </c>
    </row>
    <row r="7819" spans="1:6" x14ac:dyDescent="0.25">
      <c r="A7819" t="s">
        <v>2960</v>
      </c>
      <c r="B7819" t="s">
        <v>52</v>
      </c>
      <c r="C7819" t="s">
        <v>171</v>
      </c>
      <c r="D7819" t="s">
        <v>3219</v>
      </c>
      <c r="E7819">
        <v>28.34</v>
      </c>
      <c r="F7819">
        <v>144.74</v>
      </c>
    </row>
    <row r="7820" spans="1:6" x14ac:dyDescent="0.25">
      <c r="A7820" t="s">
        <v>2961</v>
      </c>
      <c r="B7820" t="s">
        <v>52</v>
      </c>
      <c r="C7820" t="s">
        <v>172</v>
      </c>
      <c r="D7820" t="s">
        <v>3217</v>
      </c>
      <c r="E7820">
        <v>0</v>
      </c>
      <c r="F7820">
        <v>144.96</v>
      </c>
    </row>
    <row r="7821" spans="1:6" x14ac:dyDescent="0.25">
      <c r="A7821" t="s">
        <v>2961</v>
      </c>
      <c r="B7821" t="s">
        <v>52</v>
      </c>
      <c r="C7821" t="s">
        <v>172</v>
      </c>
      <c r="D7821" t="s">
        <v>3218</v>
      </c>
      <c r="E7821">
        <v>15.99</v>
      </c>
      <c r="F7821">
        <v>144.97999999999999</v>
      </c>
    </row>
    <row r="7822" spans="1:6" x14ac:dyDescent="0.25">
      <c r="A7822" t="s">
        <v>2961</v>
      </c>
      <c r="B7822" t="s">
        <v>52</v>
      </c>
      <c r="C7822" t="s">
        <v>172</v>
      </c>
      <c r="D7822" t="s">
        <v>3219</v>
      </c>
      <c r="E7822">
        <v>28.59</v>
      </c>
      <c r="F7822">
        <v>144.66</v>
      </c>
    </row>
    <row r="7823" spans="1:6" x14ac:dyDescent="0.25">
      <c r="A7823" t="s">
        <v>2962</v>
      </c>
      <c r="B7823" t="s">
        <v>52</v>
      </c>
      <c r="C7823" t="s">
        <v>173</v>
      </c>
      <c r="D7823" t="s">
        <v>3217</v>
      </c>
      <c r="E7823">
        <v>0</v>
      </c>
      <c r="F7823">
        <v>144.66999999999999</v>
      </c>
    </row>
    <row r="7824" spans="1:6" x14ac:dyDescent="0.25">
      <c r="A7824" t="s">
        <v>2962</v>
      </c>
      <c r="B7824" t="s">
        <v>52</v>
      </c>
      <c r="C7824" t="s">
        <v>173</v>
      </c>
      <c r="D7824" t="s">
        <v>3218</v>
      </c>
      <c r="E7824">
        <v>16.45</v>
      </c>
      <c r="F7824">
        <v>144.77000000000001</v>
      </c>
    </row>
    <row r="7825" spans="1:6" x14ac:dyDescent="0.25">
      <c r="A7825" t="s">
        <v>2962</v>
      </c>
      <c r="B7825" t="s">
        <v>52</v>
      </c>
      <c r="C7825" t="s">
        <v>173</v>
      </c>
      <c r="D7825" t="s">
        <v>3219</v>
      </c>
      <c r="E7825">
        <v>29.47</v>
      </c>
      <c r="F7825">
        <v>144.41</v>
      </c>
    </row>
    <row r="7826" spans="1:6" x14ac:dyDescent="0.25">
      <c r="A7826" t="s">
        <v>2963</v>
      </c>
      <c r="B7826" t="s">
        <v>52</v>
      </c>
      <c r="C7826" t="s">
        <v>174</v>
      </c>
      <c r="D7826" t="s">
        <v>3217</v>
      </c>
      <c r="E7826">
        <v>0</v>
      </c>
      <c r="F7826">
        <v>144.22999999999999</v>
      </c>
    </row>
    <row r="7827" spans="1:6" x14ac:dyDescent="0.25">
      <c r="A7827" t="s">
        <v>2963</v>
      </c>
      <c r="B7827" t="s">
        <v>52</v>
      </c>
      <c r="C7827" t="s">
        <v>174</v>
      </c>
      <c r="D7827" t="s">
        <v>3218</v>
      </c>
      <c r="E7827">
        <v>16.2</v>
      </c>
      <c r="F7827">
        <v>144.32</v>
      </c>
    </row>
    <row r="7828" spans="1:6" x14ac:dyDescent="0.25">
      <c r="A7828" t="s">
        <v>2963</v>
      </c>
      <c r="B7828" t="s">
        <v>52</v>
      </c>
      <c r="C7828" t="s">
        <v>174</v>
      </c>
      <c r="D7828" t="s">
        <v>3219</v>
      </c>
      <c r="E7828">
        <v>29.36</v>
      </c>
      <c r="F7828">
        <v>143.97999999999999</v>
      </c>
    </row>
    <row r="7829" spans="1:6" x14ac:dyDescent="0.25">
      <c r="A7829" t="s">
        <v>2964</v>
      </c>
      <c r="B7829" t="s">
        <v>52</v>
      </c>
      <c r="C7829" t="s">
        <v>175</v>
      </c>
      <c r="D7829" t="s">
        <v>3217</v>
      </c>
      <c r="E7829">
        <v>0</v>
      </c>
      <c r="F7829">
        <v>143.26</v>
      </c>
    </row>
    <row r="7830" spans="1:6" x14ac:dyDescent="0.25">
      <c r="A7830" t="s">
        <v>2964</v>
      </c>
      <c r="B7830" t="s">
        <v>52</v>
      </c>
      <c r="C7830" t="s">
        <v>175</v>
      </c>
      <c r="D7830" t="s">
        <v>3218</v>
      </c>
      <c r="E7830">
        <v>16.5</v>
      </c>
      <c r="F7830">
        <v>143.16999999999999</v>
      </c>
    </row>
    <row r="7831" spans="1:6" x14ac:dyDescent="0.25">
      <c r="A7831" t="s">
        <v>2964</v>
      </c>
      <c r="B7831" t="s">
        <v>52</v>
      </c>
      <c r="C7831" t="s">
        <v>175</v>
      </c>
      <c r="D7831" t="s">
        <v>3219</v>
      </c>
      <c r="E7831">
        <v>28.55</v>
      </c>
      <c r="F7831">
        <v>142.97</v>
      </c>
    </row>
    <row r="7832" spans="1:6" x14ac:dyDescent="0.25">
      <c r="A7832" t="s">
        <v>2965</v>
      </c>
      <c r="B7832" t="s">
        <v>52</v>
      </c>
      <c r="C7832" t="s">
        <v>176</v>
      </c>
      <c r="D7832" t="s">
        <v>3217</v>
      </c>
      <c r="E7832">
        <v>0</v>
      </c>
      <c r="F7832">
        <v>141.85</v>
      </c>
    </row>
    <row r="7833" spans="1:6" x14ac:dyDescent="0.25">
      <c r="A7833" t="s">
        <v>2965</v>
      </c>
      <c r="B7833" t="s">
        <v>52</v>
      </c>
      <c r="C7833" t="s">
        <v>176</v>
      </c>
      <c r="D7833" t="s">
        <v>3218</v>
      </c>
      <c r="E7833">
        <v>15.45</v>
      </c>
      <c r="F7833">
        <v>141.74</v>
      </c>
    </row>
    <row r="7834" spans="1:6" x14ac:dyDescent="0.25">
      <c r="A7834" t="s">
        <v>2965</v>
      </c>
      <c r="B7834" t="s">
        <v>52</v>
      </c>
      <c r="C7834" t="s">
        <v>176</v>
      </c>
      <c r="D7834" t="s">
        <v>3219</v>
      </c>
      <c r="E7834">
        <v>27.64</v>
      </c>
      <c r="F7834">
        <v>141.82</v>
      </c>
    </row>
    <row r="7835" spans="1:6" x14ac:dyDescent="0.25">
      <c r="A7835" t="s">
        <v>2966</v>
      </c>
      <c r="B7835" t="s">
        <v>52</v>
      </c>
      <c r="C7835" t="s">
        <v>177</v>
      </c>
      <c r="D7835" t="s">
        <v>3217</v>
      </c>
      <c r="E7835">
        <v>0</v>
      </c>
      <c r="F7835">
        <v>140.56</v>
      </c>
    </row>
    <row r="7836" spans="1:6" x14ac:dyDescent="0.25">
      <c r="A7836" t="s">
        <v>2966</v>
      </c>
      <c r="B7836" t="s">
        <v>52</v>
      </c>
      <c r="C7836" t="s">
        <v>177</v>
      </c>
      <c r="D7836" t="s">
        <v>3218</v>
      </c>
      <c r="E7836">
        <v>14.62</v>
      </c>
      <c r="F7836">
        <v>140.59</v>
      </c>
    </row>
    <row r="7837" spans="1:6" x14ac:dyDescent="0.25">
      <c r="A7837" t="s">
        <v>2966</v>
      </c>
      <c r="B7837" t="s">
        <v>52</v>
      </c>
      <c r="C7837" t="s">
        <v>177</v>
      </c>
      <c r="D7837" t="s">
        <v>3219</v>
      </c>
      <c r="E7837">
        <v>28.59</v>
      </c>
      <c r="F7837">
        <v>140.63</v>
      </c>
    </row>
    <row r="7838" spans="1:6" x14ac:dyDescent="0.25">
      <c r="A7838" t="s">
        <v>2967</v>
      </c>
      <c r="B7838" t="s">
        <v>52</v>
      </c>
      <c r="C7838" t="s">
        <v>178</v>
      </c>
      <c r="D7838" t="s">
        <v>3217</v>
      </c>
      <c r="E7838">
        <v>0</v>
      </c>
      <c r="F7838">
        <v>139.13</v>
      </c>
    </row>
    <row r="7839" spans="1:6" x14ac:dyDescent="0.25">
      <c r="A7839" t="s">
        <v>2967</v>
      </c>
      <c r="B7839" t="s">
        <v>52</v>
      </c>
      <c r="C7839" t="s">
        <v>178</v>
      </c>
      <c r="D7839" t="s">
        <v>3218</v>
      </c>
      <c r="E7839">
        <v>15.47</v>
      </c>
      <c r="F7839">
        <v>139.19</v>
      </c>
    </row>
    <row r="7840" spans="1:6" x14ac:dyDescent="0.25">
      <c r="A7840" t="s">
        <v>2967</v>
      </c>
      <c r="B7840" t="s">
        <v>52</v>
      </c>
      <c r="C7840" t="s">
        <v>178</v>
      </c>
      <c r="D7840" t="s">
        <v>3219</v>
      </c>
      <c r="E7840">
        <v>28.82</v>
      </c>
      <c r="F7840">
        <v>139.12</v>
      </c>
    </row>
    <row r="7841" spans="1:6" x14ac:dyDescent="0.25">
      <c r="A7841" t="s">
        <v>2968</v>
      </c>
      <c r="B7841" t="s">
        <v>52</v>
      </c>
      <c r="C7841" t="s">
        <v>179</v>
      </c>
      <c r="D7841" t="s">
        <v>3217</v>
      </c>
      <c r="E7841">
        <v>0</v>
      </c>
      <c r="F7841">
        <v>137.32</v>
      </c>
    </row>
    <row r="7842" spans="1:6" x14ac:dyDescent="0.25">
      <c r="A7842" t="s">
        <v>2968</v>
      </c>
      <c r="B7842" t="s">
        <v>52</v>
      </c>
      <c r="C7842" t="s">
        <v>179</v>
      </c>
      <c r="D7842" t="s">
        <v>3218</v>
      </c>
      <c r="E7842">
        <v>14.49</v>
      </c>
      <c r="F7842">
        <v>137.52000000000001</v>
      </c>
    </row>
    <row r="7843" spans="1:6" x14ac:dyDescent="0.25">
      <c r="A7843" t="s">
        <v>2968</v>
      </c>
      <c r="B7843" t="s">
        <v>52</v>
      </c>
      <c r="C7843" t="s">
        <v>179</v>
      </c>
      <c r="D7843" t="s">
        <v>3219</v>
      </c>
      <c r="E7843">
        <v>27.76</v>
      </c>
      <c r="F7843">
        <v>137.25</v>
      </c>
    </row>
    <row r="7844" spans="1:6" x14ac:dyDescent="0.25">
      <c r="A7844" t="s">
        <v>2969</v>
      </c>
      <c r="B7844" t="s">
        <v>52</v>
      </c>
      <c r="C7844" t="s">
        <v>180</v>
      </c>
      <c r="D7844" t="s">
        <v>3217</v>
      </c>
      <c r="E7844">
        <v>0</v>
      </c>
      <c r="F7844">
        <v>136.02000000000001</v>
      </c>
    </row>
    <row r="7845" spans="1:6" x14ac:dyDescent="0.25">
      <c r="A7845" t="s">
        <v>2969</v>
      </c>
      <c r="B7845" t="s">
        <v>52</v>
      </c>
      <c r="C7845" t="s">
        <v>180</v>
      </c>
      <c r="D7845" t="s">
        <v>3218</v>
      </c>
      <c r="E7845">
        <v>15.03</v>
      </c>
      <c r="F7845">
        <v>136.12</v>
      </c>
    </row>
    <row r="7846" spans="1:6" x14ac:dyDescent="0.25">
      <c r="A7846" t="s">
        <v>2969</v>
      </c>
      <c r="B7846" t="s">
        <v>52</v>
      </c>
      <c r="C7846" t="s">
        <v>180</v>
      </c>
      <c r="D7846" t="s">
        <v>3219</v>
      </c>
      <c r="E7846">
        <v>28.6</v>
      </c>
      <c r="F7846">
        <v>135.84</v>
      </c>
    </row>
    <row r="7847" spans="1:6" x14ac:dyDescent="0.25">
      <c r="A7847" t="s">
        <v>2970</v>
      </c>
      <c r="B7847" t="s">
        <v>52</v>
      </c>
      <c r="C7847" t="s">
        <v>181</v>
      </c>
      <c r="D7847" t="s">
        <v>3217</v>
      </c>
      <c r="E7847">
        <v>0</v>
      </c>
      <c r="F7847">
        <v>134.75</v>
      </c>
    </row>
    <row r="7848" spans="1:6" x14ac:dyDescent="0.25">
      <c r="A7848" t="s">
        <v>2970</v>
      </c>
      <c r="B7848" t="s">
        <v>52</v>
      </c>
      <c r="C7848" t="s">
        <v>181</v>
      </c>
      <c r="D7848" t="s">
        <v>3218</v>
      </c>
      <c r="E7848">
        <v>15.11</v>
      </c>
      <c r="F7848">
        <v>134.54</v>
      </c>
    </row>
    <row r="7849" spans="1:6" x14ac:dyDescent="0.25">
      <c r="A7849" t="s">
        <v>2970</v>
      </c>
      <c r="B7849" t="s">
        <v>52</v>
      </c>
      <c r="C7849" t="s">
        <v>181</v>
      </c>
      <c r="D7849" t="s">
        <v>3219</v>
      </c>
      <c r="E7849">
        <v>29.1</v>
      </c>
      <c r="F7849">
        <v>134.34</v>
      </c>
    </row>
    <row r="7850" spans="1:6" x14ac:dyDescent="0.25">
      <c r="A7850" t="s">
        <v>2971</v>
      </c>
      <c r="B7850" t="s">
        <v>52</v>
      </c>
      <c r="C7850" t="s">
        <v>182</v>
      </c>
      <c r="D7850" t="s">
        <v>3217</v>
      </c>
      <c r="E7850">
        <v>0</v>
      </c>
      <c r="F7850">
        <v>134.1</v>
      </c>
    </row>
    <row r="7851" spans="1:6" x14ac:dyDescent="0.25">
      <c r="A7851" t="s">
        <v>2971</v>
      </c>
      <c r="B7851" t="s">
        <v>52</v>
      </c>
      <c r="C7851" t="s">
        <v>182</v>
      </c>
      <c r="D7851" t="s">
        <v>3218</v>
      </c>
      <c r="E7851">
        <v>15.11</v>
      </c>
      <c r="F7851">
        <v>133.71</v>
      </c>
    </row>
    <row r="7852" spans="1:6" x14ac:dyDescent="0.25">
      <c r="A7852" t="s">
        <v>2971</v>
      </c>
      <c r="B7852" t="s">
        <v>52</v>
      </c>
      <c r="C7852" t="s">
        <v>182</v>
      </c>
      <c r="D7852" t="s">
        <v>3219</v>
      </c>
      <c r="E7852">
        <v>28.42</v>
      </c>
      <c r="F7852">
        <v>133.30000000000001</v>
      </c>
    </row>
    <row r="7853" spans="1:6" x14ac:dyDescent="0.25">
      <c r="A7853" t="s">
        <v>2972</v>
      </c>
      <c r="B7853" t="s">
        <v>52</v>
      </c>
      <c r="C7853" t="s">
        <v>183</v>
      </c>
      <c r="D7853" t="s">
        <v>3217</v>
      </c>
      <c r="E7853">
        <v>0</v>
      </c>
      <c r="F7853">
        <v>134.47</v>
      </c>
    </row>
    <row r="7854" spans="1:6" x14ac:dyDescent="0.25">
      <c r="A7854" t="s">
        <v>2972</v>
      </c>
      <c r="B7854" t="s">
        <v>52</v>
      </c>
      <c r="C7854" t="s">
        <v>183</v>
      </c>
      <c r="D7854" t="s">
        <v>3218</v>
      </c>
      <c r="E7854">
        <v>17.37</v>
      </c>
      <c r="F7854">
        <v>133.6</v>
      </c>
    </row>
    <row r="7855" spans="1:6" x14ac:dyDescent="0.25">
      <c r="A7855" t="s">
        <v>2972</v>
      </c>
      <c r="B7855" t="s">
        <v>52</v>
      </c>
      <c r="C7855" t="s">
        <v>183</v>
      </c>
      <c r="D7855" t="s">
        <v>3219</v>
      </c>
      <c r="E7855">
        <v>30.59</v>
      </c>
      <c r="F7855">
        <v>132.80000000000001</v>
      </c>
    </row>
    <row r="7856" spans="1:6" x14ac:dyDescent="0.25">
      <c r="A7856" t="s">
        <v>2973</v>
      </c>
      <c r="B7856" t="s">
        <v>52</v>
      </c>
      <c r="C7856" t="s">
        <v>184</v>
      </c>
      <c r="D7856" t="s">
        <v>3217</v>
      </c>
      <c r="E7856">
        <v>0</v>
      </c>
      <c r="F7856">
        <v>133.75</v>
      </c>
    </row>
    <row r="7857" spans="1:6" x14ac:dyDescent="0.25">
      <c r="A7857" t="s">
        <v>2973</v>
      </c>
      <c r="B7857" t="s">
        <v>52</v>
      </c>
      <c r="C7857" t="s">
        <v>184</v>
      </c>
      <c r="D7857" t="s">
        <v>3218</v>
      </c>
      <c r="E7857">
        <v>17.37</v>
      </c>
      <c r="F7857">
        <v>133.07</v>
      </c>
    </row>
    <row r="7858" spans="1:6" x14ac:dyDescent="0.25">
      <c r="A7858" t="s">
        <v>2973</v>
      </c>
      <c r="B7858" t="s">
        <v>52</v>
      </c>
      <c r="C7858" t="s">
        <v>184</v>
      </c>
      <c r="D7858" t="s">
        <v>3219</v>
      </c>
      <c r="E7858">
        <v>30.87</v>
      </c>
      <c r="F7858">
        <v>132.27000000000001</v>
      </c>
    </row>
    <row r="7859" spans="1:6" x14ac:dyDescent="0.25">
      <c r="A7859" t="s">
        <v>2974</v>
      </c>
      <c r="B7859" t="s">
        <v>52</v>
      </c>
      <c r="C7859" t="s">
        <v>334</v>
      </c>
      <c r="D7859" t="s">
        <v>3217</v>
      </c>
      <c r="E7859">
        <v>0</v>
      </c>
      <c r="F7859">
        <v>133.68</v>
      </c>
    </row>
    <row r="7860" spans="1:6" x14ac:dyDescent="0.25">
      <c r="A7860" t="s">
        <v>2974</v>
      </c>
      <c r="B7860" t="s">
        <v>52</v>
      </c>
      <c r="C7860" t="s">
        <v>334</v>
      </c>
      <c r="D7860" t="s">
        <v>3218</v>
      </c>
      <c r="E7860">
        <v>14.44</v>
      </c>
      <c r="F7860">
        <v>133.06</v>
      </c>
    </row>
    <row r="7861" spans="1:6" x14ac:dyDescent="0.25">
      <c r="A7861" t="s">
        <v>2974</v>
      </c>
      <c r="B7861" t="s">
        <v>52</v>
      </c>
      <c r="C7861" t="s">
        <v>334</v>
      </c>
      <c r="D7861" t="s">
        <v>3219</v>
      </c>
      <c r="E7861">
        <v>29.16</v>
      </c>
      <c r="F7861">
        <v>132.24</v>
      </c>
    </row>
    <row r="7862" spans="1:6" x14ac:dyDescent="0.25">
      <c r="A7862" t="s">
        <v>2975</v>
      </c>
      <c r="B7862" t="s">
        <v>53</v>
      </c>
      <c r="C7862" t="s">
        <v>56</v>
      </c>
      <c r="D7862" t="s">
        <v>3217</v>
      </c>
      <c r="E7862">
        <v>0</v>
      </c>
      <c r="F7862">
        <v>104.88</v>
      </c>
    </row>
    <row r="7863" spans="1:6" x14ac:dyDescent="0.25">
      <c r="A7863" t="s">
        <v>2975</v>
      </c>
      <c r="B7863" t="s">
        <v>53</v>
      </c>
      <c r="C7863" t="s">
        <v>56</v>
      </c>
      <c r="D7863" t="s">
        <v>3218</v>
      </c>
      <c r="E7863">
        <v>11.22</v>
      </c>
      <c r="F7863">
        <v>105.27</v>
      </c>
    </row>
    <row r="7864" spans="1:6" x14ac:dyDescent="0.25">
      <c r="A7864" t="s">
        <v>2975</v>
      </c>
      <c r="B7864" t="s">
        <v>53</v>
      </c>
      <c r="C7864" t="s">
        <v>56</v>
      </c>
      <c r="D7864" t="s">
        <v>3219</v>
      </c>
      <c r="E7864">
        <v>27.53</v>
      </c>
      <c r="F7864">
        <v>105.87</v>
      </c>
    </row>
    <row r="7865" spans="1:6" x14ac:dyDescent="0.25">
      <c r="A7865" t="s">
        <v>2976</v>
      </c>
      <c r="B7865" t="s">
        <v>53</v>
      </c>
      <c r="C7865" t="s">
        <v>57</v>
      </c>
      <c r="D7865" t="s">
        <v>3217</v>
      </c>
      <c r="E7865">
        <v>0</v>
      </c>
      <c r="F7865">
        <v>103.38</v>
      </c>
    </row>
    <row r="7866" spans="1:6" x14ac:dyDescent="0.25">
      <c r="A7866" t="s">
        <v>2976</v>
      </c>
      <c r="B7866" t="s">
        <v>53</v>
      </c>
      <c r="C7866" t="s">
        <v>57</v>
      </c>
      <c r="D7866" t="s">
        <v>3218</v>
      </c>
      <c r="E7866">
        <v>10.74</v>
      </c>
      <c r="F7866">
        <v>103.67</v>
      </c>
    </row>
    <row r="7867" spans="1:6" x14ac:dyDescent="0.25">
      <c r="A7867" t="s">
        <v>2976</v>
      </c>
      <c r="B7867" t="s">
        <v>53</v>
      </c>
      <c r="C7867" t="s">
        <v>57</v>
      </c>
      <c r="D7867" t="s">
        <v>3219</v>
      </c>
      <c r="E7867">
        <v>27.04</v>
      </c>
      <c r="F7867">
        <v>104.04</v>
      </c>
    </row>
    <row r="7868" spans="1:6" x14ac:dyDescent="0.25">
      <c r="A7868" t="s">
        <v>2977</v>
      </c>
      <c r="B7868" t="s">
        <v>53</v>
      </c>
      <c r="C7868" t="s">
        <v>58</v>
      </c>
      <c r="D7868" t="s">
        <v>3217</v>
      </c>
      <c r="E7868">
        <v>0</v>
      </c>
      <c r="F7868">
        <v>101.72</v>
      </c>
    </row>
    <row r="7869" spans="1:6" x14ac:dyDescent="0.25">
      <c r="A7869" t="s">
        <v>2977</v>
      </c>
      <c r="B7869" t="s">
        <v>53</v>
      </c>
      <c r="C7869" t="s">
        <v>58</v>
      </c>
      <c r="D7869" t="s">
        <v>3218</v>
      </c>
      <c r="E7869">
        <v>11.22</v>
      </c>
      <c r="F7869">
        <v>102.14</v>
      </c>
    </row>
    <row r="7870" spans="1:6" x14ac:dyDescent="0.25">
      <c r="A7870" t="s">
        <v>2977</v>
      </c>
      <c r="B7870" t="s">
        <v>53</v>
      </c>
      <c r="C7870" t="s">
        <v>58</v>
      </c>
      <c r="D7870" t="s">
        <v>3219</v>
      </c>
      <c r="E7870">
        <v>27.53</v>
      </c>
      <c r="F7870">
        <v>102.24</v>
      </c>
    </row>
    <row r="7871" spans="1:6" x14ac:dyDescent="0.25">
      <c r="A7871" t="s">
        <v>2978</v>
      </c>
      <c r="B7871" t="s">
        <v>53</v>
      </c>
      <c r="C7871" t="s">
        <v>59</v>
      </c>
      <c r="D7871" t="s">
        <v>3217</v>
      </c>
      <c r="E7871">
        <v>0</v>
      </c>
      <c r="F7871">
        <v>99.68</v>
      </c>
    </row>
    <row r="7872" spans="1:6" x14ac:dyDescent="0.25">
      <c r="A7872" t="s">
        <v>2978</v>
      </c>
      <c r="B7872" t="s">
        <v>53</v>
      </c>
      <c r="C7872" t="s">
        <v>59</v>
      </c>
      <c r="D7872" t="s">
        <v>3218</v>
      </c>
      <c r="E7872">
        <v>20</v>
      </c>
      <c r="F7872">
        <v>100.97</v>
      </c>
    </row>
    <row r="7873" spans="1:6" x14ac:dyDescent="0.25">
      <c r="A7873" t="s">
        <v>2978</v>
      </c>
      <c r="B7873" t="s">
        <v>53</v>
      </c>
      <c r="C7873" t="s">
        <v>59</v>
      </c>
      <c r="D7873" t="s">
        <v>3219</v>
      </c>
      <c r="E7873">
        <v>36.340000000000003</v>
      </c>
      <c r="F7873">
        <v>101.13</v>
      </c>
    </row>
    <row r="7874" spans="1:6" x14ac:dyDescent="0.25">
      <c r="A7874" t="s">
        <v>2979</v>
      </c>
      <c r="B7874" t="s">
        <v>53</v>
      </c>
      <c r="C7874" t="s">
        <v>60</v>
      </c>
      <c r="D7874" t="s">
        <v>3217</v>
      </c>
      <c r="E7874">
        <v>0</v>
      </c>
      <c r="F7874">
        <v>98.79</v>
      </c>
    </row>
    <row r="7875" spans="1:6" x14ac:dyDescent="0.25">
      <c r="A7875" t="s">
        <v>2979</v>
      </c>
      <c r="B7875" t="s">
        <v>53</v>
      </c>
      <c r="C7875" t="s">
        <v>60</v>
      </c>
      <c r="D7875" t="s">
        <v>3218</v>
      </c>
      <c r="E7875">
        <v>20</v>
      </c>
      <c r="F7875">
        <v>100.03</v>
      </c>
    </row>
    <row r="7876" spans="1:6" x14ac:dyDescent="0.25">
      <c r="A7876" t="s">
        <v>2979</v>
      </c>
      <c r="B7876" t="s">
        <v>53</v>
      </c>
      <c r="C7876" t="s">
        <v>60</v>
      </c>
      <c r="D7876" t="s">
        <v>3219</v>
      </c>
      <c r="E7876">
        <v>35.85</v>
      </c>
      <c r="F7876">
        <v>100.19</v>
      </c>
    </row>
    <row r="7877" spans="1:6" x14ac:dyDescent="0.25">
      <c r="A7877" t="s">
        <v>2980</v>
      </c>
      <c r="B7877" t="s">
        <v>53</v>
      </c>
      <c r="C7877" t="s">
        <v>61</v>
      </c>
      <c r="D7877" t="s">
        <v>3217</v>
      </c>
      <c r="E7877">
        <v>0</v>
      </c>
      <c r="F7877">
        <v>98.76</v>
      </c>
    </row>
    <row r="7878" spans="1:6" x14ac:dyDescent="0.25">
      <c r="A7878" t="s">
        <v>2980</v>
      </c>
      <c r="B7878" t="s">
        <v>53</v>
      </c>
      <c r="C7878" t="s">
        <v>61</v>
      </c>
      <c r="D7878" t="s">
        <v>3218</v>
      </c>
      <c r="E7878">
        <v>20</v>
      </c>
      <c r="F7878">
        <v>99.46</v>
      </c>
    </row>
    <row r="7879" spans="1:6" x14ac:dyDescent="0.25">
      <c r="A7879" t="s">
        <v>2980</v>
      </c>
      <c r="B7879" t="s">
        <v>53</v>
      </c>
      <c r="C7879" t="s">
        <v>61</v>
      </c>
      <c r="D7879" t="s">
        <v>3219</v>
      </c>
      <c r="E7879">
        <v>35.43</v>
      </c>
      <c r="F7879">
        <v>99.89</v>
      </c>
    </row>
    <row r="7880" spans="1:6" x14ac:dyDescent="0.25">
      <c r="A7880" t="s">
        <v>2981</v>
      </c>
      <c r="B7880" t="s">
        <v>53</v>
      </c>
      <c r="C7880" t="s">
        <v>62</v>
      </c>
      <c r="D7880" t="s">
        <v>3217</v>
      </c>
      <c r="E7880">
        <v>0</v>
      </c>
      <c r="F7880">
        <v>98.73</v>
      </c>
    </row>
    <row r="7881" spans="1:6" x14ac:dyDescent="0.25">
      <c r="A7881" t="s">
        <v>2981</v>
      </c>
      <c r="B7881" t="s">
        <v>53</v>
      </c>
      <c r="C7881" t="s">
        <v>62</v>
      </c>
      <c r="D7881" t="s">
        <v>3218</v>
      </c>
      <c r="E7881">
        <v>15.25</v>
      </c>
      <c r="F7881">
        <v>99.19</v>
      </c>
    </row>
    <row r="7882" spans="1:6" x14ac:dyDescent="0.25">
      <c r="A7882" t="s">
        <v>2981</v>
      </c>
      <c r="B7882" t="s">
        <v>53</v>
      </c>
      <c r="C7882" t="s">
        <v>62</v>
      </c>
      <c r="D7882" t="s">
        <v>3219</v>
      </c>
      <c r="E7882">
        <v>30.06</v>
      </c>
      <c r="F7882">
        <v>99.48</v>
      </c>
    </row>
    <row r="7883" spans="1:6" x14ac:dyDescent="0.25">
      <c r="A7883" t="s">
        <v>2982</v>
      </c>
      <c r="B7883" t="s">
        <v>53</v>
      </c>
      <c r="C7883" t="s">
        <v>63</v>
      </c>
      <c r="D7883" t="s">
        <v>3217</v>
      </c>
      <c r="E7883">
        <v>0</v>
      </c>
      <c r="F7883">
        <v>98.35</v>
      </c>
    </row>
    <row r="7884" spans="1:6" x14ac:dyDescent="0.25">
      <c r="A7884" t="s">
        <v>2982</v>
      </c>
      <c r="B7884" t="s">
        <v>53</v>
      </c>
      <c r="C7884" t="s">
        <v>63</v>
      </c>
      <c r="D7884" t="s">
        <v>3218</v>
      </c>
      <c r="E7884">
        <v>15.74</v>
      </c>
      <c r="F7884">
        <v>98.9</v>
      </c>
    </row>
    <row r="7885" spans="1:6" x14ac:dyDescent="0.25">
      <c r="A7885" t="s">
        <v>2982</v>
      </c>
      <c r="B7885" t="s">
        <v>53</v>
      </c>
      <c r="C7885" t="s">
        <v>63</v>
      </c>
      <c r="D7885" t="s">
        <v>3219</v>
      </c>
      <c r="E7885">
        <v>30.14</v>
      </c>
      <c r="F7885">
        <v>99.2</v>
      </c>
    </row>
    <row r="7886" spans="1:6" x14ac:dyDescent="0.25">
      <c r="A7886" t="s">
        <v>2983</v>
      </c>
      <c r="B7886" t="s">
        <v>53</v>
      </c>
      <c r="C7886" t="s">
        <v>64</v>
      </c>
      <c r="D7886" t="s">
        <v>3217</v>
      </c>
      <c r="E7886">
        <v>0</v>
      </c>
      <c r="F7886">
        <v>98.23</v>
      </c>
    </row>
    <row r="7887" spans="1:6" x14ac:dyDescent="0.25">
      <c r="A7887" t="s">
        <v>2983</v>
      </c>
      <c r="B7887" t="s">
        <v>53</v>
      </c>
      <c r="C7887" t="s">
        <v>64</v>
      </c>
      <c r="D7887" t="s">
        <v>3218</v>
      </c>
      <c r="E7887">
        <v>14.9</v>
      </c>
      <c r="F7887">
        <v>98.77</v>
      </c>
    </row>
    <row r="7888" spans="1:6" x14ac:dyDescent="0.25">
      <c r="A7888" t="s">
        <v>2983</v>
      </c>
      <c r="B7888" t="s">
        <v>53</v>
      </c>
      <c r="C7888" t="s">
        <v>64</v>
      </c>
      <c r="D7888" t="s">
        <v>3219</v>
      </c>
      <c r="E7888">
        <v>27.68</v>
      </c>
      <c r="F7888">
        <v>98.97</v>
      </c>
    </row>
    <row r="7889" spans="1:6" x14ac:dyDescent="0.25">
      <c r="A7889" t="s">
        <v>2984</v>
      </c>
      <c r="B7889" t="s">
        <v>53</v>
      </c>
      <c r="C7889" t="s">
        <v>65</v>
      </c>
      <c r="D7889" t="s">
        <v>3217</v>
      </c>
      <c r="E7889">
        <v>0</v>
      </c>
      <c r="F7889">
        <v>98.35</v>
      </c>
    </row>
    <row r="7890" spans="1:6" x14ac:dyDescent="0.25">
      <c r="A7890" t="s">
        <v>2984</v>
      </c>
      <c r="B7890" t="s">
        <v>53</v>
      </c>
      <c r="C7890" t="s">
        <v>65</v>
      </c>
      <c r="D7890" t="s">
        <v>3218</v>
      </c>
      <c r="E7890">
        <v>15.79</v>
      </c>
      <c r="F7890">
        <v>98.79</v>
      </c>
    </row>
    <row r="7891" spans="1:6" x14ac:dyDescent="0.25">
      <c r="A7891" t="s">
        <v>2984</v>
      </c>
      <c r="B7891" t="s">
        <v>53</v>
      </c>
      <c r="C7891" t="s">
        <v>65</v>
      </c>
      <c r="D7891" t="s">
        <v>3219</v>
      </c>
      <c r="E7891">
        <v>28.38</v>
      </c>
      <c r="F7891">
        <v>98.91</v>
      </c>
    </row>
    <row r="7892" spans="1:6" x14ac:dyDescent="0.25">
      <c r="A7892" t="s">
        <v>2985</v>
      </c>
      <c r="B7892" t="s">
        <v>53</v>
      </c>
      <c r="C7892" t="s">
        <v>66</v>
      </c>
      <c r="D7892" t="s">
        <v>3217</v>
      </c>
      <c r="E7892">
        <v>0</v>
      </c>
      <c r="F7892">
        <v>98.4</v>
      </c>
    </row>
    <row r="7893" spans="1:6" x14ac:dyDescent="0.25">
      <c r="A7893" t="s">
        <v>2985</v>
      </c>
      <c r="B7893" t="s">
        <v>53</v>
      </c>
      <c r="C7893" t="s">
        <v>66</v>
      </c>
      <c r="D7893" t="s">
        <v>3218</v>
      </c>
      <c r="E7893">
        <v>17.27</v>
      </c>
      <c r="F7893">
        <v>98.66</v>
      </c>
    </row>
    <row r="7894" spans="1:6" x14ac:dyDescent="0.25">
      <c r="A7894" t="s">
        <v>2985</v>
      </c>
      <c r="B7894" t="s">
        <v>53</v>
      </c>
      <c r="C7894" t="s">
        <v>66</v>
      </c>
      <c r="D7894" t="s">
        <v>3219</v>
      </c>
      <c r="E7894">
        <v>31.21</v>
      </c>
      <c r="F7894">
        <v>98.76</v>
      </c>
    </row>
    <row r="7895" spans="1:6" x14ac:dyDescent="0.25">
      <c r="A7895" t="s">
        <v>2986</v>
      </c>
      <c r="B7895" t="s">
        <v>53</v>
      </c>
      <c r="C7895" t="s">
        <v>67</v>
      </c>
      <c r="D7895" t="s">
        <v>3217</v>
      </c>
      <c r="E7895">
        <v>0</v>
      </c>
      <c r="F7895">
        <v>98.4</v>
      </c>
    </row>
    <row r="7896" spans="1:6" x14ac:dyDescent="0.25">
      <c r="A7896" t="s">
        <v>2986</v>
      </c>
      <c r="B7896" t="s">
        <v>53</v>
      </c>
      <c r="C7896" t="s">
        <v>67</v>
      </c>
      <c r="D7896" t="s">
        <v>3218</v>
      </c>
      <c r="E7896">
        <v>18.14</v>
      </c>
      <c r="F7896">
        <v>98.59</v>
      </c>
    </row>
    <row r="7897" spans="1:6" x14ac:dyDescent="0.25">
      <c r="A7897" t="s">
        <v>2986</v>
      </c>
      <c r="B7897" t="s">
        <v>53</v>
      </c>
      <c r="C7897" t="s">
        <v>67</v>
      </c>
      <c r="D7897" t="s">
        <v>3219</v>
      </c>
      <c r="E7897">
        <v>31.78</v>
      </c>
      <c r="F7897">
        <v>98.87</v>
      </c>
    </row>
    <row r="7898" spans="1:6" x14ac:dyDescent="0.25">
      <c r="A7898" t="s">
        <v>2987</v>
      </c>
      <c r="B7898" t="s">
        <v>53</v>
      </c>
      <c r="C7898" t="s">
        <v>68</v>
      </c>
      <c r="D7898" t="s">
        <v>3217</v>
      </c>
      <c r="E7898">
        <v>0</v>
      </c>
      <c r="F7898">
        <v>98.42</v>
      </c>
    </row>
    <row r="7899" spans="1:6" x14ac:dyDescent="0.25">
      <c r="A7899" t="s">
        <v>2987</v>
      </c>
      <c r="B7899" t="s">
        <v>53</v>
      </c>
      <c r="C7899" t="s">
        <v>68</v>
      </c>
      <c r="D7899" t="s">
        <v>3218</v>
      </c>
      <c r="E7899">
        <v>18.28</v>
      </c>
      <c r="F7899">
        <v>98.6</v>
      </c>
    </row>
    <row r="7900" spans="1:6" x14ac:dyDescent="0.25">
      <c r="A7900" t="s">
        <v>2987</v>
      </c>
      <c r="B7900" t="s">
        <v>53</v>
      </c>
      <c r="C7900" t="s">
        <v>68</v>
      </c>
      <c r="D7900" t="s">
        <v>3219</v>
      </c>
      <c r="E7900">
        <v>31.45</v>
      </c>
      <c r="F7900">
        <v>98.32</v>
      </c>
    </row>
    <row r="7901" spans="1:6" x14ac:dyDescent="0.25">
      <c r="A7901" t="s">
        <v>2988</v>
      </c>
      <c r="B7901" t="s">
        <v>53</v>
      </c>
      <c r="C7901" t="s">
        <v>69</v>
      </c>
      <c r="D7901" t="s">
        <v>3217</v>
      </c>
      <c r="E7901">
        <v>0</v>
      </c>
      <c r="F7901">
        <v>98.69</v>
      </c>
    </row>
    <row r="7902" spans="1:6" x14ac:dyDescent="0.25">
      <c r="A7902" t="s">
        <v>2988</v>
      </c>
      <c r="B7902" t="s">
        <v>53</v>
      </c>
      <c r="C7902" t="s">
        <v>69</v>
      </c>
      <c r="D7902" t="s">
        <v>3218</v>
      </c>
      <c r="E7902">
        <v>11.7</v>
      </c>
      <c r="F7902">
        <v>98.62</v>
      </c>
    </row>
    <row r="7903" spans="1:6" x14ac:dyDescent="0.25">
      <c r="A7903" t="s">
        <v>2988</v>
      </c>
      <c r="B7903" t="s">
        <v>53</v>
      </c>
      <c r="C7903" t="s">
        <v>69</v>
      </c>
      <c r="D7903" t="s">
        <v>3219</v>
      </c>
      <c r="E7903">
        <v>24.42</v>
      </c>
      <c r="F7903">
        <v>98.73</v>
      </c>
    </row>
    <row r="7904" spans="1:6" x14ac:dyDescent="0.25">
      <c r="A7904" t="s">
        <v>2989</v>
      </c>
      <c r="B7904" t="s">
        <v>53</v>
      </c>
      <c r="C7904" t="s">
        <v>70</v>
      </c>
      <c r="D7904" t="s">
        <v>3217</v>
      </c>
      <c r="E7904">
        <v>0</v>
      </c>
      <c r="F7904">
        <v>98.74</v>
      </c>
    </row>
    <row r="7905" spans="1:6" x14ac:dyDescent="0.25">
      <c r="A7905" t="s">
        <v>2989</v>
      </c>
      <c r="B7905" t="s">
        <v>53</v>
      </c>
      <c r="C7905" t="s">
        <v>70</v>
      </c>
      <c r="D7905" t="s">
        <v>3218</v>
      </c>
      <c r="E7905">
        <v>10.71</v>
      </c>
      <c r="F7905">
        <v>98.61</v>
      </c>
    </row>
    <row r="7906" spans="1:6" x14ac:dyDescent="0.25">
      <c r="A7906" t="s">
        <v>2989</v>
      </c>
      <c r="B7906" t="s">
        <v>53</v>
      </c>
      <c r="C7906" t="s">
        <v>70</v>
      </c>
      <c r="D7906" t="s">
        <v>3219</v>
      </c>
      <c r="E7906">
        <v>23</v>
      </c>
      <c r="F7906">
        <v>98.68</v>
      </c>
    </row>
    <row r="7907" spans="1:6" x14ac:dyDescent="0.25">
      <c r="A7907" t="s">
        <v>2990</v>
      </c>
      <c r="B7907" t="s">
        <v>53</v>
      </c>
      <c r="C7907" t="s">
        <v>71</v>
      </c>
      <c r="D7907" t="s">
        <v>3217</v>
      </c>
      <c r="E7907">
        <v>0</v>
      </c>
      <c r="F7907">
        <v>98.69</v>
      </c>
    </row>
    <row r="7908" spans="1:6" x14ac:dyDescent="0.25">
      <c r="A7908" t="s">
        <v>2990</v>
      </c>
      <c r="B7908" t="s">
        <v>53</v>
      </c>
      <c r="C7908" t="s">
        <v>71</v>
      </c>
      <c r="D7908" t="s">
        <v>3218</v>
      </c>
      <c r="E7908">
        <v>11.47</v>
      </c>
      <c r="F7908">
        <v>98.75</v>
      </c>
    </row>
    <row r="7909" spans="1:6" x14ac:dyDescent="0.25">
      <c r="A7909" t="s">
        <v>2990</v>
      </c>
      <c r="B7909" t="s">
        <v>53</v>
      </c>
      <c r="C7909" t="s">
        <v>71</v>
      </c>
      <c r="D7909" t="s">
        <v>3219</v>
      </c>
      <c r="E7909">
        <v>25.57</v>
      </c>
      <c r="F7909">
        <v>98.69</v>
      </c>
    </row>
    <row r="7910" spans="1:6" x14ac:dyDescent="0.25">
      <c r="A7910" t="s">
        <v>2991</v>
      </c>
      <c r="B7910" t="s">
        <v>53</v>
      </c>
      <c r="C7910" t="s">
        <v>72</v>
      </c>
      <c r="D7910" t="s">
        <v>3217</v>
      </c>
      <c r="E7910">
        <v>0</v>
      </c>
      <c r="F7910">
        <v>98.6</v>
      </c>
    </row>
    <row r="7911" spans="1:6" x14ac:dyDescent="0.25">
      <c r="A7911" t="s">
        <v>2991</v>
      </c>
      <c r="B7911" t="s">
        <v>53</v>
      </c>
      <c r="C7911" t="s">
        <v>72</v>
      </c>
      <c r="D7911" t="s">
        <v>3218</v>
      </c>
      <c r="E7911">
        <v>12.5</v>
      </c>
      <c r="F7911">
        <v>98.79</v>
      </c>
    </row>
    <row r="7912" spans="1:6" x14ac:dyDescent="0.25">
      <c r="A7912" t="s">
        <v>2991</v>
      </c>
      <c r="B7912" t="s">
        <v>53</v>
      </c>
      <c r="C7912" t="s">
        <v>72</v>
      </c>
      <c r="D7912" t="s">
        <v>3219</v>
      </c>
      <c r="E7912">
        <v>25.69</v>
      </c>
      <c r="F7912">
        <v>98.7</v>
      </c>
    </row>
    <row r="7913" spans="1:6" x14ac:dyDescent="0.25">
      <c r="A7913" t="s">
        <v>2992</v>
      </c>
      <c r="B7913" t="s">
        <v>53</v>
      </c>
      <c r="C7913" t="s">
        <v>73</v>
      </c>
      <c r="D7913" t="s">
        <v>3217</v>
      </c>
      <c r="E7913">
        <v>0</v>
      </c>
      <c r="F7913">
        <v>98.76</v>
      </c>
    </row>
    <row r="7914" spans="1:6" x14ac:dyDescent="0.25">
      <c r="A7914" t="s">
        <v>2992</v>
      </c>
      <c r="B7914" t="s">
        <v>53</v>
      </c>
      <c r="C7914" t="s">
        <v>73</v>
      </c>
      <c r="D7914" t="s">
        <v>3218</v>
      </c>
      <c r="E7914">
        <v>13.39</v>
      </c>
      <c r="F7914">
        <v>98.78</v>
      </c>
    </row>
    <row r="7915" spans="1:6" x14ac:dyDescent="0.25">
      <c r="A7915" t="s">
        <v>2992</v>
      </c>
      <c r="B7915" t="s">
        <v>53</v>
      </c>
      <c r="C7915" t="s">
        <v>73</v>
      </c>
      <c r="D7915" t="s">
        <v>3219</v>
      </c>
      <c r="E7915">
        <v>27.5</v>
      </c>
      <c r="F7915">
        <v>98.78</v>
      </c>
    </row>
    <row r="7916" spans="1:6" x14ac:dyDescent="0.25">
      <c r="A7916" t="s">
        <v>2993</v>
      </c>
      <c r="B7916" t="s">
        <v>53</v>
      </c>
      <c r="C7916" t="s">
        <v>74</v>
      </c>
      <c r="D7916" t="s">
        <v>3217</v>
      </c>
      <c r="E7916">
        <v>0</v>
      </c>
      <c r="F7916">
        <v>98.14</v>
      </c>
    </row>
    <row r="7917" spans="1:6" x14ac:dyDescent="0.25">
      <c r="A7917" t="s">
        <v>2993</v>
      </c>
      <c r="B7917" t="s">
        <v>53</v>
      </c>
      <c r="C7917" t="s">
        <v>74</v>
      </c>
      <c r="D7917" t="s">
        <v>3218</v>
      </c>
      <c r="E7917">
        <v>14.13</v>
      </c>
      <c r="F7917">
        <v>98.59</v>
      </c>
    </row>
    <row r="7918" spans="1:6" x14ac:dyDescent="0.25">
      <c r="A7918" t="s">
        <v>2993</v>
      </c>
      <c r="B7918" t="s">
        <v>53</v>
      </c>
      <c r="C7918" t="s">
        <v>74</v>
      </c>
      <c r="D7918" t="s">
        <v>3219</v>
      </c>
      <c r="E7918">
        <v>28.17</v>
      </c>
      <c r="F7918">
        <v>98.86</v>
      </c>
    </row>
    <row r="7919" spans="1:6" x14ac:dyDescent="0.25">
      <c r="A7919" t="s">
        <v>2994</v>
      </c>
      <c r="B7919" t="s">
        <v>53</v>
      </c>
      <c r="C7919" t="s">
        <v>75</v>
      </c>
      <c r="D7919" t="s">
        <v>3217</v>
      </c>
      <c r="E7919">
        <v>0</v>
      </c>
      <c r="F7919">
        <v>97.7</v>
      </c>
    </row>
    <row r="7920" spans="1:6" x14ac:dyDescent="0.25">
      <c r="A7920" t="s">
        <v>2994</v>
      </c>
      <c r="B7920" t="s">
        <v>53</v>
      </c>
      <c r="C7920" t="s">
        <v>75</v>
      </c>
      <c r="D7920" t="s">
        <v>3218</v>
      </c>
      <c r="E7920">
        <v>14.13</v>
      </c>
      <c r="F7920">
        <v>97.97</v>
      </c>
    </row>
    <row r="7921" spans="1:6" x14ac:dyDescent="0.25">
      <c r="A7921" t="s">
        <v>2994</v>
      </c>
      <c r="B7921" t="s">
        <v>53</v>
      </c>
      <c r="C7921" t="s">
        <v>75</v>
      </c>
      <c r="D7921" t="s">
        <v>3219</v>
      </c>
      <c r="E7921">
        <v>26.19</v>
      </c>
      <c r="F7921">
        <v>98.29</v>
      </c>
    </row>
    <row r="7922" spans="1:6" x14ac:dyDescent="0.25">
      <c r="A7922" t="s">
        <v>2995</v>
      </c>
      <c r="B7922" t="s">
        <v>53</v>
      </c>
      <c r="C7922" t="s">
        <v>76</v>
      </c>
      <c r="D7922" t="s">
        <v>3217</v>
      </c>
      <c r="E7922">
        <v>0</v>
      </c>
      <c r="F7922">
        <v>97.11</v>
      </c>
    </row>
    <row r="7923" spans="1:6" x14ac:dyDescent="0.25">
      <c r="A7923" t="s">
        <v>2995</v>
      </c>
      <c r="B7923" t="s">
        <v>53</v>
      </c>
      <c r="C7923" t="s">
        <v>76</v>
      </c>
      <c r="D7923" t="s">
        <v>3218</v>
      </c>
      <c r="E7923">
        <v>15.43</v>
      </c>
      <c r="F7923">
        <v>97.45</v>
      </c>
    </row>
    <row r="7924" spans="1:6" x14ac:dyDescent="0.25">
      <c r="A7924" t="s">
        <v>2995</v>
      </c>
      <c r="B7924" t="s">
        <v>53</v>
      </c>
      <c r="C7924" t="s">
        <v>76</v>
      </c>
      <c r="D7924" t="s">
        <v>3219</v>
      </c>
      <c r="E7924">
        <v>26.39</v>
      </c>
      <c r="F7924">
        <v>97.62</v>
      </c>
    </row>
    <row r="7925" spans="1:6" x14ac:dyDescent="0.25">
      <c r="A7925" t="s">
        <v>2996</v>
      </c>
      <c r="B7925" t="s">
        <v>53</v>
      </c>
      <c r="C7925" t="s">
        <v>77</v>
      </c>
      <c r="D7925" t="s">
        <v>3217</v>
      </c>
      <c r="E7925">
        <v>0</v>
      </c>
      <c r="F7925">
        <v>96.68</v>
      </c>
    </row>
    <row r="7926" spans="1:6" x14ac:dyDescent="0.25">
      <c r="A7926" t="s">
        <v>2996</v>
      </c>
      <c r="B7926" t="s">
        <v>53</v>
      </c>
      <c r="C7926" t="s">
        <v>77</v>
      </c>
      <c r="D7926" t="s">
        <v>3218</v>
      </c>
      <c r="E7926">
        <v>16.41</v>
      </c>
      <c r="F7926">
        <v>97.16</v>
      </c>
    </row>
    <row r="7927" spans="1:6" x14ac:dyDescent="0.25">
      <c r="A7927" t="s">
        <v>2996</v>
      </c>
      <c r="B7927" t="s">
        <v>53</v>
      </c>
      <c r="C7927" t="s">
        <v>77</v>
      </c>
      <c r="D7927" t="s">
        <v>3219</v>
      </c>
      <c r="E7927">
        <v>27.61</v>
      </c>
      <c r="F7927">
        <v>97.45</v>
      </c>
    </row>
    <row r="7928" spans="1:6" x14ac:dyDescent="0.25">
      <c r="A7928" t="s">
        <v>2997</v>
      </c>
      <c r="B7928" t="s">
        <v>53</v>
      </c>
      <c r="C7928" t="s">
        <v>78</v>
      </c>
      <c r="D7928" t="s">
        <v>3217</v>
      </c>
      <c r="E7928">
        <v>0</v>
      </c>
      <c r="F7928">
        <v>96.75</v>
      </c>
    </row>
    <row r="7929" spans="1:6" x14ac:dyDescent="0.25">
      <c r="A7929" t="s">
        <v>2997</v>
      </c>
      <c r="B7929" t="s">
        <v>53</v>
      </c>
      <c r="C7929" t="s">
        <v>78</v>
      </c>
      <c r="D7929" t="s">
        <v>3218</v>
      </c>
      <c r="E7929">
        <v>16.829999999999998</v>
      </c>
      <c r="F7929">
        <v>97.46</v>
      </c>
    </row>
    <row r="7930" spans="1:6" x14ac:dyDescent="0.25">
      <c r="A7930" t="s">
        <v>2997</v>
      </c>
      <c r="B7930" t="s">
        <v>53</v>
      </c>
      <c r="C7930" t="s">
        <v>78</v>
      </c>
      <c r="D7930" t="s">
        <v>3219</v>
      </c>
      <c r="E7930">
        <v>28.82</v>
      </c>
      <c r="F7930">
        <v>97.49</v>
      </c>
    </row>
    <row r="7931" spans="1:6" x14ac:dyDescent="0.25">
      <c r="A7931" t="s">
        <v>2998</v>
      </c>
      <c r="B7931" t="s">
        <v>53</v>
      </c>
      <c r="C7931" t="s">
        <v>79</v>
      </c>
      <c r="D7931" t="s">
        <v>3217</v>
      </c>
      <c r="E7931">
        <v>0</v>
      </c>
      <c r="F7931">
        <v>96.94</v>
      </c>
    </row>
    <row r="7932" spans="1:6" x14ac:dyDescent="0.25">
      <c r="A7932" t="s">
        <v>2998</v>
      </c>
      <c r="B7932" t="s">
        <v>53</v>
      </c>
      <c r="C7932" t="s">
        <v>79</v>
      </c>
      <c r="D7932" t="s">
        <v>3218</v>
      </c>
      <c r="E7932">
        <v>18.23</v>
      </c>
      <c r="F7932">
        <v>97.37</v>
      </c>
    </row>
    <row r="7933" spans="1:6" x14ac:dyDescent="0.25">
      <c r="A7933" t="s">
        <v>2998</v>
      </c>
      <c r="B7933" t="s">
        <v>53</v>
      </c>
      <c r="C7933" t="s">
        <v>79</v>
      </c>
      <c r="D7933" t="s">
        <v>3219</v>
      </c>
      <c r="E7933">
        <v>32.32</v>
      </c>
      <c r="F7933">
        <v>97.58</v>
      </c>
    </row>
    <row r="7934" spans="1:6" x14ac:dyDescent="0.25">
      <c r="A7934" t="s">
        <v>2999</v>
      </c>
      <c r="B7934" t="s">
        <v>53</v>
      </c>
      <c r="C7934" t="s">
        <v>80</v>
      </c>
      <c r="D7934" t="s">
        <v>3217</v>
      </c>
      <c r="E7934">
        <v>0</v>
      </c>
      <c r="F7934">
        <v>97.21</v>
      </c>
    </row>
    <row r="7935" spans="1:6" x14ac:dyDescent="0.25">
      <c r="A7935" t="s">
        <v>2999</v>
      </c>
      <c r="B7935" t="s">
        <v>53</v>
      </c>
      <c r="C7935" t="s">
        <v>80</v>
      </c>
      <c r="D7935" t="s">
        <v>3218</v>
      </c>
      <c r="E7935">
        <v>18.23</v>
      </c>
      <c r="F7935">
        <v>97.37</v>
      </c>
    </row>
    <row r="7936" spans="1:6" x14ac:dyDescent="0.25">
      <c r="A7936" t="s">
        <v>2999</v>
      </c>
      <c r="B7936" t="s">
        <v>53</v>
      </c>
      <c r="C7936" t="s">
        <v>80</v>
      </c>
      <c r="D7936" t="s">
        <v>3219</v>
      </c>
      <c r="E7936">
        <v>34.82</v>
      </c>
      <c r="F7936">
        <v>97.75</v>
      </c>
    </row>
    <row r="7937" spans="1:6" x14ac:dyDescent="0.25">
      <c r="A7937" t="s">
        <v>3000</v>
      </c>
      <c r="B7937" t="s">
        <v>53</v>
      </c>
      <c r="C7937" t="s">
        <v>81</v>
      </c>
      <c r="D7937" t="s">
        <v>3217</v>
      </c>
      <c r="E7937">
        <v>0</v>
      </c>
      <c r="F7937">
        <v>97.23</v>
      </c>
    </row>
    <row r="7938" spans="1:6" x14ac:dyDescent="0.25">
      <c r="A7938" t="s">
        <v>3000</v>
      </c>
      <c r="B7938" t="s">
        <v>53</v>
      </c>
      <c r="C7938" t="s">
        <v>81</v>
      </c>
      <c r="D7938" t="s">
        <v>3218</v>
      </c>
      <c r="E7938">
        <v>18.23</v>
      </c>
      <c r="F7938">
        <v>97.48</v>
      </c>
    </row>
    <row r="7939" spans="1:6" x14ac:dyDescent="0.25">
      <c r="A7939" t="s">
        <v>3000</v>
      </c>
      <c r="B7939" t="s">
        <v>53</v>
      </c>
      <c r="C7939" t="s">
        <v>81</v>
      </c>
      <c r="D7939" t="s">
        <v>3219</v>
      </c>
      <c r="E7939">
        <v>38.229999999999997</v>
      </c>
      <c r="F7939">
        <v>97.64</v>
      </c>
    </row>
    <row r="7940" spans="1:6" x14ac:dyDescent="0.25">
      <c r="A7940" t="s">
        <v>3001</v>
      </c>
      <c r="B7940" t="s">
        <v>53</v>
      </c>
      <c r="C7940" t="s">
        <v>82</v>
      </c>
      <c r="D7940" t="s">
        <v>3217</v>
      </c>
      <c r="E7940">
        <v>0</v>
      </c>
      <c r="F7940">
        <v>97.94</v>
      </c>
    </row>
    <row r="7941" spans="1:6" x14ac:dyDescent="0.25">
      <c r="A7941" t="s">
        <v>3001</v>
      </c>
      <c r="B7941" t="s">
        <v>53</v>
      </c>
      <c r="C7941" t="s">
        <v>82</v>
      </c>
      <c r="D7941" t="s">
        <v>3218</v>
      </c>
      <c r="E7941">
        <v>18.23</v>
      </c>
      <c r="F7941">
        <v>97.3</v>
      </c>
    </row>
    <row r="7942" spans="1:6" x14ac:dyDescent="0.25">
      <c r="A7942" t="s">
        <v>3001</v>
      </c>
      <c r="B7942" t="s">
        <v>53</v>
      </c>
      <c r="C7942" t="s">
        <v>82</v>
      </c>
      <c r="D7942" t="s">
        <v>3219</v>
      </c>
      <c r="E7942">
        <v>38.229999999999997</v>
      </c>
      <c r="F7942">
        <v>97.74</v>
      </c>
    </row>
    <row r="7943" spans="1:6" x14ac:dyDescent="0.25">
      <c r="A7943" t="s">
        <v>3002</v>
      </c>
      <c r="B7943" t="s">
        <v>53</v>
      </c>
      <c r="C7943" t="s">
        <v>83</v>
      </c>
      <c r="D7943" t="s">
        <v>3217</v>
      </c>
      <c r="E7943">
        <v>0</v>
      </c>
      <c r="F7943">
        <v>96.66</v>
      </c>
    </row>
    <row r="7944" spans="1:6" x14ac:dyDescent="0.25">
      <c r="A7944" t="s">
        <v>3002</v>
      </c>
      <c r="B7944" t="s">
        <v>53</v>
      </c>
      <c r="C7944" t="s">
        <v>83</v>
      </c>
      <c r="D7944" t="s">
        <v>3218</v>
      </c>
      <c r="E7944">
        <v>18</v>
      </c>
      <c r="F7944">
        <v>97.26</v>
      </c>
    </row>
    <row r="7945" spans="1:6" x14ac:dyDescent="0.25">
      <c r="A7945" t="s">
        <v>3002</v>
      </c>
      <c r="B7945" t="s">
        <v>53</v>
      </c>
      <c r="C7945" t="s">
        <v>83</v>
      </c>
      <c r="D7945" t="s">
        <v>3219</v>
      </c>
      <c r="E7945">
        <v>38</v>
      </c>
      <c r="F7945">
        <v>97.86</v>
      </c>
    </row>
    <row r="7946" spans="1:6" x14ac:dyDescent="0.25">
      <c r="A7946" t="s">
        <v>3003</v>
      </c>
      <c r="B7946" t="s">
        <v>53</v>
      </c>
      <c r="C7946" t="s">
        <v>84</v>
      </c>
      <c r="D7946" t="s">
        <v>3217</v>
      </c>
      <c r="E7946">
        <v>0</v>
      </c>
      <c r="F7946">
        <v>96.71</v>
      </c>
    </row>
    <row r="7947" spans="1:6" x14ac:dyDescent="0.25">
      <c r="A7947" t="s">
        <v>3003</v>
      </c>
      <c r="B7947" t="s">
        <v>53</v>
      </c>
      <c r="C7947" t="s">
        <v>84</v>
      </c>
      <c r="D7947" t="s">
        <v>3218</v>
      </c>
      <c r="E7947">
        <v>20</v>
      </c>
      <c r="F7947">
        <v>97.23</v>
      </c>
    </row>
    <row r="7948" spans="1:6" x14ac:dyDescent="0.25">
      <c r="A7948" t="s">
        <v>3003</v>
      </c>
      <c r="B7948" t="s">
        <v>53</v>
      </c>
      <c r="C7948" t="s">
        <v>84</v>
      </c>
      <c r="D7948" t="s">
        <v>3219</v>
      </c>
      <c r="E7948">
        <v>33.42</v>
      </c>
      <c r="F7948">
        <v>97.37</v>
      </c>
    </row>
    <row r="7949" spans="1:6" x14ac:dyDescent="0.25">
      <c r="A7949" t="s">
        <v>3004</v>
      </c>
      <c r="B7949" t="s">
        <v>53</v>
      </c>
      <c r="C7949" t="s">
        <v>85</v>
      </c>
      <c r="D7949" t="s">
        <v>3217</v>
      </c>
      <c r="E7949">
        <v>0</v>
      </c>
      <c r="F7949">
        <v>96.56</v>
      </c>
    </row>
    <row r="7950" spans="1:6" x14ac:dyDescent="0.25">
      <c r="A7950" t="s">
        <v>3004</v>
      </c>
      <c r="B7950" t="s">
        <v>53</v>
      </c>
      <c r="C7950" t="s">
        <v>85</v>
      </c>
      <c r="D7950" t="s">
        <v>3218</v>
      </c>
      <c r="E7950">
        <v>20</v>
      </c>
      <c r="F7950">
        <v>97.03</v>
      </c>
    </row>
    <row r="7951" spans="1:6" x14ac:dyDescent="0.25">
      <c r="A7951" t="s">
        <v>3004</v>
      </c>
      <c r="B7951" t="s">
        <v>53</v>
      </c>
      <c r="C7951" t="s">
        <v>85</v>
      </c>
      <c r="D7951" t="s">
        <v>3219</v>
      </c>
      <c r="E7951">
        <v>32.549999999999997</v>
      </c>
      <c r="F7951">
        <v>97.35</v>
      </c>
    </row>
    <row r="7952" spans="1:6" x14ac:dyDescent="0.25">
      <c r="A7952" t="s">
        <v>3005</v>
      </c>
      <c r="B7952" t="s">
        <v>53</v>
      </c>
      <c r="C7952" t="s">
        <v>86</v>
      </c>
      <c r="D7952" t="s">
        <v>3217</v>
      </c>
      <c r="E7952">
        <v>0</v>
      </c>
      <c r="F7952">
        <v>96.3</v>
      </c>
    </row>
    <row r="7953" spans="1:6" x14ac:dyDescent="0.25">
      <c r="A7953" t="s">
        <v>3005</v>
      </c>
      <c r="B7953" t="s">
        <v>53</v>
      </c>
      <c r="C7953" t="s">
        <v>86</v>
      </c>
      <c r="D7953" t="s">
        <v>3218</v>
      </c>
      <c r="E7953">
        <v>20</v>
      </c>
      <c r="F7953">
        <v>96.79</v>
      </c>
    </row>
    <row r="7954" spans="1:6" x14ac:dyDescent="0.25">
      <c r="A7954" t="s">
        <v>3005</v>
      </c>
      <c r="B7954" t="s">
        <v>53</v>
      </c>
      <c r="C7954" t="s">
        <v>86</v>
      </c>
      <c r="D7954" t="s">
        <v>3219</v>
      </c>
      <c r="E7954">
        <v>32.130000000000003</v>
      </c>
      <c r="F7954">
        <v>97.27</v>
      </c>
    </row>
    <row r="7955" spans="1:6" x14ac:dyDescent="0.25">
      <c r="A7955" t="s">
        <v>3006</v>
      </c>
      <c r="B7955" t="s">
        <v>53</v>
      </c>
      <c r="C7955" t="s">
        <v>87</v>
      </c>
      <c r="D7955" t="s">
        <v>3217</v>
      </c>
      <c r="E7955">
        <v>0</v>
      </c>
      <c r="F7955">
        <v>96.37</v>
      </c>
    </row>
    <row r="7956" spans="1:6" x14ac:dyDescent="0.25">
      <c r="A7956" t="s">
        <v>3006</v>
      </c>
      <c r="B7956" t="s">
        <v>53</v>
      </c>
      <c r="C7956" t="s">
        <v>87</v>
      </c>
      <c r="D7956" t="s">
        <v>3218</v>
      </c>
      <c r="E7956">
        <v>20</v>
      </c>
      <c r="F7956">
        <v>96.81</v>
      </c>
    </row>
    <row r="7957" spans="1:6" x14ac:dyDescent="0.25">
      <c r="A7957" t="s">
        <v>3006</v>
      </c>
      <c r="B7957" t="s">
        <v>53</v>
      </c>
      <c r="C7957" t="s">
        <v>87</v>
      </c>
      <c r="D7957" t="s">
        <v>3219</v>
      </c>
      <c r="E7957">
        <v>30.93</v>
      </c>
      <c r="F7957">
        <v>97.22</v>
      </c>
    </row>
    <row r="7958" spans="1:6" x14ac:dyDescent="0.25">
      <c r="A7958" t="s">
        <v>3007</v>
      </c>
      <c r="B7958" t="s">
        <v>53</v>
      </c>
      <c r="C7958" t="s">
        <v>88</v>
      </c>
      <c r="D7958" t="s">
        <v>3217</v>
      </c>
      <c r="E7958">
        <v>0</v>
      </c>
      <c r="F7958">
        <v>96.21</v>
      </c>
    </row>
    <row r="7959" spans="1:6" x14ac:dyDescent="0.25">
      <c r="A7959" t="s">
        <v>3007</v>
      </c>
      <c r="B7959" t="s">
        <v>53</v>
      </c>
      <c r="C7959" t="s">
        <v>88</v>
      </c>
      <c r="D7959" t="s">
        <v>3218</v>
      </c>
      <c r="E7959">
        <v>20</v>
      </c>
      <c r="F7959">
        <v>96.55</v>
      </c>
    </row>
    <row r="7960" spans="1:6" x14ac:dyDescent="0.25">
      <c r="A7960" t="s">
        <v>3007</v>
      </c>
      <c r="B7960" t="s">
        <v>53</v>
      </c>
      <c r="C7960" t="s">
        <v>88</v>
      </c>
      <c r="D7960" t="s">
        <v>3219</v>
      </c>
      <c r="E7960">
        <v>30.93</v>
      </c>
      <c r="F7960">
        <v>96.82</v>
      </c>
    </row>
    <row r="7961" spans="1:6" x14ac:dyDescent="0.25">
      <c r="A7961" t="s">
        <v>3008</v>
      </c>
      <c r="B7961" t="s">
        <v>53</v>
      </c>
      <c r="C7961" t="s">
        <v>89</v>
      </c>
      <c r="D7961" t="s">
        <v>3217</v>
      </c>
      <c r="E7961">
        <v>0</v>
      </c>
      <c r="F7961">
        <v>96.16</v>
      </c>
    </row>
    <row r="7962" spans="1:6" x14ac:dyDescent="0.25">
      <c r="A7962" t="s">
        <v>3008</v>
      </c>
      <c r="B7962" t="s">
        <v>53</v>
      </c>
      <c r="C7962" t="s">
        <v>89</v>
      </c>
      <c r="D7962" t="s">
        <v>3218</v>
      </c>
      <c r="E7962">
        <v>20</v>
      </c>
      <c r="F7962">
        <v>96.51</v>
      </c>
    </row>
    <row r="7963" spans="1:6" x14ac:dyDescent="0.25">
      <c r="A7963" t="s">
        <v>3008</v>
      </c>
      <c r="B7963" t="s">
        <v>53</v>
      </c>
      <c r="C7963" t="s">
        <v>89</v>
      </c>
      <c r="D7963" t="s">
        <v>3219</v>
      </c>
      <c r="E7963">
        <v>30.4</v>
      </c>
      <c r="F7963">
        <v>96.9</v>
      </c>
    </row>
    <row r="7964" spans="1:6" x14ac:dyDescent="0.25">
      <c r="A7964" t="s">
        <v>3009</v>
      </c>
      <c r="B7964" t="s">
        <v>53</v>
      </c>
      <c r="C7964" t="s">
        <v>90</v>
      </c>
      <c r="D7964" t="s">
        <v>3217</v>
      </c>
      <c r="E7964">
        <v>0</v>
      </c>
      <c r="F7964">
        <v>95.4</v>
      </c>
    </row>
    <row r="7965" spans="1:6" x14ac:dyDescent="0.25">
      <c r="A7965" t="s">
        <v>3009</v>
      </c>
      <c r="B7965" t="s">
        <v>53</v>
      </c>
      <c r="C7965" t="s">
        <v>90</v>
      </c>
      <c r="D7965" t="s">
        <v>3218</v>
      </c>
      <c r="E7965">
        <v>17.84</v>
      </c>
      <c r="F7965">
        <v>96.65</v>
      </c>
    </row>
    <row r="7966" spans="1:6" x14ac:dyDescent="0.25">
      <c r="A7966" t="s">
        <v>3009</v>
      </c>
      <c r="B7966" t="s">
        <v>53</v>
      </c>
      <c r="C7966" t="s">
        <v>90</v>
      </c>
      <c r="D7966" t="s">
        <v>3219</v>
      </c>
      <c r="E7966">
        <v>29.5</v>
      </c>
      <c r="F7966">
        <v>96.91</v>
      </c>
    </row>
    <row r="7967" spans="1:6" x14ac:dyDescent="0.25">
      <c r="A7967" t="s">
        <v>3010</v>
      </c>
      <c r="B7967" t="s">
        <v>53</v>
      </c>
      <c r="C7967" t="s">
        <v>91</v>
      </c>
      <c r="D7967" t="s">
        <v>3217</v>
      </c>
      <c r="E7967">
        <v>0</v>
      </c>
      <c r="F7967">
        <v>96.37</v>
      </c>
    </row>
    <row r="7968" spans="1:6" x14ac:dyDescent="0.25">
      <c r="A7968" t="s">
        <v>3010</v>
      </c>
      <c r="B7968" t="s">
        <v>53</v>
      </c>
      <c r="C7968" t="s">
        <v>91</v>
      </c>
      <c r="D7968" t="s">
        <v>3218</v>
      </c>
      <c r="E7968">
        <v>17.84</v>
      </c>
      <c r="F7968">
        <v>96.72</v>
      </c>
    </row>
    <row r="7969" spans="1:6" x14ac:dyDescent="0.25">
      <c r="A7969" t="s">
        <v>3010</v>
      </c>
      <c r="B7969" t="s">
        <v>53</v>
      </c>
      <c r="C7969" t="s">
        <v>91</v>
      </c>
      <c r="D7969" t="s">
        <v>3219</v>
      </c>
      <c r="E7969">
        <v>30.53</v>
      </c>
      <c r="F7969">
        <v>97.01</v>
      </c>
    </row>
    <row r="7970" spans="1:6" x14ac:dyDescent="0.25">
      <c r="A7970" t="s">
        <v>3011</v>
      </c>
      <c r="B7970" t="s">
        <v>53</v>
      </c>
      <c r="C7970" t="s">
        <v>92</v>
      </c>
      <c r="D7970" t="s">
        <v>3217</v>
      </c>
      <c r="E7970">
        <v>0</v>
      </c>
      <c r="F7970">
        <v>95.82</v>
      </c>
    </row>
    <row r="7971" spans="1:6" x14ac:dyDescent="0.25">
      <c r="A7971" t="s">
        <v>3011</v>
      </c>
      <c r="B7971" t="s">
        <v>53</v>
      </c>
      <c r="C7971" t="s">
        <v>92</v>
      </c>
      <c r="D7971" t="s">
        <v>3218</v>
      </c>
      <c r="E7971">
        <v>15.16</v>
      </c>
      <c r="F7971">
        <v>96.56</v>
      </c>
    </row>
    <row r="7972" spans="1:6" x14ac:dyDescent="0.25">
      <c r="A7972" t="s">
        <v>3011</v>
      </c>
      <c r="B7972" t="s">
        <v>53</v>
      </c>
      <c r="C7972" t="s">
        <v>92</v>
      </c>
      <c r="D7972" t="s">
        <v>3219</v>
      </c>
      <c r="E7972">
        <v>28.04</v>
      </c>
      <c r="F7972">
        <v>96.83</v>
      </c>
    </row>
    <row r="7973" spans="1:6" x14ac:dyDescent="0.25">
      <c r="A7973" t="s">
        <v>3012</v>
      </c>
      <c r="B7973" t="s">
        <v>53</v>
      </c>
      <c r="C7973" t="s">
        <v>93</v>
      </c>
      <c r="D7973" t="s">
        <v>3217</v>
      </c>
      <c r="E7973">
        <v>0</v>
      </c>
      <c r="F7973">
        <v>95.68</v>
      </c>
    </row>
    <row r="7974" spans="1:6" x14ac:dyDescent="0.25">
      <c r="A7974" t="s">
        <v>3012</v>
      </c>
      <c r="B7974" t="s">
        <v>53</v>
      </c>
      <c r="C7974" t="s">
        <v>93</v>
      </c>
      <c r="D7974" t="s">
        <v>3218</v>
      </c>
      <c r="E7974">
        <v>15.16</v>
      </c>
      <c r="F7974">
        <v>96.3</v>
      </c>
    </row>
    <row r="7975" spans="1:6" x14ac:dyDescent="0.25">
      <c r="A7975" t="s">
        <v>3012</v>
      </c>
      <c r="B7975" t="s">
        <v>53</v>
      </c>
      <c r="C7975" t="s">
        <v>93</v>
      </c>
      <c r="D7975" t="s">
        <v>3219</v>
      </c>
      <c r="E7975">
        <v>28.04</v>
      </c>
      <c r="F7975">
        <v>96.73</v>
      </c>
    </row>
    <row r="7976" spans="1:6" x14ac:dyDescent="0.25">
      <c r="A7976" t="s">
        <v>3013</v>
      </c>
      <c r="B7976" t="s">
        <v>53</v>
      </c>
      <c r="C7976" t="s">
        <v>94</v>
      </c>
      <c r="D7976" t="s">
        <v>3217</v>
      </c>
      <c r="E7976">
        <v>0</v>
      </c>
      <c r="F7976">
        <v>95.93</v>
      </c>
    </row>
    <row r="7977" spans="1:6" x14ac:dyDescent="0.25">
      <c r="A7977" t="s">
        <v>3013</v>
      </c>
      <c r="B7977" t="s">
        <v>53</v>
      </c>
      <c r="C7977" t="s">
        <v>94</v>
      </c>
      <c r="D7977" t="s">
        <v>3218</v>
      </c>
      <c r="E7977">
        <v>14.45</v>
      </c>
      <c r="F7977">
        <v>96.43</v>
      </c>
    </row>
    <row r="7978" spans="1:6" x14ac:dyDescent="0.25">
      <c r="A7978" t="s">
        <v>3013</v>
      </c>
      <c r="B7978" t="s">
        <v>53</v>
      </c>
      <c r="C7978" t="s">
        <v>94</v>
      </c>
      <c r="D7978" t="s">
        <v>3219</v>
      </c>
      <c r="E7978">
        <v>28.43</v>
      </c>
      <c r="F7978">
        <v>96.84</v>
      </c>
    </row>
    <row r="7979" spans="1:6" x14ac:dyDescent="0.25">
      <c r="A7979" t="s">
        <v>3014</v>
      </c>
      <c r="B7979" t="s">
        <v>53</v>
      </c>
      <c r="C7979" t="s">
        <v>95</v>
      </c>
      <c r="D7979" t="s">
        <v>3217</v>
      </c>
      <c r="E7979">
        <v>0</v>
      </c>
      <c r="F7979">
        <v>96.37</v>
      </c>
    </row>
    <row r="7980" spans="1:6" x14ac:dyDescent="0.25">
      <c r="A7980" t="s">
        <v>3014</v>
      </c>
      <c r="B7980" t="s">
        <v>53</v>
      </c>
      <c r="C7980" t="s">
        <v>95</v>
      </c>
      <c r="D7980" t="s">
        <v>3218</v>
      </c>
      <c r="E7980">
        <v>14.48</v>
      </c>
      <c r="F7980">
        <v>96.84</v>
      </c>
    </row>
    <row r="7981" spans="1:6" x14ac:dyDescent="0.25">
      <c r="A7981" t="s">
        <v>3014</v>
      </c>
      <c r="B7981" t="s">
        <v>53</v>
      </c>
      <c r="C7981" t="s">
        <v>95</v>
      </c>
      <c r="D7981" t="s">
        <v>3219</v>
      </c>
      <c r="E7981">
        <v>29.04</v>
      </c>
      <c r="F7981">
        <v>97.25</v>
      </c>
    </row>
    <row r="7982" spans="1:6" x14ac:dyDescent="0.25">
      <c r="A7982" t="s">
        <v>3015</v>
      </c>
      <c r="B7982" t="s">
        <v>53</v>
      </c>
      <c r="C7982" t="s">
        <v>96</v>
      </c>
      <c r="D7982" t="s">
        <v>3217</v>
      </c>
      <c r="E7982">
        <v>0</v>
      </c>
      <c r="F7982">
        <v>96.45</v>
      </c>
    </row>
    <row r="7983" spans="1:6" x14ac:dyDescent="0.25">
      <c r="A7983" t="s">
        <v>3015</v>
      </c>
      <c r="B7983" t="s">
        <v>53</v>
      </c>
      <c r="C7983" t="s">
        <v>96</v>
      </c>
      <c r="D7983" t="s">
        <v>3218</v>
      </c>
      <c r="E7983">
        <v>14.67</v>
      </c>
      <c r="F7983">
        <v>97.16</v>
      </c>
    </row>
    <row r="7984" spans="1:6" x14ac:dyDescent="0.25">
      <c r="A7984" t="s">
        <v>3015</v>
      </c>
      <c r="B7984" t="s">
        <v>53</v>
      </c>
      <c r="C7984" t="s">
        <v>96</v>
      </c>
      <c r="D7984" t="s">
        <v>3219</v>
      </c>
      <c r="E7984">
        <v>28.03</v>
      </c>
      <c r="F7984">
        <v>97.7</v>
      </c>
    </row>
    <row r="7985" spans="1:6" x14ac:dyDescent="0.25">
      <c r="A7985" t="s">
        <v>3016</v>
      </c>
      <c r="B7985" t="s">
        <v>53</v>
      </c>
      <c r="C7985" t="s">
        <v>97</v>
      </c>
      <c r="D7985" t="s">
        <v>3217</v>
      </c>
      <c r="E7985">
        <v>0</v>
      </c>
      <c r="F7985">
        <v>96.97</v>
      </c>
    </row>
    <row r="7986" spans="1:6" x14ac:dyDescent="0.25">
      <c r="A7986" t="s">
        <v>3016</v>
      </c>
      <c r="B7986" t="s">
        <v>53</v>
      </c>
      <c r="C7986" t="s">
        <v>97</v>
      </c>
      <c r="D7986" t="s">
        <v>3218</v>
      </c>
      <c r="E7986">
        <v>14.6</v>
      </c>
      <c r="F7986">
        <v>97.77</v>
      </c>
    </row>
    <row r="7987" spans="1:6" x14ac:dyDescent="0.25">
      <c r="A7987" t="s">
        <v>3016</v>
      </c>
      <c r="B7987" t="s">
        <v>53</v>
      </c>
      <c r="C7987" t="s">
        <v>97</v>
      </c>
      <c r="D7987" t="s">
        <v>3219</v>
      </c>
      <c r="E7987">
        <v>28.2</v>
      </c>
      <c r="F7987">
        <v>98.32</v>
      </c>
    </row>
    <row r="7988" spans="1:6" x14ac:dyDescent="0.25">
      <c r="A7988" t="s">
        <v>3017</v>
      </c>
      <c r="B7988" t="s">
        <v>53</v>
      </c>
      <c r="C7988" t="s">
        <v>98</v>
      </c>
      <c r="D7988" t="s">
        <v>3217</v>
      </c>
      <c r="E7988">
        <v>0</v>
      </c>
      <c r="F7988">
        <v>97.61</v>
      </c>
    </row>
    <row r="7989" spans="1:6" x14ac:dyDescent="0.25">
      <c r="A7989" t="s">
        <v>3017</v>
      </c>
      <c r="B7989" t="s">
        <v>53</v>
      </c>
      <c r="C7989" t="s">
        <v>98</v>
      </c>
      <c r="D7989" t="s">
        <v>3218</v>
      </c>
      <c r="E7989">
        <v>15.71</v>
      </c>
      <c r="F7989">
        <v>98.16</v>
      </c>
    </row>
    <row r="7990" spans="1:6" x14ac:dyDescent="0.25">
      <c r="A7990" t="s">
        <v>3017</v>
      </c>
      <c r="B7990" t="s">
        <v>53</v>
      </c>
      <c r="C7990" t="s">
        <v>98</v>
      </c>
      <c r="D7990" t="s">
        <v>3219</v>
      </c>
      <c r="E7990">
        <v>33.82</v>
      </c>
      <c r="F7990">
        <v>98.78</v>
      </c>
    </row>
    <row r="7991" spans="1:6" x14ac:dyDescent="0.25">
      <c r="A7991" t="s">
        <v>3018</v>
      </c>
      <c r="B7991" t="s">
        <v>53</v>
      </c>
      <c r="C7991" t="s">
        <v>99</v>
      </c>
      <c r="D7991" t="s">
        <v>3217</v>
      </c>
      <c r="E7991">
        <v>0</v>
      </c>
      <c r="F7991">
        <v>97.59</v>
      </c>
    </row>
    <row r="7992" spans="1:6" x14ac:dyDescent="0.25">
      <c r="A7992" t="s">
        <v>3018</v>
      </c>
      <c r="B7992" t="s">
        <v>53</v>
      </c>
      <c r="C7992" t="s">
        <v>99</v>
      </c>
      <c r="D7992" t="s">
        <v>3218</v>
      </c>
      <c r="E7992">
        <v>15.68</v>
      </c>
      <c r="F7992">
        <v>97.84</v>
      </c>
    </row>
    <row r="7993" spans="1:6" x14ac:dyDescent="0.25">
      <c r="A7993" t="s">
        <v>3018</v>
      </c>
      <c r="B7993" t="s">
        <v>53</v>
      </c>
      <c r="C7993" t="s">
        <v>99</v>
      </c>
      <c r="D7993" t="s">
        <v>3219</v>
      </c>
      <c r="E7993">
        <v>32.79</v>
      </c>
      <c r="F7993">
        <v>98.94</v>
      </c>
    </row>
    <row r="7994" spans="1:6" x14ac:dyDescent="0.25">
      <c r="A7994" t="s">
        <v>3019</v>
      </c>
      <c r="B7994" t="s">
        <v>53</v>
      </c>
      <c r="C7994" t="s">
        <v>100</v>
      </c>
      <c r="D7994" t="s">
        <v>3217</v>
      </c>
      <c r="E7994">
        <v>0</v>
      </c>
      <c r="F7994">
        <v>97.83</v>
      </c>
    </row>
    <row r="7995" spans="1:6" x14ac:dyDescent="0.25">
      <c r="A7995" t="s">
        <v>3019</v>
      </c>
      <c r="B7995" t="s">
        <v>53</v>
      </c>
      <c r="C7995" t="s">
        <v>100</v>
      </c>
      <c r="D7995" t="s">
        <v>3218</v>
      </c>
      <c r="E7995">
        <v>14.04</v>
      </c>
      <c r="F7995">
        <v>98</v>
      </c>
    </row>
    <row r="7996" spans="1:6" x14ac:dyDescent="0.25">
      <c r="A7996" t="s">
        <v>3019</v>
      </c>
      <c r="B7996" t="s">
        <v>53</v>
      </c>
      <c r="C7996" t="s">
        <v>100</v>
      </c>
      <c r="D7996" t="s">
        <v>3219</v>
      </c>
      <c r="E7996">
        <v>31.14</v>
      </c>
      <c r="F7996">
        <v>98.93</v>
      </c>
    </row>
    <row r="7997" spans="1:6" x14ac:dyDescent="0.25">
      <c r="A7997" t="s">
        <v>3020</v>
      </c>
      <c r="B7997" t="s">
        <v>53</v>
      </c>
      <c r="C7997" t="s">
        <v>101</v>
      </c>
      <c r="D7997" t="s">
        <v>3217</v>
      </c>
      <c r="E7997">
        <v>0</v>
      </c>
      <c r="F7997">
        <v>98.11</v>
      </c>
    </row>
    <row r="7998" spans="1:6" x14ac:dyDescent="0.25">
      <c r="A7998" t="s">
        <v>3020</v>
      </c>
      <c r="B7998" t="s">
        <v>53</v>
      </c>
      <c r="C7998" t="s">
        <v>101</v>
      </c>
      <c r="D7998" t="s">
        <v>3218</v>
      </c>
      <c r="E7998">
        <v>13.68</v>
      </c>
      <c r="F7998">
        <v>98.15</v>
      </c>
    </row>
    <row r="7999" spans="1:6" x14ac:dyDescent="0.25">
      <c r="A7999" t="s">
        <v>3020</v>
      </c>
      <c r="B7999" t="s">
        <v>53</v>
      </c>
      <c r="C7999" t="s">
        <v>101</v>
      </c>
      <c r="D7999" t="s">
        <v>3219</v>
      </c>
      <c r="E7999">
        <v>27.03</v>
      </c>
      <c r="F7999">
        <v>98.61</v>
      </c>
    </row>
    <row r="8000" spans="1:6" x14ac:dyDescent="0.25">
      <c r="A8000" t="s">
        <v>3021</v>
      </c>
      <c r="B8000" t="s">
        <v>53</v>
      </c>
      <c r="C8000" t="s">
        <v>102</v>
      </c>
      <c r="D8000" t="s">
        <v>3217</v>
      </c>
      <c r="E8000">
        <v>0</v>
      </c>
      <c r="F8000">
        <v>97.68</v>
      </c>
    </row>
    <row r="8001" spans="1:6" x14ac:dyDescent="0.25">
      <c r="A8001" t="s">
        <v>3021</v>
      </c>
      <c r="B8001" t="s">
        <v>53</v>
      </c>
      <c r="C8001" t="s">
        <v>102</v>
      </c>
      <c r="D8001" t="s">
        <v>3218</v>
      </c>
      <c r="E8001">
        <v>15.03</v>
      </c>
      <c r="F8001">
        <v>98.26</v>
      </c>
    </row>
    <row r="8002" spans="1:6" x14ac:dyDescent="0.25">
      <c r="A8002" t="s">
        <v>3021</v>
      </c>
      <c r="B8002" t="s">
        <v>53</v>
      </c>
      <c r="C8002" t="s">
        <v>102</v>
      </c>
      <c r="D8002" t="s">
        <v>3219</v>
      </c>
      <c r="E8002">
        <v>28.86</v>
      </c>
      <c r="F8002">
        <v>98.44</v>
      </c>
    </row>
    <row r="8003" spans="1:6" x14ac:dyDescent="0.25">
      <c r="A8003" t="s">
        <v>3022</v>
      </c>
      <c r="B8003" t="s">
        <v>53</v>
      </c>
      <c r="C8003" t="s">
        <v>103</v>
      </c>
      <c r="D8003" t="s">
        <v>3217</v>
      </c>
      <c r="E8003">
        <v>0</v>
      </c>
      <c r="F8003">
        <v>97.53</v>
      </c>
    </row>
    <row r="8004" spans="1:6" x14ac:dyDescent="0.25">
      <c r="A8004" t="s">
        <v>3022</v>
      </c>
      <c r="B8004" t="s">
        <v>53</v>
      </c>
      <c r="C8004" t="s">
        <v>103</v>
      </c>
      <c r="D8004" t="s">
        <v>3218</v>
      </c>
      <c r="E8004">
        <v>12.9</v>
      </c>
      <c r="F8004">
        <v>97.68</v>
      </c>
    </row>
    <row r="8005" spans="1:6" x14ac:dyDescent="0.25">
      <c r="A8005" t="s">
        <v>3022</v>
      </c>
      <c r="B8005" t="s">
        <v>53</v>
      </c>
      <c r="C8005" t="s">
        <v>103</v>
      </c>
      <c r="D8005" t="s">
        <v>3219</v>
      </c>
      <c r="E8005">
        <v>25.08</v>
      </c>
      <c r="F8005">
        <v>97.82</v>
      </c>
    </row>
    <row r="8006" spans="1:6" x14ac:dyDescent="0.25">
      <c r="A8006" t="s">
        <v>3023</v>
      </c>
      <c r="B8006" t="s">
        <v>53</v>
      </c>
      <c r="C8006" t="s">
        <v>104</v>
      </c>
      <c r="D8006" t="s">
        <v>3217</v>
      </c>
      <c r="E8006">
        <v>0</v>
      </c>
      <c r="F8006">
        <v>97.15</v>
      </c>
    </row>
    <row r="8007" spans="1:6" x14ac:dyDescent="0.25">
      <c r="A8007" t="s">
        <v>3023</v>
      </c>
      <c r="B8007" t="s">
        <v>53</v>
      </c>
      <c r="C8007" t="s">
        <v>104</v>
      </c>
      <c r="D8007" t="s">
        <v>3218</v>
      </c>
      <c r="E8007">
        <v>13.2</v>
      </c>
      <c r="F8007">
        <v>97.57</v>
      </c>
    </row>
    <row r="8008" spans="1:6" x14ac:dyDescent="0.25">
      <c r="A8008" t="s">
        <v>3023</v>
      </c>
      <c r="B8008" t="s">
        <v>53</v>
      </c>
      <c r="C8008" t="s">
        <v>104</v>
      </c>
      <c r="D8008" t="s">
        <v>3219</v>
      </c>
      <c r="E8008">
        <v>24.31</v>
      </c>
      <c r="F8008">
        <v>97.61</v>
      </c>
    </row>
    <row r="8009" spans="1:6" x14ac:dyDescent="0.25">
      <c r="A8009" t="s">
        <v>3024</v>
      </c>
      <c r="B8009" t="s">
        <v>53</v>
      </c>
      <c r="C8009" t="s">
        <v>105</v>
      </c>
      <c r="D8009" t="s">
        <v>3217</v>
      </c>
      <c r="E8009">
        <v>0</v>
      </c>
      <c r="F8009">
        <v>97.4</v>
      </c>
    </row>
    <row r="8010" spans="1:6" x14ac:dyDescent="0.25">
      <c r="A8010" t="s">
        <v>3024</v>
      </c>
      <c r="B8010" t="s">
        <v>53</v>
      </c>
      <c r="C8010" t="s">
        <v>105</v>
      </c>
      <c r="D8010" t="s">
        <v>3218</v>
      </c>
      <c r="E8010">
        <v>13.59</v>
      </c>
      <c r="F8010">
        <v>97.48</v>
      </c>
    </row>
    <row r="8011" spans="1:6" x14ac:dyDescent="0.25">
      <c r="A8011" t="s">
        <v>3024</v>
      </c>
      <c r="B8011" t="s">
        <v>53</v>
      </c>
      <c r="C8011" t="s">
        <v>105</v>
      </c>
      <c r="D8011" t="s">
        <v>3219</v>
      </c>
      <c r="E8011">
        <v>23.42</v>
      </c>
      <c r="F8011">
        <v>97.55</v>
      </c>
    </row>
    <row r="8012" spans="1:6" x14ac:dyDescent="0.25">
      <c r="A8012" t="s">
        <v>3025</v>
      </c>
      <c r="B8012" t="s">
        <v>53</v>
      </c>
      <c r="C8012" t="s">
        <v>106</v>
      </c>
      <c r="D8012" t="s">
        <v>3217</v>
      </c>
      <c r="E8012">
        <v>0</v>
      </c>
      <c r="F8012">
        <v>97.8</v>
      </c>
    </row>
    <row r="8013" spans="1:6" x14ac:dyDescent="0.25">
      <c r="A8013" t="s">
        <v>3025</v>
      </c>
      <c r="B8013" t="s">
        <v>53</v>
      </c>
      <c r="C8013" t="s">
        <v>106</v>
      </c>
      <c r="D8013" t="s">
        <v>3218</v>
      </c>
      <c r="E8013">
        <v>13.74</v>
      </c>
      <c r="F8013">
        <v>97.73</v>
      </c>
    </row>
    <row r="8014" spans="1:6" x14ac:dyDescent="0.25">
      <c r="A8014" t="s">
        <v>3025</v>
      </c>
      <c r="B8014" t="s">
        <v>53</v>
      </c>
      <c r="C8014" t="s">
        <v>106</v>
      </c>
      <c r="D8014" t="s">
        <v>3219</v>
      </c>
      <c r="E8014">
        <v>24.86</v>
      </c>
      <c r="F8014">
        <v>97.8</v>
      </c>
    </row>
    <row r="8015" spans="1:6" x14ac:dyDescent="0.25">
      <c r="A8015" t="s">
        <v>3026</v>
      </c>
      <c r="B8015" t="s">
        <v>53</v>
      </c>
      <c r="C8015" t="s">
        <v>108</v>
      </c>
      <c r="D8015" t="s">
        <v>3217</v>
      </c>
      <c r="E8015">
        <v>0</v>
      </c>
      <c r="F8015">
        <v>97.51</v>
      </c>
    </row>
    <row r="8016" spans="1:6" x14ac:dyDescent="0.25">
      <c r="A8016" t="s">
        <v>3026</v>
      </c>
      <c r="B8016" t="s">
        <v>53</v>
      </c>
      <c r="C8016" t="s">
        <v>108</v>
      </c>
      <c r="D8016" t="s">
        <v>3218</v>
      </c>
      <c r="E8016">
        <v>13.74</v>
      </c>
      <c r="F8016">
        <v>97.73</v>
      </c>
    </row>
    <row r="8017" spans="1:6" x14ac:dyDescent="0.25">
      <c r="A8017" t="s">
        <v>3026</v>
      </c>
      <c r="B8017" t="s">
        <v>53</v>
      </c>
      <c r="C8017" t="s">
        <v>108</v>
      </c>
      <c r="D8017" t="s">
        <v>3219</v>
      </c>
      <c r="E8017">
        <v>25.9</v>
      </c>
      <c r="F8017">
        <v>97.92</v>
      </c>
    </row>
    <row r="8018" spans="1:6" x14ac:dyDescent="0.25">
      <c r="A8018" t="s">
        <v>3027</v>
      </c>
      <c r="B8018" t="s">
        <v>53</v>
      </c>
      <c r="C8018" t="s">
        <v>109</v>
      </c>
      <c r="D8018" t="s">
        <v>3217</v>
      </c>
      <c r="E8018">
        <v>0</v>
      </c>
      <c r="F8018">
        <v>97.99</v>
      </c>
    </row>
    <row r="8019" spans="1:6" x14ac:dyDescent="0.25">
      <c r="A8019" t="s">
        <v>3027</v>
      </c>
      <c r="B8019" t="s">
        <v>53</v>
      </c>
      <c r="C8019" t="s">
        <v>109</v>
      </c>
      <c r="D8019" t="s">
        <v>3218</v>
      </c>
      <c r="E8019">
        <v>14.52</v>
      </c>
      <c r="F8019">
        <v>97.96</v>
      </c>
    </row>
    <row r="8020" spans="1:6" x14ac:dyDescent="0.25">
      <c r="A8020" t="s">
        <v>3027</v>
      </c>
      <c r="B8020" t="s">
        <v>53</v>
      </c>
      <c r="C8020" t="s">
        <v>109</v>
      </c>
      <c r="D8020" t="s">
        <v>3219</v>
      </c>
      <c r="E8020">
        <v>28.03</v>
      </c>
      <c r="F8020">
        <v>98</v>
      </c>
    </row>
    <row r="8021" spans="1:6" x14ac:dyDescent="0.25">
      <c r="A8021" t="s">
        <v>3028</v>
      </c>
      <c r="B8021" t="s">
        <v>53</v>
      </c>
      <c r="C8021" t="s">
        <v>110</v>
      </c>
      <c r="D8021" t="s">
        <v>3217</v>
      </c>
      <c r="E8021">
        <v>0</v>
      </c>
      <c r="F8021">
        <v>98.02</v>
      </c>
    </row>
    <row r="8022" spans="1:6" x14ac:dyDescent="0.25">
      <c r="A8022" t="s">
        <v>3028</v>
      </c>
      <c r="B8022" t="s">
        <v>53</v>
      </c>
      <c r="C8022" t="s">
        <v>110</v>
      </c>
      <c r="D8022" t="s">
        <v>3218</v>
      </c>
      <c r="E8022">
        <v>12.4</v>
      </c>
      <c r="F8022">
        <v>97.98</v>
      </c>
    </row>
    <row r="8023" spans="1:6" x14ac:dyDescent="0.25">
      <c r="A8023" t="s">
        <v>3028</v>
      </c>
      <c r="B8023" t="s">
        <v>53</v>
      </c>
      <c r="C8023" t="s">
        <v>110</v>
      </c>
      <c r="D8023" t="s">
        <v>3219</v>
      </c>
      <c r="E8023">
        <v>27.41</v>
      </c>
      <c r="F8023">
        <v>98.17</v>
      </c>
    </row>
    <row r="8024" spans="1:6" x14ac:dyDescent="0.25">
      <c r="A8024" t="s">
        <v>3029</v>
      </c>
      <c r="B8024" t="s">
        <v>53</v>
      </c>
      <c r="C8024" t="s">
        <v>111</v>
      </c>
      <c r="D8024" t="s">
        <v>3217</v>
      </c>
      <c r="E8024">
        <v>0</v>
      </c>
      <c r="F8024">
        <v>98.14</v>
      </c>
    </row>
    <row r="8025" spans="1:6" x14ac:dyDescent="0.25">
      <c r="A8025" t="s">
        <v>3029</v>
      </c>
      <c r="B8025" t="s">
        <v>53</v>
      </c>
      <c r="C8025" t="s">
        <v>111</v>
      </c>
      <c r="D8025" t="s">
        <v>3218</v>
      </c>
      <c r="E8025">
        <v>12.18</v>
      </c>
      <c r="F8025">
        <v>98.18</v>
      </c>
    </row>
    <row r="8026" spans="1:6" x14ac:dyDescent="0.25">
      <c r="A8026" t="s">
        <v>3029</v>
      </c>
      <c r="B8026" t="s">
        <v>53</v>
      </c>
      <c r="C8026" t="s">
        <v>111</v>
      </c>
      <c r="D8026" t="s">
        <v>3219</v>
      </c>
      <c r="E8026">
        <v>26.75</v>
      </c>
      <c r="F8026">
        <v>98.54</v>
      </c>
    </row>
    <row r="8027" spans="1:6" x14ac:dyDescent="0.25">
      <c r="A8027" t="s">
        <v>3030</v>
      </c>
      <c r="B8027" t="s">
        <v>53</v>
      </c>
      <c r="C8027" t="s">
        <v>112</v>
      </c>
      <c r="D8027" t="s">
        <v>3217</v>
      </c>
      <c r="E8027">
        <v>0</v>
      </c>
      <c r="F8027">
        <v>98.02</v>
      </c>
    </row>
    <row r="8028" spans="1:6" x14ac:dyDescent="0.25">
      <c r="A8028" t="s">
        <v>3030</v>
      </c>
      <c r="B8028" t="s">
        <v>53</v>
      </c>
      <c r="C8028" t="s">
        <v>112</v>
      </c>
      <c r="D8028" t="s">
        <v>3218</v>
      </c>
      <c r="E8028">
        <v>11.23</v>
      </c>
      <c r="F8028">
        <v>98.42</v>
      </c>
    </row>
    <row r="8029" spans="1:6" x14ac:dyDescent="0.25">
      <c r="A8029" t="s">
        <v>3030</v>
      </c>
      <c r="B8029" t="s">
        <v>53</v>
      </c>
      <c r="C8029" t="s">
        <v>112</v>
      </c>
      <c r="D8029" t="s">
        <v>3219</v>
      </c>
      <c r="E8029">
        <v>24</v>
      </c>
      <c r="F8029">
        <v>98.44</v>
      </c>
    </row>
    <row r="8030" spans="1:6" x14ac:dyDescent="0.25">
      <c r="A8030" t="s">
        <v>3031</v>
      </c>
      <c r="B8030" t="s">
        <v>53</v>
      </c>
      <c r="C8030" t="s">
        <v>113</v>
      </c>
      <c r="D8030" t="s">
        <v>3217</v>
      </c>
      <c r="E8030">
        <v>0</v>
      </c>
      <c r="F8030">
        <v>97.86</v>
      </c>
    </row>
    <row r="8031" spans="1:6" x14ac:dyDescent="0.25">
      <c r="A8031" t="s">
        <v>3031</v>
      </c>
      <c r="B8031" t="s">
        <v>53</v>
      </c>
      <c r="C8031" t="s">
        <v>113</v>
      </c>
      <c r="D8031" t="s">
        <v>3218</v>
      </c>
      <c r="E8031">
        <v>14.64</v>
      </c>
      <c r="F8031">
        <v>98.09</v>
      </c>
    </row>
    <row r="8032" spans="1:6" x14ac:dyDescent="0.25">
      <c r="A8032" t="s">
        <v>3031</v>
      </c>
      <c r="B8032" t="s">
        <v>53</v>
      </c>
      <c r="C8032" t="s">
        <v>113</v>
      </c>
      <c r="D8032" t="s">
        <v>3219</v>
      </c>
      <c r="E8032">
        <v>28.37</v>
      </c>
      <c r="F8032">
        <v>98.05</v>
      </c>
    </row>
    <row r="8033" spans="1:6" x14ac:dyDescent="0.25">
      <c r="A8033" t="s">
        <v>3032</v>
      </c>
      <c r="B8033" t="s">
        <v>53</v>
      </c>
      <c r="C8033" t="s">
        <v>114</v>
      </c>
      <c r="D8033" t="s">
        <v>3217</v>
      </c>
      <c r="E8033">
        <v>0</v>
      </c>
      <c r="F8033">
        <v>97.36</v>
      </c>
    </row>
    <row r="8034" spans="1:6" x14ac:dyDescent="0.25">
      <c r="A8034" t="s">
        <v>3032</v>
      </c>
      <c r="B8034" t="s">
        <v>53</v>
      </c>
      <c r="C8034" t="s">
        <v>114</v>
      </c>
      <c r="D8034" t="s">
        <v>3218</v>
      </c>
      <c r="E8034">
        <v>16.12</v>
      </c>
      <c r="F8034">
        <v>97.87</v>
      </c>
    </row>
    <row r="8035" spans="1:6" x14ac:dyDescent="0.25">
      <c r="A8035" t="s">
        <v>3032</v>
      </c>
      <c r="B8035" t="s">
        <v>53</v>
      </c>
      <c r="C8035" t="s">
        <v>114</v>
      </c>
      <c r="D8035" t="s">
        <v>3219</v>
      </c>
      <c r="E8035">
        <v>29.86</v>
      </c>
      <c r="F8035">
        <v>97.83</v>
      </c>
    </row>
    <row r="8036" spans="1:6" x14ac:dyDescent="0.25">
      <c r="A8036" t="s">
        <v>3033</v>
      </c>
      <c r="B8036" t="s">
        <v>53</v>
      </c>
      <c r="C8036" t="s">
        <v>115</v>
      </c>
      <c r="D8036" t="s">
        <v>3217</v>
      </c>
      <c r="E8036">
        <v>0</v>
      </c>
      <c r="F8036">
        <v>97.24</v>
      </c>
    </row>
    <row r="8037" spans="1:6" x14ac:dyDescent="0.25">
      <c r="A8037" t="s">
        <v>3033</v>
      </c>
      <c r="B8037" t="s">
        <v>53</v>
      </c>
      <c r="C8037" t="s">
        <v>115</v>
      </c>
      <c r="D8037" t="s">
        <v>3218</v>
      </c>
      <c r="E8037">
        <v>14.64</v>
      </c>
      <c r="F8037">
        <v>97.76</v>
      </c>
    </row>
    <row r="8038" spans="1:6" x14ac:dyDescent="0.25">
      <c r="A8038" t="s">
        <v>3033</v>
      </c>
      <c r="B8038" t="s">
        <v>53</v>
      </c>
      <c r="C8038" t="s">
        <v>115</v>
      </c>
      <c r="D8038" t="s">
        <v>3219</v>
      </c>
      <c r="E8038">
        <v>29.2</v>
      </c>
      <c r="F8038">
        <v>97.78</v>
      </c>
    </row>
    <row r="8039" spans="1:6" x14ac:dyDescent="0.25">
      <c r="A8039" t="s">
        <v>3034</v>
      </c>
      <c r="B8039" t="s">
        <v>53</v>
      </c>
      <c r="C8039" t="s">
        <v>116</v>
      </c>
      <c r="D8039" t="s">
        <v>3217</v>
      </c>
      <c r="E8039">
        <v>0</v>
      </c>
      <c r="F8039">
        <v>97.38</v>
      </c>
    </row>
    <row r="8040" spans="1:6" x14ac:dyDescent="0.25">
      <c r="A8040" t="s">
        <v>3034</v>
      </c>
      <c r="B8040" t="s">
        <v>53</v>
      </c>
      <c r="C8040" t="s">
        <v>116</v>
      </c>
      <c r="D8040" t="s">
        <v>3218</v>
      </c>
      <c r="E8040">
        <v>13.52</v>
      </c>
      <c r="F8040">
        <v>97.66</v>
      </c>
    </row>
    <row r="8041" spans="1:6" x14ac:dyDescent="0.25">
      <c r="A8041" t="s">
        <v>3034</v>
      </c>
      <c r="B8041" t="s">
        <v>53</v>
      </c>
      <c r="C8041" t="s">
        <v>116</v>
      </c>
      <c r="D8041" t="s">
        <v>3219</v>
      </c>
      <c r="E8041">
        <v>27.36</v>
      </c>
      <c r="F8041">
        <v>97.82</v>
      </c>
    </row>
    <row r="8042" spans="1:6" x14ac:dyDescent="0.25">
      <c r="A8042" t="s">
        <v>3035</v>
      </c>
      <c r="B8042" t="s">
        <v>53</v>
      </c>
      <c r="C8042" t="s">
        <v>117</v>
      </c>
      <c r="D8042" t="s">
        <v>3217</v>
      </c>
      <c r="E8042">
        <v>0</v>
      </c>
      <c r="F8042">
        <v>97.84</v>
      </c>
    </row>
    <row r="8043" spans="1:6" x14ac:dyDescent="0.25">
      <c r="A8043" t="s">
        <v>3035</v>
      </c>
      <c r="B8043" t="s">
        <v>53</v>
      </c>
      <c r="C8043" t="s">
        <v>117</v>
      </c>
      <c r="D8043" t="s">
        <v>3218</v>
      </c>
      <c r="E8043">
        <v>13.52</v>
      </c>
      <c r="F8043">
        <v>97.85</v>
      </c>
    </row>
    <row r="8044" spans="1:6" x14ac:dyDescent="0.25">
      <c r="A8044" t="s">
        <v>3035</v>
      </c>
      <c r="B8044" t="s">
        <v>53</v>
      </c>
      <c r="C8044" t="s">
        <v>117</v>
      </c>
      <c r="D8044" t="s">
        <v>3219</v>
      </c>
      <c r="E8044">
        <v>28.12</v>
      </c>
      <c r="F8044">
        <v>98.22</v>
      </c>
    </row>
    <row r="8045" spans="1:6" x14ac:dyDescent="0.25">
      <c r="A8045" t="s">
        <v>3036</v>
      </c>
      <c r="B8045" t="s">
        <v>53</v>
      </c>
      <c r="C8045" t="s">
        <v>118</v>
      </c>
      <c r="D8045" t="s">
        <v>3217</v>
      </c>
      <c r="E8045">
        <v>0</v>
      </c>
      <c r="F8045">
        <v>98.34</v>
      </c>
    </row>
    <row r="8046" spans="1:6" x14ac:dyDescent="0.25">
      <c r="A8046" t="s">
        <v>3036</v>
      </c>
      <c r="B8046" t="s">
        <v>53</v>
      </c>
      <c r="C8046" t="s">
        <v>118</v>
      </c>
      <c r="D8046" t="s">
        <v>3218</v>
      </c>
      <c r="E8046">
        <v>13.39</v>
      </c>
      <c r="F8046">
        <v>98.39</v>
      </c>
    </row>
    <row r="8047" spans="1:6" x14ac:dyDescent="0.25">
      <c r="A8047" t="s">
        <v>3036</v>
      </c>
      <c r="B8047" t="s">
        <v>53</v>
      </c>
      <c r="C8047" t="s">
        <v>118</v>
      </c>
      <c r="D8047" t="s">
        <v>3219</v>
      </c>
      <c r="E8047">
        <v>27.93</v>
      </c>
      <c r="F8047">
        <v>98.42</v>
      </c>
    </row>
    <row r="8048" spans="1:6" x14ac:dyDescent="0.25">
      <c r="A8048" t="s">
        <v>3037</v>
      </c>
      <c r="B8048" t="s">
        <v>53</v>
      </c>
      <c r="C8048" t="s">
        <v>119</v>
      </c>
      <c r="D8048" t="s">
        <v>3217</v>
      </c>
      <c r="E8048">
        <v>0</v>
      </c>
      <c r="F8048">
        <v>98.42</v>
      </c>
    </row>
    <row r="8049" spans="1:6" x14ac:dyDescent="0.25">
      <c r="A8049" t="s">
        <v>3037</v>
      </c>
      <c r="B8049" t="s">
        <v>53</v>
      </c>
      <c r="C8049" t="s">
        <v>119</v>
      </c>
      <c r="D8049" t="s">
        <v>3218</v>
      </c>
      <c r="E8049">
        <v>13.52</v>
      </c>
      <c r="F8049">
        <v>98.75</v>
      </c>
    </row>
    <row r="8050" spans="1:6" x14ac:dyDescent="0.25">
      <c r="A8050" t="s">
        <v>3037</v>
      </c>
      <c r="B8050" t="s">
        <v>53</v>
      </c>
      <c r="C8050" t="s">
        <v>119</v>
      </c>
      <c r="D8050" t="s">
        <v>3219</v>
      </c>
      <c r="E8050">
        <v>26.03</v>
      </c>
      <c r="F8050">
        <v>98.63</v>
      </c>
    </row>
    <row r="8051" spans="1:6" x14ac:dyDescent="0.25">
      <c r="A8051" t="s">
        <v>3038</v>
      </c>
      <c r="B8051" t="s">
        <v>53</v>
      </c>
      <c r="C8051" t="s">
        <v>120</v>
      </c>
      <c r="D8051" t="s">
        <v>3217</v>
      </c>
      <c r="E8051">
        <v>0</v>
      </c>
      <c r="F8051">
        <v>98.59</v>
      </c>
    </row>
    <row r="8052" spans="1:6" x14ac:dyDescent="0.25">
      <c r="A8052" t="s">
        <v>3038</v>
      </c>
      <c r="B8052" t="s">
        <v>53</v>
      </c>
      <c r="C8052" t="s">
        <v>120</v>
      </c>
      <c r="D8052" t="s">
        <v>3218</v>
      </c>
      <c r="E8052">
        <v>13.54</v>
      </c>
      <c r="F8052">
        <v>98.75</v>
      </c>
    </row>
    <row r="8053" spans="1:6" x14ac:dyDescent="0.25">
      <c r="A8053" t="s">
        <v>3038</v>
      </c>
      <c r="B8053" t="s">
        <v>53</v>
      </c>
      <c r="C8053" t="s">
        <v>120</v>
      </c>
      <c r="D8053" t="s">
        <v>3219</v>
      </c>
      <c r="E8053">
        <v>24.78</v>
      </c>
      <c r="F8053">
        <v>98.8</v>
      </c>
    </row>
    <row r="8054" spans="1:6" x14ac:dyDescent="0.25">
      <c r="A8054" t="s">
        <v>3039</v>
      </c>
      <c r="B8054" t="s">
        <v>53</v>
      </c>
      <c r="C8054" t="s">
        <v>121</v>
      </c>
      <c r="D8054" t="s">
        <v>3217</v>
      </c>
      <c r="E8054">
        <v>0</v>
      </c>
      <c r="F8054">
        <v>98.66</v>
      </c>
    </row>
    <row r="8055" spans="1:6" x14ac:dyDescent="0.25">
      <c r="A8055" t="s">
        <v>3039</v>
      </c>
      <c r="B8055" t="s">
        <v>53</v>
      </c>
      <c r="C8055" t="s">
        <v>121</v>
      </c>
      <c r="D8055" t="s">
        <v>3218</v>
      </c>
      <c r="E8055">
        <v>13.71</v>
      </c>
      <c r="F8055">
        <v>98.82</v>
      </c>
    </row>
    <row r="8056" spans="1:6" x14ac:dyDescent="0.25">
      <c r="A8056" t="s">
        <v>3039</v>
      </c>
      <c r="B8056" t="s">
        <v>53</v>
      </c>
      <c r="C8056" t="s">
        <v>121</v>
      </c>
      <c r="D8056" t="s">
        <v>3219</v>
      </c>
      <c r="E8056">
        <v>24.47</v>
      </c>
      <c r="F8056">
        <v>98.87</v>
      </c>
    </row>
    <row r="8057" spans="1:6" x14ac:dyDescent="0.25">
      <c r="A8057" t="s">
        <v>3040</v>
      </c>
      <c r="B8057" t="s">
        <v>53</v>
      </c>
      <c r="C8057" t="s">
        <v>123</v>
      </c>
      <c r="D8057" t="s">
        <v>3217</v>
      </c>
      <c r="E8057">
        <v>0</v>
      </c>
      <c r="F8057">
        <v>98.65</v>
      </c>
    </row>
    <row r="8058" spans="1:6" x14ac:dyDescent="0.25">
      <c r="A8058" t="s">
        <v>3040</v>
      </c>
      <c r="B8058" t="s">
        <v>53</v>
      </c>
      <c r="C8058" t="s">
        <v>123</v>
      </c>
      <c r="D8058" t="s">
        <v>3218</v>
      </c>
      <c r="E8058">
        <v>13.69</v>
      </c>
      <c r="F8058">
        <v>98.91</v>
      </c>
    </row>
    <row r="8059" spans="1:6" x14ac:dyDescent="0.25">
      <c r="A8059" t="s">
        <v>3040</v>
      </c>
      <c r="B8059" t="s">
        <v>53</v>
      </c>
      <c r="C8059" t="s">
        <v>123</v>
      </c>
      <c r="D8059" t="s">
        <v>3219</v>
      </c>
      <c r="E8059">
        <v>24.21</v>
      </c>
      <c r="F8059">
        <v>99.06</v>
      </c>
    </row>
    <row r="8060" spans="1:6" x14ac:dyDescent="0.25">
      <c r="A8060" t="s">
        <v>3041</v>
      </c>
      <c r="B8060" t="s">
        <v>53</v>
      </c>
      <c r="C8060" t="s">
        <v>124</v>
      </c>
      <c r="D8060" t="s">
        <v>3217</v>
      </c>
      <c r="E8060">
        <v>0</v>
      </c>
      <c r="F8060">
        <v>99.09</v>
      </c>
    </row>
    <row r="8061" spans="1:6" x14ac:dyDescent="0.25">
      <c r="A8061" t="s">
        <v>3041</v>
      </c>
      <c r="B8061" t="s">
        <v>53</v>
      </c>
      <c r="C8061" t="s">
        <v>124</v>
      </c>
      <c r="D8061" t="s">
        <v>3218</v>
      </c>
      <c r="E8061">
        <v>13.86</v>
      </c>
      <c r="F8061">
        <v>99.21</v>
      </c>
    </row>
    <row r="8062" spans="1:6" x14ac:dyDescent="0.25">
      <c r="A8062" t="s">
        <v>3041</v>
      </c>
      <c r="B8062" t="s">
        <v>53</v>
      </c>
      <c r="C8062" t="s">
        <v>124</v>
      </c>
      <c r="D8062" t="s">
        <v>3219</v>
      </c>
      <c r="E8062">
        <v>26</v>
      </c>
      <c r="F8062">
        <v>99.41</v>
      </c>
    </row>
    <row r="8063" spans="1:6" x14ac:dyDescent="0.25">
      <c r="A8063" t="s">
        <v>3042</v>
      </c>
      <c r="B8063" t="s">
        <v>53</v>
      </c>
      <c r="C8063" t="s">
        <v>125</v>
      </c>
      <c r="D8063" t="s">
        <v>3217</v>
      </c>
      <c r="E8063">
        <v>0</v>
      </c>
      <c r="F8063">
        <v>99.59</v>
      </c>
    </row>
    <row r="8064" spans="1:6" x14ac:dyDescent="0.25">
      <c r="A8064" t="s">
        <v>3042</v>
      </c>
      <c r="B8064" t="s">
        <v>53</v>
      </c>
      <c r="C8064" t="s">
        <v>125</v>
      </c>
      <c r="D8064" t="s">
        <v>3218</v>
      </c>
      <c r="E8064">
        <v>12.74</v>
      </c>
      <c r="F8064">
        <v>99.55</v>
      </c>
    </row>
    <row r="8065" spans="1:6" x14ac:dyDescent="0.25">
      <c r="A8065" t="s">
        <v>3042</v>
      </c>
      <c r="B8065" t="s">
        <v>53</v>
      </c>
      <c r="C8065" t="s">
        <v>125</v>
      </c>
      <c r="D8065" t="s">
        <v>3219</v>
      </c>
      <c r="E8065">
        <v>25.55</v>
      </c>
      <c r="F8065">
        <v>99.58</v>
      </c>
    </row>
    <row r="8066" spans="1:6" x14ac:dyDescent="0.25">
      <c r="A8066" t="s">
        <v>3043</v>
      </c>
      <c r="B8066" t="s">
        <v>53</v>
      </c>
      <c r="C8066" t="s">
        <v>126</v>
      </c>
      <c r="D8066" t="s">
        <v>3217</v>
      </c>
      <c r="E8066">
        <v>0</v>
      </c>
      <c r="F8066">
        <v>99.54</v>
      </c>
    </row>
    <row r="8067" spans="1:6" x14ac:dyDescent="0.25">
      <c r="A8067" t="s">
        <v>3043</v>
      </c>
      <c r="B8067" t="s">
        <v>53</v>
      </c>
      <c r="C8067" t="s">
        <v>126</v>
      </c>
      <c r="D8067" t="s">
        <v>3218</v>
      </c>
      <c r="E8067">
        <v>12.41</v>
      </c>
      <c r="F8067">
        <v>99.73</v>
      </c>
    </row>
    <row r="8068" spans="1:6" x14ac:dyDescent="0.25">
      <c r="A8068" t="s">
        <v>3043</v>
      </c>
      <c r="B8068" t="s">
        <v>53</v>
      </c>
      <c r="C8068" t="s">
        <v>126</v>
      </c>
      <c r="D8068" t="s">
        <v>3219</v>
      </c>
      <c r="E8068">
        <v>25.5</v>
      </c>
      <c r="F8068">
        <v>99.67</v>
      </c>
    </row>
    <row r="8069" spans="1:6" x14ac:dyDescent="0.25">
      <c r="A8069" t="s">
        <v>3044</v>
      </c>
      <c r="B8069" t="s">
        <v>53</v>
      </c>
      <c r="C8069" t="s">
        <v>127</v>
      </c>
      <c r="D8069" t="s">
        <v>3217</v>
      </c>
      <c r="E8069">
        <v>0</v>
      </c>
      <c r="F8069">
        <v>99.28</v>
      </c>
    </row>
    <row r="8070" spans="1:6" x14ac:dyDescent="0.25">
      <c r="A8070" t="s">
        <v>3044</v>
      </c>
      <c r="B8070" t="s">
        <v>53</v>
      </c>
      <c r="C8070" t="s">
        <v>127</v>
      </c>
      <c r="D8070" t="s">
        <v>3218</v>
      </c>
      <c r="E8070">
        <v>11.36</v>
      </c>
      <c r="F8070">
        <v>99.49</v>
      </c>
    </row>
    <row r="8071" spans="1:6" x14ac:dyDescent="0.25">
      <c r="A8071" t="s">
        <v>3044</v>
      </c>
      <c r="B8071" t="s">
        <v>53</v>
      </c>
      <c r="C8071" t="s">
        <v>127</v>
      </c>
      <c r="D8071" t="s">
        <v>3219</v>
      </c>
      <c r="E8071">
        <v>24.28</v>
      </c>
      <c r="F8071">
        <v>99.45</v>
      </c>
    </row>
    <row r="8072" spans="1:6" x14ac:dyDescent="0.25">
      <c r="A8072" t="s">
        <v>3045</v>
      </c>
      <c r="B8072" t="s">
        <v>53</v>
      </c>
      <c r="C8072" t="s">
        <v>128</v>
      </c>
      <c r="D8072" t="s">
        <v>3217</v>
      </c>
      <c r="E8072">
        <v>0</v>
      </c>
      <c r="F8072">
        <v>98.98</v>
      </c>
    </row>
    <row r="8073" spans="1:6" x14ac:dyDescent="0.25">
      <c r="A8073" t="s">
        <v>3045</v>
      </c>
      <c r="B8073" t="s">
        <v>53</v>
      </c>
      <c r="C8073" t="s">
        <v>128</v>
      </c>
      <c r="D8073" t="s">
        <v>3218</v>
      </c>
      <c r="E8073">
        <v>11.56</v>
      </c>
      <c r="F8073">
        <v>99.11</v>
      </c>
    </row>
    <row r="8074" spans="1:6" x14ac:dyDescent="0.25">
      <c r="A8074" t="s">
        <v>3045</v>
      </c>
      <c r="B8074" t="s">
        <v>53</v>
      </c>
      <c r="C8074" t="s">
        <v>128</v>
      </c>
      <c r="D8074" t="s">
        <v>3219</v>
      </c>
      <c r="E8074">
        <v>24.5</v>
      </c>
      <c r="F8074">
        <v>99.2</v>
      </c>
    </row>
    <row r="8075" spans="1:6" x14ac:dyDescent="0.25">
      <c r="A8075" t="s">
        <v>3046</v>
      </c>
      <c r="B8075" t="s">
        <v>53</v>
      </c>
      <c r="C8075" t="s">
        <v>129</v>
      </c>
      <c r="D8075" t="s">
        <v>3217</v>
      </c>
      <c r="E8075">
        <v>0</v>
      </c>
      <c r="F8075">
        <v>98.61</v>
      </c>
    </row>
    <row r="8076" spans="1:6" x14ac:dyDescent="0.25">
      <c r="A8076" t="s">
        <v>3046</v>
      </c>
      <c r="B8076" t="s">
        <v>53</v>
      </c>
      <c r="C8076" t="s">
        <v>129</v>
      </c>
      <c r="D8076" t="s">
        <v>3218</v>
      </c>
      <c r="E8076">
        <v>11.67</v>
      </c>
      <c r="F8076">
        <v>98.93</v>
      </c>
    </row>
    <row r="8077" spans="1:6" x14ac:dyDescent="0.25">
      <c r="A8077" t="s">
        <v>3046</v>
      </c>
      <c r="B8077" t="s">
        <v>53</v>
      </c>
      <c r="C8077" t="s">
        <v>129</v>
      </c>
      <c r="D8077" t="s">
        <v>3219</v>
      </c>
      <c r="E8077">
        <v>25.45</v>
      </c>
      <c r="F8077">
        <v>98.82</v>
      </c>
    </row>
    <row r="8078" spans="1:6" x14ac:dyDescent="0.25">
      <c r="A8078" t="s">
        <v>3047</v>
      </c>
      <c r="B8078" t="s">
        <v>53</v>
      </c>
      <c r="C8078" t="s">
        <v>130</v>
      </c>
      <c r="D8078" t="s">
        <v>3217</v>
      </c>
      <c r="E8078">
        <v>0</v>
      </c>
      <c r="F8078">
        <v>98.38</v>
      </c>
    </row>
    <row r="8079" spans="1:6" x14ac:dyDescent="0.25">
      <c r="A8079" t="s">
        <v>3047</v>
      </c>
      <c r="B8079" t="s">
        <v>53</v>
      </c>
      <c r="C8079" t="s">
        <v>130</v>
      </c>
      <c r="D8079" t="s">
        <v>3218</v>
      </c>
      <c r="E8079">
        <v>11.37</v>
      </c>
      <c r="F8079">
        <v>98.83</v>
      </c>
    </row>
    <row r="8080" spans="1:6" x14ac:dyDescent="0.25">
      <c r="A8080" t="s">
        <v>3047</v>
      </c>
      <c r="B8080" t="s">
        <v>53</v>
      </c>
      <c r="C8080" t="s">
        <v>130</v>
      </c>
      <c r="D8080" t="s">
        <v>3219</v>
      </c>
      <c r="E8080">
        <v>25.16</v>
      </c>
      <c r="F8080">
        <v>98.52</v>
      </c>
    </row>
    <row r="8081" spans="1:6" x14ac:dyDescent="0.25">
      <c r="A8081" t="s">
        <v>3048</v>
      </c>
      <c r="B8081" t="s">
        <v>53</v>
      </c>
      <c r="C8081" t="s">
        <v>131</v>
      </c>
      <c r="D8081" t="s">
        <v>3217</v>
      </c>
      <c r="E8081">
        <v>0</v>
      </c>
      <c r="F8081">
        <v>98.27</v>
      </c>
    </row>
    <row r="8082" spans="1:6" x14ac:dyDescent="0.25">
      <c r="A8082" t="s">
        <v>3048</v>
      </c>
      <c r="B8082" t="s">
        <v>53</v>
      </c>
      <c r="C8082" t="s">
        <v>131</v>
      </c>
      <c r="D8082" t="s">
        <v>3218</v>
      </c>
      <c r="E8082">
        <v>11.37</v>
      </c>
      <c r="F8082">
        <v>98.6</v>
      </c>
    </row>
    <row r="8083" spans="1:6" x14ac:dyDescent="0.25">
      <c r="A8083" t="s">
        <v>3048</v>
      </c>
      <c r="B8083" t="s">
        <v>53</v>
      </c>
      <c r="C8083" t="s">
        <v>131</v>
      </c>
      <c r="D8083" t="s">
        <v>3219</v>
      </c>
      <c r="E8083">
        <v>24.36</v>
      </c>
      <c r="F8083">
        <v>98.48</v>
      </c>
    </row>
    <row r="8084" spans="1:6" x14ac:dyDescent="0.25">
      <c r="A8084" t="s">
        <v>3049</v>
      </c>
      <c r="B8084" t="s">
        <v>53</v>
      </c>
      <c r="C8084" t="s">
        <v>132</v>
      </c>
      <c r="D8084" t="s">
        <v>3217</v>
      </c>
      <c r="E8084">
        <v>0</v>
      </c>
      <c r="F8084">
        <v>98.43</v>
      </c>
    </row>
    <row r="8085" spans="1:6" x14ac:dyDescent="0.25">
      <c r="A8085" t="s">
        <v>3049</v>
      </c>
      <c r="B8085" t="s">
        <v>53</v>
      </c>
      <c r="C8085" t="s">
        <v>132</v>
      </c>
      <c r="D8085" t="s">
        <v>3218</v>
      </c>
      <c r="E8085">
        <v>11.05</v>
      </c>
      <c r="F8085">
        <v>98.57</v>
      </c>
    </row>
    <row r="8086" spans="1:6" x14ac:dyDescent="0.25">
      <c r="A8086" t="s">
        <v>3049</v>
      </c>
      <c r="B8086" t="s">
        <v>53</v>
      </c>
      <c r="C8086" t="s">
        <v>132</v>
      </c>
      <c r="D8086" t="s">
        <v>3219</v>
      </c>
      <c r="E8086">
        <v>23.75</v>
      </c>
      <c r="F8086">
        <v>98.49</v>
      </c>
    </row>
    <row r="8087" spans="1:6" x14ac:dyDescent="0.25">
      <c r="A8087" t="s">
        <v>3050</v>
      </c>
      <c r="B8087" t="s">
        <v>53</v>
      </c>
      <c r="C8087" t="s">
        <v>133</v>
      </c>
      <c r="D8087" t="s">
        <v>3217</v>
      </c>
      <c r="E8087">
        <v>0</v>
      </c>
      <c r="F8087">
        <v>98.51</v>
      </c>
    </row>
    <row r="8088" spans="1:6" x14ac:dyDescent="0.25">
      <c r="A8088" t="s">
        <v>3050</v>
      </c>
      <c r="B8088" t="s">
        <v>53</v>
      </c>
      <c r="C8088" t="s">
        <v>133</v>
      </c>
      <c r="D8088" t="s">
        <v>3218</v>
      </c>
      <c r="E8088">
        <v>11.2</v>
      </c>
      <c r="F8088">
        <v>98.52</v>
      </c>
    </row>
    <row r="8089" spans="1:6" x14ac:dyDescent="0.25">
      <c r="A8089" t="s">
        <v>3050</v>
      </c>
      <c r="B8089" t="s">
        <v>53</v>
      </c>
      <c r="C8089" t="s">
        <v>133</v>
      </c>
      <c r="D8089" t="s">
        <v>3219</v>
      </c>
      <c r="E8089">
        <v>23.84</v>
      </c>
      <c r="F8089">
        <v>98.57</v>
      </c>
    </row>
    <row r="8090" spans="1:6" x14ac:dyDescent="0.25">
      <c r="A8090" t="s">
        <v>3051</v>
      </c>
      <c r="B8090" t="s">
        <v>53</v>
      </c>
      <c r="C8090" t="s">
        <v>134</v>
      </c>
      <c r="D8090" t="s">
        <v>3217</v>
      </c>
      <c r="E8090">
        <v>0</v>
      </c>
      <c r="F8090">
        <v>98.38</v>
      </c>
    </row>
    <row r="8091" spans="1:6" x14ac:dyDescent="0.25">
      <c r="A8091" t="s">
        <v>3051</v>
      </c>
      <c r="B8091" t="s">
        <v>53</v>
      </c>
      <c r="C8091" t="s">
        <v>134</v>
      </c>
      <c r="D8091" t="s">
        <v>3218</v>
      </c>
      <c r="E8091">
        <v>11.88</v>
      </c>
      <c r="F8091">
        <v>98.66</v>
      </c>
    </row>
    <row r="8092" spans="1:6" x14ac:dyDescent="0.25">
      <c r="A8092" t="s">
        <v>3051</v>
      </c>
      <c r="B8092" t="s">
        <v>53</v>
      </c>
      <c r="C8092" t="s">
        <v>134</v>
      </c>
      <c r="D8092" t="s">
        <v>3219</v>
      </c>
      <c r="E8092">
        <v>24.62</v>
      </c>
      <c r="F8092">
        <v>98.49</v>
      </c>
    </row>
    <row r="8093" spans="1:6" x14ac:dyDescent="0.25">
      <c r="A8093" t="s">
        <v>3052</v>
      </c>
      <c r="B8093" t="s">
        <v>53</v>
      </c>
      <c r="C8093" t="s">
        <v>135</v>
      </c>
      <c r="D8093" t="s">
        <v>3217</v>
      </c>
      <c r="E8093">
        <v>0</v>
      </c>
      <c r="F8093">
        <v>98.5</v>
      </c>
    </row>
    <row r="8094" spans="1:6" x14ac:dyDescent="0.25">
      <c r="A8094" t="s">
        <v>3052</v>
      </c>
      <c r="B8094" t="s">
        <v>53</v>
      </c>
      <c r="C8094" t="s">
        <v>135</v>
      </c>
      <c r="D8094" t="s">
        <v>3218</v>
      </c>
      <c r="E8094">
        <v>11.5</v>
      </c>
      <c r="F8094">
        <v>98.56</v>
      </c>
    </row>
    <row r="8095" spans="1:6" x14ac:dyDescent="0.25">
      <c r="A8095" t="s">
        <v>3052</v>
      </c>
      <c r="B8095" t="s">
        <v>53</v>
      </c>
      <c r="C8095" t="s">
        <v>135</v>
      </c>
      <c r="D8095" t="s">
        <v>3219</v>
      </c>
      <c r="E8095">
        <v>23.7</v>
      </c>
      <c r="F8095">
        <v>98.46</v>
      </c>
    </row>
    <row r="8096" spans="1:6" x14ac:dyDescent="0.25">
      <c r="A8096" t="s">
        <v>3053</v>
      </c>
      <c r="B8096" t="s">
        <v>53</v>
      </c>
      <c r="C8096" t="s">
        <v>136</v>
      </c>
      <c r="D8096" t="s">
        <v>3217</v>
      </c>
      <c r="E8096">
        <v>0</v>
      </c>
      <c r="F8096">
        <v>98.46</v>
      </c>
    </row>
    <row r="8097" spans="1:6" x14ac:dyDescent="0.25">
      <c r="A8097" t="s">
        <v>3053</v>
      </c>
      <c r="B8097" t="s">
        <v>53</v>
      </c>
      <c r="C8097" t="s">
        <v>136</v>
      </c>
      <c r="D8097" t="s">
        <v>3218</v>
      </c>
      <c r="E8097">
        <v>11.72</v>
      </c>
      <c r="F8097">
        <v>98.65</v>
      </c>
    </row>
    <row r="8098" spans="1:6" x14ac:dyDescent="0.25">
      <c r="A8098" t="s">
        <v>3053</v>
      </c>
      <c r="B8098" t="s">
        <v>53</v>
      </c>
      <c r="C8098" t="s">
        <v>136</v>
      </c>
      <c r="D8098" t="s">
        <v>3219</v>
      </c>
      <c r="E8098">
        <v>23.84</v>
      </c>
      <c r="F8098">
        <v>98.58</v>
      </c>
    </row>
    <row r="8099" spans="1:6" x14ac:dyDescent="0.25">
      <c r="A8099" t="s">
        <v>3054</v>
      </c>
      <c r="B8099" t="s">
        <v>53</v>
      </c>
      <c r="C8099" t="s">
        <v>137</v>
      </c>
      <c r="D8099" t="s">
        <v>3217</v>
      </c>
      <c r="E8099">
        <v>0</v>
      </c>
      <c r="F8099">
        <v>98.08</v>
      </c>
    </row>
    <row r="8100" spans="1:6" x14ac:dyDescent="0.25">
      <c r="A8100" t="s">
        <v>3054</v>
      </c>
      <c r="B8100" t="s">
        <v>53</v>
      </c>
      <c r="C8100" t="s">
        <v>137</v>
      </c>
      <c r="D8100" t="s">
        <v>3218</v>
      </c>
      <c r="E8100">
        <v>11.71</v>
      </c>
      <c r="F8100">
        <v>98.3</v>
      </c>
    </row>
    <row r="8101" spans="1:6" x14ac:dyDescent="0.25">
      <c r="A8101" t="s">
        <v>3054</v>
      </c>
      <c r="B8101" t="s">
        <v>53</v>
      </c>
      <c r="C8101" t="s">
        <v>137</v>
      </c>
      <c r="D8101" t="s">
        <v>3219</v>
      </c>
      <c r="E8101">
        <v>23.7</v>
      </c>
      <c r="F8101">
        <v>98.37</v>
      </c>
    </row>
    <row r="8102" spans="1:6" x14ac:dyDescent="0.25">
      <c r="A8102" t="s">
        <v>3055</v>
      </c>
      <c r="B8102" t="s">
        <v>53</v>
      </c>
      <c r="C8102" t="s">
        <v>138</v>
      </c>
      <c r="D8102" t="s">
        <v>3217</v>
      </c>
      <c r="E8102">
        <v>0</v>
      </c>
      <c r="F8102">
        <v>97.64</v>
      </c>
    </row>
    <row r="8103" spans="1:6" x14ac:dyDescent="0.25">
      <c r="A8103" t="s">
        <v>3055</v>
      </c>
      <c r="B8103" t="s">
        <v>53</v>
      </c>
      <c r="C8103" t="s">
        <v>138</v>
      </c>
      <c r="D8103" t="s">
        <v>3218</v>
      </c>
      <c r="E8103">
        <v>11</v>
      </c>
      <c r="F8103">
        <v>97.91</v>
      </c>
    </row>
    <row r="8104" spans="1:6" x14ac:dyDescent="0.25">
      <c r="A8104" t="s">
        <v>3055</v>
      </c>
      <c r="B8104" t="s">
        <v>53</v>
      </c>
      <c r="C8104" t="s">
        <v>138</v>
      </c>
      <c r="D8104" t="s">
        <v>3219</v>
      </c>
      <c r="E8104">
        <v>22.18</v>
      </c>
      <c r="F8104">
        <v>97.89</v>
      </c>
    </row>
    <row r="8105" spans="1:6" x14ac:dyDescent="0.25">
      <c r="A8105" t="s">
        <v>3056</v>
      </c>
      <c r="B8105" t="s">
        <v>53</v>
      </c>
      <c r="C8105" t="s">
        <v>139</v>
      </c>
      <c r="D8105" t="s">
        <v>3217</v>
      </c>
      <c r="E8105">
        <v>0</v>
      </c>
      <c r="F8105">
        <v>97.43</v>
      </c>
    </row>
    <row r="8106" spans="1:6" x14ac:dyDescent="0.25">
      <c r="A8106" t="s">
        <v>3056</v>
      </c>
      <c r="B8106" t="s">
        <v>53</v>
      </c>
      <c r="C8106" t="s">
        <v>139</v>
      </c>
      <c r="D8106" t="s">
        <v>3218</v>
      </c>
      <c r="E8106">
        <v>10.93</v>
      </c>
      <c r="F8106">
        <v>97.7</v>
      </c>
    </row>
    <row r="8107" spans="1:6" x14ac:dyDescent="0.25">
      <c r="A8107" t="s">
        <v>3056</v>
      </c>
      <c r="B8107" t="s">
        <v>53</v>
      </c>
      <c r="C8107" t="s">
        <v>139</v>
      </c>
      <c r="D8107" t="s">
        <v>3219</v>
      </c>
      <c r="E8107">
        <v>22.02</v>
      </c>
      <c r="F8107">
        <v>97.72</v>
      </c>
    </row>
    <row r="8108" spans="1:6" x14ac:dyDescent="0.25">
      <c r="A8108" t="s">
        <v>3057</v>
      </c>
      <c r="B8108" t="s">
        <v>53</v>
      </c>
      <c r="C8108" t="s">
        <v>140</v>
      </c>
      <c r="D8108" t="s">
        <v>3217</v>
      </c>
      <c r="E8108">
        <v>0</v>
      </c>
      <c r="F8108">
        <v>97.4</v>
      </c>
    </row>
    <row r="8109" spans="1:6" x14ac:dyDescent="0.25">
      <c r="A8109" t="s">
        <v>3057</v>
      </c>
      <c r="B8109" t="s">
        <v>53</v>
      </c>
      <c r="C8109" t="s">
        <v>140</v>
      </c>
      <c r="D8109" t="s">
        <v>3218</v>
      </c>
      <c r="E8109">
        <v>12.34</v>
      </c>
      <c r="F8109">
        <v>97.52</v>
      </c>
    </row>
    <row r="8110" spans="1:6" x14ac:dyDescent="0.25">
      <c r="A8110" t="s">
        <v>3057</v>
      </c>
      <c r="B8110" t="s">
        <v>53</v>
      </c>
      <c r="C8110" t="s">
        <v>140</v>
      </c>
      <c r="D8110" t="s">
        <v>3219</v>
      </c>
      <c r="E8110">
        <v>23.5</v>
      </c>
      <c r="F8110">
        <v>97.67</v>
      </c>
    </row>
    <row r="8111" spans="1:6" x14ac:dyDescent="0.25">
      <c r="A8111" t="s">
        <v>3058</v>
      </c>
      <c r="B8111" t="s">
        <v>53</v>
      </c>
      <c r="C8111" t="s">
        <v>141</v>
      </c>
      <c r="D8111" t="s">
        <v>3217</v>
      </c>
      <c r="E8111">
        <v>0</v>
      </c>
      <c r="F8111">
        <v>97.58</v>
      </c>
    </row>
    <row r="8112" spans="1:6" x14ac:dyDescent="0.25">
      <c r="A8112" t="s">
        <v>3058</v>
      </c>
      <c r="B8112" t="s">
        <v>53</v>
      </c>
      <c r="C8112" t="s">
        <v>141</v>
      </c>
      <c r="D8112" t="s">
        <v>3218</v>
      </c>
      <c r="E8112">
        <v>13.43</v>
      </c>
      <c r="F8112">
        <v>97.51</v>
      </c>
    </row>
    <row r="8113" spans="1:6" x14ac:dyDescent="0.25">
      <c r="A8113" t="s">
        <v>3058</v>
      </c>
      <c r="B8113" t="s">
        <v>53</v>
      </c>
      <c r="C8113" t="s">
        <v>141</v>
      </c>
      <c r="D8113" t="s">
        <v>3219</v>
      </c>
      <c r="E8113">
        <v>24.37</v>
      </c>
      <c r="F8113">
        <v>97.48</v>
      </c>
    </row>
    <row r="8114" spans="1:6" x14ac:dyDescent="0.25">
      <c r="A8114" t="s">
        <v>3059</v>
      </c>
      <c r="B8114" t="s">
        <v>53</v>
      </c>
      <c r="C8114" t="s">
        <v>142</v>
      </c>
      <c r="D8114" t="s">
        <v>3217</v>
      </c>
      <c r="E8114">
        <v>0</v>
      </c>
      <c r="F8114">
        <v>97.5</v>
      </c>
    </row>
    <row r="8115" spans="1:6" x14ac:dyDescent="0.25">
      <c r="A8115" t="s">
        <v>3059</v>
      </c>
      <c r="B8115" t="s">
        <v>53</v>
      </c>
      <c r="C8115" t="s">
        <v>142</v>
      </c>
      <c r="D8115" t="s">
        <v>3218</v>
      </c>
      <c r="E8115">
        <v>14.48</v>
      </c>
      <c r="F8115">
        <v>97.25</v>
      </c>
    </row>
    <row r="8116" spans="1:6" x14ac:dyDescent="0.25">
      <c r="A8116" t="s">
        <v>3059</v>
      </c>
      <c r="B8116" t="s">
        <v>53</v>
      </c>
      <c r="C8116" t="s">
        <v>142</v>
      </c>
      <c r="D8116" t="s">
        <v>3219</v>
      </c>
      <c r="E8116">
        <v>24.73</v>
      </c>
      <c r="F8116">
        <v>97.34</v>
      </c>
    </row>
    <row r="8117" spans="1:6" x14ac:dyDescent="0.25">
      <c r="A8117" t="s">
        <v>3060</v>
      </c>
      <c r="B8117" t="s">
        <v>53</v>
      </c>
      <c r="C8117" t="s">
        <v>143</v>
      </c>
      <c r="D8117" t="s">
        <v>3217</v>
      </c>
      <c r="E8117">
        <v>0</v>
      </c>
      <c r="F8117">
        <v>97.17</v>
      </c>
    </row>
    <row r="8118" spans="1:6" x14ac:dyDescent="0.25">
      <c r="A8118" t="s">
        <v>3060</v>
      </c>
      <c r="B8118" t="s">
        <v>53</v>
      </c>
      <c r="C8118" t="s">
        <v>143</v>
      </c>
      <c r="D8118" t="s">
        <v>3218</v>
      </c>
      <c r="E8118">
        <v>12.91</v>
      </c>
      <c r="F8118">
        <v>97.12</v>
      </c>
    </row>
    <row r="8119" spans="1:6" x14ac:dyDescent="0.25">
      <c r="A8119" t="s">
        <v>3060</v>
      </c>
      <c r="B8119" t="s">
        <v>53</v>
      </c>
      <c r="C8119" t="s">
        <v>143</v>
      </c>
      <c r="D8119" t="s">
        <v>3219</v>
      </c>
      <c r="E8119">
        <v>23.66</v>
      </c>
      <c r="F8119">
        <v>97.34</v>
      </c>
    </row>
    <row r="8120" spans="1:6" x14ac:dyDescent="0.25">
      <c r="A8120" t="s">
        <v>3061</v>
      </c>
      <c r="B8120" t="s">
        <v>53</v>
      </c>
      <c r="C8120" t="s">
        <v>144</v>
      </c>
      <c r="D8120" t="s">
        <v>3217</v>
      </c>
      <c r="E8120">
        <v>0</v>
      </c>
      <c r="F8120">
        <v>96.65</v>
      </c>
    </row>
    <row r="8121" spans="1:6" x14ac:dyDescent="0.25">
      <c r="A8121" t="s">
        <v>3061</v>
      </c>
      <c r="B8121" t="s">
        <v>53</v>
      </c>
      <c r="C8121" t="s">
        <v>144</v>
      </c>
      <c r="D8121" t="s">
        <v>3218</v>
      </c>
      <c r="E8121">
        <v>13.89</v>
      </c>
      <c r="F8121">
        <v>96.57</v>
      </c>
    </row>
    <row r="8122" spans="1:6" x14ac:dyDescent="0.25">
      <c r="A8122" t="s">
        <v>3061</v>
      </c>
      <c r="B8122" t="s">
        <v>53</v>
      </c>
      <c r="C8122" t="s">
        <v>144</v>
      </c>
      <c r="D8122" t="s">
        <v>3219</v>
      </c>
      <c r="E8122">
        <v>24.64</v>
      </c>
      <c r="F8122">
        <v>96.87</v>
      </c>
    </row>
    <row r="8123" spans="1:6" x14ac:dyDescent="0.25">
      <c r="A8123" t="s">
        <v>3062</v>
      </c>
      <c r="B8123" t="s">
        <v>53</v>
      </c>
      <c r="C8123" t="s">
        <v>145</v>
      </c>
      <c r="D8123" t="s">
        <v>3217</v>
      </c>
      <c r="E8123">
        <v>0</v>
      </c>
      <c r="F8123">
        <v>95.9</v>
      </c>
    </row>
    <row r="8124" spans="1:6" x14ac:dyDescent="0.25">
      <c r="A8124" t="s">
        <v>3062</v>
      </c>
      <c r="B8124" t="s">
        <v>53</v>
      </c>
      <c r="C8124" t="s">
        <v>145</v>
      </c>
      <c r="D8124" t="s">
        <v>3218</v>
      </c>
      <c r="E8124">
        <v>11.98</v>
      </c>
      <c r="F8124">
        <v>95.98</v>
      </c>
    </row>
    <row r="8125" spans="1:6" x14ac:dyDescent="0.25">
      <c r="A8125" t="s">
        <v>3062</v>
      </c>
      <c r="B8125" t="s">
        <v>53</v>
      </c>
      <c r="C8125" t="s">
        <v>145</v>
      </c>
      <c r="D8125" t="s">
        <v>3219</v>
      </c>
      <c r="E8125">
        <v>22.48</v>
      </c>
      <c r="F8125">
        <v>95.74</v>
      </c>
    </row>
    <row r="8126" spans="1:6" x14ac:dyDescent="0.25">
      <c r="A8126" t="s">
        <v>3063</v>
      </c>
      <c r="B8126" t="s">
        <v>53</v>
      </c>
      <c r="C8126" t="s">
        <v>146</v>
      </c>
      <c r="D8126" t="s">
        <v>3217</v>
      </c>
      <c r="E8126">
        <v>0</v>
      </c>
      <c r="F8126">
        <v>95.5</v>
      </c>
    </row>
    <row r="8127" spans="1:6" x14ac:dyDescent="0.25">
      <c r="A8127" t="s">
        <v>3063</v>
      </c>
      <c r="B8127" t="s">
        <v>53</v>
      </c>
      <c r="C8127" t="s">
        <v>146</v>
      </c>
      <c r="D8127" t="s">
        <v>3218</v>
      </c>
      <c r="E8127">
        <v>10.29</v>
      </c>
      <c r="F8127">
        <v>95.73</v>
      </c>
    </row>
    <row r="8128" spans="1:6" x14ac:dyDescent="0.25">
      <c r="A8128" t="s">
        <v>3063</v>
      </c>
      <c r="B8128" t="s">
        <v>53</v>
      </c>
      <c r="C8128" t="s">
        <v>146</v>
      </c>
      <c r="D8128" t="s">
        <v>3219</v>
      </c>
      <c r="E8128">
        <v>21.9</v>
      </c>
      <c r="F8128">
        <v>95.56</v>
      </c>
    </row>
    <row r="8129" spans="1:6" x14ac:dyDescent="0.25">
      <c r="A8129" t="s">
        <v>3064</v>
      </c>
      <c r="B8129" t="s">
        <v>53</v>
      </c>
      <c r="C8129" t="s">
        <v>147</v>
      </c>
      <c r="D8129" t="s">
        <v>3217</v>
      </c>
      <c r="E8129">
        <v>0</v>
      </c>
      <c r="F8129">
        <v>95.19</v>
      </c>
    </row>
    <row r="8130" spans="1:6" x14ac:dyDescent="0.25">
      <c r="A8130" t="s">
        <v>3064</v>
      </c>
      <c r="B8130" t="s">
        <v>53</v>
      </c>
      <c r="C8130" t="s">
        <v>147</v>
      </c>
      <c r="D8130" t="s">
        <v>3218</v>
      </c>
      <c r="E8130">
        <v>9.57</v>
      </c>
      <c r="F8130">
        <v>95.36</v>
      </c>
    </row>
    <row r="8131" spans="1:6" x14ac:dyDescent="0.25">
      <c r="A8131" t="s">
        <v>3064</v>
      </c>
      <c r="B8131" t="s">
        <v>53</v>
      </c>
      <c r="C8131" t="s">
        <v>147</v>
      </c>
      <c r="D8131" t="s">
        <v>3219</v>
      </c>
      <c r="E8131">
        <v>21.17</v>
      </c>
      <c r="F8131">
        <v>95.61</v>
      </c>
    </row>
    <row r="8132" spans="1:6" x14ac:dyDescent="0.25">
      <c r="A8132" t="s">
        <v>3065</v>
      </c>
      <c r="B8132" t="s">
        <v>53</v>
      </c>
      <c r="C8132" t="s">
        <v>148</v>
      </c>
      <c r="D8132" t="s">
        <v>3217</v>
      </c>
      <c r="E8132">
        <v>0</v>
      </c>
      <c r="F8132">
        <v>95.39</v>
      </c>
    </row>
    <row r="8133" spans="1:6" x14ac:dyDescent="0.25">
      <c r="A8133" t="s">
        <v>3065</v>
      </c>
      <c r="B8133" t="s">
        <v>53</v>
      </c>
      <c r="C8133" t="s">
        <v>148</v>
      </c>
      <c r="D8133" t="s">
        <v>3218</v>
      </c>
      <c r="E8133">
        <v>9.56</v>
      </c>
      <c r="F8133">
        <v>95.37</v>
      </c>
    </row>
    <row r="8134" spans="1:6" x14ac:dyDescent="0.25">
      <c r="A8134" t="s">
        <v>3065</v>
      </c>
      <c r="B8134" t="s">
        <v>53</v>
      </c>
      <c r="C8134" t="s">
        <v>148</v>
      </c>
      <c r="D8134" t="s">
        <v>3219</v>
      </c>
      <c r="E8134">
        <v>22.53</v>
      </c>
      <c r="F8134">
        <v>95.69</v>
      </c>
    </row>
    <row r="8135" spans="1:6" x14ac:dyDescent="0.25">
      <c r="A8135" t="s">
        <v>3066</v>
      </c>
      <c r="B8135" t="s">
        <v>53</v>
      </c>
      <c r="C8135" t="s">
        <v>149</v>
      </c>
      <c r="D8135" t="s">
        <v>3217</v>
      </c>
      <c r="E8135">
        <v>0</v>
      </c>
      <c r="F8135">
        <v>95.7</v>
      </c>
    </row>
    <row r="8136" spans="1:6" x14ac:dyDescent="0.25">
      <c r="A8136" t="s">
        <v>3066</v>
      </c>
      <c r="B8136" t="s">
        <v>53</v>
      </c>
      <c r="C8136" t="s">
        <v>149</v>
      </c>
      <c r="D8136" t="s">
        <v>3218</v>
      </c>
      <c r="E8136">
        <v>9.49</v>
      </c>
      <c r="F8136">
        <v>95.75</v>
      </c>
    </row>
    <row r="8137" spans="1:6" x14ac:dyDescent="0.25">
      <c r="A8137" t="s">
        <v>3066</v>
      </c>
      <c r="B8137" t="s">
        <v>53</v>
      </c>
      <c r="C8137" t="s">
        <v>149</v>
      </c>
      <c r="D8137" t="s">
        <v>3219</v>
      </c>
      <c r="E8137">
        <v>21.41</v>
      </c>
      <c r="F8137">
        <v>95.77</v>
      </c>
    </row>
    <row r="8138" spans="1:6" x14ac:dyDescent="0.25">
      <c r="A8138" t="s">
        <v>3067</v>
      </c>
      <c r="B8138" t="s">
        <v>53</v>
      </c>
      <c r="C8138" t="s">
        <v>150</v>
      </c>
      <c r="D8138" t="s">
        <v>3217</v>
      </c>
      <c r="E8138">
        <v>0</v>
      </c>
      <c r="F8138">
        <v>95.76</v>
      </c>
    </row>
    <row r="8139" spans="1:6" x14ac:dyDescent="0.25">
      <c r="A8139" t="s">
        <v>3067</v>
      </c>
      <c r="B8139" t="s">
        <v>53</v>
      </c>
      <c r="C8139" t="s">
        <v>150</v>
      </c>
      <c r="D8139" t="s">
        <v>3218</v>
      </c>
      <c r="E8139">
        <v>10.88</v>
      </c>
      <c r="F8139">
        <v>95.87</v>
      </c>
    </row>
    <row r="8140" spans="1:6" x14ac:dyDescent="0.25">
      <c r="A8140" t="s">
        <v>3067</v>
      </c>
      <c r="B8140" t="s">
        <v>53</v>
      </c>
      <c r="C8140" t="s">
        <v>150</v>
      </c>
      <c r="D8140" t="s">
        <v>3219</v>
      </c>
      <c r="E8140">
        <v>23.68</v>
      </c>
      <c r="F8140">
        <v>95.85</v>
      </c>
    </row>
    <row r="8141" spans="1:6" x14ac:dyDescent="0.25">
      <c r="A8141" t="s">
        <v>3068</v>
      </c>
      <c r="B8141" t="s">
        <v>53</v>
      </c>
      <c r="C8141" t="s">
        <v>151</v>
      </c>
      <c r="D8141" t="s">
        <v>3217</v>
      </c>
      <c r="E8141">
        <v>0</v>
      </c>
      <c r="F8141">
        <v>95.15</v>
      </c>
    </row>
    <row r="8142" spans="1:6" x14ac:dyDescent="0.25">
      <c r="A8142" t="s">
        <v>3068</v>
      </c>
      <c r="B8142" t="s">
        <v>53</v>
      </c>
      <c r="C8142" t="s">
        <v>151</v>
      </c>
      <c r="D8142" t="s">
        <v>3218</v>
      </c>
      <c r="E8142">
        <v>12.76</v>
      </c>
      <c r="F8142">
        <v>95.45</v>
      </c>
    </row>
    <row r="8143" spans="1:6" x14ac:dyDescent="0.25">
      <c r="A8143" t="s">
        <v>3068</v>
      </c>
      <c r="B8143" t="s">
        <v>53</v>
      </c>
      <c r="C8143" t="s">
        <v>151</v>
      </c>
      <c r="D8143" t="s">
        <v>3219</v>
      </c>
      <c r="E8143">
        <v>23.96</v>
      </c>
      <c r="F8143">
        <v>95.53</v>
      </c>
    </row>
    <row r="8144" spans="1:6" x14ac:dyDescent="0.25">
      <c r="A8144" t="s">
        <v>3069</v>
      </c>
      <c r="B8144" t="s">
        <v>53</v>
      </c>
      <c r="C8144" t="s">
        <v>152</v>
      </c>
      <c r="D8144" t="s">
        <v>3217</v>
      </c>
      <c r="E8144">
        <v>0</v>
      </c>
      <c r="F8144">
        <v>94.61</v>
      </c>
    </row>
    <row r="8145" spans="1:6" x14ac:dyDescent="0.25">
      <c r="A8145" t="s">
        <v>3069</v>
      </c>
      <c r="B8145" t="s">
        <v>53</v>
      </c>
      <c r="C8145" t="s">
        <v>152</v>
      </c>
      <c r="D8145" t="s">
        <v>3218</v>
      </c>
      <c r="E8145">
        <v>12.26</v>
      </c>
      <c r="F8145">
        <v>94.83</v>
      </c>
    </row>
    <row r="8146" spans="1:6" x14ac:dyDescent="0.25">
      <c r="A8146" t="s">
        <v>3069</v>
      </c>
      <c r="B8146" t="s">
        <v>53</v>
      </c>
      <c r="C8146" t="s">
        <v>152</v>
      </c>
      <c r="D8146" t="s">
        <v>3219</v>
      </c>
      <c r="E8146">
        <v>22.49</v>
      </c>
      <c r="F8146">
        <v>94.78</v>
      </c>
    </row>
    <row r="8147" spans="1:6" x14ac:dyDescent="0.25">
      <c r="A8147" t="s">
        <v>3070</v>
      </c>
      <c r="B8147" t="s">
        <v>53</v>
      </c>
      <c r="C8147" t="s">
        <v>153</v>
      </c>
      <c r="D8147" t="s">
        <v>3217</v>
      </c>
      <c r="E8147">
        <v>0</v>
      </c>
      <c r="F8147">
        <v>94.28</v>
      </c>
    </row>
    <row r="8148" spans="1:6" x14ac:dyDescent="0.25">
      <c r="A8148" t="s">
        <v>3070</v>
      </c>
      <c r="B8148" t="s">
        <v>53</v>
      </c>
      <c r="C8148" t="s">
        <v>153</v>
      </c>
      <c r="D8148" t="s">
        <v>3218</v>
      </c>
      <c r="E8148">
        <v>11.44</v>
      </c>
      <c r="F8148">
        <v>94.52</v>
      </c>
    </row>
    <row r="8149" spans="1:6" x14ac:dyDescent="0.25">
      <c r="A8149" t="s">
        <v>3070</v>
      </c>
      <c r="B8149" t="s">
        <v>53</v>
      </c>
      <c r="C8149" t="s">
        <v>153</v>
      </c>
      <c r="D8149" t="s">
        <v>3219</v>
      </c>
      <c r="E8149">
        <v>22.81</v>
      </c>
      <c r="F8149">
        <v>94.48</v>
      </c>
    </row>
    <row r="8150" spans="1:6" x14ac:dyDescent="0.25">
      <c r="A8150" t="s">
        <v>3071</v>
      </c>
      <c r="B8150" t="s">
        <v>53</v>
      </c>
      <c r="C8150" t="s">
        <v>154</v>
      </c>
      <c r="D8150" t="s">
        <v>3217</v>
      </c>
      <c r="E8150">
        <v>0</v>
      </c>
      <c r="F8150">
        <v>94.24</v>
      </c>
    </row>
    <row r="8151" spans="1:6" x14ac:dyDescent="0.25">
      <c r="A8151" t="s">
        <v>3071</v>
      </c>
      <c r="B8151" t="s">
        <v>53</v>
      </c>
      <c r="C8151" t="s">
        <v>154</v>
      </c>
      <c r="D8151" t="s">
        <v>3218</v>
      </c>
      <c r="E8151">
        <v>12.43</v>
      </c>
      <c r="F8151">
        <v>94.45</v>
      </c>
    </row>
    <row r="8152" spans="1:6" x14ac:dyDescent="0.25">
      <c r="A8152" t="s">
        <v>3071</v>
      </c>
      <c r="B8152" t="s">
        <v>53</v>
      </c>
      <c r="C8152" t="s">
        <v>154</v>
      </c>
      <c r="D8152" t="s">
        <v>3219</v>
      </c>
      <c r="E8152">
        <v>25.03</v>
      </c>
      <c r="F8152">
        <v>94.48</v>
      </c>
    </row>
    <row r="8153" spans="1:6" x14ac:dyDescent="0.25">
      <c r="A8153" t="s">
        <v>3072</v>
      </c>
      <c r="B8153" t="s">
        <v>53</v>
      </c>
      <c r="C8153" t="s">
        <v>155</v>
      </c>
      <c r="D8153" t="s">
        <v>3217</v>
      </c>
      <c r="E8153">
        <v>0</v>
      </c>
      <c r="F8153">
        <v>94.34</v>
      </c>
    </row>
    <row r="8154" spans="1:6" x14ac:dyDescent="0.25">
      <c r="A8154" t="s">
        <v>3072</v>
      </c>
      <c r="B8154" t="s">
        <v>53</v>
      </c>
      <c r="C8154" t="s">
        <v>155</v>
      </c>
      <c r="D8154" t="s">
        <v>3218</v>
      </c>
      <c r="E8154">
        <v>13.61</v>
      </c>
      <c r="F8154">
        <v>94.38</v>
      </c>
    </row>
    <row r="8155" spans="1:6" x14ac:dyDescent="0.25">
      <c r="A8155" t="s">
        <v>3072</v>
      </c>
      <c r="B8155" t="s">
        <v>53</v>
      </c>
      <c r="C8155" t="s">
        <v>155</v>
      </c>
      <c r="D8155" t="s">
        <v>3219</v>
      </c>
      <c r="E8155">
        <v>29.01</v>
      </c>
      <c r="F8155">
        <v>94.44</v>
      </c>
    </row>
    <row r="8156" spans="1:6" x14ac:dyDescent="0.25">
      <c r="A8156" t="s">
        <v>3073</v>
      </c>
      <c r="B8156" t="s">
        <v>53</v>
      </c>
      <c r="C8156" t="s">
        <v>156</v>
      </c>
      <c r="D8156" t="s">
        <v>3217</v>
      </c>
      <c r="E8156">
        <v>0</v>
      </c>
      <c r="F8156">
        <v>94.2</v>
      </c>
    </row>
    <row r="8157" spans="1:6" x14ac:dyDescent="0.25">
      <c r="A8157" t="s">
        <v>3073</v>
      </c>
      <c r="B8157" t="s">
        <v>53</v>
      </c>
      <c r="C8157" t="s">
        <v>156</v>
      </c>
      <c r="D8157" t="s">
        <v>3218</v>
      </c>
      <c r="E8157">
        <v>13.52</v>
      </c>
      <c r="F8157">
        <v>94.11</v>
      </c>
    </row>
    <row r="8158" spans="1:6" x14ac:dyDescent="0.25">
      <c r="A8158" t="s">
        <v>3073</v>
      </c>
      <c r="B8158" t="s">
        <v>53</v>
      </c>
      <c r="C8158" t="s">
        <v>156</v>
      </c>
      <c r="D8158" t="s">
        <v>3219</v>
      </c>
      <c r="E8158">
        <v>31.15</v>
      </c>
      <c r="F8158">
        <v>94.54</v>
      </c>
    </row>
    <row r="8159" spans="1:6" x14ac:dyDescent="0.25">
      <c r="A8159" t="s">
        <v>3074</v>
      </c>
      <c r="B8159" t="s">
        <v>53</v>
      </c>
      <c r="C8159" t="s">
        <v>157</v>
      </c>
      <c r="D8159" t="s">
        <v>3217</v>
      </c>
      <c r="E8159">
        <v>0</v>
      </c>
      <c r="F8159">
        <v>93.8</v>
      </c>
    </row>
    <row r="8160" spans="1:6" x14ac:dyDescent="0.25">
      <c r="A8160" t="s">
        <v>3074</v>
      </c>
      <c r="B8160" t="s">
        <v>53</v>
      </c>
      <c r="C8160" t="s">
        <v>157</v>
      </c>
      <c r="D8160" t="s">
        <v>3218</v>
      </c>
      <c r="E8160">
        <v>13.05</v>
      </c>
      <c r="F8160">
        <v>94.13</v>
      </c>
    </row>
    <row r="8161" spans="1:6" x14ac:dyDescent="0.25">
      <c r="A8161" t="s">
        <v>3074</v>
      </c>
      <c r="B8161" t="s">
        <v>53</v>
      </c>
      <c r="C8161" t="s">
        <v>157</v>
      </c>
      <c r="D8161" t="s">
        <v>3219</v>
      </c>
      <c r="E8161">
        <v>30.68</v>
      </c>
      <c r="F8161">
        <v>94.49</v>
      </c>
    </row>
    <row r="8162" spans="1:6" x14ac:dyDescent="0.25">
      <c r="A8162" t="s">
        <v>3075</v>
      </c>
      <c r="B8162" t="s">
        <v>53</v>
      </c>
      <c r="C8162" t="s">
        <v>158</v>
      </c>
      <c r="D8162" t="s">
        <v>3217</v>
      </c>
      <c r="E8162">
        <v>0</v>
      </c>
      <c r="F8162">
        <v>94.17</v>
      </c>
    </row>
    <row r="8163" spans="1:6" x14ac:dyDescent="0.25">
      <c r="A8163" t="s">
        <v>3075</v>
      </c>
      <c r="B8163" t="s">
        <v>53</v>
      </c>
      <c r="C8163" t="s">
        <v>158</v>
      </c>
      <c r="D8163" t="s">
        <v>3218</v>
      </c>
      <c r="E8163">
        <v>15.65</v>
      </c>
      <c r="F8163">
        <v>94.37</v>
      </c>
    </row>
    <row r="8164" spans="1:6" x14ac:dyDescent="0.25">
      <c r="A8164" t="s">
        <v>3075</v>
      </c>
      <c r="B8164" t="s">
        <v>53</v>
      </c>
      <c r="C8164" t="s">
        <v>158</v>
      </c>
      <c r="D8164" t="s">
        <v>3219</v>
      </c>
      <c r="E8164">
        <v>35.65</v>
      </c>
      <c r="F8164">
        <v>95.3</v>
      </c>
    </row>
    <row r="8165" spans="1:6" x14ac:dyDescent="0.25">
      <c r="A8165" t="s">
        <v>3076</v>
      </c>
      <c r="B8165" t="s">
        <v>53</v>
      </c>
      <c r="C8165" t="s">
        <v>159</v>
      </c>
      <c r="D8165" t="s">
        <v>3217</v>
      </c>
      <c r="E8165">
        <v>0</v>
      </c>
      <c r="F8165">
        <v>94.71</v>
      </c>
    </row>
    <row r="8166" spans="1:6" x14ac:dyDescent="0.25">
      <c r="A8166" t="s">
        <v>3076</v>
      </c>
      <c r="B8166" t="s">
        <v>53</v>
      </c>
      <c r="C8166" t="s">
        <v>159</v>
      </c>
      <c r="D8166" t="s">
        <v>3218</v>
      </c>
      <c r="E8166">
        <v>20</v>
      </c>
      <c r="F8166">
        <v>94.92</v>
      </c>
    </row>
    <row r="8167" spans="1:6" x14ac:dyDescent="0.25">
      <c r="A8167" t="s">
        <v>3076</v>
      </c>
      <c r="B8167" t="s">
        <v>53</v>
      </c>
      <c r="C8167" t="s">
        <v>159</v>
      </c>
      <c r="D8167" t="s">
        <v>3219</v>
      </c>
      <c r="E8167">
        <v>40</v>
      </c>
      <c r="F8167">
        <v>95.53</v>
      </c>
    </row>
    <row r="8168" spans="1:6" x14ac:dyDescent="0.25">
      <c r="A8168" t="s">
        <v>3077</v>
      </c>
      <c r="B8168" t="s">
        <v>53</v>
      </c>
      <c r="C8168" t="s">
        <v>335</v>
      </c>
      <c r="D8168" t="s">
        <v>3217</v>
      </c>
      <c r="E8168">
        <v>0</v>
      </c>
      <c r="F8168">
        <v>95.43</v>
      </c>
    </row>
    <row r="8169" spans="1:6" x14ac:dyDescent="0.25">
      <c r="A8169" t="s">
        <v>3077</v>
      </c>
      <c r="B8169" t="s">
        <v>53</v>
      </c>
      <c r="C8169" t="s">
        <v>335</v>
      </c>
      <c r="D8169" t="s">
        <v>3218</v>
      </c>
      <c r="E8169">
        <v>20</v>
      </c>
      <c r="F8169">
        <v>95.54</v>
      </c>
    </row>
    <row r="8170" spans="1:6" x14ac:dyDescent="0.25">
      <c r="A8170" t="s">
        <v>3077</v>
      </c>
      <c r="B8170" t="s">
        <v>53</v>
      </c>
      <c r="C8170" t="s">
        <v>335</v>
      </c>
      <c r="D8170" t="s">
        <v>3219</v>
      </c>
      <c r="E8170">
        <v>40</v>
      </c>
      <c r="F8170">
        <v>95.9</v>
      </c>
    </row>
    <row r="8171" spans="1:6" x14ac:dyDescent="0.25">
      <c r="A8171" t="s">
        <v>1171</v>
      </c>
      <c r="B8171" t="s">
        <v>30</v>
      </c>
      <c r="C8171" t="s">
        <v>56</v>
      </c>
      <c r="D8171" t="s">
        <v>3217</v>
      </c>
      <c r="E8171">
        <v>0</v>
      </c>
      <c r="F8171">
        <v>85.79</v>
      </c>
    </row>
    <row r="8172" spans="1:6" x14ac:dyDescent="0.25">
      <c r="A8172" t="s">
        <v>1171</v>
      </c>
      <c r="B8172" t="s">
        <v>30</v>
      </c>
      <c r="C8172" t="s">
        <v>56</v>
      </c>
      <c r="D8172" t="s">
        <v>3218</v>
      </c>
      <c r="E8172">
        <v>20</v>
      </c>
      <c r="F8172">
        <v>86.26</v>
      </c>
    </row>
    <row r="8173" spans="1:6" x14ac:dyDescent="0.25">
      <c r="A8173" t="s">
        <v>1171</v>
      </c>
      <c r="B8173" t="s">
        <v>30</v>
      </c>
      <c r="C8173" t="s">
        <v>56</v>
      </c>
      <c r="D8173" t="s">
        <v>3219</v>
      </c>
      <c r="E8173">
        <v>40</v>
      </c>
      <c r="F8173">
        <v>87.2</v>
      </c>
    </row>
    <row r="8174" spans="1:6" x14ac:dyDescent="0.25">
      <c r="A8174" t="s">
        <v>1172</v>
      </c>
      <c r="B8174" t="s">
        <v>30</v>
      </c>
      <c r="C8174" t="s">
        <v>57</v>
      </c>
      <c r="D8174" t="s">
        <v>3217</v>
      </c>
      <c r="E8174">
        <v>0</v>
      </c>
      <c r="F8174">
        <v>85.4</v>
      </c>
    </row>
    <row r="8175" spans="1:6" x14ac:dyDescent="0.25">
      <c r="A8175" t="s">
        <v>1172</v>
      </c>
      <c r="B8175" t="s">
        <v>30</v>
      </c>
      <c r="C8175" t="s">
        <v>57</v>
      </c>
      <c r="D8175" t="s">
        <v>3218</v>
      </c>
      <c r="E8175">
        <v>20</v>
      </c>
      <c r="F8175">
        <v>85.85</v>
      </c>
    </row>
    <row r="8176" spans="1:6" x14ac:dyDescent="0.25">
      <c r="A8176" t="s">
        <v>1172</v>
      </c>
      <c r="B8176" t="s">
        <v>30</v>
      </c>
      <c r="C8176" t="s">
        <v>57</v>
      </c>
      <c r="D8176" t="s">
        <v>3219</v>
      </c>
      <c r="E8176">
        <v>40</v>
      </c>
      <c r="F8176">
        <v>87.32</v>
      </c>
    </row>
    <row r="8177" spans="1:6" x14ac:dyDescent="0.25">
      <c r="A8177" t="s">
        <v>1173</v>
      </c>
      <c r="B8177" t="s">
        <v>30</v>
      </c>
      <c r="C8177" t="s">
        <v>58</v>
      </c>
      <c r="D8177" t="s">
        <v>3217</v>
      </c>
      <c r="E8177">
        <v>0</v>
      </c>
      <c r="F8177">
        <v>85.09</v>
      </c>
    </row>
    <row r="8178" spans="1:6" x14ac:dyDescent="0.25">
      <c r="A8178" t="s">
        <v>1173</v>
      </c>
      <c r="B8178" t="s">
        <v>30</v>
      </c>
      <c r="C8178" t="s">
        <v>58</v>
      </c>
      <c r="D8178" t="s">
        <v>3218</v>
      </c>
      <c r="E8178">
        <v>15.03</v>
      </c>
      <c r="F8178">
        <v>85.6</v>
      </c>
    </row>
    <row r="8179" spans="1:6" x14ac:dyDescent="0.25">
      <c r="A8179" t="s">
        <v>1173</v>
      </c>
      <c r="B8179" t="s">
        <v>30</v>
      </c>
      <c r="C8179" t="s">
        <v>58</v>
      </c>
      <c r="D8179" t="s">
        <v>3219</v>
      </c>
      <c r="E8179">
        <v>32.31</v>
      </c>
      <c r="F8179">
        <v>86.38</v>
      </c>
    </row>
    <row r="8180" spans="1:6" x14ac:dyDescent="0.25">
      <c r="A8180" t="s">
        <v>1174</v>
      </c>
      <c r="B8180" t="s">
        <v>30</v>
      </c>
      <c r="C8180" t="s">
        <v>59</v>
      </c>
      <c r="D8180" t="s">
        <v>3217</v>
      </c>
      <c r="E8180">
        <v>0</v>
      </c>
      <c r="F8180">
        <v>84.06</v>
      </c>
    </row>
    <row r="8181" spans="1:6" x14ac:dyDescent="0.25">
      <c r="A8181" t="s">
        <v>1174</v>
      </c>
      <c r="B8181" t="s">
        <v>30</v>
      </c>
      <c r="C8181" t="s">
        <v>59</v>
      </c>
      <c r="D8181" t="s">
        <v>3218</v>
      </c>
      <c r="E8181">
        <v>15.29</v>
      </c>
      <c r="F8181">
        <v>84.59</v>
      </c>
    </row>
    <row r="8182" spans="1:6" x14ac:dyDescent="0.25">
      <c r="A8182" t="s">
        <v>1174</v>
      </c>
      <c r="B8182" t="s">
        <v>30</v>
      </c>
      <c r="C8182" t="s">
        <v>59</v>
      </c>
      <c r="D8182" t="s">
        <v>3219</v>
      </c>
      <c r="E8182">
        <v>31.56</v>
      </c>
      <c r="F8182">
        <v>85.09</v>
      </c>
    </row>
    <row r="8183" spans="1:6" x14ac:dyDescent="0.25">
      <c r="A8183" t="s">
        <v>1175</v>
      </c>
      <c r="B8183" t="s">
        <v>30</v>
      </c>
      <c r="C8183" t="s">
        <v>60</v>
      </c>
      <c r="D8183" t="s">
        <v>3217</v>
      </c>
      <c r="E8183">
        <v>0</v>
      </c>
      <c r="F8183">
        <v>83.05</v>
      </c>
    </row>
    <row r="8184" spans="1:6" x14ac:dyDescent="0.25">
      <c r="A8184" t="s">
        <v>1175</v>
      </c>
      <c r="B8184" t="s">
        <v>30</v>
      </c>
      <c r="C8184" t="s">
        <v>60</v>
      </c>
      <c r="D8184" t="s">
        <v>3218</v>
      </c>
      <c r="E8184">
        <v>13.86</v>
      </c>
      <c r="F8184">
        <v>83.3</v>
      </c>
    </row>
    <row r="8185" spans="1:6" x14ac:dyDescent="0.25">
      <c r="A8185" t="s">
        <v>1175</v>
      </c>
      <c r="B8185" t="s">
        <v>30</v>
      </c>
      <c r="C8185" t="s">
        <v>60</v>
      </c>
      <c r="D8185" t="s">
        <v>3219</v>
      </c>
      <c r="E8185">
        <v>30.09</v>
      </c>
      <c r="F8185">
        <v>83.33</v>
      </c>
    </row>
    <row r="8186" spans="1:6" x14ac:dyDescent="0.25">
      <c r="A8186" t="s">
        <v>1176</v>
      </c>
      <c r="B8186" t="s">
        <v>30</v>
      </c>
      <c r="C8186" t="s">
        <v>61</v>
      </c>
      <c r="D8186" t="s">
        <v>3217</v>
      </c>
      <c r="E8186">
        <v>0</v>
      </c>
      <c r="F8186">
        <v>81.45</v>
      </c>
    </row>
    <row r="8187" spans="1:6" x14ac:dyDescent="0.25">
      <c r="A8187" t="s">
        <v>1176</v>
      </c>
      <c r="B8187" t="s">
        <v>30</v>
      </c>
      <c r="C8187" t="s">
        <v>61</v>
      </c>
      <c r="D8187" t="s">
        <v>3218</v>
      </c>
      <c r="E8187">
        <v>13.68</v>
      </c>
      <c r="F8187">
        <v>81.8</v>
      </c>
    </row>
    <row r="8188" spans="1:6" x14ac:dyDescent="0.25">
      <c r="A8188" t="s">
        <v>1176</v>
      </c>
      <c r="B8188" t="s">
        <v>30</v>
      </c>
      <c r="C8188" t="s">
        <v>61</v>
      </c>
      <c r="D8188" t="s">
        <v>3219</v>
      </c>
      <c r="E8188">
        <v>29.12</v>
      </c>
      <c r="F8188">
        <v>81.89</v>
      </c>
    </row>
    <row r="8189" spans="1:6" x14ac:dyDescent="0.25">
      <c r="A8189" t="s">
        <v>1177</v>
      </c>
      <c r="B8189" t="s">
        <v>30</v>
      </c>
      <c r="C8189" t="s">
        <v>62</v>
      </c>
      <c r="D8189" t="s">
        <v>3217</v>
      </c>
      <c r="E8189">
        <v>0</v>
      </c>
      <c r="F8189">
        <v>80.11</v>
      </c>
    </row>
    <row r="8190" spans="1:6" x14ac:dyDescent="0.25">
      <c r="A8190" t="s">
        <v>1177</v>
      </c>
      <c r="B8190" t="s">
        <v>30</v>
      </c>
      <c r="C8190" t="s">
        <v>62</v>
      </c>
      <c r="D8190" t="s">
        <v>3218</v>
      </c>
      <c r="E8190">
        <v>12.66</v>
      </c>
      <c r="F8190">
        <v>80.319999999999993</v>
      </c>
    </row>
    <row r="8191" spans="1:6" x14ac:dyDescent="0.25">
      <c r="A8191" t="s">
        <v>1177</v>
      </c>
      <c r="B8191" t="s">
        <v>30</v>
      </c>
      <c r="C8191" t="s">
        <v>62</v>
      </c>
      <c r="D8191" t="s">
        <v>3219</v>
      </c>
      <c r="E8191">
        <v>27.57</v>
      </c>
      <c r="F8191">
        <v>80.680000000000007</v>
      </c>
    </row>
    <row r="8192" spans="1:6" x14ac:dyDescent="0.25">
      <c r="A8192" t="s">
        <v>1178</v>
      </c>
      <c r="B8192" t="s">
        <v>30</v>
      </c>
      <c r="C8192" t="s">
        <v>63</v>
      </c>
      <c r="D8192" t="s">
        <v>3217</v>
      </c>
      <c r="E8192">
        <v>0</v>
      </c>
      <c r="F8192">
        <v>78.7</v>
      </c>
    </row>
    <row r="8193" spans="1:6" x14ac:dyDescent="0.25">
      <c r="A8193" t="s">
        <v>1178</v>
      </c>
      <c r="B8193" t="s">
        <v>30</v>
      </c>
      <c r="C8193" t="s">
        <v>63</v>
      </c>
      <c r="D8193" t="s">
        <v>3218</v>
      </c>
      <c r="E8193">
        <v>12.07</v>
      </c>
      <c r="F8193">
        <v>78.989999999999995</v>
      </c>
    </row>
    <row r="8194" spans="1:6" x14ac:dyDescent="0.25">
      <c r="A8194" t="s">
        <v>1178</v>
      </c>
      <c r="B8194" t="s">
        <v>30</v>
      </c>
      <c r="C8194" t="s">
        <v>63</v>
      </c>
      <c r="D8194" t="s">
        <v>3219</v>
      </c>
      <c r="E8194">
        <v>26.74</v>
      </c>
      <c r="F8194">
        <v>79.31</v>
      </c>
    </row>
    <row r="8195" spans="1:6" x14ac:dyDescent="0.25">
      <c r="A8195" t="s">
        <v>1179</v>
      </c>
      <c r="B8195" t="s">
        <v>30</v>
      </c>
      <c r="C8195" t="s">
        <v>64</v>
      </c>
      <c r="D8195" t="s">
        <v>3217</v>
      </c>
      <c r="E8195">
        <v>0</v>
      </c>
      <c r="F8195">
        <v>77.38</v>
      </c>
    </row>
    <row r="8196" spans="1:6" x14ac:dyDescent="0.25">
      <c r="A8196" t="s">
        <v>1179</v>
      </c>
      <c r="B8196" t="s">
        <v>30</v>
      </c>
      <c r="C8196" t="s">
        <v>64</v>
      </c>
      <c r="D8196" t="s">
        <v>3218</v>
      </c>
      <c r="E8196">
        <v>11.89</v>
      </c>
      <c r="F8196">
        <v>77.52</v>
      </c>
    </row>
    <row r="8197" spans="1:6" x14ac:dyDescent="0.25">
      <c r="A8197" t="s">
        <v>1179</v>
      </c>
      <c r="B8197" t="s">
        <v>30</v>
      </c>
      <c r="C8197" t="s">
        <v>64</v>
      </c>
      <c r="D8197" t="s">
        <v>3219</v>
      </c>
      <c r="E8197">
        <v>26.61</v>
      </c>
      <c r="F8197">
        <v>77.849999999999994</v>
      </c>
    </row>
    <row r="8198" spans="1:6" x14ac:dyDescent="0.25">
      <c r="A8198" t="s">
        <v>1180</v>
      </c>
      <c r="B8198" t="s">
        <v>30</v>
      </c>
      <c r="C8198" t="s">
        <v>65</v>
      </c>
      <c r="D8198" t="s">
        <v>3217</v>
      </c>
      <c r="E8198">
        <v>0</v>
      </c>
      <c r="F8198">
        <v>75.680000000000007</v>
      </c>
    </row>
    <row r="8199" spans="1:6" x14ac:dyDescent="0.25">
      <c r="A8199" t="s">
        <v>1180</v>
      </c>
      <c r="B8199" t="s">
        <v>30</v>
      </c>
      <c r="C8199" t="s">
        <v>65</v>
      </c>
      <c r="D8199" t="s">
        <v>3218</v>
      </c>
      <c r="E8199">
        <v>12.55</v>
      </c>
      <c r="F8199">
        <v>75.989999999999995</v>
      </c>
    </row>
    <row r="8200" spans="1:6" x14ac:dyDescent="0.25">
      <c r="A8200" t="s">
        <v>1180</v>
      </c>
      <c r="B8200" t="s">
        <v>30</v>
      </c>
      <c r="C8200" t="s">
        <v>65</v>
      </c>
      <c r="D8200" t="s">
        <v>3219</v>
      </c>
      <c r="E8200">
        <v>27.6</v>
      </c>
      <c r="F8200">
        <v>76.3</v>
      </c>
    </row>
    <row r="8201" spans="1:6" x14ac:dyDescent="0.25">
      <c r="A8201" t="s">
        <v>1181</v>
      </c>
      <c r="B8201" t="s">
        <v>30</v>
      </c>
      <c r="C8201" t="s">
        <v>66</v>
      </c>
      <c r="D8201" t="s">
        <v>3217</v>
      </c>
      <c r="E8201">
        <v>0</v>
      </c>
      <c r="F8201">
        <v>74.22</v>
      </c>
    </row>
    <row r="8202" spans="1:6" x14ac:dyDescent="0.25">
      <c r="A8202" t="s">
        <v>1181</v>
      </c>
      <c r="B8202" t="s">
        <v>30</v>
      </c>
      <c r="C8202" t="s">
        <v>66</v>
      </c>
      <c r="D8202" t="s">
        <v>3218</v>
      </c>
      <c r="E8202">
        <v>13.74</v>
      </c>
      <c r="F8202">
        <v>74.64</v>
      </c>
    </row>
    <row r="8203" spans="1:6" x14ac:dyDescent="0.25">
      <c r="A8203" t="s">
        <v>1181</v>
      </c>
      <c r="B8203" t="s">
        <v>30</v>
      </c>
      <c r="C8203" t="s">
        <v>66</v>
      </c>
      <c r="D8203" t="s">
        <v>3219</v>
      </c>
      <c r="E8203">
        <v>29.41</v>
      </c>
      <c r="F8203">
        <v>75.03</v>
      </c>
    </row>
    <row r="8204" spans="1:6" x14ac:dyDescent="0.25">
      <c r="A8204" t="s">
        <v>1182</v>
      </c>
      <c r="B8204" t="s">
        <v>30</v>
      </c>
      <c r="C8204" t="s">
        <v>67</v>
      </c>
      <c r="D8204" t="s">
        <v>3217</v>
      </c>
      <c r="E8204">
        <v>0</v>
      </c>
      <c r="F8204">
        <v>72.760000000000005</v>
      </c>
    </row>
    <row r="8205" spans="1:6" x14ac:dyDescent="0.25">
      <c r="A8205" t="s">
        <v>1182</v>
      </c>
      <c r="B8205" t="s">
        <v>30</v>
      </c>
      <c r="C8205" t="s">
        <v>67</v>
      </c>
      <c r="D8205" t="s">
        <v>3218</v>
      </c>
      <c r="E8205">
        <v>14.03</v>
      </c>
      <c r="F8205">
        <v>73.08</v>
      </c>
    </row>
    <row r="8206" spans="1:6" x14ac:dyDescent="0.25">
      <c r="A8206" t="s">
        <v>1182</v>
      </c>
      <c r="B8206" t="s">
        <v>30</v>
      </c>
      <c r="C8206" t="s">
        <v>67</v>
      </c>
      <c r="D8206" t="s">
        <v>3219</v>
      </c>
      <c r="E8206">
        <v>30.16</v>
      </c>
      <c r="F8206">
        <v>73.650000000000006</v>
      </c>
    </row>
    <row r="8207" spans="1:6" x14ac:dyDescent="0.25">
      <c r="A8207" t="s">
        <v>1183</v>
      </c>
      <c r="B8207" t="s">
        <v>30</v>
      </c>
      <c r="C8207" t="s">
        <v>68</v>
      </c>
      <c r="D8207" t="s">
        <v>3217</v>
      </c>
      <c r="E8207">
        <v>0</v>
      </c>
      <c r="F8207">
        <v>71.39</v>
      </c>
    </row>
    <row r="8208" spans="1:6" x14ac:dyDescent="0.25">
      <c r="A8208" t="s">
        <v>1183</v>
      </c>
      <c r="B8208" t="s">
        <v>30</v>
      </c>
      <c r="C8208" t="s">
        <v>68</v>
      </c>
      <c r="D8208" t="s">
        <v>3218</v>
      </c>
      <c r="E8208">
        <v>14.75</v>
      </c>
      <c r="F8208">
        <v>71.64</v>
      </c>
    </row>
    <row r="8209" spans="1:6" x14ac:dyDescent="0.25">
      <c r="A8209" t="s">
        <v>1183</v>
      </c>
      <c r="B8209" t="s">
        <v>30</v>
      </c>
      <c r="C8209" t="s">
        <v>68</v>
      </c>
      <c r="D8209" t="s">
        <v>3219</v>
      </c>
      <c r="E8209">
        <v>30.14</v>
      </c>
      <c r="F8209">
        <v>72.12</v>
      </c>
    </row>
    <row r="8210" spans="1:6" x14ac:dyDescent="0.25">
      <c r="A8210" t="s">
        <v>1184</v>
      </c>
      <c r="B8210" t="s">
        <v>30</v>
      </c>
      <c r="C8210" t="s">
        <v>69</v>
      </c>
      <c r="D8210" t="s">
        <v>3217</v>
      </c>
      <c r="E8210">
        <v>0</v>
      </c>
      <c r="F8210">
        <v>69.95</v>
      </c>
    </row>
    <row r="8211" spans="1:6" x14ac:dyDescent="0.25">
      <c r="A8211" t="s">
        <v>1184</v>
      </c>
      <c r="B8211" t="s">
        <v>30</v>
      </c>
      <c r="C8211" t="s">
        <v>69</v>
      </c>
      <c r="D8211" t="s">
        <v>3218</v>
      </c>
      <c r="E8211">
        <v>14.39</v>
      </c>
      <c r="F8211">
        <v>70.260000000000005</v>
      </c>
    </row>
    <row r="8212" spans="1:6" x14ac:dyDescent="0.25">
      <c r="A8212" t="s">
        <v>1184</v>
      </c>
      <c r="B8212" t="s">
        <v>30</v>
      </c>
      <c r="C8212" t="s">
        <v>69</v>
      </c>
      <c r="D8212" t="s">
        <v>3219</v>
      </c>
      <c r="E8212">
        <v>29.89</v>
      </c>
      <c r="F8212">
        <v>70.59</v>
      </c>
    </row>
    <row r="8213" spans="1:6" x14ac:dyDescent="0.25">
      <c r="A8213" t="s">
        <v>1185</v>
      </c>
      <c r="B8213" t="s">
        <v>30</v>
      </c>
      <c r="C8213" t="s">
        <v>70</v>
      </c>
      <c r="D8213" t="s">
        <v>3217</v>
      </c>
      <c r="E8213">
        <v>0</v>
      </c>
      <c r="F8213">
        <v>68.62</v>
      </c>
    </row>
    <row r="8214" spans="1:6" x14ac:dyDescent="0.25">
      <c r="A8214" t="s">
        <v>1185</v>
      </c>
      <c r="B8214" t="s">
        <v>30</v>
      </c>
      <c r="C8214" t="s">
        <v>70</v>
      </c>
      <c r="D8214" t="s">
        <v>3218</v>
      </c>
      <c r="E8214">
        <v>14.75</v>
      </c>
      <c r="F8214">
        <v>68.790000000000006</v>
      </c>
    </row>
    <row r="8215" spans="1:6" x14ac:dyDescent="0.25">
      <c r="A8215" t="s">
        <v>1185</v>
      </c>
      <c r="B8215" t="s">
        <v>30</v>
      </c>
      <c r="C8215" t="s">
        <v>70</v>
      </c>
      <c r="D8215" t="s">
        <v>3219</v>
      </c>
      <c r="E8215">
        <v>30.02</v>
      </c>
      <c r="F8215">
        <v>68.819999999999993</v>
      </c>
    </row>
    <row r="8216" spans="1:6" x14ac:dyDescent="0.25">
      <c r="A8216" t="s">
        <v>1186</v>
      </c>
      <c r="B8216" t="s">
        <v>30</v>
      </c>
      <c r="C8216" t="s">
        <v>71</v>
      </c>
      <c r="D8216" t="s">
        <v>3217</v>
      </c>
      <c r="E8216">
        <v>0</v>
      </c>
      <c r="F8216">
        <v>67.13</v>
      </c>
    </row>
    <row r="8217" spans="1:6" x14ac:dyDescent="0.25">
      <c r="A8217" t="s">
        <v>1186</v>
      </c>
      <c r="B8217" t="s">
        <v>30</v>
      </c>
      <c r="C8217" t="s">
        <v>71</v>
      </c>
      <c r="D8217" t="s">
        <v>3218</v>
      </c>
      <c r="E8217">
        <v>14.12</v>
      </c>
      <c r="F8217">
        <v>67.209999999999994</v>
      </c>
    </row>
    <row r="8218" spans="1:6" x14ac:dyDescent="0.25">
      <c r="A8218" t="s">
        <v>1186</v>
      </c>
      <c r="B8218" t="s">
        <v>30</v>
      </c>
      <c r="C8218" t="s">
        <v>71</v>
      </c>
      <c r="D8218" t="s">
        <v>3219</v>
      </c>
      <c r="E8218">
        <v>29.72</v>
      </c>
      <c r="F8218">
        <v>67.31</v>
      </c>
    </row>
    <row r="8219" spans="1:6" x14ac:dyDescent="0.25">
      <c r="A8219" t="s">
        <v>1187</v>
      </c>
      <c r="B8219" t="s">
        <v>30</v>
      </c>
      <c r="C8219" t="s">
        <v>72</v>
      </c>
      <c r="D8219" t="s">
        <v>3217</v>
      </c>
      <c r="E8219">
        <v>0</v>
      </c>
      <c r="F8219">
        <v>65.569999999999993</v>
      </c>
    </row>
    <row r="8220" spans="1:6" x14ac:dyDescent="0.25">
      <c r="A8220" t="s">
        <v>1187</v>
      </c>
      <c r="B8220" t="s">
        <v>30</v>
      </c>
      <c r="C8220" t="s">
        <v>72</v>
      </c>
      <c r="D8220" t="s">
        <v>3218</v>
      </c>
      <c r="E8220">
        <v>14.18</v>
      </c>
      <c r="F8220">
        <v>65.78</v>
      </c>
    </row>
    <row r="8221" spans="1:6" x14ac:dyDescent="0.25">
      <c r="A8221" t="s">
        <v>1187</v>
      </c>
      <c r="B8221" t="s">
        <v>30</v>
      </c>
      <c r="C8221" t="s">
        <v>72</v>
      </c>
      <c r="D8221" t="s">
        <v>3219</v>
      </c>
      <c r="E8221">
        <v>29.45</v>
      </c>
      <c r="F8221">
        <v>66.02</v>
      </c>
    </row>
    <row r="8222" spans="1:6" x14ac:dyDescent="0.25">
      <c r="A8222" t="s">
        <v>1188</v>
      </c>
      <c r="B8222" t="s">
        <v>30</v>
      </c>
      <c r="C8222" t="s">
        <v>73</v>
      </c>
      <c r="D8222" t="s">
        <v>3217</v>
      </c>
      <c r="E8222">
        <v>0</v>
      </c>
      <c r="F8222">
        <v>64.16</v>
      </c>
    </row>
    <row r="8223" spans="1:6" x14ac:dyDescent="0.25">
      <c r="A8223" t="s">
        <v>1188</v>
      </c>
      <c r="B8223" t="s">
        <v>30</v>
      </c>
      <c r="C8223" t="s">
        <v>73</v>
      </c>
      <c r="D8223" t="s">
        <v>3218</v>
      </c>
      <c r="E8223">
        <v>14.48</v>
      </c>
      <c r="F8223">
        <v>64.38</v>
      </c>
    </row>
    <row r="8224" spans="1:6" x14ac:dyDescent="0.25">
      <c r="A8224" t="s">
        <v>1188</v>
      </c>
      <c r="B8224" t="s">
        <v>30</v>
      </c>
      <c r="C8224" t="s">
        <v>73</v>
      </c>
      <c r="D8224" t="s">
        <v>3219</v>
      </c>
      <c r="E8224">
        <v>29.99</v>
      </c>
      <c r="F8224">
        <v>64.56</v>
      </c>
    </row>
    <row r="8225" spans="1:6" x14ac:dyDescent="0.25">
      <c r="A8225" t="s">
        <v>1189</v>
      </c>
      <c r="B8225" t="s">
        <v>30</v>
      </c>
      <c r="C8225" t="s">
        <v>74</v>
      </c>
      <c r="D8225" t="s">
        <v>3217</v>
      </c>
      <c r="E8225">
        <v>0</v>
      </c>
      <c r="F8225">
        <v>62.7</v>
      </c>
    </row>
    <row r="8226" spans="1:6" x14ac:dyDescent="0.25">
      <c r="A8226" t="s">
        <v>1189</v>
      </c>
      <c r="B8226" t="s">
        <v>30</v>
      </c>
      <c r="C8226" t="s">
        <v>74</v>
      </c>
      <c r="D8226" t="s">
        <v>3218</v>
      </c>
      <c r="E8226">
        <v>14.22</v>
      </c>
      <c r="F8226">
        <v>62.86</v>
      </c>
    </row>
    <row r="8227" spans="1:6" x14ac:dyDescent="0.25">
      <c r="A8227" t="s">
        <v>1189</v>
      </c>
      <c r="B8227" t="s">
        <v>30</v>
      </c>
      <c r="C8227" t="s">
        <v>74</v>
      </c>
      <c r="D8227" t="s">
        <v>3219</v>
      </c>
      <c r="E8227">
        <v>30.01</v>
      </c>
      <c r="F8227">
        <v>63.05</v>
      </c>
    </row>
    <row r="8228" spans="1:6" x14ac:dyDescent="0.25">
      <c r="A8228" t="s">
        <v>1190</v>
      </c>
      <c r="B8228" t="s">
        <v>30</v>
      </c>
      <c r="C8228" t="s">
        <v>75</v>
      </c>
      <c r="D8228" t="s">
        <v>3217</v>
      </c>
      <c r="E8228">
        <v>0</v>
      </c>
      <c r="F8228">
        <v>61.46</v>
      </c>
    </row>
    <row r="8229" spans="1:6" x14ac:dyDescent="0.25">
      <c r="A8229" t="s">
        <v>1190</v>
      </c>
      <c r="B8229" t="s">
        <v>30</v>
      </c>
      <c r="C8229" t="s">
        <v>75</v>
      </c>
      <c r="D8229" t="s">
        <v>3218</v>
      </c>
      <c r="E8229">
        <v>14.15</v>
      </c>
      <c r="F8229">
        <v>61.58</v>
      </c>
    </row>
    <row r="8230" spans="1:6" x14ac:dyDescent="0.25">
      <c r="A8230" t="s">
        <v>1190</v>
      </c>
      <c r="B8230" t="s">
        <v>30</v>
      </c>
      <c r="C8230" t="s">
        <v>75</v>
      </c>
      <c r="D8230" t="s">
        <v>3219</v>
      </c>
      <c r="E8230">
        <v>30.63</v>
      </c>
      <c r="F8230">
        <v>61.65</v>
      </c>
    </row>
    <row r="8231" spans="1:6" x14ac:dyDescent="0.25">
      <c r="A8231" t="s">
        <v>1191</v>
      </c>
      <c r="B8231" t="s">
        <v>30</v>
      </c>
      <c r="C8231" t="s">
        <v>76</v>
      </c>
      <c r="D8231" t="s">
        <v>3217</v>
      </c>
      <c r="E8231">
        <v>0</v>
      </c>
      <c r="F8231">
        <v>60.1</v>
      </c>
    </row>
    <row r="8232" spans="1:6" x14ac:dyDescent="0.25">
      <c r="A8232" t="s">
        <v>1191</v>
      </c>
      <c r="B8232" t="s">
        <v>30</v>
      </c>
      <c r="C8232" t="s">
        <v>76</v>
      </c>
      <c r="D8232" t="s">
        <v>3218</v>
      </c>
      <c r="E8232">
        <v>13.98</v>
      </c>
      <c r="F8232">
        <v>60.34</v>
      </c>
    </row>
    <row r="8233" spans="1:6" x14ac:dyDescent="0.25">
      <c r="A8233" t="s">
        <v>1191</v>
      </c>
      <c r="B8233" t="s">
        <v>30</v>
      </c>
      <c r="C8233" t="s">
        <v>76</v>
      </c>
      <c r="D8233" t="s">
        <v>3219</v>
      </c>
      <c r="E8233">
        <v>30.42</v>
      </c>
      <c r="F8233">
        <v>60.62</v>
      </c>
    </row>
    <row r="8234" spans="1:6" x14ac:dyDescent="0.25">
      <c r="A8234" t="s">
        <v>1192</v>
      </c>
      <c r="B8234" t="s">
        <v>30</v>
      </c>
      <c r="C8234" t="s">
        <v>77</v>
      </c>
      <c r="D8234" t="s">
        <v>3217</v>
      </c>
      <c r="E8234">
        <v>0</v>
      </c>
      <c r="F8234">
        <v>59.07</v>
      </c>
    </row>
    <row r="8235" spans="1:6" x14ac:dyDescent="0.25">
      <c r="A8235" t="s">
        <v>1192</v>
      </c>
      <c r="B8235" t="s">
        <v>30</v>
      </c>
      <c r="C8235" t="s">
        <v>77</v>
      </c>
      <c r="D8235" t="s">
        <v>3218</v>
      </c>
      <c r="E8235">
        <v>14.07</v>
      </c>
      <c r="F8235">
        <v>59.3</v>
      </c>
    </row>
    <row r="8236" spans="1:6" x14ac:dyDescent="0.25">
      <c r="A8236" t="s">
        <v>1192</v>
      </c>
      <c r="B8236" t="s">
        <v>30</v>
      </c>
      <c r="C8236" t="s">
        <v>77</v>
      </c>
      <c r="D8236" t="s">
        <v>3219</v>
      </c>
      <c r="E8236">
        <v>29.67</v>
      </c>
      <c r="F8236">
        <v>59.37</v>
      </c>
    </row>
    <row r="8237" spans="1:6" x14ac:dyDescent="0.25">
      <c r="A8237" t="s">
        <v>1193</v>
      </c>
      <c r="B8237" t="s">
        <v>30</v>
      </c>
      <c r="C8237" t="s">
        <v>78</v>
      </c>
      <c r="D8237" t="s">
        <v>3217</v>
      </c>
      <c r="E8237">
        <v>0</v>
      </c>
      <c r="F8237">
        <v>58.24</v>
      </c>
    </row>
    <row r="8238" spans="1:6" x14ac:dyDescent="0.25">
      <c r="A8238" t="s">
        <v>1193</v>
      </c>
      <c r="B8238" t="s">
        <v>30</v>
      </c>
      <c r="C8238" t="s">
        <v>78</v>
      </c>
      <c r="D8238" t="s">
        <v>3218</v>
      </c>
      <c r="E8238">
        <v>13.08</v>
      </c>
      <c r="F8238">
        <v>58.33</v>
      </c>
    </row>
    <row r="8239" spans="1:6" x14ac:dyDescent="0.25">
      <c r="A8239" t="s">
        <v>1193</v>
      </c>
      <c r="B8239" t="s">
        <v>30</v>
      </c>
      <c r="C8239" t="s">
        <v>78</v>
      </c>
      <c r="D8239" t="s">
        <v>3219</v>
      </c>
      <c r="E8239">
        <v>29.12</v>
      </c>
      <c r="F8239">
        <v>58.5</v>
      </c>
    </row>
    <row r="8240" spans="1:6" x14ac:dyDescent="0.25">
      <c r="A8240" t="s">
        <v>1194</v>
      </c>
      <c r="B8240" t="s">
        <v>30</v>
      </c>
      <c r="C8240" t="s">
        <v>79</v>
      </c>
      <c r="D8240" t="s">
        <v>3217</v>
      </c>
      <c r="E8240">
        <v>0</v>
      </c>
      <c r="F8240">
        <v>57.31</v>
      </c>
    </row>
    <row r="8241" spans="1:6" x14ac:dyDescent="0.25">
      <c r="A8241" t="s">
        <v>1194</v>
      </c>
      <c r="B8241" t="s">
        <v>30</v>
      </c>
      <c r="C8241" t="s">
        <v>79</v>
      </c>
      <c r="D8241" t="s">
        <v>3218</v>
      </c>
      <c r="E8241">
        <v>13</v>
      </c>
      <c r="F8241">
        <v>57.4</v>
      </c>
    </row>
    <row r="8242" spans="1:6" x14ac:dyDescent="0.25">
      <c r="A8242" t="s">
        <v>1194</v>
      </c>
      <c r="B8242" t="s">
        <v>30</v>
      </c>
      <c r="C8242" t="s">
        <v>79</v>
      </c>
      <c r="D8242" t="s">
        <v>3219</v>
      </c>
      <c r="E8242">
        <v>28.68</v>
      </c>
      <c r="F8242">
        <v>57.34</v>
      </c>
    </row>
    <row r="8243" spans="1:6" x14ac:dyDescent="0.25">
      <c r="A8243" t="s">
        <v>1195</v>
      </c>
      <c r="B8243" t="s">
        <v>30</v>
      </c>
      <c r="C8243" t="s">
        <v>80</v>
      </c>
      <c r="D8243" t="s">
        <v>3217</v>
      </c>
      <c r="E8243">
        <v>0</v>
      </c>
      <c r="F8243">
        <v>56.48</v>
      </c>
    </row>
    <row r="8244" spans="1:6" x14ac:dyDescent="0.25">
      <c r="A8244" t="s">
        <v>1195</v>
      </c>
      <c r="B8244" t="s">
        <v>30</v>
      </c>
      <c r="C8244" t="s">
        <v>80</v>
      </c>
      <c r="D8244" t="s">
        <v>3218</v>
      </c>
      <c r="E8244">
        <v>13.02</v>
      </c>
      <c r="F8244">
        <v>56.59</v>
      </c>
    </row>
    <row r="8245" spans="1:6" x14ac:dyDescent="0.25">
      <c r="A8245" t="s">
        <v>1195</v>
      </c>
      <c r="B8245" t="s">
        <v>30</v>
      </c>
      <c r="C8245" t="s">
        <v>80</v>
      </c>
      <c r="D8245" t="s">
        <v>3219</v>
      </c>
      <c r="E8245">
        <v>29.06</v>
      </c>
      <c r="F8245">
        <v>56.59</v>
      </c>
    </row>
    <row r="8246" spans="1:6" x14ac:dyDescent="0.25">
      <c r="A8246" t="s">
        <v>1196</v>
      </c>
      <c r="B8246" t="s">
        <v>30</v>
      </c>
      <c r="C8246" t="s">
        <v>81</v>
      </c>
      <c r="D8246" t="s">
        <v>3217</v>
      </c>
      <c r="E8246">
        <v>0</v>
      </c>
      <c r="F8246">
        <v>55.71</v>
      </c>
    </row>
    <row r="8247" spans="1:6" x14ac:dyDescent="0.25">
      <c r="A8247" t="s">
        <v>1196</v>
      </c>
      <c r="B8247" t="s">
        <v>30</v>
      </c>
      <c r="C8247" t="s">
        <v>81</v>
      </c>
      <c r="D8247" t="s">
        <v>3218</v>
      </c>
      <c r="E8247">
        <v>12.21</v>
      </c>
      <c r="F8247">
        <v>55.81</v>
      </c>
    </row>
    <row r="8248" spans="1:6" x14ac:dyDescent="0.25">
      <c r="A8248" t="s">
        <v>1196</v>
      </c>
      <c r="B8248" t="s">
        <v>30</v>
      </c>
      <c r="C8248" t="s">
        <v>81</v>
      </c>
      <c r="D8248" t="s">
        <v>3219</v>
      </c>
      <c r="E8248">
        <v>27.21</v>
      </c>
      <c r="F8248">
        <v>55.82</v>
      </c>
    </row>
    <row r="8249" spans="1:6" x14ac:dyDescent="0.25">
      <c r="A8249" t="s">
        <v>1197</v>
      </c>
      <c r="B8249" t="s">
        <v>30</v>
      </c>
      <c r="C8249" t="s">
        <v>82</v>
      </c>
      <c r="D8249" t="s">
        <v>3217</v>
      </c>
      <c r="E8249">
        <v>0</v>
      </c>
      <c r="F8249">
        <v>55.39</v>
      </c>
    </row>
    <row r="8250" spans="1:6" x14ac:dyDescent="0.25">
      <c r="A8250" t="s">
        <v>1197</v>
      </c>
      <c r="B8250" t="s">
        <v>30</v>
      </c>
      <c r="C8250" t="s">
        <v>82</v>
      </c>
      <c r="D8250" t="s">
        <v>3218</v>
      </c>
      <c r="E8250">
        <v>13.04</v>
      </c>
      <c r="F8250">
        <v>55.24</v>
      </c>
    </row>
    <row r="8251" spans="1:6" x14ac:dyDescent="0.25">
      <c r="A8251" t="s">
        <v>1197</v>
      </c>
      <c r="B8251" t="s">
        <v>30</v>
      </c>
      <c r="C8251" t="s">
        <v>82</v>
      </c>
      <c r="D8251" t="s">
        <v>3219</v>
      </c>
      <c r="E8251">
        <v>26.82</v>
      </c>
      <c r="F8251">
        <v>55.08</v>
      </c>
    </row>
    <row r="8252" spans="1:6" x14ac:dyDescent="0.25">
      <c r="A8252" t="s">
        <v>1198</v>
      </c>
      <c r="B8252" t="s">
        <v>30</v>
      </c>
      <c r="C8252" t="s">
        <v>83</v>
      </c>
      <c r="D8252" t="s">
        <v>3217</v>
      </c>
      <c r="E8252">
        <v>0</v>
      </c>
      <c r="F8252">
        <v>54.87</v>
      </c>
    </row>
    <row r="8253" spans="1:6" x14ac:dyDescent="0.25">
      <c r="A8253" t="s">
        <v>1198</v>
      </c>
      <c r="B8253" t="s">
        <v>30</v>
      </c>
      <c r="C8253" t="s">
        <v>83</v>
      </c>
      <c r="D8253" t="s">
        <v>3218</v>
      </c>
      <c r="E8253">
        <v>11.75</v>
      </c>
      <c r="F8253">
        <v>54.83</v>
      </c>
    </row>
    <row r="8254" spans="1:6" x14ac:dyDescent="0.25">
      <c r="A8254" t="s">
        <v>1198</v>
      </c>
      <c r="B8254" t="s">
        <v>30</v>
      </c>
      <c r="C8254" t="s">
        <v>83</v>
      </c>
      <c r="D8254" t="s">
        <v>3219</v>
      </c>
      <c r="E8254">
        <v>26.73</v>
      </c>
      <c r="F8254">
        <v>54.84</v>
      </c>
    </row>
    <row r="8255" spans="1:6" x14ac:dyDescent="0.25">
      <c r="A8255" t="s">
        <v>1199</v>
      </c>
      <c r="B8255" t="s">
        <v>30</v>
      </c>
      <c r="C8255" t="s">
        <v>84</v>
      </c>
      <c r="D8255" t="s">
        <v>3217</v>
      </c>
      <c r="E8255">
        <v>0</v>
      </c>
      <c r="F8255">
        <v>54.23</v>
      </c>
    </row>
    <row r="8256" spans="1:6" x14ac:dyDescent="0.25">
      <c r="A8256" t="s">
        <v>1199</v>
      </c>
      <c r="B8256" t="s">
        <v>30</v>
      </c>
      <c r="C8256" t="s">
        <v>84</v>
      </c>
      <c r="D8256" t="s">
        <v>3218</v>
      </c>
      <c r="E8256">
        <v>15.83</v>
      </c>
      <c r="F8256">
        <v>54.45</v>
      </c>
    </row>
    <row r="8257" spans="1:6" x14ac:dyDescent="0.25">
      <c r="A8257" t="s">
        <v>1199</v>
      </c>
      <c r="B8257" t="s">
        <v>30</v>
      </c>
      <c r="C8257" t="s">
        <v>84</v>
      </c>
      <c r="D8257" t="s">
        <v>3219</v>
      </c>
      <c r="E8257">
        <v>30.98</v>
      </c>
      <c r="F8257">
        <v>54.32</v>
      </c>
    </row>
    <row r="8258" spans="1:6" x14ac:dyDescent="0.25">
      <c r="A8258" t="s">
        <v>1200</v>
      </c>
      <c r="B8258" t="s">
        <v>30</v>
      </c>
      <c r="C8258" t="s">
        <v>85</v>
      </c>
      <c r="D8258" t="s">
        <v>3217</v>
      </c>
      <c r="E8258">
        <v>0</v>
      </c>
      <c r="F8258">
        <v>55.24</v>
      </c>
    </row>
    <row r="8259" spans="1:6" x14ac:dyDescent="0.25">
      <c r="A8259" t="s">
        <v>1200</v>
      </c>
      <c r="B8259" t="s">
        <v>30</v>
      </c>
      <c r="C8259" t="s">
        <v>85</v>
      </c>
      <c r="D8259" t="s">
        <v>3218</v>
      </c>
      <c r="E8259">
        <v>20</v>
      </c>
      <c r="F8259">
        <v>53.82</v>
      </c>
    </row>
    <row r="8260" spans="1:6" x14ac:dyDescent="0.25">
      <c r="A8260" t="s">
        <v>1200</v>
      </c>
      <c r="B8260" t="s">
        <v>30</v>
      </c>
      <c r="C8260" t="s">
        <v>85</v>
      </c>
      <c r="D8260" t="s">
        <v>3219</v>
      </c>
      <c r="E8260">
        <v>37.770000000000003</v>
      </c>
      <c r="F8260">
        <v>54.43</v>
      </c>
    </row>
    <row r="8261" spans="1:6" x14ac:dyDescent="0.25">
      <c r="A8261" t="s">
        <v>1201</v>
      </c>
      <c r="B8261" t="s">
        <v>30</v>
      </c>
      <c r="C8261" t="s">
        <v>86</v>
      </c>
      <c r="D8261" t="s">
        <v>3217</v>
      </c>
      <c r="E8261">
        <v>0</v>
      </c>
      <c r="F8261">
        <v>52.57</v>
      </c>
    </row>
    <row r="8262" spans="1:6" x14ac:dyDescent="0.25">
      <c r="A8262" t="s">
        <v>1201</v>
      </c>
      <c r="B8262" t="s">
        <v>30</v>
      </c>
      <c r="C8262" t="s">
        <v>86</v>
      </c>
      <c r="D8262" t="s">
        <v>3218</v>
      </c>
      <c r="E8262">
        <v>20</v>
      </c>
      <c r="F8262">
        <v>53.14</v>
      </c>
    </row>
    <row r="8263" spans="1:6" x14ac:dyDescent="0.25">
      <c r="A8263" t="s">
        <v>1201</v>
      </c>
      <c r="B8263" t="s">
        <v>30</v>
      </c>
      <c r="C8263" t="s">
        <v>86</v>
      </c>
      <c r="D8263" t="s">
        <v>3219</v>
      </c>
      <c r="E8263">
        <v>40</v>
      </c>
      <c r="F8263">
        <v>54.17</v>
      </c>
    </row>
    <row r="8264" spans="1:6" x14ac:dyDescent="0.25">
      <c r="A8264" t="s">
        <v>1202</v>
      </c>
      <c r="B8264" t="s">
        <v>30</v>
      </c>
      <c r="C8264" t="s">
        <v>87</v>
      </c>
      <c r="D8264" t="s">
        <v>3217</v>
      </c>
      <c r="E8264">
        <v>0</v>
      </c>
      <c r="F8264">
        <v>52.21</v>
      </c>
    </row>
    <row r="8265" spans="1:6" x14ac:dyDescent="0.25">
      <c r="A8265" t="s">
        <v>1202</v>
      </c>
      <c r="B8265" t="s">
        <v>30</v>
      </c>
      <c r="C8265" t="s">
        <v>87</v>
      </c>
      <c r="D8265" t="s">
        <v>3218</v>
      </c>
      <c r="E8265">
        <v>20</v>
      </c>
      <c r="F8265">
        <v>53.01</v>
      </c>
    </row>
    <row r="8266" spans="1:6" x14ac:dyDescent="0.25">
      <c r="A8266" t="s">
        <v>1202</v>
      </c>
      <c r="B8266" t="s">
        <v>30</v>
      </c>
      <c r="C8266" t="s">
        <v>87</v>
      </c>
      <c r="D8266" t="s">
        <v>3219</v>
      </c>
      <c r="E8266">
        <v>40</v>
      </c>
      <c r="F8266">
        <v>53.47</v>
      </c>
    </row>
    <row r="8267" spans="1:6" x14ac:dyDescent="0.25">
      <c r="A8267" t="s">
        <v>1203</v>
      </c>
      <c r="B8267" t="s">
        <v>30</v>
      </c>
      <c r="C8267" t="s">
        <v>88</v>
      </c>
      <c r="D8267" t="s">
        <v>3217</v>
      </c>
      <c r="E8267">
        <v>0</v>
      </c>
      <c r="F8267">
        <v>51.67</v>
      </c>
    </row>
    <row r="8268" spans="1:6" x14ac:dyDescent="0.25">
      <c r="A8268" t="s">
        <v>1203</v>
      </c>
      <c r="B8268" t="s">
        <v>30</v>
      </c>
      <c r="C8268" t="s">
        <v>88</v>
      </c>
      <c r="D8268" t="s">
        <v>3218</v>
      </c>
      <c r="E8268">
        <v>20</v>
      </c>
      <c r="F8268">
        <v>53.52</v>
      </c>
    </row>
    <row r="8269" spans="1:6" x14ac:dyDescent="0.25">
      <c r="A8269" t="s">
        <v>1203</v>
      </c>
      <c r="B8269" t="s">
        <v>30</v>
      </c>
      <c r="C8269" t="s">
        <v>88</v>
      </c>
      <c r="D8269" t="s">
        <v>3219</v>
      </c>
      <c r="E8269">
        <v>40</v>
      </c>
      <c r="F8269">
        <v>52.32</v>
      </c>
    </row>
    <row r="8270" spans="1:6" x14ac:dyDescent="0.25">
      <c r="A8270" t="s">
        <v>1204</v>
      </c>
      <c r="B8270" t="s">
        <v>30</v>
      </c>
      <c r="C8270" t="s">
        <v>89</v>
      </c>
      <c r="D8270" t="s">
        <v>3217</v>
      </c>
      <c r="E8270">
        <v>0</v>
      </c>
      <c r="F8270">
        <v>50.8</v>
      </c>
    </row>
    <row r="8271" spans="1:6" x14ac:dyDescent="0.25">
      <c r="A8271" t="s">
        <v>1204</v>
      </c>
      <c r="B8271" t="s">
        <v>30</v>
      </c>
      <c r="C8271" t="s">
        <v>89</v>
      </c>
      <c r="D8271" t="s">
        <v>3218</v>
      </c>
      <c r="E8271">
        <v>20</v>
      </c>
      <c r="F8271">
        <v>51.31</v>
      </c>
    </row>
    <row r="8272" spans="1:6" x14ac:dyDescent="0.25">
      <c r="A8272" t="s">
        <v>1204</v>
      </c>
      <c r="B8272" t="s">
        <v>30</v>
      </c>
      <c r="C8272" t="s">
        <v>89</v>
      </c>
      <c r="D8272" t="s">
        <v>3219</v>
      </c>
      <c r="E8272">
        <v>40</v>
      </c>
      <c r="F8272">
        <v>51.77</v>
      </c>
    </row>
    <row r="8273" spans="1:6" x14ac:dyDescent="0.25">
      <c r="A8273" t="s">
        <v>1205</v>
      </c>
      <c r="B8273" t="s">
        <v>30</v>
      </c>
      <c r="C8273" t="s">
        <v>90</v>
      </c>
      <c r="D8273" t="s">
        <v>3217</v>
      </c>
      <c r="E8273">
        <v>0</v>
      </c>
      <c r="F8273">
        <v>50.22</v>
      </c>
    </row>
    <row r="8274" spans="1:6" x14ac:dyDescent="0.25">
      <c r="A8274" t="s">
        <v>1205</v>
      </c>
      <c r="B8274" t="s">
        <v>30</v>
      </c>
      <c r="C8274" t="s">
        <v>90</v>
      </c>
      <c r="D8274" t="s">
        <v>3218</v>
      </c>
      <c r="E8274">
        <v>20</v>
      </c>
      <c r="F8274">
        <v>50.5</v>
      </c>
    </row>
    <row r="8275" spans="1:6" x14ac:dyDescent="0.25">
      <c r="A8275" t="s">
        <v>1205</v>
      </c>
      <c r="B8275" t="s">
        <v>30</v>
      </c>
      <c r="C8275" t="s">
        <v>90</v>
      </c>
      <c r="D8275" t="s">
        <v>3219</v>
      </c>
      <c r="E8275">
        <v>40</v>
      </c>
      <c r="F8275">
        <v>50.99</v>
      </c>
    </row>
    <row r="8276" spans="1:6" x14ac:dyDescent="0.25">
      <c r="A8276" t="s">
        <v>1206</v>
      </c>
      <c r="B8276" t="s">
        <v>30</v>
      </c>
      <c r="C8276" t="s">
        <v>91</v>
      </c>
      <c r="D8276" t="s">
        <v>3217</v>
      </c>
      <c r="E8276">
        <v>0</v>
      </c>
      <c r="F8276">
        <v>49.13</v>
      </c>
    </row>
    <row r="8277" spans="1:6" x14ac:dyDescent="0.25">
      <c r="A8277" t="s">
        <v>1206</v>
      </c>
      <c r="B8277" t="s">
        <v>30</v>
      </c>
      <c r="C8277" t="s">
        <v>91</v>
      </c>
      <c r="D8277" t="s">
        <v>3218</v>
      </c>
      <c r="E8277">
        <v>20</v>
      </c>
      <c r="F8277">
        <v>49.36</v>
      </c>
    </row>
    <row r="8278" spans="1:6" x14ac:dyDescent="0.25">
      <c r="A8278" t="s">
        <v>1206</v>
      </c>
      <c r="B8278" t="s">
        <v>30</v>
      </c>
      <c r="C8278" t="s">
        <v>91</v>
      </c>
      <c r="D8278" t="s">
        <v>3219</v>
      </c>
      <c r="E8278">
        <v>40</v>
      </c>
      <c r="F8278">
        <v>49.6</v>
      </c>
    </row>
    <row r="8279" spans="1:6" x14ac:dyDescent="0.25">
      <c r="A8279" t="s">
        <v>1207</v>
      </c>
      <c r="B8279" t="s">
        <v>30</v>
      </c>
      <c r="C8279" t="s">
        <v>92</v>
      </c>
      <c r="D8279" t="s">
        <v>3217</v>
      </c>
      <c r="E8279">
        <v>0</v>
      </c>
      <c r="F8279">
        <v>47.77</v>
      </c>
    </row>
    <row r="8280" spans="1:6" x14ac:dyDescent="0.25">
      <c r="A8280" t="s">
        <v>1207</v>
      </c>
      <c r="B8280" t="s">
        <v>30</v>
      </c>
      <c r="C8280" t="s">
        <v>92</v>
      </c>
      <c r="D8280" t="s">
        <v>3218</v>
      </c>
      <c r="E8280">
        <v>20</v>
      </c>
      <c r="F8280">
        <v>47.91</v>
      </c>
    </row>
    <row r="8281" spans="1:6" x14ac:dyDescent="0.25">
      <c r="A8281" t="s">
        <v>1207</v>
      </c>
      <c r="B8281" t="s">
        <v>30</v>
      </c>
      <c r="C8281" t="s">
        <v>92</v>
      </c>
      <c r="D8281" t="s">
        <v>3219</v>
      </c>
      <c r="E8281">
        <v>40</v>
      </c>
      <c r="F8281">
        <v>48.24</v>
      </c>
    </row>
    <row r="8282" spans="1:6" x14ac:dyDescent="0.25">
      <c r="A8282" t="s">
        <v>1208</v>
      </c>
      <c r="B8282" t="s">
        <v>30</v>
      </c>
      <c r="C8282" t="s">
        <v>93</v>
      </c>
      <c r="D8282" t="s">
        <v>3217</v>
      </c>
      <c r="E8282">
        <v>0</v>
      </c>
      <c r="F8282">
        <v>46.36</v>
      </c>
    </row>
    <row r="8283" spans="1:6" x14ac:dyDescent="0.25">
      <c r="A8283" t="s">
        <v>1208</v>
      </c>
      <c r="B8283" t="s">
        <v>30</v>
      </c>
      <c r="C8283" t="s">
        <v>93</v>
      </c>
      <c r="D8283" t="s">
        <v>3218</v>
      </c>
      <c r="E8283">
        <v>20</v>
      </c>
      <c r="F8283">
        <v>46.68</v>
      </c>
    </row>
    <row r="8284" spans="1:6" x14ac:dyDescent="0.25">
      <c r="A8284" t="s">
        <v>1208</v>
      </c>
      <c r="B8284" t="s">
        <v>30</v>
      </c>
      <c r="C8284" t="s">
        <v>93</v>
      </c>
      <c r="D8284" t="s">
        <v>3219</v>
      </c>
      <c r="E8284">
        <v>40</v>
      </c>
      <c r="F8284">
        <v>46.92</v>
      </c>
    </row>
    <row r="8285" spans="1:6" x14ac:dyDescent="0.25">
      <c r="A8285" t="s">
        <v>1209</v>
      </c>
      <c r="B8285" t="s">
        <v>30</v>
      </c>
      <c r="C8285" t="s">
        <v>94</v>
      </c>
      <c r="D8285" t="s">
        <v>3217</v>
      </c>
      <c r="E8285">
        <v>0</v>
      </c>
      <c r="F8285">
        <v>45.48</v>
      </c>
    </row>
    <row r="8286" spans="1:6" x14ac:dyDescent="0.25">
      <c r="A8286" t="s">
        <v>1209</v>
      </c>
      <c r="B8286" t="s">
        <v>30</v>
      </c>
      <c r="C8286" t="s">
        <v>94</v>
      </c>
      <c r="D8286" t="s">
        <v>3218</v>
      </c>
      <c r="E8286">
        <v>20</v>
      </c>
      <c r="F8286">
        <v>45.09</v>
      </c>
    </row>
    <row r="8287" spans="1:6" x14ac:dyDescent="0.25">
      <c r="A8287" t="s">
        <v>1209</v>
      </c>
      <c r="B8287" t="s">
        <v>30</v>
      </c>
      <c r="C8287" t="s">
        <v>94</v>
      </c>
      <c r="D8287" t="s">
        <v>3219</v>
      </c>
      <c r="E8287">
        <v>40</v>
      </c>
      <c r="F8287">
        <v>45.35</v>
      </c>
    </row>
    <row r="8288" spans="1:6" x14ac:dyDescent="0.25">
      <c r="A8288" t="s">
        <v>1210</v>
      </c>
      <c r="B8288" t="s">
        <v>30</v>
      </c>
      <c r="C8288" t="s">
        <v>95</v>
      </c>
      <c r="D8288" t="s">
        <v>3217</v>
      </c>
      <c r="E8288">
        <v>0</v>
      </c>
      <c r="F8288">
        <v>43.79</v>
      </c>
    </row>
    <row r="8289" spans="1:6" x14ac:dyDescent="0.25">
      <c r="A8289" t="s">
        <v>1210</v>
      </c>
      <c r="B8289" t="s">
        <v>30</v>
      </c>
      <c r="C8289" t="s">
        <v>95</v>
      </c>
      <c r="D8289" t="s">
        <v>3218</v>
      </c>
      <c r="E8289">
        <v>20</v>
      </c>
      <c r="F8289">
        <v>43.54</v>
      </c>
    </row>
    <row r="8290" spans="1:6" x14ac:dyDescent="0.25">
      <c r="A8290" t="s">
        <v>1210</v>
      </c>
      <c r="B8290" t="s">
        <v>30</v>
      </c>
      <c r="C8290" t="s">
        <v>95</v>
      </c>
      <c r="D8290" t="s">
        <v>3219</v>
      </c>
      <c r="E8290">
        <v>40</v>
      </c>
      <c r="F8290">
        <v>44.53</v>
      </c>
    </row>
    <row r="8291" spans="1:6" x14ac:dyDescent="0.25">
      <c r="A8291" t="s">
        <v>1211</v>
      </c>
      <c r="B8291" t="s">
        <v>30</v>
      </c>
      <c r="C8291" t="s">
        <v>96</v>
      </c>
      <c r="D8291" t="s">
        <v>3217</v>
      </c>
      <c r="E8291">
        <v>0</v>
      </c>
      <c r="F8291">
        <v>42.5</v>
      </c>
    </row>
    <row r="8292" spans="1:6" x14ac:dyDescent="0.25">
      <c r="A8292" t="s">
        <v>1211</v>
      </c>
      <c r="B8292" t="s">
        <v>30</v>
      </c>
      <c r="C8292" t="s">
        <v>96</v>
      </c>
      <c r="D8292" t="s">
        <v>3218</v>
      </c>
      <c r="E8292">
        <v>20</v>
      </c>
      <c r="F8292">
        <v>42.27</v>
      </c>
    </row>
    <row r="8293" spans="1:6" x14ac:dyDescent="0.25">
      <c r="A8293" t="s">
        <v>1211</v>
      </c>
      <c r="B8293" t="s">
        <v>30</v>
      </c>
      <c r="C8293" t="s">
        <v>96</v>
      </c>
      <c r="D8293" t="s">
        <v>3219</v>
      </c>
      <c r="E8293">
        <v>40</v>
      </c>
      <c r="F8293">
        <v>43.4</v>
      </c>
    </row>
    <row r="8294" spans="1:6" x14ac:dyDescent="0.25">
      <c r="A8294" t="s">
        <v>1212</v>
      </c>
      <c r="B8294" t="s">
        <v>30</v>
      </c>
      <c r="C8294" t="s">
        <v>97</v>
      </c>
      <c r="D8294" t="s">
        <v>3217</v>
      </c>
      <c r="E8294">
        <v>0</v>
      </c>
      <c r="F8294">
        <v>41.11</v>
      </c>
    </row>
    <row r="8295" spans="1:6" x14ac:dyDescent="0.25">
      <c r="A8295" t="s">
        <v>1212</v>
      </c>
      <c r="B8295" t="s">
        <v>30</v>
      </c>
      <c r="C8295" t="s">
        <v>97</v>
      </c>
      <c r="D8295" t="s">
        <v>3218</v>
      </c>
      <c r="E8295">
        <v>16.22</v>
      </c>
      <c r="F8295">
        <v>41.06</v>
      </c>
    </row>
    <row r="8296" spans="1:6" x14ac:dyDescent="0.25">
      <c r="A8296" t="s">
        <v>1212</v>
      </c>
      <c r="B8296" t="s">
        <v>30</v>
      </c>
      <c r="C8296" t="s">
        <v>97</v>
      </c>
      <c r="D8296" t="s">
        <v>3219</v>
      </c>
      <c r="E8296">
        <v>28.72</v>
      </c>
      <c r="F8296">
        <v>42.89</v>
      </c>
    </row>
    <row r="8297" spans="1:6" x14ac:dyDescent="0.25">
      <c r="A8297" t="s">
        <v>1213</v>
      </c>
      <c r="B8297" t="s">
        <v>30</v>
      </c>
      <c r="C8297" t="s">
        <v>98</v>
      </c>
      <c r="D8297" t="s">
        <v>3217</v>
      </c>
      <c r="E8297">
        <v>0</v>
      </c>
      <c r="F8297">
        <v>39.72</v>
      </c>
    </row>
    <row r="8298" spans="1:6" x14ac:dyDescent="0.25">
      <c r="A8298" t="s">
        <v>1213</v>
      </c>
      <c r="B8298" t="s">
        <v>30</v>
      </c>
      <c r="C8298" t="s">
        <v>98</v>
      </c>
      <c r="D8298" t="s">
        <v>3218</v>
      </c>
      <c r="E8298">
        <v>16.36</v>
      </c>
      <c r="F8298">
        <v>39.979999999999997</v>
      </c>
    </row>
    <row r="8299" spans="1:6" x14ac:dyDescent="0.25">
      <c r="A8299" t="s">
        <v>1213</v>
      </c>
      <c r="B8299" t="s">
        <v>30</v>
      </c>
      <c r="C8299" t="s">
        <v>98</v>
      </c>
      <c r="D8299" t="s">
        <v>3219</v>
      </c>
      <c r="E8299">
        <v>29.11</v>
      </c>
      <c r="F8299">
        <v>41.94</v>
      </c>
    </row>
    <row r="8300" spans="1:6" x14ac:dyDescent="0.25">
      <c r="A8300" t="s">
        <v>1214</v>
      </c>
      <c r="B8300" t="s">
        <v>30</v>
      </c>
      <c r="C8300" t="s">
        <v>99</v>
      </c>
      <c r="D8300" t="s">
        <v>3217</v>
      </c>
      <c r="E8300">
        <v>0</v>
      </c>
      <c r="F8300">
        <v>38.68</v>
      </c>
    </row>
    <row r="8301" spans="1:6" x14ac:dyDescent="0.25">
      <c r="A8301" t="s">
        <v>1214</v>
      </c>
      <c r="B8301" t="s">
        <v>30</v>
      </c>
      <c r="C8301" t="s">
        <v>99</v>
      </c>
      <c r="D8301" t="s">
        <v>3218</v>
      </c>
      <c r="E8301">
        <v>16.77</v>
      </c>
      <c r="F8301">
        <v>39.92</v>
      </c>
    </row>
    <row r="8302" spans="1:6" x14ac:dyDescent="0.25">
      <c r="A8302" t="s">
        <v>1214</v>
      </c>
      <c r="B8302" t="s">
        <v>30</v>
      </c>
      <c r="C8302" t="s">
        <v>99</v>
      </c>
      <c r="D8302" t="s">
        <v>3219</v>
      </c>
      <c r="E8302">
        <v>30.77</v>
      </c>
      <c r="F8302">
        <v>41.26</v>
      </c>
    </row>
    <row r="8303" spans="1:6" x14ac:dyDescent="0.25">
      <c r="A8303" t="s">
        <v>1215</v>
      </c>
      <c r="B8303" t="s">
        <v>30</v>
      </c>
      <c r="C8303" t="s">
        <v>100</v>
      </c>
      <c r="D8303" t="s">
        <v>3217</v>
      </c>
      <c r="E8303">
        <v>0</v>
      </c>
      <c r="F8303">
        <v>37.96</v>
      </c>
    </row>
    <row r="8304" spans="1:6" x14ac:dyDescent="0.25">
      <c r="A8304" t="s">
        <v>1215</v>
      </c>
      <c r="B8304" t="s">
        <v>30</v>
      </c>
      <c r="C8304" t="s">
        <v>100</v>
      </c>
      <c r="D8304" t="s">
        <v>3218</v>
      </c>
      <c r="E8304">
        <v>18.170000000000002</v>
      </c>
      <c r="F8304">
        <v>38.78</v>
      </c>
    </row>
    <row r="8305" spans="1:6" x14ac:dyDescent="0.25">
      <c r="A8305" t="s">
        <v>1215</v>
      </c>
      <c r="B8305" t="s">
        <v>30</v>
      </c>
      <c r="C8305" t="s">
        <v>100</v>
      </c>
      <c r="D8305" t="s">
        <v>3219</v>
      </c>
      <c r="E8305">
        <v>30.76</v>
      </c>
      <c r="F8305">
        <v>39.130000000000003</v>
      </c>
    </row>
    <row r="8306" spans="1:6" x14ac:dyDescent="0.25">
      <c r="A8306" t="s">
        <v>1216</v>
      </c>
      <c r="B8306" t="s">
        <v>30</v>
      </c>
      <c r="C8306" t="s">
        <v>101</v>
      </c>
      <c r="D8306" t="s">
        <v>3217</v>
      </c>
      <c r="E8306">
        <v>0</v>
      </c>
      <c r="F8306">
        <v>37.32</v>
      </c>
    </row>
    <row r="8307" spans="1:6" x14ac:dyDescent="0.25">
      <c r="A8307" t="s">
        <v>1216</v>
      </c>
      <c r="B8307" t="s">
        <v>30</v>
      </c>
      <c r="C8307" t="s">
        <v>101</v>
      </c>
      <c r="D8307" t="s">
        <v>3218</v>
      </c>
      <c r="E8307">
        <v>18.170000000000002</v>
      </c>
      <c r="F8307">
        <v>37.83</v>
      </c>
    </row>
    <row r="8308" spans="1:6" x14ac:dyDescent="0.25">
      <c r="A8308" t="s">
        <v>1216</v>
      </c>
      <c r="B8308" t="s">
        <v>30</v>
      </c>
      <c r="C8308" t="s">
        <v>101</v>
      </c>
      <c r="D8308" t="s">
        <v>3219</v>
      </c>
      <c r="E8308">
        <v>32.22</v>
      </c>
      <c r="F8308">
        <v>38.21</v>
      </c>
    </row>
    <row r="8309" spans="1:6" x14ac:dyDescent="0.25">
      <c r="A8309" t="s">
        <v>1217</v>
      </c>
      <c r="B8309" t="s">
        <v>30</v>
      </c>
      <c r="C8309" t="s">
        <v>102</v>
      </c>
      <c r="D8309" t="s">
        <v>3217</v>
      </c>
      <c r="E8309">
        <v>0</v>
      </c>
      <c r="F8309">
        <v>36.49</v>
      </c>
    </row>
    <row r="8310" spans="1:6" x14ac:dyDescent="0.25">
      <c r="A8310" t="s">
        <v>1217</v>
      </c>
      <c r="B8310" t="s">
        <v>30</v>
      </c>
      <c r="C8310" t="s">
        <v>102</v>
      </c>
      <c r="D8310" t="s">
        <v>3218</v>
      </c>
      <c r="E8310">
        <v>20</v>
      </c>
      <c r="F8310">
        <v>37.01</v>
      </c>
    </row>
    <row r="8311" spans="1:6" x14ac:dyDescent="0.25">
      <c r="A8311" t="s">
        <v>1217</v>
      </c>
      <c r="B8311" t="s">
        <v>30</v>
      </c>
      <c r="C8311" t="s">
        <v>102</v>
      </c>
      <c r="D8311" t="s">
        <v>3219</v>
      </c>
      <c r="E8311">
        <v>35.630000000000003</v>
      </c>
      <c r="F8311">
        <v>37.479999999999997</v>
      </c>
    </row>
    <row r="8312" spans="1:6" x14ac:dyDescent="0.25">
      <c r="A8312" t="s">
        <v>1218</v>
      </c>
      <c r="B8312" t="s">
        <v>30</v>
      </c>
      <c r="C8312" t="s">
        <v>103</v>
      </c>
      <c r="D8312" t="s">
        <v>3217</v>
      </c>
      <c r="E8312">
        <v>0</v>
      </c>
      <c r="F8312">
        <v>35.89</v>
      </c>
    </row>
    <row r="8313" spans="1:6" x14ac:dyDescent="0.25">
      <c r="A8313" t="s">
        <v>1218</v>
      </c>
      <c r="B8313" t="s">
        <v>30</v>
      </c>
      <c r="C8313" t="s">
        <v>103</v>
      </c>
      <c r="D8313" t="s">
        <v>3218</v>
      </c>
      <c r="E8313">
        <v>20</v>
      </c>
      <c r="F8313">
        <v>36.18</v>
      </c>
    </row>
    <row r="8314" spans="1:6" x14ac:dyDescent="0.25">
      <c r="A8314" t="s">
        <v>1218</v>
      </c>
      <c r="B8314" t="s">
        <v>30</v>
      </c>
      <c r="C8314" t="s">
        <v>103</v>
      </c>
      <c r="D8314" t="s">
        <v>3219</v>
      </c>
      <c r="E8314">
        <v>36.92</v>
      </c>
      <c r="F8314">
        <v>36.770000000000003</v>
      </c>
    </row>
    <row r="8315" spans="1:6" x14ac:dyDescent="0.25">
      <c r="A8315" t="s">
        <v>1219</v>
      </c>
      <c r="B8315" t="s">
        <v>30</v>
      </c>
      <c r="C8315" t="s">
        <v>104</v>
      </c>
      <c r="D8315" t="s">
        <v>3217</v>
      </c>
      <c r="E8315">
        <v>0</v>
      </c>
      <c r="F8315">
        <v>34.89</v>
      </c>
    </row>
    <row r="8316" spans="1:6" x14ac:dyDescent="0.25">
      <c r="A8316" t="s">
        <v>1219</v>
      </c>
      <c r="B8316" t="s">
        <v>30</v>
      </c>
      <c r="C8316" t="s">
        <v>104</v>
      </c>
      <c r="D8316" t="s">
        <v>3218</v>
      </c>
      <c r="E8316">
        <v>20</v>
      </c>
      <c r="F8316">
        <v>35.43</v>
      </c>
    </row>
    <row r="8317" spans="1:6" x14ac:dyDescent="0.25">
      <c r="A8317" t="s">
        <v>1219</v>
      </c>
      <c r="B8317" t="s">
        <v>30</v>
      </c>
      <c r="C8317" t="s">
        <v>104</v>
      </c>
      <c r="D8317" t="s">
        <v>3219</v>
      </c>
      <c r="E8317">
        <v>37.700000000000003</v>
      </c>
      <c r="F8317">
        <v>36.11</v>
      </c>
    </row>
    <row r="8318" spans="1:6" x14ac:dyDescent="0.25">
      <c r="A8318" t="s">
        <v>1220</v>
      </c>
      <c r="B8318" t="s">
        <v>30</v>
      </c>
      <c r="C8318" t="s">
        <v>105</v>
      </c>
      <c r="D8318" t="s">
        <v>3217</v>
      </c>
      <c r="E8318">
        <v>0</v>
      </c>
      <c r="F8318">
        <v>34.22</v>
      </c>
    </row>
    <row r="8319" spans="1:6" x14ac:dyDescent="0.25">
      <c r="A8319" t="s">
        <v>1220</v>
      </c>
      <c r="B8319" t="s">
        <v>30</v>
      </c>
      <c r="C8319" t="s">
        <v>105</v>
      </c>
      <c r="D8319" t="s">
        <v>3218</v>
      </c>
      <c r="E8319">
        <v>20</v>
      </c>
      <c r="F8319">
        <v>34.770000000000003</v>
      </c>
    </row>
    <row r="8320" spans="1:6" x14ac:dyDescent="0.25">
      <c r="A8320" t="s">
        <v>1220</v>
      </c>
      <c r="B8320" t="s">
        <v>30</v>
      </c>
      <c r="C8320" t="s">
        <v>105</v>
      </c>
      <c r="D8320" t="s">
        <v>3219</v>
      </c>
      <c r="E8320">
        <v>40</v>
      </c>
      <c r="F8320">
        <v>35.54</v>
      </c>
    </row>
    <row r="8321" spans="1:6" x14ac:dyDescent="0.25">
      <c r="A8321" t="s">
        <v>1221</v>
      </c>
      <c r="B8321" t="s">
        <v>30</v>
      </c>
      <c r="C8321" t="s">
        <v>106</v>
      </c>
      <c r="D8321" t="s">
        <v>3217</v>
      </c>
      <c r="E8321">
        <v>0</v>
      </c>
      <c r="F8321">
        <v>33.479999999999997</v>
      </c>
    </row>
    <row r="8322" spans="1:6" x14ac:dyDescent="0.25">
      <c r="A8322" t="s">
        <v>1221</v>
      </c>
      <c r="B8322" t="s">
        <v>30</v>
      </c>
      <c r="C8322" t="s">
        <v>106</v>
      </c>
      <c r="D8322" t="s">
        <v>3218</v>
      </c>
      <c r="E8322">
        <v>20</v>
      </c>
      <c r="F8322">
        <v>34.24</v>
      </c>
    </row>
    <row r="8323" spans="1:6" x14ac:dyDescent="0.25">
      <c r="A8323" t="s">
        <v>1221</v>
      </c>
      <c r="B8323" t="s">
        <v>30</v>
      </c>
      <c r="C8323" t="s">
        <v>106</v>
      </c>
      <c r="D8323" t="s">
        <v>3219</v>
      </c>
      <c r="E8323">
        <v>40</v>
      </c>
      <c r="F8323">
        <v>34.99</v>
      </c>
    </row>
    <row r="8324" spans="1:6" x14ac:dyDescent="0.25">
      <c r="A8324" t="s">
        <v>1222</v>
      </c>
      <c r="B8324" t="s">
        <v>30</v>
      </c>
      <c r="C8324" t="s">
        <v>108</v>
      </c>
      <c r="D8324" t="s">
        <v>3217</v>
      </c>
      <c r="E8324">
        <v>0</v>
      </c>
      <c r="F8324">
        <v>32.909999999999997</v>
      </c>
    </row>
    <row r="8325" spans="1:6" x14ac:dyDescent="0.25">
      <c r="A8325" t="s">
        <v>1222</v>
      </c>
      <c r="B8325" t="s">
        <v>30</v>
      </c>
      <c r="C8325" t="s">
        <v>108</v>
      </c>
      <c r="D8325" t="s">
        <v>3218</v>
      </c>
      <c r="E8325">
        <v>20</v>
      </c>
      <c r="F8325">
        <v>33.409999999999997</v>
      </c>
    </row>
    <row r="8326" spans="1:6" x14ac:dyDescent="0.25">
      <c r="A8326" t="s">
        <v>1222</v>
      </c>
      <c r="B8326" t="s">
        <v>30</v>
      </c>
      <c r="C8326" t="s">
        <v>108</v>
      </c>
      <c r="D8326" t="s">
        <v>3219</v>
      </c>
      <c r="E8326">
        <v>40</v>
      </c>
      <c r="F8326">
        <v>34.29</v>
      </c>
    </row>
    <row r="8327" spans="1:6" x14ac:dyDescent="0.25">
      <c r="A8327" t="s">
        <v>1223</v>
      </c>
      <c r="B8327" t="s">
        <v>30</v>
      </c>
      <c r="C8327" t="s">
        <v>109</v>
      </c>
      <c r="D8327" t="s">
        <v>3217</v>
      </c>
      <c r="E8327">
        <v>0</v>
      </c>
      <c r="F8327">
        <v>32.65</v>
      </c>
    </row>
    <row r="8328" spans="1:6" x14ac:dyDescent="0.25">
      <c r="A8328" t="s">
        <v>1223</v>
      </c>
      <c r="B8328" t="s">
        <v>30</v>
      </c>
      <c r="C8328" t="s">
        <v>109</v>
      </c>
      <c r="D8328" t="s">
        <v>3218</v>
      </c>
      <c r="E8328">
        <v>20</v>
      </c>
      <c r="F8328">
        <v>33.22</v>
      </c>
    </row>
    <row r="8329" spans="1:6" x14ac:dyDescent="0.25">
      <c r="A8329" t="s">
        <v>1223</v>
      </c>
      <c r="B8329" t="s">
        <v>30</v>
      </c>
      <c r="C8329" t="s">
        <v>109</v>
      </c>
      <c r="D8329" t="s">
        <v>3219</v>
      </c>
      <c r="E8329">
        <v>40</v>
      </c>
      <c r="F8329">
        <v>33.96</v>
      </c>
    </row>
    <row r="8330" spans="1:6" x14ac:dyDescent="0.25">
      <c r="A8330" t="s">
        <v>1224</v>
      </c>
      <c r="B8330" t="s">
        <v>30</v>
      </c>
      <c r="C8330" t="s">
        <v>110</v>
      </c>
      <c r="D8330" t="s">
        <v>3217</v>
      </c>
      <c r="E8330">
        <v>0</v>
      </c>
      <c r="F8330">
        <v>32.74</v>
      </c>
    </row>
    <row r="8331" spans="1:6" x14ac:dyDescent="0.25">
      <c r="A8331" t="s">
        <v>1224</v>
      </c>
      <c r="B8331" t="s">
        <v>30</v>
      </c>
      <c r="C8331" t="s">
        <v>110</v>
      </c>
      <c r="D8331" t="s">
        <v>3218</v>
      </c>
      <c r="E8331">
        <v>20</v>
      </c>
      <c r="F8331">
        <v>33.33</v>
      </c>
    </row>
    <row r="8332" spans="1:6" x14ac:dyDescent="0.25">
      <c r="A8332" t="s">
        <v>1224</v>
      </c>
      <c r="B8332" t="s">
        <v>30</v>
      </c>
      <c r="C8332" t="s">
        <v>110</v>
      </c>
      <c r="D8332" t="s">
        <v>3219</v>
      </c>
      <c r="E8332">
        <v>40</v>
      </c>
      <c r="F8332">
        <v>34.22</v>
      </c>
    </row>
    <row r="8333" spans="1:6" x14ac:dyDescent="0.25">
      <c r="A8333" t="s">
        <v>1225</v>
      </c>
      <c r="B8333" t="s">
        <v>30</v>
      </c>
      <c r="C8333" t="s">
        <v>111</v>
      </c>
      <c r="D8333" t="s">
        <v>3217</v>
      </c>
      <c r="E8333">
        <v>0</v>
      </c>
      <c r="F8333">
        <v>32.51</v>
      </c>
    </row>
    <row r="8334" spans="1:6" x14ac:dyDescent="0.25">
      <c r="A8334" t="s">
        <v>1225</v>
      </c>
      <c r="B8334" t="s">
        <v>30</v>
      </c>
      <c r="C8334" t="s">
        <v>111</v>
      </c>
      <c r="D8334" t="s">
        <v>3218</v>
      </c>
      <c r="E8334">
        <v>20</v>
      </c>
      <c r="F8334">
        <v>32.950000000000003</v>
      </c>
    </row>
    <row r="8335" spans="1:6" x14ac:dyDescent="0.25">
      <c r="A8335" t="s">
        <v>1225</v>
      </c>
      <c r="B8335" t="s">
        <v>30</v>
      </c>
      <c r="C8335" t="s">
        <v>111</v>
      </c>
      <c r="D8335" t="s">
        <v>3219</v>
      </c>
      <c r="E8335">
        <v>40</v>
      </c>
      <c r="F8335">
        <v>33.53</v>
      </c>
    </row>
    <row r="8336" spans="1:6" x14ac:dyDescent="0.25">
      <c r="A8336" t="s">
        <v>3078</v>
      </c>
      <c r="B8336" t="s">
        <v>30</v>
      </c>
      <c r="C8336" t="s">
        <v>112</v>
      </c>
      <c r="D8336" t="s">
        <v>3217</v>
      </c>
      <c r="E8336">
        <v>0</v>
      </c>
      <c r="F8336">
        <v>31.87</v>
      </c>
    </row>
    <row r="8337" spans="1:6" x14ac:dyDescent="0.25">
      <c r="A8337" t="s">
        <v>3078</v>
      </c>
      <c r="B8337" t="s">
        <v>30</v>
      </c>
      <c r="C8337" t="s">
        <v>112</v>
      </c>
      <c r="D8337" t="s">
        <v>3218</v>
      </c>
      <c r="E8337">
        <v>20</v>
      </c>
      <c r="F8337">
        <v>32.83</v>
      </c>
    </row>
    <row r="8338" spans="1:6" x14ac:dyDescent="0.25">
      <c r="A8338" t="s">
        <v>3078</v>
      </c>
      <c r="B8338" t="s">
        <v>30</v>
      </c>
      <c r="C8338" t="s">
        <v>112</v>
      </c>
      <c r="D8338" t="s">
        <v>3219</v>
      </c>
      <c r="E8338">
        <v>40</v>
      </c>
      <c r="F8338">
        <v>33.58</v>
      </c>
    </row>
    <row r="8339" spans="1:6" x14ac:dyDescent="0.25">
      <c r="A8339" t="s">
        <v>3079</v>
      </c>
      <c r="B8339" t="s">
        <v>30</v>
      </c>
      <c r="C8339" t="s">
        <v>113</v>
      </c>
      <c r="D8339" t="s">
        <v>3217</v>
      </c>
      <c r="E8339">
        <v>0</v>
      </c>
      <c r="F8339">
        <v>31.21</v>
      </c>
    </row>
    <row r="8340" spans="1:6" x14ac:dyDescent="0.25">
      <c r="A8340" t="s">
        <v>3079</v>
      </c>
      <c r="B8340" t="s">
        <v>30</v>
      </c>
      <c r="C8340" t="s">
        <v>113</v>
      </c>
      <c r="D8340" t="s">
        <v>3218</v>
      </c>
      <c r="E8340">
        <v>20</v>
      </c>
      <c r="F8340">
        <v>32.450000000000003</v>
      </c>
    </row>
    <row r="8341" spans="1:6" x14ac:dyDescent="0.25">
      <c r="A8341" t="s">
        <v>3079</v>
      </c>
      <c r="B8341" t="s">
        <v>30</v>
      </c>
      <c r="C8341" t="s">
        <v>113</v>
      </c>
      <c r="D8341" t="s">
        <v>3219</v>
      </c>
      <c r="E8341">
        <v>38.159999999999997</v>
      </c>
      <c r="F8341">
        <v>33.159999999999997</v>
      </c>
    </row>
    <row r="8342" spans="1:6" x14ac:dyDescent="0.25">
      <c r="A8342" t="s">
        <v>3080</v>
      </c>
      <c r="B8342" t="s">
        <v>30</v>
      </c>
      <c r="C8342" t="s">
        <v>114</v>
      </c>
      <c r="D8342" t="s">
        <v>3217</v>
      </c>
      <c r="E8342">
        <v>0</v>
      </c>
      <c r="F8342">
        <v>31.48</v>
      </c>
    </row>
    <row r="8343" spans="1:6" x14ac:dyDescent="0.25">
      <c r="A8343" t="s">
        <v>3080</v>
      </c>
      <c r="B8343" t="s">
        <v>30</v>
      </c>
      <c r="C8343" t="s">
        <v>114</v>
      </c>
      <c r="D8343" t="s">
        <v>3218</v>
      </c>
      <c r="E8343">
        <v>20</v>
      </c>
      <c r="F8343">
        <v>32.450000000000003</v>
      </c>
    </row>
    <row r="8344" spans="1:6" x14ac:dyDescent="0.25">
      <c r="A8344" t="s">
        <v>3080</v>
      </c>
      <c r="B8344" t="s">
        <v>30</v>
      </c>
      <c r="C8344" t="s">
        <v>114</v>
      </c>
      <c r="D8344" t="s">
        <v>3219</v>
      </c>
      <c r="E8344">
        <v>38.020000000000003</v>
      </c>
      <c r="F8344">
        <v>32.909999999999997</v>
      </c>
    </row>
    <row r="8345" spans="1:6" x14ac:dyDescent="0.25">
      <c r="A8345" t="s">
        <v>3081</v>
      </c>
      <c r="B8345" t="s">
        <v>30</v>
      </c>
      <c r="C8345" t="s">
        <v>115</v>
      </c>
      <c r="D8345" t="s">
        <v>3217</v>
      </c>
      <c r="E8345">
        <v>0</v>
      </c>
      <c r="F8345">
        <v>31.2</v>
      </c>
    </row>
    <row r="8346" spans="1:6" x14ac:dyDescent="0.25">
      <c r="A8346" t="s">
        <v>3081</v>
      </c>
      <c r="B8346" t="s">
        <v>30</v>
      </c>
      <c r="C8346" t="s">
        <v>115</v>
      </c>
      <c r="D8346" t="s">
        <v>3218</v>
      </c>
      <c r="E8346">
        <v>20</v>
      </c>
      <c r="F8346">
        <v>31.94</v>
      </c>
    </row>
    <row r="8347" spans="1:6" x14ac:dyDescent="0.25">
      <c r="A8347" t="s">
        <v>3081</v>
      </c>
      <c r="B8347" t="s">
        <v>30</v>
      </c>
      <c r="C8347" t="s">
        <v>115</v>
      </c>
      <c r="D8347" t="s">
        <v>3219</v>
      </c>
      <c r="E8347">
        <v>38.159999999999997</v>
      </c>
      <c r="F8347">
        <v>32.65</v>
      </c>
    </row>
    <row r="8348" spans="1:6" x14ac:dyDescent="0.25">
      <c r="A8348" t="s">
        <v>3082</v>
      </c>
      <c r="B8348" t="s">
        <v>30</v>
      </c>
      <c r="C8348" t="s">
        <v>116</v>
      </c>
      <c r="D8348" t="s">
        <v>3217</v>
      </c>
      <c r="E8348">
        <v>0</v>
      </c>
      <c r="F8348">
        <v>31.37</v>
      </c>
    </row>
    <row r="8349" spans="1:6" x14ac:dyDescent="0.25">
      <c r="A8349" t="s">
        <v>3082</v>
      </c>
      <c r="B8349" t="s">
        <v>30</v>
      </c>
      <c r="C8349" t="s">
        <v>116</v>
      </c>
      <c r="D8349" t="s">
        <v>3218</v>
      </c>
      <c r="E8349">
        <v>16.16</v>
      </c>
      <c r="F8349">
        <v>31.85</v>
      </c>
    </row>
    <row r="8350" spans="1:6" x14ac:dyDescent="0.25">
      <c r="A8350" t="s">
        <v>3082</v>
      </c>
      <c r="B8350" t="s">
        <v>30</v>
      </c>
      <c r="C8350" t="s">
        <v>116</v>
      </c>
      <c r="D8350" t="s">
        <v>3219</v>
      </c>
      <c r="E8350">
        <v>34.340000000000003</v>
      </c>
      <c r="F8350">
        <v>32.46</v>
      </c>
    </row>
    <row r="8351" spans="1:6" x14ac:dyDescent="0.25">
      <c r="A8351" t="s">
        <v>3083</v>
      </c>
      <c r="B8351" t="s">
        <v>30</v>
      </c>
      <c r="C8351" t="s">
        <v>117</v>
      </c>
      <c r="D8351" t="s">
        <v>3217</v>
      </c>
      <c r="E8351">
        <v>0</v>
      </c>
      <c r="F8351">
        <v>31.31</v>
      </c>
    </row>
    <row r="8352" spans="1:6" x14ac:dyDescent="0.25">
      <c r="A8352" t="s">
        <v>3083</v>
      </c>
      <c r="B8352" t="s">
        <v>30</v>
      </c>
      <c r="C8352" t="s">
        <v>117</v>
      </c>
      <c r="D8352" t="s">
        <v>3218</v>
      </c>
      <c r="E8352">
        <v>15.99</v>
      </c>
      <c r="F8352">
        <v>31.9</v>
      </c>
    </row>
    <row r="8353" spans="1:6" x14ac:dyDescent="0.25">
      <c r="A8353" t="s">
        <v>3083</v>
      </c>
      <c r="B8353" t="s">
        <v>30</v>
      </c>
      <c r="C8353" t="s">
        <v>117</v>
      </c>
      <c r="D8353" t="s">
        <v>3219</v>
      </c>
      <c r="E8353">
        <v>33.840000000000003</v>
      </c>
      <c r="F8353">
        <v>32.25</v>
      </c>
    </row>
    <row r="8354" spans="1:6" x14ac:dyDescent="0.25">
      <c r="A8354" t="s">
        <v>3084</v>
      </c>
      <c r="B8354" t="s">
        <v>30</v>
      </c>
      <c r="C8354" t="s">
        <v>118</v>
      </c>
      <c r="D8354" t="s">
        <v>3217</v>
      </c>
      <c r="E8354">
        <v>0</v>
      </c>
      <c r="F8354">
        <v>31.37</v>
      </c>
    </row>
    <row r="8355" spans="1:6" x14ac:dyDescent="0.25">
      <c r="A8355" t="s">
        <v>3084</v>
      </c>
      <c r="B8355" t="s">
        <v>30</v>
      </c>
      <c r="C8355" t="s">
        <v>118</v>
      </c>
      <c r="D8355" t="s">
        <v>3218</v>
      </c>
      <c r="E8355">
        <v>16.43</v>
      </c>
      <c r="F8355">
        <v>31.82</v>
      </c>
    </row>
    <row r="8356" spans="1:6" x14ac:dyDescent="0.25">
      <c r="A8356" t="s">
        <v>3084</v>
      </c>
      <c r="B8356" t="s">
        <v>30</v>
      </c>
      <c r="C8356" t="s">
        <v>118</v>
      </c>
      <c r="D8356" t="s">
        <v>3219</v>
      </c>
      <c r="E8356">
        <v>33.49</v>
      </c>
      <c r="F8356">
        <v>32.43</v>
      </c>
    </row>
    <row r="8357" spans="1:6" x14ac:dyDescent="0.25">
      <c r="A8357" t="s">
        <v>3085</v>
      </c>
      <c r="B8357" t="s">
        <v>30</v>
      </c>
      <c r="C8357" t="s">
        <v>119</v>
      </c>
      <c r="D8357" t="s">
        <v>3217</v>
      </c>
      <c r="E8357">
        <v>0</v>
      </c>
      <c r="F8357">
        <v>31.32</v>
      </c>
    </row>
    <row r="8358" spans="1:6" x14ac:dyDescent="0.25">
      <c r="A8358" t="s">
        <v>3085</v>
      </c>
      <c r="B8358" t="s">
        <v>30</v>
      </c>
      <c r="C8358" t="s">
        <v>119</v>
      </c>
      <c r="D8358" t="s">
        <v>3218</v>
      </c>
      <c r="E8358">
        <v>15.25</v>
      </c>
      <c r="F8358">
        <v>31.78</v>
      </c>
    </row>
    <row r="8359" spans="1:6" x14ac:dyDescent="0.25">
      <c r="A8359" t="s">
        <v>3085</v>
      </c>
      <c r="B8359" t="s">
        <v>30</v>
      </c>
      <c r="C8359" t="s">
        <v>119</v>
      </c>
      <c r="D8359" t="s">
        <v>3219</v>
      </c>
      <c r="E8359">
        <v>29.59</v>
      </c>
      <c r="F8359">
        <v>32.47</v>
      </c>
    </row>
    <row r="8360" spans="1:6" x14ac:dyDescent="0.25">
      <c r="A8360" t="s">
        <v>3086</v>
      </c>
      <c r="B8360" t="s">
        <v>30</v>
      </c>
      <c r="C8360" t="s">
        <v>120</v>
      </c>
      <c r="D8360" t="s">
        <v>3217</v>
      </c>
      <c r="E8360">
        <v>0</v>
      </c>
      <c r="F8360">
        <v>31.27</v>
      </c>
    </row>
    <row r="8361" spans="1:6" x14ac:dyDescent="0.25">
      <c r="A8361" t="s">
        <v>3086</v>
      </c>
      <c r="B8361" t="s">
        <v>30</v>
      </c>
      <c r="C8361" t="s">
        <v>120</v>
      </c>
      <c r="D8361" t="s">
        <v>3218</v>
      </c>
      <c r="E8361">
        <v>14.47</v>
      </c>
      <c r="F8361">
        <v>31.94</v>
      </c>
    </row>
    <row r="8362" spans="1:6" x14ac:dyDescent="0.25">
      <c r="A8362" t="s">
        <v>3086</v>
      </c>
      <c r="B8362" t="s">
        <v>30</v>
      </c>
      <c r="C8362" t="s">
        <v>120</v>
      </c>
      <c r="D8362" t="s">
        <v>3219</v>
      </c>
      <c r="E8362">
        <v>28.06</v>
      </c>
      <c r="F8362">
        <v>32.340000000000003</v>
      </c>
    </row>
    <row r="8363" spans="1:6" x14ac:dyDescent="0.25">
      <c r="A8363" t="s">
        <v>3087</v>
      </c>
      <c r="B8363" t="s">
        <v>30</v>
      </c>
      <c r="C8363" t="s">
        <v>121</v>
      </c>
      <c r="D8363" t="s">
        <v>3217</v>
      </c>
      <c r="E8363">
        <v>0</v>
      </c>
      <c r="F8363">
        <v>31.28</v>
      </c>
    </row>
    <row r="8364" spans="1:6" x14ac:dyDescent="0.25">
      <c r="A8364" t="s">
        <v>3087</v>
      </c>
      <c r="B8364" t="s">
        <v>30</v>
      </c>
      <c r="C8364" t="s">
        <v>121</v>
      </c>
      <c r="D8364" t="s">
        <v>3218</v>
      </c>
      <c r="E8364">
        <v>16.27</v>
      </c>
      <c r="F8364">
        <v>31.99</v>
      </c>
    </row>
    <row r="8365" spans="1:6" x14ac:dyDescent="0.25">
      <c r="A8365" t="s">
        <v>3087</v>
      </c>
      <c r="B8365" t="s">
        <v>30</v>
      </c>
      <c r="C8365" t="s">
        <v>121</v>
      </c>
      <c r="D8365" t="s">
        <v>3219</v>
      </c>
      <c r="E8365">
        <v>30.47</v>
      </c>
      <c r="F8365">
        <v>32.43</v>
      </c>
    </row>
    <row r="8366" spans="1:6" x14ac:dyDescent="0.25">
      <c r="A8366" t="s">
        <v>3088</v>
      </c>
      <c r="B8366" t="s">
        <v>30</v>
      </c>
      <c r="C8366" t="s">
        <v>123</v>
      </c>
      <c r="D8366" t="s">
        <v>3217</v>
      </c>
      <c r="E8366">
        <v>0</v>
      </c>
      <c r="F8366">
        <v>31.29</v>
      </c>
    </row>
    <row r="8367" spans="1:6" x14ac:dyDescent="0.25">
      <c r="A8367" t="s">
        <v>3088</v>
      </c>
      <c r="B8367" t="s">
        <v>30</v>
      </c>
      <c r="C8367" t="s">
        <v>123</v>
      </c>
      <c r="D8367" t="s">
        <v>3218</v>
      </c>
      <c r="E8367">
        <v>15.25</v>
      </c>
      <c r="F8367">
        <v>32.03</v>
      </c>
    </row>
    <row r="8368" spans="1:6" x14ac:dyDescent="0.25">
      <c r="A8368" t="s">
        <v>3088</v>
      </c>
      <c r="B8368" t="s">
        <v>30</v>
      </c>
      <c r="C8368" t="s">
        <v>123</v>
      </c>
      <c r="D8368" t="s">
        <v>3219</v>
      </c>
      <c r="E8368">
        <v>30.27</v>
      </c>
      <c r="F8368">
        <v>32.86</v>
      </c>
    </row>
    <row r="8369" spans="1:6" x14ac:dyDescent="0.25">
      <c r="A8369" t="s">
        <v>3089</v>
      </c>
      <c r="B8369" t="s">
        <v>30</v>
      </c>
      <c r="C8369" t="s">
        <v>124</v>
      </c>
      <c r="D8369" t="s">
        <v>3217</v>
      </c>
      <c r="E8369">
        <v>0</v>
      </c>
      <c r="F8369">
        <v>31.46</v>
      </c>
    </row>
    <row r="8370" spans="1:6" x14ac:dyDescent="0.25">
      <c r="A8370" t="s">
        <v>3089</v>
      </c>
      <c r="B8370" t="s">
        <v>30</v>
      </c>
      <c r="C8370" t="s">
        <v>124</v>
      </c>
      <c r="D8370" t="s">
        <v>3218</v>
      </c>
      <c r="E8370">
        <v>15.43</v>
      </c>
      <c r="F8370">
        <v>32.200000000000003</v>
      </c>
    </row>
    <row r="8371" spans="1:6" x14ac:dyDescent="0.25">
      <c r="A8371" t="s">
        <v>3089</v>
      </c>
      <c r="B8371" t="s">
        <v>30</v>
      </c>
      <c r="C8371" t="s">
        <v>124</v>
      </c>
      <c r="D8371" t="s">
        <v>3219</v>
      </c>
      <c r="E8371">
        <v>32.11</v>
      </c>
      <c r="F8371">
        <v>32.799999999999997</v>
      </c>
    </row>
    <row r="8372" spans="1:6" x14ac:dyDescent="0.25">
      <c r="A8372" t="s">
        <v>3090</v>
      </c>
      <c r="B8372" t="s">
        <v>30</v>
      </c>
      <c r="C8372" t="s">
        <v>125</v>
      </c>
      <c r="D8372" t="s">
        <v>3217</v>
      </c>
      <c r="E8372">
        <v>0</v>
      </c>
      <c r="F8372">
        <v>31.68</v>
      </c>
    </row>
    <row r="8373" spans="1:6" x14ac:dyDescent="0.25">
      <c r="A8373" t="s">
        <v>3090</v>
      </c>
      <c r="B8373" t="s">
        <v>30</v>
      </c>
      <c r="C8373" t="s">
        <v>125</v>
      </c>
      <c r="D8373" t="s">
        <v>3218</v>
      </c>
      <c r="E8373">
        <v>16</v>
      </c>
      <c r="F8373">
        <v>32.200000000000003</v>
      </c>
    </row>
    <row r="8374" spans="1:6" x14ac:dyDescent="0.25">
      <c r="A8374" t="s">
        <v>3090</v>
      </c>
      <c r="B8374" t="s">
        <v>30</v>
      </c>
      <c r="C8374" t="s">
        <v>125</v>
      </c>
      <c r="D8374" t="s">
        <v>3219</v>
      </c>
      <c r="E8374">
        <v>33.090000000000003</v>
      </c>
      <c r="F8374">
        <v>33.08</v>
      </c>
    </row>
    <row r="8375" spans="1:6" x14ac:dyDescent="0.25">
      <c r="A8375" t="s">
        <v>3091</v>
      </c>
      <c r="B8375" t="s">
        <v>30</v>
      </c>
      <c r="C8375" t="s">
        <v>126</v>
      </c>
      <c r="D8375" t="s">
        <v>3217</v>
      </c>
      <c r="E8375">
        <v>0</v>
      </c>
      <c r="F8375">
        <v>32.21</v>
      </c>
    </row>
    <row r="8376" spans="1:6" x14ac:dyDescent="0.25">
      <c r="A8376" t="s">
        <v>3091</v>
      </c>
      <c r="B8376" t="s">
        <v>30</v>
      </c>
      <c r="C8376" t="s">
        <v>126</v>
      </c>
      <c r="D8376" t="s">
        <v>3218</v>
      </c>
      <c r="E8376">
        <v>16.899999999999999</v>
      </c>
      <c r="F8376">
        <v>32.770000000000003</v>
      </c>
    </row>
    <row r="8377" spans="1:6" x14ac:dyDescent="0.25">
      <c r="A8377" t="s">
        <v>3091</v>
      </c>
      <c r="B8377" t="s">
        <v>30</v>
      </c>
      <c r="C8377" t="s">
        <v>126</v>
      </c>
      <c r="D8377" t="s">
        <v>3219</v>
      </c>
      <c r="E8377">
        <v>36.9</v>
      </c>
      <c r="F8377">
        <v>33.78</v>
      </c>
    </row>
    <row r="8378" spans="1:6" x14ac:dyDescent="0.25">
      <c r="A8378" t="s">
        <v>3092</v>
      </c>
      <c r="B8378" t="s">
        <v>30</v>
      </c>
      <c r="C8378" t="s">
        <v>127</v>
      </c>
      <c r="D8378" t="s">
        <v>3217</v>
      </c>
      <c r="E8378">
        <v>0</v>
      </c>
      <c r="F8378">
        <v>32.58</v>
      </c>
    </row>
    <row r="8379" spans="1:6" x14ac:dyDescent="0.25">
      <c r="A8379" t="s">
        <v>3092</v>
      </c>
      <c r="B8379" t="s">
        <v>30</v>
      </c>
      <c r="C8379" t="s">
        <v>127</v>
      </c>
      <c r="D8379" t="s">
        <v>3218</v>
      </c>
      <c r="E8379">
        <v>20</v>
      </c>
      <c r="F8379">
        <v>33.479999999999997</v>
      </c>
    </row>
    <row r="8380" spans="1:6" x14ac:dyDescent="0.25">
      <c r="A8380" t="s">
        <v>3092</v>
      </c>
      <c r="B8380" t="s">
        <v>30</v>
      </c>
      <c r="C8380" t="s">
        <v>127</v>
      </c>
      <c r="D8380" t="s">
        <v>3219</v>
      </c>
      <c r="E8380">
        <v>40</v>
      </c>
      <c r="F8380">
        <v>33.799999999999997</v>
      </c>
    </row>
    <row r="8381" spans="1:6" x14ac:dyDescent="0.25">
      <c r="A8381" t="s">
        <v>3093</v>
      </c>
      <c r="B8381" t="s">
        <v>30</v>
      </c>
      <c r="C8381" t="s">
        <v>128</v>
      </c>
      <c r="D8381" t="s">
        <v>3217</v>
      </c>
      <c r="E8381">
        <v>0</v>
      </c>
      <c r="F8381">
        <v>33.57</v>
      </c>
    </row>
    <row r="8382" spans="1:6" x14ac:dyDescent="0.25">
      <c r="A8382" t="s">
        <v>3093</v>
      </c>
      <c r="B8382" t="s">
        <v>30</v>
      </c>
      <c r="C8382" t="s">
        <v>128</v>
      </c>
      <c r="D8382" t="s">
        <v>3218</v>
      </c>
      <c r="E8382">
        <v>20</v>
      </c>
      <c r="F8382">
        <v>34.54</v>
      </c>
    </row>
    <row r="8383" spans="1:6" x14ac:dyDescent="0.25">
      <c r="A8383" t="s">
        <v>3093</v>
      </c>
      <c r="B8383" t="s">
        <v>30</v>
      </c>
      <c r="C8383" t="s">
        <v>128</v>
      </c>
      <c r="D8383" t="s">
        <v>3219</v>
      </c>
      <c r="E8383">
        <v>40</v>
      </c>
      <c r="F8383">
        <v>34.94</v>
      </c>
    </row>
    <row r="8384" spans="1:6" x14ac:dyDescent="0.25">
      <c r="A8384" t="s">
        <v>3094</v>
      </c>
      <c r="B8384" t="s">
        <v>30</v>
      </c>
      <c r="C8384" t="s">
        <v>129</v>
      </c>
      <c r="D8384" t="s">
        <v>3217</v>
      </c>
      <c r="E8384">
        <v>0</v>
      </c>
      <c r="F8384">
        <v>34.22</v>
      </c>
    </row>
    <row r="8385" spans="1:6" x14ac:dyDescent="0.25">
      <c r="A8385" t="s">
        <v>3094</v>
      </c>
      <c r="B8385" t="s">
        <v>30</v>
      </c>
      <c r="C8385" t="s">
        <v>129</v>
      </c>
      <c r="D8385" t="s">
        <v>3218</v>
      </c>
      <c r="E8385">
        <v>20</v>
      </c>
      <c r="F8385">
        <v>35.33</v>
      </c>
    </row>
    <row r="8386" spans="1:6" x14ac:dyDescent="0.25">
      <c r="A8386" t="s">
        <v>3094</v>
      </c>
      <c r="B8386" t="s">
        <v>30</v>
      </c>
      <c r="C8386" t="s">
        <v>129</v>
      </c>
      <c r="D8386" t="s">
        <v>3219</v>
      </c>
      <c r="E8386">
        <v>40</v>
      </c>
      <c r="F8386">
        <v>35.950000000000003</v>
      </c>
    </row>
    <row r="8387" spans="1:6" x14ac:dyDescent="0.25">
      <c r="A8387" t="s">
        <v>3095</v>
      </c>
      <c r="B8387" t="s">
        <v>30</v>
      </c>
      <c r="C8387" t="s">
        <v>130</v>
      </c>
      <c r="D8387" t="s">
        <v>3217</v>
      </c>
      <c r="E8387">
        <v>0</v>
      </c>
      <c r="F8387">
        <v>35.229999999999997</v>
      </c>
    </row>
    <row r="8388" spans="1:6" x14ac:dyDescent="0.25">
      <c r="A8388" t="s">
        <v>3095</v>
      </c>
      <c r="B8388" t="s">
        <v>30</v>
      </c>
      <c r="C8388" t="s">
        <v>130</v>
      </c>
      <c r="D8388" t="s">
        <v>3218</v>
      </c>
      <c r="E8388">
        <v>14.83</v>
      </c>
      <c r="F8388">
        <v>35.5</v>
      </c>
    </row>
    <row r="8389" spans="1:6" x14ac:dyDescent="0.25">
      <c r="A8389" t="s">
        <v>3095</v>
      </c>
      <c r="B8389" t="s">
        <v>30</v>
      </c>
      <c r="C8389" t="s">
        <v>130</v>
      </c>
      <c r="D8389" t="s">
        <v>3219</v>
      </c>
      <c r="E8389">
        <v>34.83</v>
      </c>
      <c r="F8389">
        <v>36.54</v>
      </c>
    </row>
    <row r="8390" spans="1:6" x14ac:dyDescent="0.25">
      <c r="A8390" t="s">
        <v>3096</v>
      </c>
      <c r="B8390" t="s">
        <v>30</v>
      </c>
      <c r="C8390" t="s">
        <v>131</v>
      </c>
      <c r="D8390" t="s">
        <v>3217</v>
      </c>
      <c r="E8390">
        <v>0</v>
      </c>
      <c r="F8390">
        <v>35.409999999999997</v>
      </c>
    </row>
    <row r="8391" spans="1:6" x14ac:dyDescent="0.25">
      <c r="A8391" t="s">
        <v>3096</v>
      </c>
      <c r="B8391" t="s">
        <v>30</v>
      </c>
      <c r="C8391" t="s">
        <v>131</v>
      </c>
      <c r="D8391" t="s">
        <v>3218</v>
      </c>
      <c r="E8391">
        <v>14.6</v>
      </c>
      <c r="F8391">
        <v>35.9</v>
      </c>
    </row>
    <row r="8392" spans="1:6" x14ac:dyDescent="0.25">
      <c r="A8392" t="s">
        <v>3096</v>
      </c>
      <c r="B8392" t="s">
        <v>30</v>
      </c>
      <c r="C8392" t="s">
        <v>131</v>
      </c>
      <c r="D8392" t="s">
        <v>3219</v>
      </c>
      <c r="E8392">
        <v>27.93</v>
      </c>
      <c r="F8392">
        <v>36.22</v>
      </c>
    </row>
    <row r="8393" spans="1:6" x14ac:dyDescent="0.25">
      <c r="A8393" t="s">
        <v>3097</v>
      </c>
      <c r="B8393" t="s">
        <v>30</v>
      </c>
      <c r="C8393" t="s">
        <v>132</v>
      </c>
      <c r="D8393" t="s">
        <v>3217</v>
      </c>
      <c r="E8393">
        <v>0</v>
      </c>
      <c r="F8393">
        <v>35.51</v>
      </c>
    </row>
    <row r="8394" spans="1:6" x14ac:dyDescent="0.25">
      <c r="A8394" t="s">
        <v>3097</v>
      </c>
      <c r="B8394" t="s">
        <v>30</v>
      </c>
      <c r="C8394" t="s">
        <v>132</v>
      </c>
      <c r="D8394" t="s">
        <v>3218</v>
      </c>
      <c r="E8394">
        <v>15.14</v>
      </c>
      <c r="F8394">
        <v>35.9</v>
      </c>
    </row>
    <row r="8395" spans="1:6" x14ac:dyDescent="0.25">
      <c r="A8395" t="s">
        <v>3097</v>
      </c>
      <c r="B8395" t="s">
        <v>30</v>
      </c>
      <c r="C8395" t="s">
        <v>132</v>
      </c>
      <c r="D8395" t="s">
        <v>3219</v>
      </c>
      <c r="E8395">
        <v>27.48</v>
      </c>
      <c r="F8395">
        <v>36.24</v>
      </c>
    </row>
    <row r="8396" spans="1:6" x14ac:dyDescent="0.25">
      <c r="A8396" t="s">
        <v>3098</v>
      </c>
      <c r="B8396" t="s">
        <v>30</v>
      </c>
      <c r="C8396" t="s">
        <v>133</v>
      </c>
      <c r="D8396" t="s">
        <v>3217</v>
      </c>
      <c r="E8396">
        <v>0</v>
      </c>
      <c r="F8396">
        <v>35.71</v>
      </c>
    </row>
    <row r="8397" spans="1:6" x14ac:dyDescent="0.25">
      <c r="A8397" t="s">
        <v>3098</v>
      </c>
      <c r="B8397" t="s">
        <v>30</v>
      </c>
      <c r="C8397" t="s">
        <v>133</v>
      </c>
      <c r="D8397" t="s">
        <v>3218</v>
      </c>
      <c r="E8397">
        <v>15.5</v>
      </c>
      <c r="F8397">
        <v>36.01</v>
      </c>
    </row>
    <row r="8398" spans="1:6" x14ac:dyDescent="0.25">
      <c r="A8398" t="s">
        <v>3098</v>
      </c>
      <c r="B8398" t="s">
        <v>30</v>
      </c>
      <c r="C8398" t="s">
        <v>133</v>
      </c>
      <c r="D8398" t="s">
        <v>3219</v>
      </c>
      <c r="E8398">
        <v>26.23</v>
      </c>
      <c r="F8398">
        <v>36.21</v>
      </c>
    </row>
    <row r="8399" spans="1:6" x14ac:dyDescent="0.25">
      <c r="A8399" t="s">
        <v>3099</v>
      </c>
      <c r="B8399" t="s">
        <v>30</v>
      </c>
      <c r="C8399" t="s">
        <v>134</v>
      </c>
      <c r="D8399" t="s">
        <v>3217</v>
      </c>
      <c r="E8399">
        <v>0</v>
      </c>
      <c r="F8399">
        <v>35.950000000000003</v>
      </c>
    </row>
    <row r="8400" spans="1:6" x14ac:dyDescent="0.25">
      <c r="A8400" t="s">
        <v>3099</v>
      </c>
      <c r="B8400" t="s">
        <v>30</v>
      </c>
      <c r="C8400" t="s">
        <v>134</v>
      </c>
      <c r="D8400" t="s">
        <v>3218</v>
      </c>
      <c r="E8400">
        <v>14.87</v>
      </c>
      <c r="F8400">
        <v>36.18</v>
      </c>
    </row>
    <row r="8401" spans="1:6" x14ac:dyDescent="0.25">
      <c r="A8401" t="s">
        <v>3099</v>
      </c>
      <c r="B8401" t="s">
        <v>30</v>
      </c>
      <c r="C8401" t="s">
        <v>134</v>
      </c>
      <c r="D8401" t="s">
        <v>3219</v>
      </c>
      <c r="E8401">
        <v>25.84</v>
      </c>
      <c r="F8401">
        <v>36.43</v>
      </c>
    </row>
    <row r="8402" spans="1:6" x14ac:dyDescent="0.25">
      <c r="A8402" t="s">
        <v>3100</v>
      </c>
      <c r="B8402" t="s">
        <v>30</v>
      </c>
      <c r="C8402" t="s">
        <v>135</v>
      </c>
      <c r="D8402" t="s">
        <v>3217</v>
      </c>
      <c r="E8402">
        <v>0</v>
      </c>
      <c r="F8402">
        <v>36.11</v>
      </c>
    </row>
    <row r="8403" spans="1:6" x14ac:dyDescent="0.25">
      <c r="A8403" t="s">
        <v>3100</v>
      </c>
      <c r="B8403" t="s">
        <v>30</v>
      </c>
      <c r="C8403" t="s">
        <v>135</v>
      </c>
      <c r="D8403" t="s">
        <v>3218</v>
      </c>
      <c r="E8403">
        <v>16.34</v>
      </c>
      <c r="F8403">
        <v>36.369999999999997</v>
      </c>
    </row>
    <row r="8404" spans="1:6" x14ac:dyDescent="0.25">
      <c r="A8404" t="s">
        <v>3100</v>
      </c>
      <c r="B8404" t="s">
        <v>30</v>
      </c>
      <c r="C8404" t="s">
        <v>135</v>
      </c>
      <c r="D8404" t="s">
        <v>3219</v>
      </c>
      <c r="E8404">
        <v>28.04</v>
      </c>
      <c r="F8404">
        <v>36.97</v>
      </c>
    </row>
    <row r="8405" spans="1:6" x14ac:dyDescent="0.25">
      <c r="A8405" t="s">
        <v>3101</v>
      </c>
      <c r="B8405" t="s">
        <v>30</v>
      </c>
      <c r="C8405" t="s">
        <v>136</v>
      </c>
      <c r="D8405" t="s">
        <v>3217</v>
      </c>
      <c r="E8405">
        <v>0</v>
      </c>
      <c r="F8405">
        <v>36.979999999999997</v>
      </c>
    </row>
    <row r="8406" spans="1:6" x14ac:dyDescent="0.25">
      <c r="A8406" t="s">
        <v>3101</v>
      </c>
      <c r="B8406" t="s">
        <v>30</v>
      </c>
      <c r="C8406" t="s">
        <v>136</v>
      </c>
      <c r="D8406" t="s">
        <v>3218</v>
      </c>
      <c r="E8406">
        <v>15.68</v>
      </c>
      <c r="F8406">
        <v>37.369999999999997</v>
      </c>
    </row>
    <row r="8407" spans="1:6" x14ac:dyDescent="0.25">
      <c r="A8407" t="s">
        <v>3101</v>
      </c>
      <c r="B8407" t="s">
        <v>30</v>
      </c>
      <c r="C8407" t="s">
        <v>136</v>
      </c>
      <c r="D8407" t="s">
        <v>3219</v>
      </c>
      <c r="E8407">
        <v>28.69</v>
      </c>
      <c r="F8407">
        <v>37.799999999999997</v>
      </c>
    </row>
    <row r="8408" spans="1:6" x14ac:dyDescent="0.25">
      <c r="A8408" t="s">
        <v>3102</v>
      </c>
      <c r="B8408" t="s">
        <v>30</v>
      </c>
      <c r="C8408" t="s">
        <v>137</v>
      </c>
      <c r="D8408" t="s">
        <v>3217</v>
      </c>
      <c r="E8408">
        <v>0</v>
      </c>
      <c r="F8408">
        <v>37.92</v>
      </c>
    </row>
    <row r="8409" spans="1:6" x14ac:dyDescent="0.25">
      <c r="A8409" t="s">
        <v>3102</v>
      </c>
      <c r="B8409" t="s">
        <v>30</v>
      </c>
      <c r="C8409" t="s">
        <v>137</v>
      </c>
      <c r="D8409" t="s">
        <v>3218</v>
      </c>
      <c r="E8409">
        <v>18.16</v>
      </c>
      <c r="F8409">
        <v>37.979999999999997</v>
      </c>
    </row>
    <row r="8410" spans="1:6" x14ac:dyDescent="0.25">
      <c r="A8410" t="s">
        <v>3102</v>
      </c>
      <c r="B8410" t="s">
        <v>30</v>
      </c>
      <c r="C8410" t="s">
        <v>137</v>
      </c>
      <c r="D8410" t="s">
        <v>3219</v>
      </c>
      <c r="E8410">
        <v>32.42</v>
      </c>
      <c r="F8410">
        <v>38.700000000000003</v>
      </c>
    </row>
    <row r="8411" spans="1:6" x14ac:dyDescent="0.25">
      <c r="A8411" t="s">
        <v>3103</v>
      </c>
      <c r="B8411" t="s">
        <v>30</v>
      </c>
      <c r="C8411" t="s">
        <v>138</v>
      </c>
      <c r="D8411" t="s">
        <v>3217</v>
      </c>
      <c r="E8411">
        <v>0</v>
      </c>
      <c r="F8411">
        <v>39.04</v>
      </c>
    </row>
    <row r="8412" spans="1:6" x14ac:dyDescent="0.25">
      <c r="A8412" t="s">
        <v>3103</v>
      </c>
      <c r="B8412" t="s">
        <v>30</v>
      </c>
      <c r="C8412" t="s">
        <v>138</v>
      </c>
      <c r="D8412" t="s">
        <v>3218</v>
      </c>
      <c r="E8412">
        <v>16.91</v>
      </c>
      <c r="F8412">
        <v>39.17</v>
      </c>
    </row>
    <row r="8413" spans="1:6" x14ac:dyDescent="0.25">
      <c r="A8413" t="s">
        <v>3103</v>
      </c>
      <c r="B8413" t="s">
        <v>30</v>
      </c>
      <c r="C8413" t="s">
        <v>138</v>
      </c>
      <c r="D8413" t="s">
        <v>3219</v>
      </c>
      <c r="E8413">
        <v>35.24</v>
      </c>
      <c r="F8413">
        <v>39.89</v>
      </c>
    </row>
    <row r="8414" spans="1:6" x14ac:dyDescent="0.25">
      <c r="A8414" t="s">
        <v>3104</v>
      </c>
      <c r="B8414" t="s">
        <v>30</v>
      </c>
      <c r="C8414" t="s">
        <v>139</v>
      </c>
      <c r="D8414" t="s">
        <v>3217</v>
      </c>
      <c r="E8414">
        <v>0</v>
      </c>
      <c r="F8414">
        <v>40.35</v>
      </c>
    </row>
    <row r="8415" spans="1:6" x14ac:dyDescent="0.25">
      <c r="A8415" t="s">
        <v>3104</v>
      </c>
      <c r="B8415" t="s">
        <v>30</v>
      </c>
      <c r="C8415" t="s">
        <v>139</v>
      </c>
      <c r="D8415" t="s">
        <v>3218</v>
      </c>
      <c r="E8415">
        <v>18.16</v>
      </c>
      <c r="F8415">
        <v>40.229999999999997</v>
      </c>
    </row>
    <row r="8416" spans="1:6" x14ac:dyDescent="0.25">
      <c r="A8416" t="s">
        <v>3104</v>
      </c>
      <c r="B8416" t="s">
        <v>30</v>
      </c>
      <c r="C8416" t="s">
        <v>139</v>
      </c>
      <c r="D8416" t="s">
        <v>3219</v>
      </c>
      <c r="E8416">
        <v>36.32</v>
      </c>
      <c r="F8416">
        <v>40.92</v>
      </c>
    </row>
    <row r="8417" spans="1:6" x14ac:dyDescent="0.25">
      <c r="A8417" t="s">
        <v>3105</v>
      </c>
      <c r="B8417" t="s">
        <v>30</v>
      </c>
      <c r="C8417" t="s">
        <v>140</v>
      </c>
      <c r="D8417" t="s">
        <v>3217</v>
      </c>
      <c r="E8417">
        <v>0</v>
      </c>
      <c r="F8417">
        <v>40.869999999999997</v>
      </c>
    </row>
    <row r="8418" spans="1:6" x14ac:dyDescent="0.25">
      <c r="A8418" t="s">
        <v>3105</v>
      </c>
      <c r="B8418" t="s">
        <v>30</v>
      </c>
      <c r="C8418" t="s">
        <v>140</v>
      </c>
      <c r="D8418" t="s">
        <v>3218</v>
      </c>
      <c r="E8418">
        <v>18.170000000000002</v>
      </c>
      <c r="F8418">
        <v>40.97</v>
      </c>
    </row>
    <row r="8419" spans="1:6" x14ac:dyDescent="0.25">
      <c r="A8419" t="s">
        <v>3105</v>
      </c>
      <c r="B8419" t="s">
        <v>30</v>
      </c>
      <c r="C8419" t="s">
        <v>140</v>
      </c>
      <c r="D8419" t="s">
        <v>3219</v>
      </c>
      <c r="E8419">
        <v>38.17</v>
      </c>
      <c r="F8419">
        <v>41.79</v>
      </c>
    </row>
    <row r="8420" spans="1:6" x14ac:dyDescent="0.25">
      <c r="A8420" t="s">
        <v>3106</v>
      </c>
      <c r="B8420" t="s">
        <v>30</v>
      </c>
      <c r="C8420" t="s">
        <v>141</v>
      </c>
      <c r="D8420" t="s">
        <v>3217</v>
      </c>
      <c r="E8420">
        <v>0</v>
      </c>
      <c r="F8420">
        <v>40.409999999999997</v>
      </c>
    </row>
    <row r="8421" spans="1:6" x14ac:dyDescent="0.25">
      <c r="A8421" t="s">
        <v>3106</v>
      </c>
      <c r="B8421" t="s">
        <v>30</v>
      </c>
      <c r="C8421" t="s">
        <v>141</v>
      </c>
      <c r="D8421" t="s">
        <v>3218</v>
      </c>
      <c r="E8421">
        <v>20</v>
      </c>
      <c r="F8421">
        <v>40.83</v>
      </c>
    </row>
    <row r="8422" spans="1:6" x14ac:dyDescent="0.25">
      <c r="A8422" t="s">
        <v>3106</v>
      </c>
      <c r="B8422" t="s">
        <v>30</v>
      </c>
      <c r="C8422" t="s">
        <v>141</v>
      </c>
      <c r="D8422" t="s">
        <v>3219</v>
      </c>
      <c r="E8422">
        <v>40</v>
      </c>
      <c r="F8422">
        <v>41.56</v>
      </c>
    </row>
    <row r="8423" spans="1:6" x14ac:dyDescent="0.25">
      <c r="A8423" t="s">
        <v>3107</v>
      </c>
      <c r="B8423" t="s">
        <v>30</v>
      </c>
      <c r="C8423" t="s">
        <v>142</v>
      </c>
      <c r="D8423" t="s">
        <v>3217</v>
      </c>
      <c r="E8423">
        <v>0</v>
      </c>
      <c r="F8423">
        <v>39.58</v>
      </c>
    </row>
    <row r="8424" spans="1:6" x14ac:dyDescent="0.25">
      <c r="A8424" t="s">
        <v>3107</v>
      </c>
      <c r="B8424" t="s">
        <v>30</v>
      </c>
      <c r="C8424" t="s">
        <v>142</v>
      </c>
      <c r="D8424" t="s">
        <v>3218</v>
      </c>
      <c r="E8424">
        <v>20</v>
      </c>
      <c r="F8424">
        <v>40.14</v>
      </c>
    </row>
    <row r="8425" spans="1:6" x14ac:dyDescent="0.25">
      <c r="A8425" t="s">
        <v>3107</v>
      </c>
      <c r="B8425" t="s">
        <v>30</v>
      </c>
      <c r="C8425" t="s">
        <v>142</v>
      </c>
      <c r="D8425" t="s">
        <v>3219</v>
      </c>
      <c r="E8425">
        <v>40</v>
      </c>
      <c r="F8425">
        <v>40.98</v>
      </c>
    </row>
    <row r="8426" spans="1:6" x14ac:dyDescent="0.25">
      <c r="A8426" t="s">
        <v>3108</v>
      </c>
      <c r="B8426" t="s">
        <v>30</v>
      </c>
      <c r="C8426" t="s">
        <v>143</v>
      </c>
      <c r="D8426" t="s">
        <v>3217</v>
      </c>
      <c r="E8426">
        <v>0</v>
      </c>
      <c r="F8426">
        <v>38.79</v>
      </c>
    </row>
    <row r="8427" spans="1:6" x14ac:dyDescent="0.25">
      <c r="A8427" t="s">
        <v>3108</v>
      </c>
      <c r="B8427" t="s">
        <v>30</v>
      </c>
      <c r="C8427" t="s">
        <v>143</v>
      </c>
      <c r="D8427" t="s">
        <v>3218</v>
      </c>
      <c r="E8427">
        <v>20</v>
      </c>
      <c r="F8427">
        <v>39.119999999999997</v>
      </c>
    </row>
    <row r="8428" spans="1:6" x14ac:dyDescent="0.25">
      <c r="A8428" t="s">
        <v>3108</v>
      </c>
      <c r="B8428" t="s">
        <v>30</v>
      </c>
      <c r="C8428" t="s">
        <v>143</v>
      </c>
      <c r="D8428" t="s">
        <v>3219</v>
      </c>
      <c r="E8428">
        <v>40</v>
      </c>
      <c r="F8428">
        <v>40.770000000000003</v>
      </c>
    </row>
    <row r="8429" spans="1:6" x14ac:dyDescent="0.25">
      <c r="A8429" t="s">
        <v>3109</v>
      </c>
      <c r="B8429" t="s">
        <v>30</v>
      </c>
      <c r="C8429" t="s">
        <v>144</v>
      </c>
      <c r="D8429" t="s">
        <v>3217</v>
      </c>
      <c r="E8429">
        <v>0</v>
      </c>
      <c r="F8429">
        <v>37.799999999999997</v>
      </c>
    </row>
    <row r="8430" spans="1:6" x14ac:dyDescent="0.25">
      <c r="A8430" t="s">
        <v>3109</v>
      </c>
      <c r="B8430" t="s">
        <v>30</v>
      </c>
      <c r="C8430" t="s">
        <v>144</v>
      </c>
      <c r="D8430" t="s">
        <v>3218</v>
      </c>
      <c r="E8430">
        <v>20</v>
      </c>
      <c r="F8430">
        <v>38.04</v>
      </c>
    </row>
    <row r="8431" spans="1:6" x14ac:dyDescent="0.25">
      <c r="A8431" t="s">
        <v>3109</v>
      </c>
      <c r="B8431" t="s">
        <v>30</v>
      </c>
      <c r="C8431" t="s">
        <v>144</v>
      </c>
      <c r="D8431" t="s">
        <v>3219</v>
      </c>
      <c r="E8431">
        <v>40</v>
      </c>
      <c r="F8431">
        <v>39.9</v>
      </c>
    </row>
    <row r="8432" spans="1:6" x14ac:dyDescent="0.25">
      <c r="A8432" t="s">
        <v>3110</v>
      </c>
      <c r="B8432" t="s">
        <v>30</v>
      </c>
      <c r="C8432" t="s">
        <v>145</v>
      </c>
      <c r="D8432" t="s">
        <v>3217</v>
      </c>
      <c r="E8432">
        <v>0</v>
      </c>
      <c r="F8432">
        <v>36.24</v>
      </c>
    </row>
    <row r="8433" spans="1:6" x14ac:dyDescent="0.25">
      <c r="A8433" t="s">
        <v>3110</v>
      </c>
      <c r="B8433" t="s">
        <v>30</v>
      </c>
      <c r="C8433" t="s">
        <v>145</v>
      </c>
      <c r="D8433" t="s">
        <v>3218</v>
      </c>
      <c r="E8433">
        <v>16.87</v>
      </c>
      <c r="F8433">
        <v>36.340000000000003</v>
      </c>
    </row>
    <row r="8434" spans="1:6" x14ac:dyDescent="0.25">
      <c r="A8434" t="s">
        <v>3110</v>
      </c>
      <c r="B8434" t="s">
        <v>30</v>
      </c>
      <c r="C8434" t="s">
        <v>145</v>
      </c>
      <c r="D8434" t="s">
        <v>3219</v>
      </c>
      <c r="E8434">
        <v>36.869999999999997</v>
      </c>
      <c r="F8434">
        <v>37.31</v>
      </c>
    </row>
    <row r="8435" spans="1:6" x14ac:dyDescent="0.25">
      <c r="A8435" t="s">
        <v>3111</v>
      </c>
      <c r="B8435" t="s">
        <v>30</v>
      </c>
      <c r="C8435" t="s">
        <v>146</v>
      </c>
      <c r="D8435" t="s">
        <v>3217</v>
      </c>
      <c r="E8435">
        <v>0</v>
      </c>
      <c r="F8435">
        <v>34.67</v>
      </c>
    </row>
    <row r="8436" spans="1:6" x14ac:dyDescent="0.25">
      <c r="A8436" t="s">
        <v>3111</v>
      </c>
      <c r="B8436" t="s">
        <v>30</v>
      </c>
      <c r="C8436" t="s">
        <v>146</v>
      </c>
      <c r="D8436" t="s">
        <v>3218</v>
      </c>
      <c r="E8436">
        <v>16.510000000000002</v>
      </c>
      <c r="F8436">
        <v>34.67</v>
      </c>
    </row>
    <row r="8437" spans="1:6" x14ac:dyDescent="0.25">
      <c r="A8437" t="s">
        <v>3111</v>
      </c>
      <c r="B8437" t="s">
        <v>30</v>
      </c>
      <c r="C8437" t="s">
        <v>146</v>
      </c>
      <c r="D8437" t="s">
        <v>3219</v>
      </c>
      <c r="E8437">
        <v>36.51</v>
      </c>
      <c r="F8437">
        <v>35.17</v>
      </c>
    </row>
    <row r="8438" spans="1:6" x14ac:dyDescent="0.25">
      <c r="A8438" t="s">
        <v>3112</v>
      </c>
      <c r="B8438" t="s">
        <v>30</v>
      </c>
      <c r="C8438" t="s">
        <v>336</v>
      </c>
      <c r="D8438" t="s">
        <v>3217</v>
      </c>
      <c r="E8438">
        <v>0</v>
      </c>
      <c r="F8438">
        <v>33.6</v>
      </c>
    </row>
    <row r="8439" spans="1:6" x14ac:dyDescent="0.25">
      <c r="A8439" t="s">
        <v>3112</v>
      </c>
      <c r="B8439" t="s">
        <v>30</v>
      </c>
      <c r="C8439" t="s">
        <v>336</v>
      </c>
      <c r="D8439" t="s">
        <v>3218</v>
      </c>
      <c r="E8439">
        <v>15.34</v>
      </c>
      <c r="F8439">
        <v>33.65</v>
      </c>
    </row>
    <row r="8440" spans="1:6" x14ac:dyDescent="0.25">
      <c r="A8440" t="s">
        <v>3112</v>
      </c>
      <c r="B8440" t="s">
        <v>30</v>
      </c>
      <c r="C8440" t="s">
        <v>336</v>
      </c>
      <c r="D8440" t="s">
        <v>3219</v>
      </c>
      <c r="E8440">
        <v>35.340000000000003</v>
      </c>
      <c r="F8440">
        <v>34.020000000000003</v>
      </c>
    </row>
    <row r="8441" spans="1:6" x14ac:dyDescent="0.25">
      <c r="A8441" t="s">
        <v>3113</v>
      </c>
      <c r="B8441" t="s">
        <v>54</v>
      </c>
      <c r="C8441" t="s">
        <v>56</v>
      </c>
      <c r="D8441" t="s">
        <v>3217</v>
      </c>
      <c r="E8441">
        <v>0</v>
      </c>
      <c r="F8441">
        <v>57.6</v>
      </c>
    </row>
    <row r="8442" spans="1:6" x14ac:dyDescent="0.25">
      <c r="A8442" t="s">
        <v>3113</v>
      </c>
      <c r="B8442" t="s">
        <v>54</v>
      </c>
      <c r="C8442" t="s">
        <v>56</v>
      </c>
      <c r="D8442" t="s">
        <v>3218</v>
      </c>
      <c r="E8442">
        <v>15.57</v>
      </c>
      <c r="F8442">
        <v>57.02</v>
      </c>
    </row>
    <row r="8443" spans="1:6" x14ac:dyDescent="0.25">
      <c r="A8443" t="s">
        <v>3113</v>
      </c>
      <c r="B8443" t="s">
        <v>54</v>
      </c>
      <c r="C8443" t="s">
        <v>56</v>
      </c>
      <c r="D8443" t="s">
        <v>3219</v>
      </c>
      <c r="E8443">
        <v>35.57</v>
      </c>
      <c r="F8443">
        <v>55.74</v>
      </c>
    </row>
    <row r="8444" spans="1:6" x14ac:dyDescent="0.25">
      <c r="A8444" t="s">
        <v>3114</v>
      </c>
      <c r="B8444" t="s">
        <v>54</v>
      </c>
      <c r="C8444" t="s">
        <v>57</v>
      </c>
      <c r="D8444" t="s">
        <v>3217</v>
      </c>
      <c r="E8444">
        <v>0</v>
      </c>
      <c r="F8444">
        <v>57.56</v>
      </c>
    </row>
    <row r="8445" spans="1:6" x14ac:dyDescent="0.25">
      <c r="A8445" t="s">
        <v>3114</v>
      </c>
      <c r="B8445" t="s">
        <v>54</v>
      </c>
      <c r="C8445" t="s">
        <v>57</v>
      </c>
      <c r="D8445" t="s">
        <v>3218</v>
      </c>
      <c r="E8445">
        <v>15.18</v>
      </c>
      <c r="F8445">
        <v>57.43</v>
      </c>
    </row>
    <row r="8446" spans="1:6" x14ac:dyDescent="0.25">
      <c r="A8446" t="s">
        <v>3114</v>
      </c>
      <c r="B8446" t="s">
        <v>54</v>
      </c>
      <c r="C8446" t="s">
        <v>57</v>
      </c>
      <c r="D8446" t="s">
        <v>3219</v>
      </c>
      <c r="E8446">
        <v>29.42</v>
      </c>
      <c r="F8446">
        <v>56.94</v>
      </c>
    </row>
    <row r="8447" spans="1:6" x14ac:dyDescent="0.25">
      <c r="A8447" t="s">
        <v>3115</v>
      </c>
      <c r="B8447" t="s">
        <v>54</v>
      </c>
      <c r="C8447" t="s">
        <v>58</v>
      </c>
      <c r="D8447" t="s">
        <v>3217</v>
      </c>
      <c r="E8447">
        <v>0</v>
      </c>
      <c r="F8447">
        <v>57.66</v>
      </c>
    </row>
    <row r="8448" spans="1:6" x14ac:dyDescent="0.25">
      <c r="A8448" t="s">
        <v>3115</v>
      </c>
      <c r="B8448" t="s">
        <v>54</v>
      </c>
      <c r="C8448" t="s">
        <v>58</v>
      </c>
      <c r="D8448" t="s">
        <v>3218</v>
      </c>
      <c r="E8448">
        <v>18.059999999999999</v>
      </c>
      <c r="F8448">
        <v>57.61</v>
      </c>
    </row>
    <row r="8449" spans="1:6" x14ac:dyDescent="0.25">
      <c r="A8449" t="s">
        <v>3115</v>
      </c>
      <c r="B8449" t="s">
        <v>54</v>
      </c>
      <c r="C8449" t="s">
        <v>58</v>
      </c>
      <c r="D8449" t="s">
        <v>3219</v>
      </c>
      <c r="E8449">
        <v>31.52</v>
      </c>
      <c r="F8449">
        <v>57.72</v>
      </c>
    </row>
    <row r="8450" spans="1:6" x14ac:dyDescent="0.25">
      <c r="A8450" t="s">
        <v>3116</v>
      </c>
      <c r="B8450" t="s">
        <v>54</v>
      </c>
      <c r="C8450" t="s">
        <v>59</v>
      </c>
      <c r="D8450" t="s">
        <v>3217</v>
      </c>
      <c r="E8450">
        <v>0</v>
      </c>
      <c r="F8450">
        <v>57.54</v>
      </c>
    </row>
    <row r="8451" spans="1:6" x14ac:dyDescent="0.25">
      <c r="A8451" t="s">
        <v>3116</v>
      </c>
      <c r="B8451" t="s">
        <v>54</v>
      </c>
      <c r="C8451" t="s">
        <v>59</v>
      </c>
      <c r="D8451" t="s">
        <v>3218</v>
      </c>
      <c r="E8451">
        <v>16.09</v>
      </c>
      <c r="F8451">
        <v>57.74</v>
      </c>
    </row>
    <row r="8452" spans="1:6" x14ac:dyDescent="0.25">
      <c r="A8452" t="s">
        <v>3116</v>
      </c>
      <c r="B8452" t="s">
        <v>54</v>
      </c>
      <c r="C8452" t="s">
        <v>59</v>
      </c>
      <c r="D8452" t="s">
        <v>3219</v>
      </c>
      <c r="E8452">
        <v>29.51</v>
      </c>
      <c r="F8452">
        <v>57.75</v>
      </c>
    </row>
    <row r="8453" spans="1:6" x14ac:dyDescent="0.25">
      <c r="A8453" t="s">
        <v>3117</v>
      </c>
      <c r="B8453" t="s">
        <v>54</v>
      </c>
      <c r="C8453" t="s">
        <v>60</v>
      </c>
      <c r="D8453" t="s">
        <v>3217</v>
      </c>
      <c r="E8453">
        <v>0</v>
      </c>
      <c r="F8453">
        <v>57.31</v>
      </c>
    </row>
    <row r="8454" spans="1:6" x14ac:dyDescent="0.25">
      <c r="A8454" t="s">
        <v>3117</v>
      </c>
      <c r="B8454" t="s">
        <v>54</v>
      </c>
      <c r="C8454" t="s">
        <v>60</v>
      </c>
      <c r="D8454" t="s">
        <v>3218</v>
      </c>
      <c r="E8454">
        <v>16.09</v>
      </c>
      <c r="F8454">
        <v>57.44</v>
      </c>
    </row>
    <row r="8455" spans="1:6" x14ac:dyDescent="0.25">
      <c r="A8455" t="s">
        <v>3117</v>
      </c>
      <c r="B8455" t="s">
        <v>54</v>
      </c>
      <c r="C8455" t="s">
        <v>60</v>
      </c>
      <c r="D8455" t="s">
        <v>3219</v>
      </c>
      <c r="E8455">
        <v>29.55</v>
      </c>
      <c r="F8455">
        <v>57.54</v>
      </c>
    </row>
    <row r="8456" spans="1:6" x14ac:dyDescent="0.25">
      <c r="A8456" t="s">
        <v>3118</v>
      </c>
      <c r="B8456" t="s">
        <v>54</v>
      </c>
      <c r="C8456" t="s">
        <v>61</v>
      </c>
      <c r="D8456" t="s">
        <v>3217</v>
      </c>
      <c r="E8456">
        <v>0</v>
      </c>
      <c r="F8456">
        <v>56.87</v>
      </c>
    </row>
    <row r="8457" spans="1:6" x14ac:dyDescent="0.25">
      <c r="A8457" t="s">
        <v>3118</v>
      </c>
      <c r="B8457" t="s">
        <v>54</v>
      </c>
      <c r="C8457" t="s">
        <v>61</v>
      </c>
      <c r="D8457" t="s">
        <v>3218</v>
      </c>
      <c r="E8457">
        <v>16.09</v>
      </c>
      <c r="F8457">
        <v>57</v>
      </c>
    </row>
    <row r="8458" spans="1:6" x14ac:dyDescent="0.25">
      <c r="A8458" t="s">
        <v>3118</v>
      </c>
      <c r="B8458" t="s">
        <v>54</v>
      </c>
      <c r="C8458" t="s">
        <v>61</v>
      </c>
      <c r="D8458" t="s">
        <v>3219</v>
      </c>
      <c r="E8458">
        <v>29.51</v>
      </c>
      <c r="F8458">
        <v>57.05</v>
      </c>
    </row>
    <row r="8459" spans="1:6" x14ac:dyDescent="0.25">
      <c r="A8459" t="s">
        <v>3119</v>
      </c>
      <c r="B8459" t="s">
        <v>54</v>
      </c>
      <c r="C8459" t="s">
        <v>62</v>
      </c>
      <c r="D8459" t="s">
        <v>3217</v>
      </c>
      <c r="E8459">
        <v>0</v>
      </c>
      <c r="F8459">
        <v>56.29</v>
      </c>
    </row>
    <row r="8460" spans="1:6" x14ac:dyDescent="0.25">
      <c r="A8460" t="s">
        <v>3119</v>
      </c>
      <c r="B8460" t="s">
        <v>54</v>
      </c>
      <c r="C8460" t="s">
        <v>62</v>
      </c>
      <c r="D8460" t="s">
        <v>3218</v>
      </c>
      <c r="E8460">
        <v>14.44</v>
      </c>
      <c r="F8460">
        <v>56.46</v>
      </c>
    </row>
    <row r="8461" spans="1:6" x14ac:dyDescent="0.25">
      <c r="A8461" t="s">
        <v>3119</v>
      </c>
      <c r="B8461" t="s">
        <v>54</v>
      </c>
      <c r="C8461" t="s">
        <v>62</v>
      </c>
      <c r="D8461" t="s">
        <v>3219</v>
      </c>
      <c r="E8461">
        <v>27.48</v>
      </c>
      <c r="F8461">
        <v>56.39</v>
      </c>
    </row>
    <row r="8462" spans="1:6" x14ac:dyDescent="0.25">
      <c r="A8462" t="s">
        <v>3120</v>
      </c>
      <c r="B8462" t="s">
        <v>54</v>
      </c>
      <c r="C8462" t="s">
        <v>63</v>
      </c>
      <c r="D8462" t="s">
        <v>3217</v>
      </c>
      <c r="E8462">
        <v>0</v>
      </c>
      <c r="F8462">
        <v>55.38</v>
      </c>
    </row>
    <row r="8463" spans="1:6" x14ac:dyDescent="0.25">
      <c r="A8463" t="s">
        <v>3120</v>
      </c>
      <c r="B8463" t="s">
        <v>54</v>
      </c>
      <c r="C8463" t="s">
        <v>63</v>
      </c>
      <c r="D8463" t="s">
        <v>3218</v>
      </c>
      <c r="E8463">
        <v>14.24</v>
      </c>
      <c r="F8463">
        <v>55.69</v>
      </c>
    </row>
    <row r="8464" spans="1:6" x14ac:dyDescent="0.25">
      <c r="A8464" t="s">
        <v>3120</v>
      </c>
      <c r="B8464" t="s">
        <v>54</v>
      </c>
      <c r="C8464" t="s">
        <v>63</v>
      </c>
      <c r="D8464" t="s">
        <v>3219</v>
      </c>
      <c r="E8464">
        <v>26.08</v>
      </c>
      <c r="F8464">
        <v>55.7</v>
      </c>
    </row>
    <row r="8465" spans="1:6" x14ac:dyDescent="0.25">
      <c r="A8465" t="s">
        <v>3121</v>
      </c>
      <c r="B8465" t="s">
        <v>54</v>
      </c>
      <c r="C8465" t="s">
        <v>64</v>
      </c>
      <c r="D8465" t="s">
        <v>3217</v>
      </c>
      <c r="E8465">
        <v>0</v>
      </c>
      <c r="F8465">
        <v>54.29</v>
      </c>
    </row>
    <row r="8466" spans="1:6" x14ac:dyDescent="0.25">
      <c r="A8466" t="s">
        <v>3121</v>
      </c>
      <c r="B8466" t="s">
        <v>54</v>
      </c>
      <c r="C8466" t="s">
        <v>64</v>
      </c>
      <c r="D8466" t="s">
        <v>3218</v>
      </c>
      <c r="E8466">
        <v>13.55</v>
      </c>
      <c r="F8466">
        <v>54.59</v>
      </c>
    </row>
    <row r="8467" spans="1:6" x14ac:dyDescent="0.25">
      <c r="A8467" t="s">
        <v>3121</v>
      </c>
      <c r="B8467" t="s">
        <v>54</v>
      </c>
      <c r="C8467" t="s">
        <v>64</v>
      </c>
      <c r="D8467" t="s">
        <v>3219</v>
      </c>
      <c r="E8467">
        <v>25.46</v>
      </c>
      <c r="F8467">
        <v>54.58</v>
      </c>
    </row>
    <row r="8468" spans="1:6" x14ac:dyDescent="0.25">
      <c r="A8468" t="s">
        <v>3122</v>
      </c>
      <c r="B8468" t="s">
        <v>54</v>
      </c>
      <c r="C8468" t="s">
        <v>65</v>
      </c>
      <c r="D8468" t="s">
        <v>3217</v>
      </c>
      <c r="E8468">
        <v>0</v>
      </c>
      <c r="F8468">
        <v>53.19</v>
      </c>
    </row>
    <row r="8469" spans="1:6" x14ac:dyDescent="0.25">
      <c r="A8469" t="s">
        <v>3122</v>
      </c>
      <c r="B8469" t="s">
        <v>54</v>
      </c>
      <c r="C8469" t="s">
        <v>65</v>
      </c>
      <c r="D8469" t="s">
        <v>3218</v>
      </c>
      <c r="E8469">
        <v>13.56</v>
      </c>
      <c r="F8469">
        <v>53.41</v>
      </c>
    </row>
    <row r="8470" spans="1:6" x14ac:dyDescent="0.25">
      <c r="A8470" t="s">
        <v>3122</v>
      </c>
      <c r="B8470" t="s">
        <v>54</v>
      </c>
      <c r="C8470" t="s">
        <v>65</v>
      </c>
      <c r="D8470" t="s">
        <v>3219</v>
      </c>
      <c r="E8470">
        <v>25.08</v>
      </c>
      <c r="F8470">
        <v>53.32</v>
      </c>
    </row>
    <row r="8471" spans="1:6" x14ac:dyDescent="0.25">
      <c r="A8471" t="s">
        <v>3123</v>
      </c>
      <c r="B8471" t="s">
        <v>54</v>
      </c>
      <c r="C8471" t="s">
        <v>66</v>
      </c>
      <c r="D8471" t="s">
        <v>3217</v>
      </c>
      <c r="E8471">
        <v>0</v>
      </c>
      <c r="F8471">
        <v>51.93</v>
      </c>
    </row>
    <row r="8472" spans="1:6" x14ac:dyDescent="0.25">
      <c r="A8472" t="s">
        <v>3123</v>
      </c>
      <c r="B8472" t="s">
        <v>54</v>
      </c>
      <c r="C8472" t="s">
        <v>66</v>
      </c>
      <c r="D8472" t="s">
        <v>3218</v>
      </c>
      <c r="E8472">
        <v>13.79</v>
      </c>
      <c r="F8472">
        <v>52.07</v>
      </c>
    </row>
    <row r="8473" spans="1:6" x14ac:dyDescent="0.25">
      <c r="A8473" t="s">
        <v>3123</v>
      </c>
      <c r="B8473" t="s">
        <v>54</v>
      </c>
      <c r="C8473" t="s">
        <v>66</v>
      </c>
      <c r="D8473" t="s">
        <v>3219</v>
      </c>
      <c r="E8473">
        <v>25.92</v>
      </c>
      <c r="F8473">
        <v>51.84</v>
      </c>
    </row>
    <row r="8474" spans="1:6" x14ac:dyDescent="0.25">
      <c r="A8474" t="s">
        <v>3124</v>
      </c>
      <c r="B8474" t="s">
        <v>54</v>
      </c>
      <c r="C8474" t="s">
        <v>67</v>
      </c>
      <c r="D8474" t="s">
        <v>3217</v>
      </c>
      <c r="E8474">
        <v>0</v>
      </c>
      <c r="F8474">
        <v>50.36</v>
      </c>
    </row>
    <row r="8475" spans="1:6" x14ac:dyDescent="0.25">
      <c r="A8475" t="s">
        <v>3124</v>
      </c>
      <c r="B8475" t="s">
        <v>54</v>
      </c>
      <c r="C8475" t="s">
        <v>67</v>
      </c>
      <c r="D8475" t="s">
        <v>3218</v>
      </c>
      <c r="E8475">
        <v>13.68</v>
      </c>
      <c r="F8475">
        <v>50.54</v>
      </c>
    </row>
    <row r="8476" spans="1:6" x14ac:dyDescent="0.25">
      <c r="A8476" t="s">
        <v>3124</v>
      </c>
      <c r="B8476" t="s">
        <v>54</v>
      </c>
      <c r="C8476" t="s">
        <v>67</v>
      </c>
      <c r="D8476" t="s">
        <v>3219</v>
      </c>
      <c r="E8476">
        <v>26.58</v>
      </c>
      <c r="F8476">
        <v>50.25</v>
      </c>
    </row>
    <row r="8477" spans="1:6" x14ac:dyDescent="0.25">
      <c r="A8477" t="s">
        <v>3125</v>
      </c>
      <c r="B8477" t="s">
        <v>54</v>
      </c>
      <c r="C8477" t="s">
        <v>68</v>
      </c>
      <c r="D8477" t="s">
        <v>3217</v>
      </c>
      <c r="E8477">
        <v>0</v>
      </c>
      <c r="F8477">
        <v>48.82</v>
      </c>
    </row>
    <row r="8478" spans="1:6" x14ac:dyDescent="0.25">
      <c r="A8478" t="s">
        <v>3125</v>
      </c>
      <c r="B8478" t="s">
        <v>54</v>
      </c>
      <c r="C8478" t="s">
        <v>68</v>
      </c>
      <c r="D8478" t="s">
        <v>3218</v>
      </c>
      <c r="E8478">
        <v>14.17</v>
      </c>
      <c r="F8478">
        <v>48.95</v>
      </c>
    </row>
    <row r="8479" spans="1:6" x14ac:dyDescent="0.25">
      <c r="A8479" t="s">
        <v>3125</v>
      </c>
      <c r="B8479" t="s">
        <v>54</v>
      </c>
      <c r="C8479" t="s">
        <v>68</v>
      </c>
      <c r="D8479" t="s">
        <v>3219</v>
      </c>
      <c r="E8479">
        <v>28.22</v>
      </c>
      <c r="F8479">
        <v>48.66</v>
      </c>
    </row>
    <row r="8480" spans="1:6" x14ac:dyDescent="0.25">
      <c r="A8480" t="s">
        <v>3126</v>
      </c>
      <c r="B8480" t="s">
        <v>54</v>
      </c>
      <c r="C8480" t="s">
        <v>69</v>
      </c>
      <c r="D8480" t="s">
        <v>3217</v>
      </c>
      <c r="E8480">
        <v>0</v>
      </c>
      <c r="F8480">
        <v>47.37</v>
      </c>
    </row>
    <row r="8481" spans="1:6" x14ac:dyDescent="0.25">
      <c r="A8481" t="s">
        <v>3126</v>
      </c>
      <c r="B8481" t="s">
        <v>54</v>
      </c>
      <c r="C8481" t="s">
        <v>69</v>
      </c>
      <c r="D8481" t="s">
        <v>3218</v>
      </c>
      <c r="E8481">
        <v>14.15</v>
      </c>
      <c r="F8481">
        <v>47.34</v>
      </c>
    </row>
    <row r="8482" spans="1:6" x14ac:dyDescent="0.25">
      <c r="A8482" t="s">
        <v>3126</v>
      </c>
      <c r="B8482" t="s">
        <v>54</v>
      </c>
      <c r="C8482" t="s">
        <v>69</v>
      </c>
      <c r="D8482" t="s">
        <v>3219</v>
      </c>
      <c r="E8482">
        <v>28.4</v>
      </c>
      <c r="F8482">
        <v>46.89</v>
      </c>
    </row>
    <row r="8483" spans="1:6" x14ac:dyDescent="0.25">
      <c r="A8483" t="s">
        <v>3127</v>
      </c>
      <c r="B8483" t="s">
        <v>54</v>
      </c>
      <c r="C8483" t="s">
        <v>70</v>
      </c>
      <c r="D8483" t="s">
        <v>3217</v>
      </c>
      <c r="E8483">
        <v>0</v>
      </c>
      <c r="F8483">
        <v>45.79</v>
      </c>
    </row>
    <row r="8484" spans="1:6" x14ac:dyDescent="0.25">
      <c r="A8484" t="s">
        <v>3127</v>
      </c>
      <c r="B8484" t="s">
        <v>54</v>
      </c>
      <c r="C8484" t="s">
        <v>70</v>
      </c>
      <c r="D8484" t="s">
        <v>3218</v>
      </c>
      <c r="E8484">
        <v>13.5</v>
      </c>
      <c r="F8484">
        <v>45.73</v>
      </c>
    </row>
    <row r="8485" spans="1:6" x14ac:dyDescent="0.25">
      <c r="A8485" t="s">
        <v>3127</v>
      </c>
      <c r="B8485" t="s">
        <v>54</v>
      </c>
      <c r="C8485" t="s">
        <v>70</v>
      </c>
      <c r="D8485" t="s">
        <v>3219</v>
      </c>
      <c r="E8485">
        <v>28.76</v>
      </c>
      <c r="F8485">
        <v>45.16</v>
      </c>
    </row>
    <row r="8486" spans="1:6" x14ac:dyDescent="0.25">
      <c r="A8486" t="s">
        <v>3128</v>
      </c>
      <c r="B8486" t="s">
        <v>54</v>
      </c>
      <c r="C8486" t="s">
        <v>71</v>
      </c>
      <c r="D8486" t="s">
        <v>3217</v>
      </c>
      <c r="E8486">
        <v>0</v>
      </c>
      <c r="F8486">
        <v>44.18</v>
      </c>
    </row>
    <row r="8487" spans="1:6" x14ac:dyDescent="0.25">
      <c r="A8487" t="s">
        <v>3128</v>
      </c>
      <c r="B8487" t="s">
        <v>54</v>
      </c>
      <c r="C8487" t="s">
        <v>71</v>
      </c>
      <c r="D8487" t="s">
        <v>3218</v>
      </c>
      <c r="E8487">
        <v>13.36</v>
      </c>
      <c r="F8487">
        <v>44.18</v>
      </c>
    </row>
    <row r="8488" spans="1:6" x14ac:dyDescent="0.25">
      <c r="A8488" t="s">
        <v>3128</v>
      </c>
      <c r="B8488" t="s">
        <v>54</v>
      </c>
      <c r="C8488" t="s">
        <v>71</v>
      </c>
      <c r="D8488" t="s">
        <v>3219</v>
      </c>
      <c r="E8488">
        <v>29.7</v>
      </c>
      <c r="F8488">
        <v>43.55</v>
      </c>
    </row>
    <row r="8489" spans="1:6" x14ac:dyDescent="0.25">
      <c r="A8489" t="s">
        <v>3129</v>
      </c>
      <c r="B8489" t="s">
        <v>54</v>
      </c>
      <c r="C8489" t="s">
        <v>72</v>
      </c>
      <c r="D8489" t="s">
        <v>3217</v>
      </c>
      <c r="E8489">
        <v>0</v>
      </c>
      <c r="F8489">
        <v>42.65</v>
      </c>
    </row>
    <row r="8490" spans="1:6" x14ac:dyDescent="0.25">
      <c r="A8490" t="s">
        <v>3129</v>
      </c>
      <c r="B8490" t="s">
        <v>54</v>
      </c>
      <c r="C8490" t="s">
        <v>72</v>
      </c>
      <c r="D8490" t="s">
        <v>3218</v>
      </c>
      <c r="E8490">
        <v>13.05</v>
      </c>
      <c r="F8490">
        <v>42.68</v>
      </c>
    </row>
    <row r="8491" spans="1:6" x14ac:dyDescent="0.25">
      <c r="A8491" t="s">
        <v>3129</v>
      </c>
      <c r="B8491" t="s">
        <v>54</v>
      </c>
      <c r="C8491" t="s">
        <v>72</v>
      </c>
      <c r="D8491" t="s">
        <v>3219</v>
      </c>
      <c r="E8491">
        <v>29.16</v>
      </c>
      <c r="F8491">
        <v>42.2</v>
      </c>
    </row>
    <row r="8492" spans="1:6" x14ac:dyDescent="0.25">
      <c r="A8492" t="s">
        <v>3130</v>
      </c>
      <c r="B8492" t="s">
        <v>54</v>
      </c>
      <c r="C8492" t="s">
        <v>73</v>
      </c>
      <c r="D8492" t="s">
        <v>3217</v>
      </c>
      <c r="E8492">
        <v>0</v>
      </c>
      <c r="F8492">
        <v>41.3</v>
      </c>
    </row>
    <row r="8493" spans="1:6" x14ac:dyDescent="0.25">
      <c r="A8493" t="s">
        <v>3130</v>
      </c>
      <c r="B8493" t="s">
        <v>54</v>
      </c>
      <c r="C8493" t="s">
        <v>73</v>
      </c>
      <c r="D8493" t="s">
        <v>3218</v>
      </c>
      <c r="E8493">
        <v>13.34</v>
      </c>
      <c r="F8493">
        <v>41.27</v>
      </c>
    </row>
    <row r="8494" spans="1:6" x14ac:dyDescent="0.25">
      <c r="A8494" t="s">
        <v>3130</v>
      </c>
      <c r="B8494" t="s">
        <v>54</v>
      </c>
      <c r="C8494" t="s">
        <v>73</v>
      </c>
      <c r="D8494" t="s">
        <v>3219</v>
      </c>
      <c r="E8494">
        <v>29.21</v>
      </c>
      <c r="F8494">
        <v>40.729999999999997</v>
      </c>
    </row>
    <row r="8495" spans="1:6" x14ac:dyDescent="0.25">
      <c r="A8495" t="s">
        <v>3131</v>
      </c>
      <c r="B8495" t="s">
        <v>54</v>
      </c>
      <c r="C8495" t="s">
        <v>74</v>
      </c>
      <c r="D8495" t="s">
        <v>3217</v>
      </c>
      <c r="E8495">
        <v>0</v>
      </c>
      <c r="F8495">
        <v>40.04</v>
      </c>
    </row>
    <row r="8496" spans="1:6" x14ac:dyDescent="0.25">
      <c r="A8496" t="s">
        <v>3131</v>
      </c>
      <c r="B8496" t="s">
        <v>54</v>
      </c>
      <c r="C8496" t="s">
        <v>74</v>
      </c>
      <c r="D8496" t="s">
        <v>3218</v>
      </c>
      <c r="E8496">
        <v>13.54</v>
      </c>
      <c r="F8496">
        <v>39.86</v>
      </c>
    </row>
    <row r="8497" spans="1:6" x14ac:dyDescent="0.25">
      <c r="A8497" t="s">
        <v>3131</v>
      </c>
      <c r="B8497" t="s">
        <v>54</v>
      </c>
      <c r="C8497" t="s">
        <v>74</v>
      </c>
      <c r="D8497" t="s">
        <v>3219</v>
      </c>
      <c r="E8497">
        <v>28.92</v>
      </c>
      <c r="F8497">
        <v>39.380000000000003</v>
      </c>
    </row>
    <row r="8498" spans="1:6" x14ac:dyDescent="0.25">
      <c r="A8498" t="s">
        <v>3132</v>
      </c>
      <c r="B8498" t="s">
        <v>54</v>
      </c>
      <c r="C8498" t="s">
        <v>75</v>
      </c>
      <c r="D8498" t="s">
        <v>3217</v>
      </c>
      <c r="E8498">
        <v>0</v>
      </c>
      <c r="F8498">
        <v>38.75</v>
      </c>
    </row>
    <row r="8499" spans="1:6" x14ac:dyDescent="0.25">
      <c r="A8499" t="s">
        <v>3132</v>
      </c>
      <c r="B8499" t="s">
        <v>54</v>
      </c>
      <c r="C8499" t="s">
        <v>75</v>
      </c>
      <c r="D8499" t="s">
        <v>3218</v>
      </c>
      <c r="E8499">
        <v>13.91</v>
      </c>
      <c r="F8499">
        <v>38.51</v>
      </c>
    </row>
    <row r="8500" spans="1:6" x14ac:dyDescent="0.25">
      <c r="A8500" t="s">
        <v>3132</v>
      </c>
      <c r="B8500" t="s">
        <v>54</v>
      </c>
      <c r="C8500" t="s">
        <v>75</v>
      </c>
      <c r="D8500" t="s">
        <v>3219</v>
      </c>
      <c r="E8500">
        <v>29.05</v>
      </c>
      <c r="F8500">
        <v>38.01</v>
      </c>
    </row>
    <row r="8501" spans="1:6" x14ac:dyDescent="0.25">
      <c r="A8501" t="s">
        <v>3133</v>
      </c>
      <c r="B8501" t="s">
        <v>54</v>
      </c>
      <c r="C8501" t="s">
        <v>76</v>
      </c>
      <c r="D8501" t="s">
        <v>3217</v>
      </c>
      <c r="E8501">
        <v>0</v>
      </c>
      <c r="F8501">
        <v>37.5</v>
      </c>
    </row>
    <row r="8502" spans="1:6" x14ac:dyDescent="0.25">
      <c r="A8502" t="s">
        <v>3133</v>
      </c>
      <c r="B8502" t="s">
        <v>54</v>
      </c>
      <c r="C8502" t="s">
        <v>76</v>
      </c>
      <c r="D8502" t="s">
        <v>3218</v>
      </c>
      <c r="E8502">
        <v>13.91</v>
      </c>
      <c r="F8502">
        <v>37.26</v>
      </c>
    </row>
    <row r="8503" spans="1:6" x14ac:dyDescent="0.25">
      <c r="A8503" t="s">
        <v>3133</v>
      </c>
      <c r="B8503" t="s">
        <v>54</v>
      </c>
      <c r="C8503" t="s">
        <v>76</v>
      </c>
      <c r="D8503" t="s">
        <v>3219</v>
      </c>
      <c r="E8503">
        <v>29.19</v>
      </c>
      <c r="F8503">
        <v>36.76</v>
      </c>
    </row>
    <row r="8504" spans="1:6" x14ac:dyDescent="0.25">
      <c r="A8504" t="s">
        <v>3134</v>
      </c>
      <c r="B8504" t="s">
        <v>54</v>
      </c>
      <c r="C8504" t="s">
        <v>77</v>
      </c>
      <c r="D8504" t="s">
        <v>3217</v>
      </c>
      <c r="E8504">
        <v>0</v>
      </c>
      <c r="F8504">
        <v>36.65</v>
      </c>
    </row>
    <row r="8505" spans="1:6" x14ac:dyDescent="0.25">
      <c r="A8505" t="s">
        <v>3134</v>
      </c>
      <c r="B8505" t="s">
        <v>54</v>
      </c>
      <c r="C8505" t="s">
        <v>77</v>
      </c>
      <c r="D8505" t="s">
        <v>3218</v>
      </c>
      <c r="E8505">
        <v>14.03</v>
      </c>
      <c r="F8505">
        <v>36.380000000000003</v>
      </c>
    </row>
    <row r="8506" spans="1:6" x14ac:dyDescent="0.25">
      <c r="A8506" t="s">
        <v>3134</v>
      </c>
      <c r="B8506" t="s">
        <v>54</v>
      </c>
      <c r="C8506" t="s">
        <v>77</v>
      </c>
      <c r="D8506" t="s">
        <v>3219</v>
      </c>
      <c r="E8506">
        <v>29.44</v>
      </c>
      <c r="F8506">
        <v>36.19</v>
      </c>
    </row>
    <row r="8507" spans="1:6" x14ac:dyDescent="0.25">
      <c r="A8507" t="s">
        <v>3135</v>
      </c>
      <c r="B8507" t="s">
        <v>54</v>
      </c>
      <c r="C8507" t="s">
        <v>78</v>
      </c>
      <c r="D8507" t="s">
        <v>3217</v>
      </c>
      <c r="E8507">
        <v>0</v>
      </c>
      <c r="F8507">
        <v>35.99</v>
      </c>
    </row>
    <row r="8508" spans="1:6" x14ac:dyDescent="0.25">
      <c r="A8508" t="s">
        <v>3135</v>
      </c>
      <c r="B8508" t="s">
        <v>54</v>
      </c>
      <c r="C8508" t="s">
        <v>78</v>
      </c>
      <c r="D8508" t="s">
        <v>3218</v>
      </c>
      <c r="E8508">
        <v>13.78</v>
      </c>
      <c r="F8508">
        <v>35.82</v>
      </c>
    </row>
    <row r="8509" spans="1:6" x14ac:dyDescent="0.25">
      <c r="A8509" t="s">
        <v>3135</v>
      </c>
      <c r="B8509" t="s">
        <v>54</v>
      </c>
      <c r="C8509" t="s">
        <v>78</v>
      </c>
      <c r="D8509" t="s">
        <v>3219</v>
      </c>
      <c r="E8509">
        <v>28.2</v>
      </c>
      <c r="F8509">
        <v>35.65</v>
      </c>
    </row>
    <row r="8510" spans="1:6" x14ac:dyDescent="0.25">
      <c r="A8510" t="s">
        <v>3136</v>
      </c>
      <c r="B8510" t="s">
        <v>54</v>
      </c>
      <c r="C8510" t="s">
        <v>79</v>
      </c>
      <c r="D8510" t="s">
        <v>3217</v>
      </c>
      <c r="E8510">
        <v>0</v>
      </c>
      <c r="F8510">
        <v>35.549999999999997</v>
      </c>
    </row>
    <row r="8511" spans="1:6" x14ac:dyDescent="0.25">
      <c r="A8511" t="s">
        <v>3136</v>
      </c>
      <c r="B8511" t="s">
        <v>54</v>
      </c>
      <c r="C8511" t="s">
        <v>79</v>
      </c>
      <c r="D8511" t="s">
        <v>3218</v>
      </c>
      <c r="E8511">
        <v>13.33</v>
      </c>
      <c r="F8511">
        <v>35.39</v>
      </c>
    </row>
    <row r="8512" spans="1:6" x14ac:dyDescent="0.25">
      <c r="A8512" t="s">
        <v>3136</v>
      </c>
      <c r="B8512" t="s">
        <v>54</v>
      </c>
      <c r="C8512" t="s">
        <v>79</v>
      </c>
      <c r="D8512" t="s">
        <v>3219</v>
      </c>
      <c r="E8512">
        <v>28.9</v>
      </c>
      <c r="F8512">
        <v>34.86</v>
      </c>
    </row>
    <row r="8513" spans="1:6" x14ac:dyDescent="0.25">
      <c r="A8513" t="s">
        <v>3137</v>
      </c>
      <c r="B8513" t="s">
        <v>54</v>
      </c>
      <c r="C8513" t="s">
        <v>80</v>
      </c>
      <c r="D8513" t="s">
        <v>3217</v>
      </c>
      <c r="E8513">
        <v>0</v>
      </c>
      <c r="F8513">
        <v>35.229999999999997</v>
      </c>
    </row>
    <row r="8514" spans="1:6" x14ac:dyDescent="0.25">
      <c r="A8514" t="s">
        <v>3137</v>
      </c>
      <c r="B8514" t="s">
        <v>54</v>
      </c>
      <c r="C8514" t="s">
        <v>80</v>
      </c>
      <c r="D8514" t="s">
        <v>3218</v>
      </c>
      <c r="E8514">
        <v>13.17</v>
      </c>
      <c r="F8514">
        <v>35.020000000000003</v>
      </c>
    </row>
    <row r="8515" spans="1:6" x14ac:dyDescent="0.25">
      <c r="A8515" t="s">
        <v>3137</v>
      </c>
      <c r="B8515" t="s">
        <v>54</v>
      </c>
      <c r="C8515" t="s">
        <v>80</v>
      </c>
      <c r="D8515" t="s">
        <v>3219</v>
      </c>
      <c r="E8515">
        <v>29.11</v>
      </c>
      <c r="F8515">
        <v>34.5</v>
      </c>
    </row>
    <row r="8516" spans="1:6" x14ac:dyDescent="0.25">
      <c r="A8516" t="s">
        <v>3138</v>
      </c>
      <c r="B8516" t="s">
        <v>54</v>
      </c>
      <c r="C8516" t="s">
        <v>81</v>
      </c>
      <c r="D8516" t="s">
        <v>3217</v>
      </c>
      <c r="E8516">
        <v>0</v>
      </c>
      <c r="F8516">
        <v>35.08</v>
      </c>
    </row>
    <row r="8517" spans="1:6" x14ac:dyDescent="0.25">
      <c r="A8517" t="s">
        <v>3138</v>
      </c>
      <c r="B8517" t="s">
        <v>54</v>
      </c>
      <c r="C8517" t="s">
        <v>81</v>
      </c>
      <c r="D8517" t="s">
        <v>3218</v>
      </c>
      <c r="E8517">
        <v>13.27</v>
      </c>
      <c r="F8517">
        <v>34.770000000000003</v>
      </c>
    </row>
    <row r="8518" spans="1:6" x14ac:dyDescent="0.25">
      <c r="A8518" t="s">
        <v>3138</v>
      </c>
      <c r="B8518" t="s">
        <v>54</v>
      </c>
      <c r="C8518" t="s">
        <v>81</v>
      </c>
      <c r="D8518" t="s">
        <v>3219</v>
      </c>
      <c r="E8518">
        <v>30.09</v>
      </c>
      <c r="F8518">
        <v>34.31</v>
      </c>
    </row>
    <row r="8519" spans="1:6" x14ac:dyDescent="0.25">
      <c r="A8519" t="s">
        <v>3139</v>
      </c>
      <c r="B8519" t="s">
        <v>54</v>
      </c>
      <c r="C8519" t="s">
        <v>82</v>
      </c>
      <c r="D8519" t="s">
        <v>3217</v>
      </c>
      <c r="E8519">
        <v>0</v>
      </c>
      <c r="F8519">
        <v>34.96</v>
      </c>
    </row>
    <row r="8520" spans="1:6" x14ac:dyDescent="0.25">
      <c r="A8520" t="s">
        <v>3139</v>
      </c>
      <c r="B8520" t="s">
        <v>54</v>
      </c>
      <c r="C8520" t="s">
        <v>82</v>
      </c>
      <c r="D8520" t="s">
        <v>3218</v>
      </c>
      <c r="E8520">
        <v>12.41</v>
      </c>
      <c r="F8520">
        <v>34.799999999999997</v>
      </c>
    </row>
    <row r="8521" spans="1:6" x14ac:dyDescent="0.25">
      <c r="A8521" t="s">
        <v>3139</v>
      </c>
      <c r="B8521" t="s">
        <v>54</v>
      </c>
      <c r="C8521" t="s">
        <v>82</v>
      </c>
      <c r="D8521" t="s">
        <v>3219</v>
      </c>
      <c r="E8521">
        <v>29.36</v>
      </c>
      <c r="F8521">
        <v>34.18</v>
      </c>
    </row>
    <row r="8522" spans="1:6" x14ac:dyDescent="0.25">
      <c r="A8522" t="s">
        <v>3140</v>
      </c>
      <c r="B8522" t="s">
        <v>54</v>
      </c>
      <c r="C8522" t="s">
        <v>83</v>
      </c>
      <c r="D8522" t="s">
        <v>3217</v>
      </c>
      <c r="E8522">
        <v>0</v>
      </c>
      <c r="F8522">
        <v>34.869999999999997</v>
      </c>
    </row>
    <row r="8523" spans="1:6" x14ac:dyDescent="0.25">
      <c r="A8523" t="s">
        <v>3140</v>
      </c>
      <c r="B8523" t="s">
        <v>54</v>
      </c>
      <c r="C8523" t="s">
        <v>83</v>
      </c>
      <c r="D8523" t="s">
        <v>3218</v>
      </c>
      <c r="E8523">
        <v>12.8</v>
      </c>
      <c r="F8523">
        <v>34.840000000000003</v>
      </c>
    </row>
    <row r="8524" spans="1:6" x14ac:dyDescent="0.25">
      <c r="A8524" t="s">
        <v>3140</v>
      </c>
      <c r="B8524" t="s">
        <v>54</v>
      </c>
      <c r="C8524" t="s">
        <v>83</v>
      </c>
      <c r="D8524" t="s">
        <v>3219</v>
      </c>
      <c r="E8524">
        <v>28.66</v>
      </c>
      <c r="F8524">
        <v>34.130000000000003</v>
      </c>
    </row>
    <row r="8525" spans="1:6" x14ac:dyDescent="0.25">
      <c r="A8525" t="s">
        <v>3141</v>
      </c>
      <c r="B8525" t="s">
        <v>54</v>
      </c>
      <c r="C8525" t="s">
        <v>84</v>
      </c>
      <c r="D8525" t="s">
        <v>3217</v>
      </c>
      <c r="E8525">
        <v>0</v>
      </c>
      <c r="F8525">
        <v>34.74</v>
      </c>
    </row>
    <row r="8526" spans="1:6" x14ac:dyDescent="0.25">
      <c r="A8526" t="s">
        <v>3141</v>
      </c>
      <c r="B8526" t="s">
        <v>54</v>
      </c>
      <c r="C8526" t="s">
        <v>84</v>
      </c>
      <c r="D8526" t="s">
        <v>3218</v>
      </c>
      <c r="E8526">
        <v>11.57</v>
      </c>
      <c r="F8526">
        <v>34.58</v>
      </c>
    </row>
    <row r="8527" spans="1:6" x14ac:dyDescent="0.25">
      <c r="A8527" t="s">
        <v>3141</v>
      </c>
      <c r="B8527" t="s">
        <v>54</v>
      </c>
      <c r="C8527" t="s">
        <v>84</v>
      </c>
      <c r="D8527" t="s">
        <v>3219</v>
      </c>
      <c r="E8527">
        <v>26.24</v>
      </c>
      <c r="F8527">
        <v>33.76</v>
      </c>
    </row>
    <row r="8528" spans="1:6" x14ac:dyDescent="0.25">
      <c r="A8528" t="s">
        <v>3142</v>
      </c>
      <c r="B8528" t="s">
        <v>54</v>
      </c>
      <c r="C8528" t="s">
        <v>85</v>
      </c>
      <c r="D8528" t="s">
        <v>3217</v>
      </c>
      <c r="E8528">
        <v>0</v>
      </c>
      <c r="F8528">
        <v>34.29</v>
      </c>
    </row>
    <row r="8529" spans="1:6" x14ac:dyDescent="0.25">
      <c r="A8529" t="s">
        <v>3142</v>
      </c>
      <c r="B8529" t="s">
        <v>54</v>
      </c>
      <c r="C8529" t="s">
        <v>85</v>
      </c>
      <c r="D8529" t="s">
        <v>3218</v>
      </c>
      <c r="E8529">
        <v>11.45</v>
      </c>
      <c r="F8529">
        <v>34.03</v>
      </c>
    </row>
    <row r="8530" spans="1:6" x14ac:dyDescent="0.25">
      <c r="A8530" t="s">
        <v>3142</v>
      </c>
      <c r="B8530" t="s">
        <v>54</v>
      </c>
      <c r="C8530" t="s">
        <v>85</v>
      </c>
      <c r="D8530" t="s">
        <v>3219</v>
      </c>
      <c r="E8530">
        <v>24.29</v>
      </c>
      <c r="F8530">
        <v>33.479999999999997</v>
      </c>
    </row>
    <row r="8531" spans="1:6" x14ac:dyDescent="0.25">
      <c r="A8531" t="s">
        <v>3143</v>
      </c>
      <c r="B8531" t="s">
        <v>54</v>
      </c>
      <c r="C8531" t="s">
        <v>86</v>
      </c>
      <c r="D8531" t="s">
        <v>3217</v>
      </c>
      <c r="E8531">
        <v>0</v>
      </c>
      <c r="F8531">
        <v>33.840000000000003</v>
      </c>
    </row>
    <row r="8532" spans="1:6" x14ac:dyDescent="0.25">
      <c r="A8532" t="s">
        <v>3143</v>
      </c>
      <c r="B8532" t="s">
        <v>54</v>
      </c>
      <c r="C8532" t="s">
        <v>86</v>
      </c>
      <c r="D8532" t="s">
        <v>3218</v>
      </c>
      <c r="E8532">
        <v>11.56</v>
      </c>
      <c r="F8532">
        <v>33.799999999999997</v>
      </c>
    </row>
    <row r="8533" spans="1:6" x14ac:dyDescent="0.25">
      <c r="A8533" t="s">
        <v>3143</v>
      </c>
      <c r="B8533" t="s">
        <v>54</v>
      </c>
      <c r="C8533" t="s">
        <v>86</v>
      </c>
      <c r="D8533" t="s">
        <v>3219</v>
      </c>
      <c r="E8533">
        <v>24.42</v>
      </c>
      <c r="F8533">
        <v>33.33</v>
      </c>
    </row>
    <row r="8534" spans="1:6" x14ac:dyDescent="0.25">
      <c r="A8534" t="s">
        <v>3144</v>
      </c>
      <c r="B8534" t="s">
        <v>54</v>
      </c>
      <c r="C8534" t="s">
        <v>87</v>
      </c>
      <c r="D8534" t="s">
        <v>3217</v>
      </c>
      <c r="E8534">
        <v>0</v>
      </c>
      <c r="F8534">
        <v>34.049999999999997</v>
      </c>
    </row>
    <row r="8535" spans="1:6" x14ac:dyDescent="0.25">
      <c r="A8535" t="s">
        <v>3144</v>
      </c>
      <c r="B8535" t="s">
        <v>54</v>
      </c>
      <c r="C8535" t="s">
        <v>87</v>
      </c>
      <c r="D8535" t="s">
        <v>3218</v>
      </c>
      <c r="E8535">
        <v>14.14</v>
      </c>
      <c r="F8535">
        <v>33.85</v>
      </c>
    </row>
    <row r="8536" spans="1:6" x14ac:dyDescent="0.25">
      <c r="A8536" t="s">
        <v>3144</v>
      </c>
      <c r="B8536" t="s">
        <v>54</v>
      </c>
      <c r="C8536" t="s">
        <v>87</v>
      </c>
      <c r="D8536" t="s">
        <v>3219</v>
      </c>
      <c r="E8536">
        <v>26.22</v>
      </c>
      <c r="F8536">
        <v>33.380000000000003</v>
      </c>
    </row>
    <row r="8537" spans="1:6" x14ac:dyDescent="0.25">
      <c r="A8537" t="s">
        <v>3145</v>
      </c>
      <c r="B8537" t="s">
        <v>54</v>
      </c>
      <c r="C8537" t="s">
        <v>88</v>
      </c>
      <c r="D8537" t="s">
        <v>3217</v>
      </c>
      <c r="E8537">
        <v>0</v>
      </c>
      <c r="F8537">
        <v>34.22</v>
      </c>
    </row>
    <row r="8538" spans="1:6" x14ac:dyDescent="0.25">
      <c r="A8538" t="s">
        <v>3145</v>
      </c>
      <c r="B8538" t="s">
        <v>54</v>
      </c>
      <c r="C8538" t="s">
        <v>88</v>
      </c>
      <c r="D8538" t="s">
        <v>3218</v>
      </c>
      <c r="E8538">
        <v>15.73</v>
      </c>
      <c r="F8538">
        <v>34.020000000000003</v>
      </c>
    </row>
    <row r="8539" spans="1:6" x14ac:dyDescent="0.25">
      <c r="A8539" t="s">
        <v>3145</v>
      </c>
      <c r="B8539" t="s">
        <v>54</v>
      </c>
      <c r="C8539" t="s">
        <v>88</v>
      </c>
      <c r="D8539" t="s">
        <v>3219</v>
      </c>
      <c r="E8539">
        <v>27.76</v>
      </c>
      <c r="F8539">
        <v>33.61</v>
      </c>
    </row>
    <row r="8540" spans="1:6" x14ac:dyDescent="0.25">
      <c r="A8540" t="s">
        <v>3146</v>
      </c>
      <c r="B8540" t="s">
        <v>54</v>
      </c>
      <c r="C8540" t="s">
        <v>89</v>
      </c>
      <c r="D8540" t="s">
        <v>3217</v>
      </c>
      <c r="E8540">
        <v>0</v>
      </c>
      <c r="F8540">
        <v>34.25</v>
      </c>
    </row>
    <row r="8541" spans="1:6" x14ac:dyDescent="0.25">
      <c r="A8541" t="s">
        <v>3146</v>
      </c>
      <c r="B8541" t="s">
        <v>54</v>
      </c>
      <c r="C8541" t="s">
        <v>89</v>
      </c>
      <c r="D8541" t="s">
        <v>3218</v>
      </c>
      <c r="E8541">
        <v>15.77</v>
      </c>
      <c r="F8541">
        <v>34.090000000000003</v>
      </c>
    </row>
    <row r="8542" spans="1:6" x14ac:dyDescent="0.25">
      <c r="A8542" t="s">
        <v>3146</v>
      </c>
      <c r="B8542" t="s">
        <v>54</v>
      </c>
      <c r="C8542" t="s">
        <v>89</v>
      </c>
      <c r="D8542" t="s">
        <v>3219</v>
      </c>
      <c r="E8542">
        <v>29.38</v>
      </c>
      <c r="F8542">
        <v>33.630000000000003</v>
      </c>
    </row>
    <row r="8543" spans="1:6" x14ac:dyDescent="0.25">
      <c r="A8543" t="s">
        <v>3147</v>
      </c>
      <c r="B8543" t="s">
        <v>54</v>
      </c>
      <c r="C8543" t="s">
        <v>90</v>
      </c>
      <c r="D8543" t="s">
        <v>3217</v>
      </c>
      <c r="E8543">
        <v>0</v>
      </c>
      <c r="F8543">
        <v>33.53</v>
      </c>
    </row>
    <row r="8544" spans="1:6" x14ac:dyDescent="0.25">
      <c r="A8544" t="s">
        <v>3147</v>
      </c>
      <c r="B8544" t="s">
        <v>54</v>
      </c>
      <c r="C8544" t="s">
        <v>90</v>
      </c>
      <c r="D8544" t="s">
        <v>3218</v>
      </c>
      <c r="E8544">
        <v>14.9</v>
      </c>
      <c r="F8544">
        <v>33.409999999999997</v>
      </c>
    </row>
    <row r="8545" spans="1:6" x14ac:dyDescent="0.25">
      <c r="A8545" t="s">
        <v>3147</v>
      </c>
      <c r="B8545" t="s">
        <v>54</v>
      </c>
      <c r="C8545" t="s">
        <v>90</v>
      </c>
      <c r="D8545" t="s">
        <v>3219</v>
      </c>
      <c r="E8545">
        <v>27.6</v>
      </c>
      <c r="F8545">
        <v>33.130000000000003</v>
      </c>
    </row>
    <row r="8546" spans="1:6" x14ac:dyDescent="0.25">
      <c r="A8546" t="s">
        <v>3148</v>
      </c>
      <c r="B8546" t="s">
        <v>54</v>
      </c>
      <c r="C8546" t="s">
        <v>91</v>
      </c>
      <c r="D8546" t="s">
        <v>3217</v>
      </c>
      <c r="E8546">
        <v>0</v>
      </c>
      <c r="F8546">
        <v>32.53</v>
      </c>
    </row>
    <row r="8547" spans="1:6" x14ac:dyDescent="0.25">
      <c r="A8547" t="s">
        <v>3148</v>
      </c>
      <c r="B8547" t="s">
        <v>54</v>
      </c>
      <c r="C8547" t="s">
        <v>91</v>
      </c>
      <c r="D8547" t="s">
        <v>3218</v>
      </c>
      <c r="E8547">
        <v>13.83</v>
      </c>
      <c r="F8547">
        <v>32.43</v>
      </c>
    </row>
    <row r="8548" spans="1:6" x14ac:dyDescent="0.25">
      <c r="A8548" t="s">
        <v>3148</v>
      </c>
      <c r="B8548" t="s">
        <v>54</v>
      </c>
      <c r="C8548" t="s">
        <v>91</v>
      </c>
      <c r="D8548" t="s">
        <v>3219</v>
      </c>
      <c r="E8548">
        <v>26.53</v>
      </c>
      <c r="F8548">
        <v>32.19</v>
      </c>
    </row>
    <row r="8549" spans="1:6" x14ac:dyDescent="0.25">
      <c r="A8549" t="s">
        <v>3149</v>
      </c>
      <c r="B8549" t="s">
        <v>54</v>
      </c>
      <c r="C8549" t="s">
        <v>92</v>
      </c>
      <c r="D8549" t="s">
        <v>3217</v>
      </c>
      <c r="E8549">
        <v>0</v>
      </c>
      <c r="F8549">
        <v>32</v>
      </c>
    </row>
    <row r="8550" spans="1:6" x14ac:dyDescent="0.25">
      <c r="A8550" t="s">
        <v>3149</v>
      </c>
      <c r="B8550" t="s">
        <v>54</v>
      </c>
      <c r="C8550" t="s">
        <v>92</v>
      </c>
      <c r="D8550" t="s">
        <v>3218</v>
      </c>
      <c r="E8550">
        <v>11.74</v>
      </c>
      <c r="F8550">
        <v>32.119999999999997</v>
      </c>
    </row>
    <row r="8551" spans="1:6" x14ac:dyDescent="0.25">
      <c r="A8551" t="s">
        <v>3149</v>
      </c>
      <c r="B8551" t="s">
        <v>54</v>
      </c>
      <c r="C8551" t="s">
        <v>92</v>
      </c>
      <c r="D8551" t="s">
        <v>3219</v>
      </c>
      <c r="E8551">
        <v>23.93</v>
      </c>
      <c r="F8551">
        <v>31.92</v>
      </c>
    </row>
    <row r="8552" spans="1:6" x14ac:dyDescent="0.25">
      <c r="A8552" t="s">
        <v>3150</v>
      </c>
      <c r="B8552" t="s">
        <v>54</v>
      </c>
      <c r="C8552" t="s">
        <v>93</v>
      </c>
      <c r="D8552" t="s">
        <v>3217</v>
      </c>
      <c r="E8552">
        <v>0</v>
      </c>
      <c r="F8552">
        <v>32</v>
      </c>
    </row>
    <row r="8553" spans="1:6" x14ac:dyDescent="0.25">
      <c r="A8553" t="s">
        <v>3150</v>
      </c>
      <c r="B8553" t="s">
        <v>54</v>
      </c>
      <c r="C8553" t="s">
        <v>93</v>
      </c>
      <c r="D8553" t="s">
        <v>3218</v>
      </c>
      <c r="E8553">
        <v>10.23</v>
      </c>
      <c r="F8553">
        <v>31.93</v>
      </c>
    </row>
    <row r="8554" spans="1:6" x14ac:dyDescent="0.25">
      <c r="A8554" t="s">
        <v>3150</v>
      </c>
      <c r="B8554" t="s">
        <v>54</v>
      </c>
      <c r="C8554" t="s">
        <v>93</v>
      </c>
      <c r="D8554" t="s">
        <v>3219</v>
      </c>
      <c r="E8554">
        <v>22.04</v>
      </c>
      <c r="F8554">
        <v>31.75</v>
      </c>
    </row>
    <row r="8555" spans="1:6" x14ac:dyDescent="0.25">
      <c r="A8555" t="s">
        <v>3151</v>
      </c>
      <c r="B8555" t="s">
        <v>54</v>
      </c>
      <c r="C8555" t="s">
        <v>94</v>
      </c>
      <c r="D8555" t="s">
        <v>3217</v>
      </c>
      <c r="E8555">
        <v>0</v>
      </c>
      <c r="F8555">
        <v>32.1</v>
      </c>
    </row>
    <row r="8556" spans="1:6" x14ac:dyDescent="0.25">
      <c r="A8556" t="s">
        <v>3151</v>
      </c>
      <c r="B8556" t="s">
        <v>54</v>
      </c>
      <c r="C8556" t="s">
        <v>94</v>
      </c>
      <c r="D8556" t="s">
        <v>3218</v>
      </c>
      <c r="E8556">
        <v>10.85</v>
      </c>
      <c r="F8556">
        <v>32.020000000000003</v>
      </c>
    </row>
    <row r="8557" spans="1:6" x14ac:dyDescent="0.25">
      <c r="A8557" t="s">
        <v>3151</v>
      </c>
      <c r="B8557" t="s">
        <v>54</v>
      </c>
      <c r="C8557" t="s">
        <v>94</v>
      </c>
      <c r="D8557" t="s">
        <v>3219</v>
      </c>
      <c r="E8557">
        <v>22.66</v>
      </c>
      <c r="F8557">
        <v>31.57</v>
      </c>
    </row>
    <row r="8558" spans="1:6" x14ac:dyDescent="0.25">
      <c r="A8558" t="s">
        <v>3152</v>
      </c>
      <c r="B8558" t="s">
        <v>54</v>
      </c>
      <c r="C8558" t="s">
        <v>95</v>
      </c>
      <c r="D8558" t="s">
        <v>3217</v>
      </c>
      <c r="E8558">
        <v>0</v>
      </c>
      <c r="F8558">
        <v>32.590000000000003</v>
      </c>
    </row>
    <row r="8559" spans="1:6" x14ac:dyDescent="0.25">
      <c r="A8559" t="s">
        <v>3152</v>
      </c>
      <c r="B8559" t="s">
        <v>54</v>
      </c>
      <c r="C8559" t="s">
        <v>95</v>
      </c>
      <c r="D8559" t="s">
        <v>3218</v>
      </c>
      <c r="E8559">
        <v>10.33</v>
      </c>
      <c r="F8559">
        <v>32.32</v>
      </c>
    </row>
    <row r="8560" spans="1:6" x14ac:dyDescent="0.25">
      <c r="A8560" t="s">
        <v>3152</v>
      </c>
      <c r="B8560" t="s">
        <v>54</v>
      </c>
      <c r="C8560" t="s">
        <v>95</v>
      </c>
      <c r="D8560" t="s">
        <v>3219</v>
      </c>
      <c r="E8560">
        <v>21.56</v>
      </c>
      <c r="F8560">
        <v>31.73</v>
      </c>
    </row>
    <row r="8561" spans="1:6" x14ac:dyDescent="0.25">
      <c r="A8561" t="s">
        <v>3153</v>
      </c>
      <c r="B8561" t="s">
        <v>54</v>
      </c>
      <c r="C8561" t="s">
        <v>96</v>
      </c>
      <c r="D8561" t="s">
        <v>3217</v>
      </c>
      <c r="E8561">
        <v>0</v>
      </c>
      <c r="F8561">
        <v>33.19</v>
      </c>
    </row>
    <row r="8562" spans="1:6" x14ac:dyDescent="0.25">
      <c r="A8562" t="s">
        <v>3153</v>
      </c>
      <c r="B8562" t="s">
        <v>54</v>
      </c>
      <c r="C8562" t="s">
        <v>96</v>
      </c>
      <c r="D8562" t="s">
        <v>3218</v>
      </c>
      <c r="E8562">
        <v>10.050000000000001</v>
      </c>
      <c r="F8562">
        <v>32.96</v>
      </c>
    </row>
    <row r="8563" spans="1:6" x14ac:dyDescent="0.25">
      <c r="A8563" t="s">
        <v>3153</v>
      </c>
      <c r="B8563" t="s">
        <v>54</v>
      </c>
      <c r="C8563" t="s">
        <v>96</v>
      </c>
      <c r="D8563" t="s">
        <v>3219</v>
      </c>
      <c r="E8563">
        <v>20.47</v>
      </c>
      <c r="F8563">
        <v>32.619999999999997</v>
      </c>
    </row>
    <row r="8564" spans="1:6" x14ac:dyDescent="0.25">
      <c r="A8564" t="s">
        <v>3154</v>
      </c>
      <c r="B8564" t="s">
        <v>54</v>
      </c>
      <c r="C8564" t="s">
        <v>97</v>
      </c>
      <c r="D8564" t="s">
        <v>3217</v>
      </c>
      <c r="E8564">
        <v>0</v>
      </c>
      <c r="F8564">
        <v>34.24</v>
      </c>
    </row>
    <row r="8565" spans="1:6" x14ac:dyDescent="0.25">
      <c r="A8565" t="s">
        <v>3154</v>
      </c>
      <c r="B8565" t="s">
        <v>54</v>
      </c>
      <c r="C8565" t="s">
        <v>97</v>
      </c>
      <c r="D8565" t="s">
        <v>3218</v>
      </c>
      <c r="E8565">
        <v>10.65</v>
      </c>
      <c r="F8565">
        <v>34.049999999999997</v>
      </c>
    </row>
    <row r="8566" spans="1:6" x14ac:dyDescent="0.25">
      <c r="A8566" t="s">
        <v>3154</v>
      </c>
      <c r="B8566" t="s">
        <v>54</v>
      </c>
      <c r="C8566" t="s">
        <v>97</v>
      </c>
      <c r="D8566" t="s">
        <v>3219</v>
      </c>
      <c r="E8566">
        <v>20.94</v>
      </c>
      <c r="F8566">
        <v>33.9</v>
      </c>
    </row>
    <row r="8567" spans="1:6" x14ac:dyDescent="0.25">
      <c r="A8567" t="s">
        <v>3155</v>
      </c>
      <c r="B8567" t="s">
        <v>54</v>
      </c>
      <c r="C8567" t="s">
        <v>98</v>
      </c>
      <c r="D8567" t="s">
        <v>3217</v>
      </c>
      <c r="E8567">
        <v>0</v>
      </c>
      <c r="F8567">
        <v>34.840000000000003</v>
      </c>
    </row>
    <row r="8568" spans="1:6" x14ac:dyDescent="0.25">
      <c r="A8568" t="s">
        <v>3155</v>
      </c>
      <c r="B8568" t="s">
        <v>54</v>
      </c>
      <c r="C8568" t="s">
        <v>98</v>
      </c>
      <c r="D8568" t="s">
        <v>3218</v>
      </c>
      <c r="E8568">
        <v>10.24</v>
      </c>
      <c r="F8568">
        <v>34.85</v>
      </c>
    </row>
    <row r="8569" spans="1:6" x14ac:dyDescent="0.25">
      <c r="A8569" t="s">
        <v>3155</v>
      </c>
      <c r="B8569" t="s">
        <v>54</v>
      </c>
      <c r="C8569" t="s">
        <v>98</v>
      </c>
      <c r="D8569" t="s">
        <v>3219</v>
      </c>
      <c r="E8569">
        <v>19.989999999999998</v>
      </c>
      <c r="F8569">
        <v>34.619999999999997</v>
      </c>
    </row>
    <row r="8570" spans="1:6" x14ac:dyDescent="0.25">
      <c r="A8570" t="s">
        <v>3156</v>
      </c>
      <c r="B8570" t="s">
        <v>54</v>
      </c>
      <c r="C8570" t="s">
        <v>99</v>
      </c>
      <c r="D8570" t="s">
        <v>3217</v>
      </c>
      <c r="E8570">
        <v>0</v>
      </c>
      <c r="F8570">
        <v>34.79</v>
      </c>
    </row>
    <row r="8571" spans="1:6" x14ac:dyDescent="0.25">
      <c r="A8571" t="s">
        <v>3156</v>
      </c>
      <c r="B8571" t="s">
        <v>54</v>
      </c>
      <c r="C8571" t="s">
        <v>99</v>
      </c>
      <c r="D8571" t="s">
        <v>3218</v>
      </c>
      <c r="E8571">
        <v>10.49</v>
      </c>
      <c r="F8571">
        <v>34.909999999999997</v>
      </c>
    </row>
    <row r="8572" spans="1:6" x14ac:dyDescent="0.25">
      <c r="A8572" t="s">
        <v>3156</v>
      </c>
      <c r="B8572" t="s">
        <v>54</v>
      </c>
      <c r="C8572" t="s">
        <v>99</v>
      </c>
      <c r="D8572" t="s">
        <v>3219</v>
      </c>
      <c r="E8572">
        <v>20.239999999999998</v>
      </c>
      <c r="F8572">
        <v>34.880000000000003</v>
      </c>
    </row>
    <row r="8573" spans="1:6" x14ac:dyDescent="0.25">
      <c r="A8573" t="s">
        <v>3157</v>
      </c>
      <c r="B8573" t="s">
        <v>54</v>
      </c>
      <c r="C8573" t="s">
        <v>100</v>
      </c>
      <c r="D8573" t="s">
        <v>3217</v>
      </c>
      <c r="E8573">
        <v>0</v>
      </c>
      <c r="F8573">
        <v>34.75</v>
      </c>
    </row>
    <row r="8574" spans="1:6" x14ac:dyDescent="0.25">
      <c r="A8574" t="s">
        <v>3157</v>
      </c>
      <c r="B8574" t="s">
        <v>54</v>
      </c>
      <c r="C8574" t="s">
        <v>100</v>
      </c>
      <c r="D8574" t="s">
        <v>3218</v>
      </c>
      <c r="E8574">
        <v>9.93</v>
      </c>
      <c r="F8574">
        <v>34.74</v>
      </c>
    </row>
    <row r="8575" spans="1:6" x14ac:dyDescent="0.25">
      <c r="A8575" t="s">
        <v>3157</v>
      </c>
      <c r="B8575" t="s">
        <v>54</v>
      </c>
      <c r="C8575" t="s">
        <v>100</v>
      </c>
      <c r="D8575" t="s">
        <v>3219</v>
      </c>
      <c r="E8575">
        <v>19.68</v>
      </c>
      <c r="F8575">
        <v>32.18</v>
      </c>
    </row>
    <row r="8576" spans="1:6" x14ac:dyDescent="0.25">
      <c r="A8576" t="s">
        <v>3158</v>
      </c>
      <c r="B8576" t="s">
        <v>54</v>
      </c>
      <c r="C8576" t="s">
        <v>101</v>
      </c>
      <c r="D8576" t="s">
        <v>3217</v>
      </c>
      <c r="E8576">
        <v>0</v>
      </c>
      <c r="F8576">
        <v>34.72</v>
      </c>
    </row>
    <row r="8577" spans="1:6" x14ac:dyDescent="0.25">
      <c r="A8577" t="s">
        <v>3158</v>
      </c>
      <c r="B8577" t="s">
        <v>54</v>
      </c>
      <c r="C8577" t="s">
        <v>101</v>
      </c>
      <c r="D8577" t="s">
        <v>3218</v>
      </c>
      <c r="E8577">
        <v>11.55</v>
      </c>
      <c r="F8577">
        <v>34.75</v>
      </c>
    </row>
    <row r="8578" spans="1:6" x14ac:dyDescent="0.25">
      <c r="A8578" t="s">
        <v>3158</v>
      </c>
      <c r="B8578" t="s">
        <v>54</v>
      </c>
      <c r="C8578" t="s">
        <v>101</v>
      </c>
      <c r="D8578" t="s">
        <v>3219</v>
      </c>
      <c r="E8578">
        <v>20.85</v>
      </c>
      <c r="F8578">
        <v>34.729999999999997</v>
      </c>
    </row>
    <row r="8579" spans="1:6" x14ac:dyDescent="0.25">
      <c r="A8579" t="s">
        <v>3159</v>
      </c>
      <c r="B8579" t="s">
        <v>54</v>
      </c>
      <c r="C8579" t="s">
        <v>102</v>
      </c>
      <c r="D8579" t="s">
        <v>3217</v>
      </c>
      <c r="E8579">
        <v>0</v>
      </c>
      <c r="F8579">
        <v>34.61</v>
      </c>
    </row>
    <row r="8580" spans="1:6" x14ac:dyDescent="0.25">
      <c r="A8580" t="s">
        <v>3159</v>
      </c>
      <c r="B8580" t="s">
        <v>54</v>
      </c>
      <c r="C8580" t="s">
        <v>102</v>
      </c>
      <c r="D8580" t="s">
        <v>3218</v>
      </c>
      <c r="E8580">
        <v>12.27</v>
      </c>
      <c r="F8580">
        <v>34.64</v>
      </c>
    </row>
    <row r="8581" spans="1:6" x14ac:dyDescent="0.25">
      <c r="A8581" t="s">
        <v>3159</v>
      </c>
      <c r="B8581" t="s">
        <v>54</v>
      </c>
      <c r="C8581" t="s">
        <v>102</v>
      </c>
      <c r="D8581" t="s">
        <v>3219</v>
      </c>
      <c r="E8581">
        <v>22.82</v>
      </c>
      <c r="F8581">
        <v>34.61</v>
      </c>
    </row>
    <row r="8582" spans="1:6" x14ac:dyDescent="0.25">
      <c r="A8582" t="s">
        <v>3160</v>
      </c>
      <c r="B8582" t="s">
        <v>54</v>
      </c>
      <c r="C8582" t="s">
        <v>103</v>
      </c>
      <c r="D8582" t="s">
        <v>3217</v>
      </c>
      <c r="E8582">
        <v>0</v>
      </c>
      <c r="F8582">
        <v>34.35</v>
      </c>
    </row>
    <row r="8583" spans="1:6" x14ac:dyDescent="0.25">
      <c r="A8583" t="s">
        <v>3160</v>
      </c>
      <c r="B8583" t="s">
        <v>54</v>
      </c>
      <c r="C8583" t="s">
        <v>103</v>
      </c>
      <c r="D8583" t="s">
        <v>3218</v>
      </c>
      <c r="E8583">
        <v>11.8</v>
      </c>
      <c r="F8583">
        <v>34.479999999999997</v>
      </c>
    </row>
    <row r="8584" spans="1:6" x14ac:dyDescent="0.25">
      <c r="A8584" t="s">
        <v>3160</v>
      </c>
      <c r="B8584" t="s">
        <v>54</v>
      </c>
      <c r="C8584" t="s">
        <v>103</v>
      </c>
      <c r="D8584" t="s">
        <v>3219</v>
      </c>
      <c r="E8584">
        <v>21.74</v>
      </c>
      <c r="F8584">
        <v>34.53</v>
      </c>
    </row>
    <row r="8585" spans="1:6" x14ac:dyDescent="0.25">
      <c r="A8585" t="s">
        <v>3161</v>
      </c>
      <c r="B8585" t="s">
        <v>54</v>
      </c>
      <c r="C8585" t="s">
        <v>104</v>
      </c>
      <c r="D8585" t="s">
        <v>3217</v>
      </c>
      <c r="E8585">
        <v>0</v>
      </c>
      <c r="F8585">
        <v>34.26</v>
      </c>
    </row>
    <row r="8586" spans="1:6" x14ac:dyDescent="0.25">
      <c r="A8586" t="s">
        <v>3161</v>
      </c>
      <c r="B8586" t="s">
        <v>54</v>
      </c>
      <c r="C8586" t="s">
        <v>104</v>
      </c>
      <c r="D8586" t="s">
        <v>3218</v>
      </c>
      <c r="E8586">
        <v>11.68</v>
      </c>
      <c r="F8586">
        <v>34.47</v>
      </c>
    </row>
    <row r="8587" spans="1:6" x14ac:dyDescent="0.25">
      <c r="A8587" t="s">
        <v>3161</v>
      </c>
      <c r="B8587" t="s">
        <v>54</v>
      </c>
      <c r="C8587" t="s">
        <v>104</v>
      </c>
      <c r="D8587" t="s">
        <v>3219</v>
      </c>
      <c r="E8587">
        <v>22.12</v>
      </c>
      <c r="F8587">
        <v>34.61</v>
      </c>
    </row>
    <row r="8588" spans="1:6" x14ac:dyDescent="0.25">
      <c r="A8588" t="s">
        <v>3162</v>
      </c>
      <c r="B8588" t="s">
        <v>54</v>
      </c>
      <c r="C8588" t="s">
        <v>105</v>
      </c>
      <c r="D8588" t="s">
        <v>3217</v>
      </c>
      <c r="E8588">
        <v>0</v>
      </c>
      <c r="F8588">
        <v>34.090000000000003</v>
      </c>
    </row>
    <row r="8589" spans="1:6" x14ac:dyDescent="0.25">
      <c r="A8589" t="s">
        <v>3162</v>
      </c>
      <c r="B8589" t="s">
        <v>54</v>
      </c>
      <c r="C8589" t="s">
        <v>105</v>
      </c>
      <c r="D8589" t="s">
        <v>3218</v>
      </c>
      <c r="E8589">
        <v>12.46</v>
      </c>
      <c r="F8589">
        <v>34.369999999999997</v>
      </c>
    </row>
    <row r="8590" spans="1:6" x14ac:dyDescent="0.25">
      <c r="A8590" t="s">
        <v>3162</v>
      </c>
      <c r="B8590" t="s">
        <v>54</v>
      </c>
      <c r="C8590" t="s">
        <v>105</v>
      </c>
      <c r="D8590" t="s">
        <v>3219</v>
      </c>
      <c r="E8590">
        <v>24.91</v>
      </c>
      <c r="F8590">
        <v>34.46</v>
      </c>
    </row>
    <row r="8591" spans="1:6" x14ac:dyDescent="0.25">
      <c r="A8591" t="s">
        <v>3163</v>
      </c>
      <c r="B8591" t="s">
        <v>54</v>
      </c>
      <c r="C8591" t="s">
        <v>106</v>
      </c>
      <c r="D8591" t="s">
        <v>3217</v>
      </c>
      <c r="E8591">
        <v>0</v>
      </c>
      <c r="F8591">
        <v>33.76</v>
      </c>
    </row>
    <row r="8592" spans="1:6" x14ac:dyDescent="0.25">
      <c r="A8592" t="s">
        <v>3163</v>
      </c>
      <c r="B8592" t="s">
        <v>54</v>
      </c>
      <c r="C8592" t="s">
        <v>106</v>
      </c>
      <c r="D8592" t="s">
        <v>3218</v>
      </c>
      <c r="E8592">
        <v>11.87</v>
      </c>
      <c r="F8592">
        <v>33.94</v>
      </c>
    </row>
    <row r="8593" spans="1:6" x14ac:dyDescent="0.25">
      <c r="A8593" t="s">
        <v>3163</v>
      </c>
      <c r="B8593" t="s">
        <v>54</v>
      </c>
      <c r="C8593" t="s">
        <v>106</v>
      </c>
      <c r="D8593" t="s">
        <v>3219</v>
      </c>
      <c r="E8593">
        <v>24.32</v>
      </c>
      <c r="F8593">
        <v>34.090000000000003</v>
      </c>
    </row>
    <row r="8594" spans="1:6" x14ac:dyDescent="0.25">
      <c r="A8594" t="s">
        <v>3164</v>
      </c>
      <c r="B8594" t="s">
        <v>54</v>
      </c>
      <c r="C8594" t="s">
        <v>108</v>
      </c>
      <c r="D8594" t="s">
        <v>3217</v>
      </c>
      <c r="E8594">
        <v>0</v>
      </c>
      <c r="F8594">
        <v>33.68</v>
      </c>
    </row>
    <row r="8595" spans="1:6" x14ac:dyDescent="0.25">
      <c r="A8595" t="s">
        <v>3164</v>
      </c>
      <c r="B8595" t="s">
        <v>54</v>
      </c>
      <c r="C8595" t="s">
        <v>108</v>
      </c>
      <c r="D8595" t="s">
        <v>3218</v>
      </c>
      <c r="E8595">
        <v>12.63</v>
      </c>
      <c r="F8595">
        <v>33.799999999999997</v>
      </c>
    </row>
    <row r="8596" spans="1:6" x14ac:dyDescent="0.25">
      <c r="A8596" t="s">
        <v>3164</v>
      </c>
      <c r="B8596" t="s">
        <v>54</v>
      </c>
      <c r="C8596" t="s">
        <v>108</v>
      </c>
      <c r="D8596" t="s">
        <v>3219</v>
      </c>
      <c r="E8596">
        <v>27.22</v>
      </c>
      <c r="F8596">
        <v>33.979999999999997</v>
      </c>
    </row>
    <row r="8597" spans="1:6" x14ac:dyDescent="0.25">
      <c r="A8597" t="s">
        <v>3165</v>
      </c>
      <c r="B8597" t="s">
        <v>54</v>
      </c>
      <c r="C8597" t="s">
        <v>109</v>
      </c>
      <c r="D8597" t="s">
        <v>3217</v>
      </c>
      <c r="E8597">
        <v>0</v>
      </c>
      <c r="F8597">
        <v>33.75</v>
      </c>
    </row>
    <row r="8598" spans="1:6" x14ac:dyDescent="0.25">
      <c r="A8598" t="s">
        <v>3165</v>
      </c>
      <c r="B8598" t="s">
        <v>54</v>
      </c>
      <c r="C8598" t="s">
        <v>109</v>
      </c>
      <c r="D8598" t="s">
        <v>3218</v>
      </c>
      <c r="E8598">
        <v>13.22</v>
      </c>
      <c r="F8598">
        <v>33.81</v>
      </c>
    </row>
    <row r="8599" spans="1:6" x14ac:dyDescent="0.25">
      <c r="A8599" t="s">
        <v>3165</v>
      </c>
      <c r="B8599" t="s">
        <v>54</v>
      </c>
      <c r="C8599" t="s">
        <v>109</v>
      </c>
      <c r="D8599" t="s">
        <v>3219</v>
      </c>
      <c r="E8599">
        <v>25.2</v>
      </c>
      <c r="F8599">
        <v>33.799999999999997</v>
      </c>
    </row>
    <row r="8600" spans="1:6" x14ac:dyDescent="0.25">
      <c r="A8600" t="s">
        <v>3166</v>
      </c>
      <c r="B8600" t="s">
        <v>54</v>
      </c>
      <c r="C8600" t="s">
        <v>110</v>
      </c>
      <c r="D8600" t="s">
        <v>3217</v>
      </c>
      <c r="E8600">
        <v>0</v>
      </c>
      <c r="F8600">
        <v>33.74</v>
      </c>
    </row>
    <row r="8601" spans="1:6" x14ac:dyDescent="0.25">
      <c r="A8601" t="s">
        <v>3166</v>
      </c>
      <c r="B8601" t="s">
        <v>54</v>
      </c>
      <c r="C8601" t="s">
        <v>110</v>
      </c>
      <c r="D8601" t="s">
        <v>3218</v>
      </c>
      <c r="E8601">
        <v>13.13</v>
      </c>
      <c r="F8601">
        <v>33.9</v>
      </c>
    </row>
    <row r="8602" spans="1:6" x14ac:dyDescent="0.25">
      <c r="A8602" t="s">
        <v>3166</v>
      </c>
      <c r="B8602" t="s">
        <v>54</v>
      </c>
      <c r="C8602" t="s">
        <v>110</v>
      </c>
      <c r="D8602" t="s">
        <v>3219</v>
      </c>
      <c r="E8602">
        <v>26.26</v>
      </c>
      <c r="F8602">
        <v>33.61</v>
      </c>
    </row>
    <row r="8603" spans="1:6" x14ac:dyDescent="0.25">
      <c r="A8603" t="s">
        <v>3167</v>
      </c>
      <c r="B8603" t="s">
        <v>54</v>
      </c>
      <c r="C8603" t="s">
        <v>111</v>
      </c>
      <c r="D8603" t="s">
        <v>3217</v>
      </c>
      <c r="E8603">
        <v>0</v>
      </c>
      <c r="F8603">
        <v>34.049999999999997</v>
      </c>
    </row>
    <row r="8604" spans="1:6" x14ac:dyDescent="0.25">
      <c r="A8604" t="s">
        <v>3167</v>
      </c>
      <c r="B8604" t="s">
        <v>54</v>
      </c>
      <c r="C8604" t="s">
        <v>111</v>
      </c>
      <c r="D8604" t="s">
        <v>3218</v>
      </c>
      <c r="E8604">
        <v>13.35</v>
      </c>
      <c r="F8604">
        <v>34.06</v>
      </c>
    </row>
    <row r="8605" spans="1:6" x14ac:dyDescent="0.25">
      <c r="A8605" t="s">
        <v>3167</v>
      </c>
      <c r="B8605" t="s">
        <v>54</v>
      </c>
      <c r="C8605" t="s">
        <v>111</v>
      </c>
      <c r="D8605" t="s">
        <v>3219</v>
      </c>
      <c r="E8605">
        <v>26.69</v>
      </c>
      <c r="F8605">
        <v>34.01</v>
      </c>
    </row>
    <row r="8606" spans="1:6" x14ac:dyDescent="0.25">
      <c r="A8606" t="s">
        <v>3168</v>
      </c>
      <c r="B8606" t="s">
        <v>54</v>
      </c>
      <c r="C8606" t="s">
        <v>112</v>
      </c>
      <c r="D8606" t="s">
        <v>3217</v>
      </c>
      <c r="E8606">
        <v>0</v>
      </c>
      <c r="F8606">
        <v>34.340000000000003</v>
      </c>
    </row>
    <row r="8607" spans="1:6" x14ac:dyDescent="0.25">
      <c r="A8607" t="s">
        <v>3168</v>
      </c>
      <c r="B8607" t="s">
        <v>54</v>
      </c>
      <c r="C8607" t="s">
        <v>112</v>
      </c>
      <c r="D8607" t="s">
        <v>3218</v>
      </c>
      <c r="E8607">
        <v>13.57</v>
      </c>
      <c r="F8607">
        <v>34.299999999999997</v>
      </c>
    </row>
    <row r="8608" spans="1:6" x14ac:dyDescent="0.25">
      <c r="A8608" t="s">
        <v>3168</v>
      </c>
      <c r="B8608" t="s">
        <v>54</v>
      </c>
      <c r="C8608" t="s">
        <v>112</v>
      </c>
      <c r="D8608" t="s">
        <v>3219</v>
      </c>
      <c r="E8608">
        <v>26.63</v>
      </c>
      <c r="F8608">
        <v>34.19</v>
      </c>
    </row>
    <row r="8609" spans="1:6" x14ac:dyDescent="0.25">
      <c r="A8609" t="s">
        <v>3169</v>
      </c>
      <c r="B8609" t="s">
        <v>54</v>
      </c>
      <c r="C8609" t="s">
        <v>113</v>
      </c>
      <c r="D8609" t="s">
        <v>3217</v>
      </c>
      <c r="E8609">
        <v>0</v>
      </c>
      <c r="F8609">
        <v>35.020000000000003</v>
      </c>
    </row>
    <row r="8610" spans="1:6" x14ac:dyDescent="0.25">
      <c r="A8610" t="s">
        <v>3169</v>
      </c>
      <c r="B8610" t="s">
        <v>54</v>
      </c>
      <c r="C8610" t="s">
        <v>113</v>
      </c>
      <c r="D8610" t="s">
        <v>3218</v>
      </c>
      <c r="E8610">
        <v>13.32</v>
      </c>
      <c r="F8610">
        <v>34.93</v>
      </c>
    </row>
    <row r="8611" spans="1:6" x14ac:dyDescent="0.25">
      <c r="A8611" t="s">
        <v>3169</v>
      </c>
      <c r="B8611" t="s">
        <v>54</v>
      </c>
      <c r="C8611" t="s">
        <v>113</v>
      </c>
      <c r="D8611" t="s">
        <v>3219</v>
      </c>
      <c r="E8611">
        <v>27.56</v>
      </c>
      <c r="F8611">
        <v>34.630000000000003</v>
      </c>
    </row>
    <row r="8612" spans="1:6" x14ac:dyDescent="0.25">
      <c r="A8612" t="s">
        <v>3170</v>
      </c>
      <c r="B8612" t="s">
        <v>54</v>
      </c>
      <c r="C8612" t="s">
        <v>114</v>
      </c>
      <c r="D8612" t="s">
        <v>3217</v>
      </c>
      <c r="E8612">
        <v>0</v>
      </c>
      <c r="F8612">
        <v>35.58</v>
      </c>
    </row>
    <row r="8613" spans="1:6" x14ac:dyDescent="0.25">
      <c r="A8613" t="s">
        <v>3170</v>
      </c>
      <c r="B8613" t="s">
        <v>54</v>
      </c>
      <c r="C8613" t="s">
        <v>114</v>
      </c>
      <c r="D8613" t="s">
        <v>3218</v>
      </c>
      <c r="E8613">
        <v>12.72</v>
      </c>
      <c r="F8613">
        <v>35.590000000000003</v>
      </c>
    </row>
    <row r="8614" spans="1:6" x14ac:dyDescent="0.25">
      <c r="A8614" t="s">
        <v>3170</v>
      </c>
      <c r="B8614" t="s">
        <v>54</v>
      </c>
      <c r="C8614" t="s">
        <v>114</v>
      </c>
      <c r="D8614" t="s">
        <v>3219</v>
      </c>
      <c r="E8614">
        <v>25.74</v>
      </c>
      <c r="F8614">
        <v>34.83</v>
      </c>
    </row>
    <row r="8615" spans="1:6" x14ac:dyDescent="0.25">
      <c r="A8615" t="s">
        <v>3171</v>
      </c>
      <c r="B8615" t="s">
        <v>54</v>
      </c>
      <c r="C8615" t="s">
        <v>115</v>
      </c>
      <c r="D8615" t="s">
        <v>3217</v>
      </c>
      <c r="E8615">
        <v>0</v>
      </c>
      <c r="F8615">
        <v>35.69</v>
      </c>
    </row>
    <row r="8616" spans="1:6" x14ac:dyDescent="0.25">
      <c r="A8616" t="s">
        <v>3171</v>
      </c>
      <c r="B8616" t="s">
        <v>54</v>
      </c>
      <c r="C8616" t="s">
        <v>115</v>
      </c>
      <c r="D8616" t="s">
        <v>3218</v>
      </c>
      <c r="E8616">
        <v>12.38</v>
      </c>
      <c r="F8616">
        <v>35.6</v>
      </c>
    </row>
    <row r="8617" spans="1:6" x14ac:dyDescent="0.25">
      <c r="A8617" t="s">
        <v>3171</v>
      </c>
      <c r="B8617" t="s">
        <v>54</v>
      </c>
      <c r="C8617" t="s">
        <v>115</v>
      </c>
      <c r="D8617" t="s">
        <v>3219</v>
      </c>
      <c r="E8617">
        <v>24.86</v>
      </c>
      <c r="F8617">
        <v>34.9</v>
      </c>
    </row>
    <row r="8618" spans="1:6" x14ac:dyDescent="0.25">
      <c r="A8618" t="s">
        <v>3172</v>
      </c>
      <c r="B8618" t="s">
        <v>54</v>
      </c>
      <c r="C8618" t="s">
        <v>116</v>
      </c>
      <c r="D8618" t="s">
        <v>3217</v>
      </c>
      <c r="E8618">
        <v>0</v>
      </c>
      <c r="F8618">
        <v>35.21</v>
      </c>
    </row>
    <row r="8619" spans="1:6" x14ac:dyDescent="0.25">
      <c r="A8619" t="s">
        <v>3172</v>
      </c>
      <c r="B8619" t="s">
        <v>54</v>
      </c>
      <c r="C8619" t="s">
        <v>116</v>
      </c>
      <c r="D8619" t="s">
        <v>3218</v>
      </c>
      <c r="E8619">
        <v>14.41</v>
      </c>
      <c r="F8619">
        <v>35.17</v>
      </c>
    </row>
    <row r="8620" spans="1:6" x14ac:dyDescent="0.25">
      <c r="A8620" t="s">
        <v>3172</v>
      </c>
      <c r="B8620" t="s">
        <v>54</v>
      </c>
      <c r="C8620" t="s">
        <v>116</v>
      </c>
      <c r="D8620" t="s">
        <v>3219</v>
      </c>
      <c r="E8620">
        <v>28.23</v>
      </c>
      <c r="F8620">
        <v>34.630000000000003</v>
      </c>
    </row>
    <row r="8621" spans="1:6" x14ac:dyDescent="0.25">
      <c r="A8621" t="s">
        <v>3173</v>
      </c>
      <c r="B8621" t="s">
        <v>54</v>
      </c>
      <c r="C8621" t="s">
        <v>117</v>
      </c>
      <c r="D8621" t="s">
        <v>3217</v>
      </c>
      <c r="E8621">
        <v>0</v>
      </c>
      <c r="F8621">
        <v>34.54</v>
      </c>
    </row>
    <row r="8622" spans="1:6" x14ac:dyDescent="0.25">
      <c r="A8622" t="s">
        <v>3173</v>
      </c>
      <c r="B8622" t="s">
        <v>54</v>
      </c>
      <c r="C8622" t="s">
        <v>117</v>
      </c>
      <c r="D8622" t="s">
        <v>3218</v>
      </c>
      <c r="E8622">
        <v>13</v>
      </c>
      <c r="F8622">
        <v>34.22</v>
      </c>
    </row>
    <row r="8623" spans="1:6" x14ac:dyDescent="0.25">
      <c r="A8623" t="s">
        <v>3173</v>
      </c>
      <c r="B8623" t="s">
        <v>54</v>
      </c>
      <c r="C8623" t="s">
        <v>117</v>
      </c>
      <c r="D8623" t="s">
        <v>3219</v>
      </c>
      <c r="E8623">
        <v>27.37</v>
      </c>
      <c r="F8623">
        <v>33.67</v>
      </c>
    </row>
    <row r="8624" spans="1:6" x14ac:dyDescent="0.25">
      <c r="A8624" t="s">
        <v>3174</v>
      </c>
      <c r="B8624" t="s">
        <v>54</v>
      </c>
      <c r="C8624" t="s">
        <v>118</v>
      </c>
      <c r="D8624" t="s">
        <v>3217</v>
      </c>
      <c r="E8624">
        <v>0</v>
      </c>
      <c r="F8624">
        <v>33.82</v>
      </c>
    </row>
    <row r="8625" spans="1:6" x14ac:dyDescent="0.25">
      <c r="A8625" t="s">
        <v>3174</v>
      </c>
      <c r="B8625" t="s">
        <v>54</v>
      </c>
      <c r="C8625" t="s">
        <v>118</v>
      </c>
      <c r="D8625" t="s">
        <v>3218</v>
      </c>
      <c r="E8625">
        <v>13.02</v>
      </c>
      <c r="F8625">
        <v>33.54</v>
      </c>
    </row>
    <row r="8626" spans="1:6" x14ac:dyDescent="0.25">
      <c r="A8626" t="s">
        <v>3174</v>
      </c>
      <c r="B8626" t="s">
        <v>54</v>
      </c>
      <c r="C8626" t="s">
        <v>118</v>
      </c>
      <c r="D8626" t="s">
        <v>3219</v>
      </c>
      <c r="E8626">
        <v>27.39</v>
      </c>
      <c r="F8626">
        <v>32.56</v>
      </c>
    </row>
    <row r="8627" spans="1:6" x14ac:dyDescent="0.25">
      <c r="A8627" t="s">
        <v>3175</v>
      </c>
      <c r="B8627" t="s">
        <v>54</v>
      </c>
      <c r="C8627" t="s">
        <v>119</v>
      </c>
      <c r="D8627" t="s">
        <v>3217</v>
      </c>
      <c r="E8627">
        <v>0</v>
      </c>
      <c r="F8627">
        <v>32.74</v>
      </c>
    </row>
    <row r="8628" spans="1:6" x14ac:dyDescent="0.25">
      <c r="A8628" t="s">
        <v>3175</v>
      </c>
      <c r="B8628" t="s">
        <v>54</v>
      </c>
      <c r="C8628" t="s">
        <v>119</v>
      </c>
      <c r="D8628" t="s">
        <v>3218</v>
      </c>
      <c r="E8628">
        <v>12.17</v>
      </c>
      <c r="F8628">
        <v>32.57</v>
      </c>
    </row>
    <row r="8629" spans="1:6" x14ac:dyDescent="0.25">
      <c r="A8629" t="s">
        <v>3175</v>
      </c>
      <c r="B8629" t="s">
        <v>54</v>
      </c>
      <c r="C8629" t="s">
        <v>119</v>
      </c>
      <c r="D8629" t="s">
        <v>3219</v>
      </c>
      <c r="E8629">
        <v>26.71</v>
      </c>
      <c r="F8629">
        <v>31.68</v>
      </c>
    </row>
    <row r="8630" spans="1:6" x14ac:dyDescent="0.25">
      <c r="A8630" t="s">
        <v>3176</v>
      </c>
      <c r="B8630" t="s">
        <v>54</v>
      </c>
      <c r="C8630" t="s">
        <v>120</v>
      </c>
      <c r="D8630" t="s">
        <v>3217</v>
      </c>
      <c r="E8630">
        <v>0</v>
      </c>
      <c r="F8630">
        <v>31.33</v>
      </c>
    </row>
    <row r="8631" spans="1:6" x14ac:dyDescent="0.25">
      <c r="A8631" t="s">
        <v>3176</v>
      </c>
      <c r="B8631" t="s">
        <v>54</v>
      </c>
      <c r="C8631" t="s">
        <v>120</v>
      </c>
      <c r="D8631" t="s">
        <v>3218</v>
      </c>
      <c r="E8631">
        <v>11.27</v>
      </c>
      <c r="F8631">
        <v>30.92</v>
      </c>
    </row>
    <row r="8632" spans="1:6" x14ac:dyDescent="0.25">
      <c r="A8632" t="s">
        <v>3176</v>
      </c>
      <c r="B8632" t="s">
        <v>54</v>
      </c>
      <c r="C8632" t="s">
        <v>120</v>
      </c>
      <c r="D8632" t="s">
        <v>3219</v>
      </c>
      <c r="E8632">
        <v>24.32</v>
      </c>
      <c r="F8632">
        <v>30.51</v>
      </c>
    </row>
    <row r="8633" spans="1:6" x14ac:dyDescent="0.25">
      <c r="A8633" t="s">
        <v>3177</v>
      </c>
      <c r="B8633" t="s">
        <v>54</v>
      </c>
      <c r="C8633" t="s">
        <v>121</v>
      </c>
      <c r="D8633" t="s">
        <v>3217</v>
      </c>
      <c r="E8633">
        <v>0</v>
      </c>
      <c r="F8633">
        <v>29.95</v>
      </c>
    </row>
    <row r="8634" spans="1:6" x14ac:dyDescent="0.25">
      <c r="A8634" t="s">
        <v>3177</v>
      </c>
      <c r="B8634" t="s">
        <v>54</v>
      </c>
      <c r="C8634" t="s">
        <v>121</v>
      </c>
      <c r="D8634" t="s">
        <v>3218</v>
      </c>
      <c r="E8634">
        <v>10.69</v>
      </c>
      <c r="F8634">
        <v>29.68</v>
      </c>
    </row>
    <row r="8635" spans="1:6" x14ac:dyDescent="0.25">
      <c r="A8635" t="s">
        <v>3177</v>
      </c>
      <c r="B8635" t="s">
        <v>54</v>
      </c>
      <c r="C8635" t="s">
        <v>121</v>
      </c>
      <c r="D8635" t="s">
        <v>3219</v>
      </c>
      <c r="E8635">
        <v>23.12</v>
      </c>
      <c r="F8635">
        <v>29.3</v>
      </c>
    </row>
    <row r="8636" spans="1:6" x14ac:dyDescent="0.25">
      <c r="A8636" t="s">
        <v>3178</v>
      </c>
      <c r="B8636" t="s">
        <v>54</v>
      </c>
      <c r="C8636" t="s">
        <v>123</v>
      </c>
      <c r="D8636" t="s">
        <v>3217</v>
      </c>
      <c r="E8636">
        <v>0</v>
      </c>
      <c r="F8636">
        <v>28.71</v>
      </c>
    </row>
    <row r="8637" spans="1:6" x14ac:dyDescent="0.25">
      <c r="A8637" t="s">
        <v>3178</v>
      </c>
      <c r="B8637" t="s">
        <v>54</v>
      </c>
      <c r="C8637" t="s">
        <v>123</v>
      </c>
      <c r="D8637" t="s">
        <v>3218</v>
      </c>
      <c r="E8637">
        <v>11</v>
      </c>
      <c r="F8637">
        <v>28.51</v>
      </c>
    </row>
    <row r="8638" spans="1:6" x14ac:dyDescent="0.25">
      <c r="A8638" t="s">
        <v>3178</v>
      </c>
      <c r="B8638" t="s">
        <v>54</v>
      </c>
      <c r="C8638" t="s">
        <v>123</v>
      </c>
      <c r="D8638" t="s">
        <v>3219</v>
      </c>
      <c r="E8638">
        <v>24.04</v>
      </c>
      <c r="F8638">
        <v>28.53</v>
      </c>
    </row>
    <row r="8639" spans="1:6" x14ac:dyDescent="0.25">
      <c r="A8639" t="s">
        <v>3179</v>
      </c>
      <c r="B8639" t="s">
        <v>54</v>
      </c>
      <c r="C8639" t="s">
        <v>124</v>
      </c>
      <c r="D8639" t="s">
        <v>3217</v>
      </c>
      <c r="E8639">
        <v>0</v>
      </c>
      <c r="F8639">
        <v>27.66</v>
      </c>
    </row>
    <row r="8640" spans="1:6" x14ac:dyDescent="0.25">
      <c r="A8640" t="s">
        <v>3179</v>
      </c>
      <c r="B8640" t="s">
        <v>54</v>
      </c>
      <c r="C8640" t="s">
        <v>124</v>
      </c>
      <c r="D8640" t="s">
        <v>3218</v>
      </c>
      <c r="E8640">
        <v>13.39</v>
      </c>
      <c r="F8640">
        <v>27.62</v>
      </c>
    </row>
    <row r="8641" spans="1:6" x14ac:dyDescent="0.25">
      <c r="A8641" t="s">
        <v>3179</v>
      </c>
      <c r="B8641" t="s">
        <v>54</v>
      </c>
      <c r="C8641" t="s">
        <v>124</v>
      </c>
      <c r="D8641" t="s">
        <v>3219</v>
      </c>
      <c r="E8641">
        <v>27.21</v>
      </c>
      <c r="F8641">
        <v>27.59</v>
      </c>
    </row>
    <row r="8642" spans="1:6" x14ac:dyDescent="0.25">
      <c r="A8642" t="s">
        <v>3180</v>
      </c>
      <c r="B8642" t="s">
        <v>54</v>
      </c>
      <c r="C8642" t="s">
        <v>125</v>
      </c>
      <c r="D8642" t="s">
        <v>3217</v>
      </c>
      <c r="E8642">
        <v>0</v>
      </c>
      <c r="F8642">
        <v>27.13</v>
      </c>
    </row>
    <row r="8643" spans="1:6" x14ac:dyDescent="0.25">
      <c r="A8643" t="s">
        <v>3180</v>
      </c>
      <c r="B8643" t="s">
        <v>54</v>
      </c>
      <c r="C8643" t="s">
        <v>125</v>
      </c>
      <c r="D8643" t="s">
        <v>3218</v>
      </c>
      <c r="E8643">
        <v>14.59</v>
      </c>
      <c r="F8643">
        <v>26.97</v>
      </c>
    </row>
    <row r="8644" spans="1:6" x14ac:dyDescent="0.25">
      <c r="A8644" t="s">
        <v>3180</v>
      </c>
      <c r="B8644" t="s">
        <v>54</v>
      </c>
      <c r="C8644" t="s">
        <v>125</v>
      </c>
      <c r="D8644" t="s">
        <v>3219</v>
      </c>
      <c r="E8644">
        <v>28.41</v>
      </c>
      <c r="F8644">
        <v>27.06</v>
      </c>
    </row>
    <row r="8645" spans="1:6" x14ac:dyDescent="0.25">
      <c r="A8645" t="s">
        <v>3181</v>
      </c>
      <c r="B8645" t="s">
        <v>54</v>
      </c>
      <c r="C8645" t="s">
        <v>126</v>
      </c>
      <c r="D8645" t="s">
        <v>3217</v>
      </c>
      <c r="E8645">
        <v>0</v>
      </c>
      <c r="F8645">
        <v>26.51</v>
      </c>
    </row>
    <row r="8646" spans="1:6" x14ac:dyDescent="0.25">
      <c r="A8646" t="s">
        <v>3181</v>
      </c>
      <c r="B8646" t="s">
        <v>54</v>
      </c>
      <c r="C8646" t="s">
        <v>126</v>
      </c>
      <c r="D8646" t="s">
        <v>3218</v>
      </c>
      <c r="E8646">
        <v>15.47</v>
      </c>
      <c r="F8646">
        <v>26.36</v>
      </c>
    </row>
    <row r="8647" spans="1:6" x14ac:dyDescent="0.25">
      <c r="A8647" t="s">
        <v>3181</v>
      </c>
      <c r="B8647" t="s">
        <v>54</v>
      </c>
      <c r="C8647" t="s">
        <v>126</v>
      </c>
      <c r="D8647" t="s">
        <v>3219</v>
      </c>
      <c r="E8647">
        <v>30.32</v>
      </c>
      <c r="F8647">
        <v>26.5</v>
      </c>
    </row>
    <row r="8648" spans="1:6" x14ac:dyDescent="0.25">
      <c r="A8648" t="s">
        <v>3182</v>
      </c>
      <c r="B8648" t="s">
        <v>54</v>
      </c>
      <c r="C8648" t="s">
        <v>127</v>
      </c>
      <c r="D8648" t="s">
        <v>3217</v>
      </c>
      <c r="E8648">
        <v>0</v>
      </c>
      <c r="F8648">
        <v>26.01</v>
      </c>
    </row>
    <row r="8649" spans="1:6" x14ac:dyDescent="0.25">
      <c r="A8649" t="s">
        <v>3182</v>
      </c>
      <c r="B8649" t="s">
        <v>54</v>
      </c>
      <c r="C8649" t="s">
        <v>127</v>
      </c>
      <c r="D8649" t="s">
        <v>3218</v>
      </c>
      <c r="E8649">
        <v>14.83</v>
      </c>
      <c r="F8649">
        <v>25.89</v>
      </c>
    </row>
    <row r="8650" spans="1:6" x14ac:dyDescent="0.25">
      <c r="A8650" t="s">
        <v>3182</v>
      </c>
      <c r="B8650" t="s">
        <v>54</v>
      </c>
      <c r="C8650" t="s">
        <v>127</v>
      </c>
      <c r="D8650" t="s">
        <v>3219</v>
      </c>
      <c r="E8650">
        <v>31.81</v>
      </c>
      <c r="F8650">
        <v>26.12</v>
      </c>
    </row>
    <row r="8651" spans="1:6" x14ac:dyDescent="0.25">
      <c r="A8651" t="s">
        <v>3183</v>
      </c>
      <c r="B8651" t="s">
        <v>54</v>
      </c>
      <c r="C8651" t="s">
        <v>128</v>
      </c>
      <c r="D8651" t="s">
        <v>3217</v>
      </c>
      <c r="E8651">
        <v>0</v>
      </c>
      <c r="F8651">
        <v>25.69</v>
      </c>
    </row>
    <row r="8652" spans="1:6" x14ac:dyDescent="0.25">
      <c r="A8652" t="s">
        <v>3183</v>
      </c>
      <c r="B8652" t="s">
        <v>54</v>
      </c>
      <c r="C8652" t="s">
        <v>128</v>
      </c>
      <c r="D8652" t="s">
        <v>3218</v>
      </c>
      <c r="E8652">
        <v>13.52</v>
      </c>
      <c r="F8652">
        <v>25.44</v>
      </c>
    </row>
    <row r="8653" spans="1:6" x14ac:dyDescent="0.25">
      <c r="A8653" t="s">
        <v>3183</v>
      </c>
      <c r="B8653" t="s">
        <v>54</v>
      </c>
      <c r="C8653" t="s">
        <v>128</v>
      </c>
      <c r="D8653" t="s">
        <v>3219</v>
      </c>
      <c r="E8653">
        <v>30.27</v>
      </c>
      <c r="F8653">
        <v>25.57</v>
      </c>
    </row>
    <row r="8654" spans="1:6" x14ac:dyDescent="0.25">
      <c r="A8654" t="s">
        <v>3184</v>
      </c>
      <c r="B8654" t="s">
        <v>54</v>
      </c>
      <c r="C8654" t="s">
        <v>129</v>
      </c>
      <c r="D8654" t="s">
        <v>3217</v>
      </c>
      <c r="E8654">
        <v>0</v>
      </c>
      <c r="F8654">
        <v>25.32</v>
      </c>
    </row>
    <row r="8655" spans="1:6" x14ac:dyDescent="0.25">
      <c r="A8655" t="s">
        <v>3184</v>
      </c>
      <c r="B8655" t="s">
        <v>54</v>
      </c>
      <c r="C8655" t="s">
        <v>129</v>
      </c>
      <c r="D8655" t="s">
        <v>3218</v>
      </c>
      <c r="E8655">
        <v>12.88</v>
      </c>
      <c r="F8655">
        <v>25.11</v>
      </c>
    </row>
    <row r="8656" spans="1:6" x14ac:dyDescent="0.25">
      <c r="A8656" t="s">
        <v>3184</v>
      </c>
      <c r="B8656" t="s">
        <v>54</v>
      </c>
      <c r="C8656" t="s">
        <v>129</v>
      </c>
      <c r="D8656" t="s">
        <v>3219</v>
      </c>
      <c r="E8656">
        <v>28.94</v>
      </c>
      <c r="F8656">
        <v>25.15</v>
      </c>
    </row>
    <row r="8657" spans="1:6" x14ac:dyDescent="0.25">
      <c r="A8657" t="s">
        <v>3185</v>
      </c>
      <c r="B8657" t="s">
        <v>54</v>
      </c>
      <c r="C8657" t="s">
        <v>130</v>
      </c>
      <c r="D8657" t="s">
        <v>3217</v>
      </c>
      <c r="E8657">
        <v>0</v>
      </c>
      <c r="F8657">
        <v>24.68</v>
      </c>
    </row>
    <row r="8658" spans="1:6" x14ac:dyDescent="0.25">
      <c r="A8658" t="s">
        <v>3185</v>
      </c>
      <c r="B8658" t="s">
        <v>54</v>
      </c>
      <c r="C8658" t="s">
        <v>130</v>
      </c>
      <c r="D8658" t="s">
        <v>3218</v>
      </c>
      <c r="E8658">
        <v>11.77</v>
      </c>
      <c r="F8658">
        <v>24.44</v>
      </c>
    </row>
    <row r="8659" spans="1:6" x14ac:dyDescent="0.25">
      <c r="A8659" t="s">
        <v>3185</v>
      </c>
      <c r="B8659" t="s">
        <v>54</v>
      </c>
      <c r="C8659" t="s">
        <v>130</v>
      </c>
      <c r="D8659" t="s">
        <v>3219</v>
      </c>
      <c r="E8659">
        <v>26.59</v>
      </c>
      <c r="F8659">
        <v>24.39</v>
      </c>
    </row>
    <row r="8660" spans="1:6" x14ac:dyDescent="0.25">
      <c r="A8660" t="s">
        <v>3186</v>
      </c>
      <c r="B8660" t="s">
        <v>54</v>
      </c>
      <c r="C8660" t="s">
        <v>131</v>
      </c>
      <c r="D8660" t="s">
        <v>3217</v>
      </c>
      <c r="E8660">
        <v>0</v>
      </c>
      <c r="F8660">
        <v>23.84</v>
      </c>
    </row>
    <row r="8661" spans="1:6" x14ac:dyDescent="0.25">
      <c r="A8661" t="s">
        <v>3186</v>
      </c>
      <c r="B8661" t="s">
        <v>54</v>
      </c>
      <c r="C8661" t="s">
        <v>131</v>
      </c>
      <c r="D8661" t="s">
        <v>3218</v>
      </c>
      <c r="E8661">
        <v>10.78</v>
      </c>
      <c r="F8661">
        <v>23.69</v>
      </c>
    </row>
    <row r="8662" spans="1:6" x14ac:dyDescent="0.25">
      <c r="A8662" t="s">
        <v>3186</v>
      </c>
      <c r="B8662" t="s">
        <v>54</v>
      </c>
      <c r="C8662" t="s">
        <v>131</v>
      </c>
      <c r="D8662" t="s">
        <v>3219</v>
      </c>
      <c r="E8662">
        <v>25.33</v>
      </c>
      <c r="F8662">
        <v>23.45</v>
      </c>
    </row>
    <row r="8663" spans="1:6" x14ac:dyDescent="0.25">
      <c r="A8663" t="s">
        <v>3187</v>
      </c>
      <c r="B8663" t="s">
        <v>54</v>
      </c>
      <c r="C8663" t="s">
        <v>132</v>
      </c>
      <c r="D8663" t="s">
        <v>3217</v>
      </c>
      <c r="E8663">
        <v>0</v>
      </c>
      <c r="F8663">
        <v>22.8</v>
      </c>
    </row>
    <row r="8664" spans="1:6" x14ac:dyDescent="0.25">
      <c r="A8664" t="s">
        <v>3187</v>
      </c>
      <c r="B8664" t="s">
        <v>54</v>
      </c>
      <c r="C8664" t="s">
        <v>132</v>
      </c>
      <c r="D8664" t="s">
        <v>3218</v>
      </c>
      <c r="E8664">
        <v>10.37</v>
      </c>
      <c r="F8664">
        <v>22.69</v>
      </c>
    </row>
    <row r="8665" spans="1:6" x14ac:dyDescent="0.25">
      <c r="A8665" t="s">
        <v>3187</v>
      </c>
      <c r="B8665" t="s">
        <v>54</v>
      </c>
      <c r="C8665" t="s">
        <v>132</v>
      </c>
      <c r="D8665" t="s">
        <v>3219</v>
      </c>
      <c r="E8665">
        <v>23.41</v>
      </c>
      <c r="F8665">
        <v>22.5</v>
      </c>
    </row>
    <row r="8666" spans="1:6" x14ac:dyDescent="0.25">
      <c r="A8666" t="s">
        <v>3188</v>
      </c>
      <c r="B8666" t="s">
        <v>54</v>
      </c>
      <c r="C8666" t="s">
        <v>133</v>
      </c>
      <c r="D8666" t="s">
        <v>3217</v>
      </c>
      <c r="E8666">
        <v>0</v>
      </c>
      <c r="F8666">
        <v>21.51</v>
      </c>
    </row>
    <row r="8667" spans="1:6" x14ac:dyDescent="0.25">
      <c r="A8667" t="s">
        <v>3188</v>
      </c>
      <c r="B8667" t="s">
        <v>54</v>
      </c>
      <c r="C8667" t="s">
        <v>133</v>
      </c>
      <c r="D8667" t="s">
        <v>3218</v>
      </c>
      <c r="E8667">
        <v>10.54</v>
      </c>
      <c r="F8667">
        <v>21.41</v>
      </c>
    </row>
    <row r="8668" spans="1:6" x14ac:dyDescent="0.25">
      <c r="A8668" t="s">
        <v>3188</v>
      </c>
      <c r="B8668" t="s">
        <v>54</v>
      </c>
      <c r="C8668" t="s">
        <v>133</v>
      </c>
      <c r="D8668" t="s">
        <v>3219</v>
      </c>
      <c r="E8668">
        <v>23.44</v>
      </c>
      <c r="F8668">
        <v>21.38</v>
      </c>
    </row>
    <row r="8669" spans="1:6" x14ac:dyDescent="0.25">
      <c r="A8669" t="s">
        <v>3189</v>
      </c>
      <c r="B8669" t="s">
        <v>54</v>
      </c>
      <c r="C8669" t="s">
        <v>134</v>
      </c>
      <c r="D8669" t="s">
        <v>3217</v>
      </c>
      <c r="E8669">
        <v>0</v>
      </c>
      <c r="F8669">
        <v>20.18</v>
      </c>
    </row>
    <row r="8670" spans="1:6" x14ac:dyDescent="0.25">
      <c r="A8670" t="s">
        <v>3189</v>
      </c>
      <c r="B8670" t="s">
        <v>54</v>
      </c>
      <c r="C8670" t="s">
        <v>134</v>
      </c>
      <c r="D8670" t="s">
        <v>3218</v>
      </c>
      <c r="E8670">
        <v>10.48</v>
      </c>
      <c r="F8670">
        <v>20.09</v>
      </c>
    </row>
    <row r="8671" spans="1:6" x14ac:dyDescent="0.25">
      <c r="A8671" t="s">
        <v>3189</v>
      </c>
      <c r="B8671" t="s">
        <v>54</v>
      </c>
      <c r="C8671" t="s">
        <v>134</v>
      </c>
      <c r="D8671" t="s">
        <v>3219</v>
      </c>
      <c r="E8671">
        <v>23.39</v>
      </c>
      <c r="F8671">
        <v>20.02</v>
      </c>
    </row>
    <row r="8672" spans="1:6" x14ac:dyDescent="0.25">
      <c r="A8672" t="s">
        <v>3190</v>
      </c>
      <c r="B8672" t="s">
        <v>54</v>
      </c>
      <c r="C8672" t="s">
        <v>135</v>
      </c>
      <c r="D8672" t="s">
        <v>3217</v>
      </c>
      <c r="E8672">
        <v>0</v>
      </c>
      <c r="F8672">
        <v>18.920000000000002</v>
      </c>
    </row>
    <row r="8673" spans="1:6" x14ac:dyDescent="0.25">
      <c r="A8673" t="s">
        <v>3190</v>
      </c>
      <c r="B8673" t="s">
        <v>54</v>
      </c>
      <c r="C8673" t="s">
        <v>135</v>
      </c>
      <c r="D8673" t="s">
        <v>3218</v>
      </c>
      <c r="E8673">
        <v>9.84</v>
      </c>
      <c r="F8673">
        <v>18.89</v>
      </c>
    </row>
    <row r="8674" spans="1:6" x14ac:dyDescent="0.25">
      <c r="A8674" t="s">
        <v>3190</v>
      </c>
      <c r="B8674" t="s">
        <v>54</v>
      </c>
      <c r="C8674" t="s">
        <v>135</v>
      </c>
      <c r="D8674" t="s">
        <v>3219</v>
      </c>
      <c r="E8674">
        <v>22.48</v>
      </c>
      <c r="F8674">
        <v>18.68</v>
      </c>
    </row>
    <row r="8675" spans="1:6" x14ac:dyDescent="0.25">
      <c r="A8675" t="s">
        <v>3191</v>
      </c>
      <c r="B8675" t="s">
        <v>54</v>
      </c>
      <c r="C8675" t="s">
        <v>136</v>
      </c>
      <c r="D8675" t="s">
        <v>3217</v>
      </c>
      <c r="E8675">
        <v>0</v>
      </c>
      <c r="F8675">
        <v>17.88</v>
      </c>
    </row>
    <row r="8676" spans="1:6" x14ac:dyDescent="0.25">
      <c r="A8676" t="s">
        <v>3191</v>
      </c>
      <c r="B8676" t="s">
        <v>54</v>
      </c>
      <c r="C8676" t="s">
        <v>136</v>
      </c>
      <c r="D8676" t="s">
        <v>3218</v>
      </c>
      <c r="E8676">
        <v>9.48</v>
      </c>
      <c r="F8676">
        <v>17.82</v>
      </c>
    </row>
    <row r="8677" spans="1:6" x14ac:dyDescent="0.25">
      <c r="A8677" t="s">
        <v>3191</v>
      </c>
      <c r="B8677" t="s">
        <v>54</v>
      </c>
      <c r="C8677" t="s">
        <v>136</v>
      </c>
      <c r="D8677" t="s">
        <v>3219</v>
      </c>
      <c r="E8677">
        <v>23.2</v>
      </c>
      <c r="F8677">
        <v>17.5</v>
      </c>
    </row>
    <row r="8678" spans="1:6" x14ac:dyDescent="0.25">
      <c r="A8678" t="s">
        <v>3192</v>
      </c>
      <c r="B8678" t="s">
        <v>54</v>
      </c>
      <c r="C8678" t="s">
        <v>137</v>
      </c>
      <c r="D8678" t="s">
        <v>3217</v>
      </c>
      <c r="E8678">
        <v>0</v>
      </c>
      <c r="F8678">
        <v>16.809999999999999</v>
      </c>
    </row>
    <row r="8679" spans="1:6" x14ac:dyDescent="0.25">
      <c r="A8679" t="s">
        <v>3192</v>
      </c>
      <c r="B8679" t="s">
        <v>54</v>
      </c>
      <c r="C8679" t="s">
        <v>137</v>
      </c>
      <c r="D8679" t="s">
        <v>3218</v>
      </c>
      <c r="E8679">
        <v>9.2799999999999994</v>
      </c>
      <c r="F8679">
        <v>16.71</v>
      </c>
    </row>
    <row r="8680" spans="1:6" x14ac:dyDescent="0.25">
      <c r="A8680" t="s">
        <v>3192</v>
      </c>
      <c r="B8680" t="s">
        <v>54</v>
      </c>
      <c r="C8680" t="s">
        <v>137</v>
      </c>
      <c r="D8680" t="s">
        <v>3219</v>
      </c>
      <c r="E8680">
        <v>22.48</v>
      </c>
      <c r="F8680">
        <v>16.5</v>
      </c>
    </row>
    <row r="8681" spans="1:6" x14ac:dyDescent="0.25">
      <c r="A8681" t="s">
        <v>3193</v>
      </c>
      <c r="B8681" t="s">
        <v>54</v>
      </c>
      <c r="C8681" t="s">
        <v>138</v>
      </c>
      <c r="D8681" t="s">
        <v>3217</v>
      </c>
      <c r="E8681">
        <v>0</v>
      </c>
      <c r="F8681">
        <v>15.67</v>
      </c>
    </row>
    <row r="8682" spans="1:6" x14ac:dyDescent="0.25">
      <c r="A8682" t="s">
        <v>3193</v>
      </c>
      <c r="B8682" t="s">
        <v>54</v>
      </c>
      <c r="C8682" t="s">
        <v>138</v>
      </c>
      <c r="D8682" t="s">
        <v>3218</v>
      </c>
      <c r="E8682">
        <v>11.32</v>
      </c>
      <c r="F8682">
        <v>15.83</v>
      </c>
    </row>
    <row r="8683" spans="1:6" x14ac:dyDescent="0.25">
      <c r="A8683" t="s">
        <v>3193</v>
      </c>
      <c r="B8683" t="s">
        <v>54</v>
      </c>
      <c r="C8683" t="s">
        <v>138</v>
      </c>
      <c r="D8683" t="s">
        <v>3219</v>
      </c>
      <c r="E8683">
        <v>24.37</v>
      </c>
      <c r="F8683">
        <v>15.78</v>
      </c>
    </row>
    <row r="8684" spans="1:6" x14ac:dyDescent="0.25">
      <c r="A8684" t="s">
        <v>3194</v>
      </c>
      <c r="B8684" t="s">
        <v>54</v>
      </c>
      <c r="C8684" t="s">
        <v>139</v>
      </c>
      <c r="D8684" t="s">
        <v>3217</v>
      </c>
      <c r="E8684">
        <v>0</v>
      </c>
      <c r="F8684">
        <v>14.86</v>
      </c>
    </row>
    <row r="8685" spans="1:6" x14ac:dyDescent="0.25">
      <c r="A8685" t="s">
        <v>3194</v>
      </c>
      <c r="B8685" t="s">
        <v>54</v>
      </c>
      <c r="C8685" t="s">
        <v>139</v>
      </c>
      <c r="D8685" t="s">
        <v>3218</v>
      </c>
      <c r="E8685">
        <v>13</v>
      </c>
      <c r="F8685">
        <v>15.11</v>
      </c>
    </row>
    <row r="8686" spans="1:6" x14ac:dyDescent="0.25">
      <c r="A8686" t="s">
        <v>3194</v>
      </c>
      <c r="B8686" t="s">
        <v>54</v>
      </c>
      <c r="C8686" t="s">
        <v>139</v>
      </c>
      <c r="D8686" t="s">
        <v>3219</v>
      </c>
      <c r="E8686">
        <v>26</v>
      </c>
      <c r="F8686">
        <v>15.14</v>
      </c>
    </row>
    <row r="8687" spans="1:6" x14ac:dyDescent="0.25">
      <c r="A8687" t="s">
        <v>3195</v>
      </c>
      <c r="B8687" t="s">
        <v>54</v>
      </c>
      <c r="C8687" t="s">
        <v>140</v>
      </c>
      <c r="D8687" t="s">
        <v>3217</v>
      </c>
      <c r="E8687">
        <v>0</v>
      </c>
      <c r="F8687">
        <v>14.55</v>
      </c>
    </row>
    <row r="8688" spans="1:6" x14ac:dyDescent="0.25">
      <c r="A8688" t="s">
        <v>3195</v>
      </c>
      <c r="B8688" t="s">
        <v>54</v>
      </c>
      <c r="C8688" t="s">
        <v>140</v>
      </c>
      <c r="D8688" t="s">
        <v>3218</v>
      </c>
      <c r="E8688">
        <v>13.16</v>
      </c>
      <c r="F8688">
        <v>14.48</v>
      </c>
    </row>
    <row r="8689" spans="1:6" x14ac:dyDescent="0.25">
      <c r="A8689" t="s">
        <v>3195</v>
      </c>
      <c r="B8689" t="s">
        <v>54</v>
      </c>
      <c r="C8689" t="s">
        <v>140</v>
      </c>
      <c r="D8689" t="s">
        <v>3219</v>
      </c>
      <c r="E8689">
        <v>26.23</v>
      </c>
      <c r="F8689">
        <v>14.7</v>
      </c>
    </row>
    <row r="8690" spans="1:6" x14ac:dyDescent="0.25">
      <c r="A8690" t="s">
        <v>3196</v>
      </c>
      <c r="B8690" t="s">
        <v>54</v>
      </c>
      <c r="C8690" t="s">
        <v>141</v>
      </c>
      <c r="D8690" t="s">
        <v>3217</v>
      </c>
      <c r="E8690">
        <v>0</v>
      </c>
      <c r="F8690">
        <v>14.14</v>
      </c>
    </row>
    <row r="8691" spans="1:6" x14ac:dyDescent="0.25">
      <c r="A8691" t="s">
        <v>3196</v>
      </c>
      <c r="B8691" t="s">
        <v>54</v>
      </c>
      <c r="C8691" t="s">
        <v>141</v>
      </c>
      <c r="D8691" t="s">
        <v>3218</v>
      </c>
      <c r="E8691">
        <v>12.44</v>
      </c>
      <c r="F8691">
        <v>14.16</v>
      </c>
    </row>
    <row r="8692" spans="1:6" x14ac:dyDescent="0.25">
      <c r="A8692" t="s">
        <v>3196</v>
      </c>
      <c r="B8692" t="s">
        <v>54</v>
      </c>
      <c r="C8692" t="s">
        <v>141</v>
      </c>
      <c r="D8692" t="s">
        <v>3219</v>
      </c>
      <c r="E8692">
        <v>25.23</v>
      </c>
      <c r="F8692">
        <v>14.2</v>
      </c>
    </row>
    <row r="8693" spans="1:6" x14ac:dyDescent="0.25">
      <c r="A8693" t="s">
        <v>3197</v>
      </c>
      <c r="B8693" t="s">
        <v>54</v>
      </c>
      <c r="C8693" t="s">
        <v>142</v>
      </c>
      <c r="D8693" t="s">
        <v>3217</v>
      </c>
      <c r="E8693">
        <v>0</v>
      </c>
      <c r="F8693">
        <v>13.57</v>
      </c>
    </row>
    <row r="8694" spans="1:6" x14ac:dyDescent="0.25">
      <c r="A8694" t="s">
        <v>3197</v>
      </c>
      <c r="B8694" t="s">
        <v>54</v>
      </c>
      <c r="C8694" t="s">
        <v>142</v>
      </c>
      <c r="D8694" t="s">
        <v>3218</v>
      </c>
      <c r="E8694">
        <v>12.25</v>
      </c>
      <c r="F8694">
        <v>13.46</v>
      </c>
    </row>
    <row r="8695" spans="1:6" x14ac:dyDescent="0.25">
      <c r="A8695" t="s">
        <v>3197</v>
      </c>
      <c r="B8695" t="s">
        <v>54</v>
      </c>
      <c r="C8695" t="s">
        <v>142</v>
      </c>
      <c r="D8695" t="s">
        <v>3219</v>
      </c>
      <c r="E8695">
        <v>24.66</v>
      </c>
      <c r="F8695">
        <v>13.4</v>
      </c>
    </row>
    <row r="8696" spans="1:6" x14ac:dyDescent="0.25">
      <c r="A8696" t="s">
        <v>3198</v>
      </c>
      <c r="B8696" t="s">
        <v>54</v>
      </c>
      <c r="C8696" t="s">
        <v>143</v>
      </c>
      <c r="D8696" t="s">
        <v>3217</v>
      </c>
      <c r="E8696">
        <v>0</v>
      </c>
      <c r="F8696">
        <v>12.75</v>
      </c>
    </row>
    <row r="8697" spans="1:6" x14ac:dyDescent="0.25">
      <c r="A8697" t="s">
        <v>3198</v>
      </c>
      <c r="B8697" t="s">
        <v>54</v>
      </c>
      <c r="C8697" t="s">
        <v>143</v>
      </c>
      <c r="D8697" t="s">
        <v>3218</v>
      </c>
      <c r="E8697">
        <v>11.9</v>
      </c>
      <c r="F8697">
        <v>12.58</v>
      </c>
    </row>
    <row r="8698" spans="1:6" x14ac:dyDescent="0.25">
      <c r="A8698" t="s">
        <v>3198</v>
      </c>
      <c r="B8698" t="s">
        <v>54</v>
      </c>
      <c r="C8698" t="s">
        <v>143</v>
      </c>
      <c r="D8698" t="s">
        <v>3219</v>
      </c>
      <c r="E8698">
        <v>25.54</v>
      </c>
      <c r="F8698">
        <v>12.46</v>
      </c>
    </row>
    <row r="8699" spans="1:6" x14ac:dyDescent="0.25">
      <c r="A8699" t="s">
        <v>3199</v>
      </c>
      <c r="B8699" t="s">
        <v>54</v>
      </c>
      <c r="C8699" t="s">
        <v>144</v>
      </c>
      <c r="D8699" t="s">
        <v>3217</v>
      </c>
      <c r="E8699">
        <v>0</v>
      </c>
      <c r="F8699">
        <v>11.89</v>
      </c>
    </row>
    <row r="8700" spans="1:6" x14ac:dyDescent="0.25">
      <c r="A8700" t="s">
        <v>3199</v>
      </c>
      <c r="B8700" t="s">
        <v>54</v>
      </c>
      <c r="C8700" t="s">
        <v>144</v>
      </c>
      <c r="D8700" t="s">
        <v>3218</v>
      </c>
      <c r="E8700">
        <v>11.5</v>
      </c>
      <c r="F8700">
        <v>11.78</v>
      </c>
    </row>
    <row r="8701" spans="1:6" x14ac:dyDescent="0.25">
      <c r="A8701" t="s">
        <v>3199</v>
      </c>
      <c r="B8701" t="s">
        <v>54</v>
      </c>
      <c r="C8701" t="s">
        <v>144</v>
      </c>
      <c r="D8701" t="s">
        <v>3219</v>
      </c>
      <c r="E8701">
        <v>25.51</v>
      </c>
      <c r="F8701">
        <v>11.42</v>
      </c>
    </row>
    <row r="8702" spans="1:6" x14ac:dyDescent="0.25">
      <c r="A8702" t="s">
        <v>3200</v>
      </c>
      <c r="B8702" t="s">
        <v>54</v>
      </c>
      <c r="C8702" t="s">
        <v>145</v>
      </c>
      <c r="D8702" t="s">
        <v>3217</v>
      </c>
      <c r="E8702">
        <v>0</v>
      </c>
      <c r="F8702">
        <v>10.65</v>
      </c>
    </row>
    <row r="8703" spans="1:6" x14ac:dyDescent="0.25">
      <c r="A8703" t="s">
        <v>3200</v>
      </c>
      <c r="B8703" t="s">
        <v>54</v>
      </c>
      <c r="C8703" t="s">
        <v>145</v>
      </c>
      <c r="D8703" t="s">
        <v>3218</v>
      </c>
      <c r="E8703">
        <v>11.17</v>
      </c>
      <c r="F8703">
        <v>10.69</v>
      </c>
    </row>
    <row r="8704" spans="1:6" x14ac:dyDescent="0.25">
      <c r="A8704" t="s">
        <v>3200</v>
      </c>
      <c r="B8704" t="s">
        <v>54</v>
      </c>
      <c r="C8704" t="s">
        <v>145</v>
      </c>
      <c r="D8704" t="s">
        <v>3219</v>
      </c>
      <c r="E8704">
        <v>25.06</v>
      </c>
      <c r="F8704">
        <v>10.61</v>
      </c>
    </row>
    <row r="8705" spans="1:6" x14ac:dyDescent="0.25">
      <c r="A8705" t="s">
        <v>3201</v>
      </c>
      <c r="B8705" t="s">
        <v>54</v>
      </c>
      <c r="C8705" t="s">
        <v>146</v>
      </c>
      <c r="D8705" t="s">
        <v>3217</v>
      </c>
      <c r="E8705">
        <v>0</v>
      </c>
      <c r="F8705">
        <v>9.65</v>
      </c>
    </row>
    <row r="8706" spans="1:6" x14ac:dyDescent="0.25">
      <c r="A8706" t="s">
        <v>3201</v>
      </c>
      <c r="B8706" t="s">
        <v>54</v>
      </c>
      <c r="C8706" t="s">
        <v>146</v>
      </c>
      <c r="D8706" t="s">
        <v>3218</v>
      </c>
      <c r="E8706">
        <v>12.13</v>
      </c>
      <c r="F8706">
        <v>9.5500000000000007</v>
      </c>
    </row>
    <row r="8707" spans="1:6" x14ac:dyDescent="0.25">
      <c r="A8707" t="s">
        <v>3201</v>
      </c>
      <c r="B8707" t="s">
        <v>54</v>
      </c>
      <c r="C8707" t="s">
        <v>146</v>
      </c>
      <c r="D8707" t="s">
        <v>3219</v>
      </c>
      <c r="E8707">
        <v>26.41</v>
      </c>
      <c r="F8707">
        <v>9.69</v>
      </c>
    </row>
    <row r="8708" spans="1:6" x14ac:dyDescent="0.25">
      <c r="A8708" t="s">
        <v>3202</v>
      </c>
      <c r="B8708" t="s">
        <v>54</v>
      </c>
      <c r="C8708" t="s">
        <v>147</v>
      </c>
      <c r="D8708" t="s">
        <v>3217</v>
      </c>
      <c r="E8708">
        <v>0</v>
      </c>
      <c r="F8708">
        <v>8.64</v>
      </c>
    </row>
    <row r="8709" spans="1:6" x14ac:dyDescent="0.25">
      <c r="A8709" t="s">
        <v>3202</v>
      </c>
      <c r="B8709" t="s">
        <v>54</v>
      </c>
      <c r="C8709" t="s">
        <v>147</v>
      </c>
      <c r="D8709" t="s">
        <v>3218</v>
      </c>
      <c r="E8709">
        <v>12.26</v>
      </c>
      <c r="F8709">
        <v>8.6</v>
      </c>
    </row>
    <row r="8710" spans="1:6" x14ac:dyDescent="0.25">
      <c r="A8710" t="s">
        <v>3202</v>
      </c>
      <c r="B8710" t="s">
        <v>54</v>
      </c>
      <c r="C8710" t="s">
        <v>147</v>
      </c>
      <c r="D8710" t="s">
        <v>3219</v>
      </c>
      <c r="E8710">
        <v>26.5</v>
      </c>
      <c r="F8710">
        <v>8.73</v>
      </c>
    </row>
    <row r="8711" spans="1:6" x14ac:dyDescent="0.25">
      <c r="A8711" t="s">
        <v>3203</v>
      </c>
      <c r="B8711" t="s">
        <v>54</v>
      </c>
      <c r="C8711" t="s">
        <v>148</v>
      </c>
      <c r="D8711" t="s">
        <v>3217</v>
      </c>
      <c r="E8711">
        <v>0</v>
      </c>
      <c r="F8711">
        <v>7.98</v>
      </c>
    </row>
    <row r="8712" spans="1:6" x14ac:dyDescent="0.25">
      <c r="A8712" t="s">
        <v>3203</v>
      </c>
      <c r="B8712" t="s">
        <v>54</v>
      </c>
      <c r="C8712" t="s">
        <v>148</v>
      </c>
      <c r="D8712" t="s">
        <v>3218</v>
      </c>
      <c r="E8712">
        <v>13.11</v>
      </c>
      <c r="F8712">
        <v>7.82</v>
      </c>
    </row>
    <row r="8713" spans="1:6" x14ac:dyDescent="0.25">
      <c r="A8713" t="s">
        <v>3203</v>
      </c>
      <c r="B8713" t="s">
        <v>54</v>
      </c>
      <c r="C8713" t="s">
        <v>148</v>
      </c>
      <c r="D8713" t="s">
        <v>3219</v>
      </c>
      <c r="E8713">
        <v>27.9</v>
      </c>
      <c r="F8713">
        <v>7.87</v>
      </c>
    </row>
    <row r="8714" spans="1:6" x14ac:dyDescent="0.25">
      <c r="A8714" t="s">
        <v>3204</v>
      </c>
      <c r="B8714" t="s">
        <v>54</v>
      </c>
      <c r="C8714" t="s">
        <v>149</v>
      </c>
      <c r="D8714" t="s">
        <v>3217</v>
      </c>
      <c r="E8714">
        <v>0</v>
      </c>
      <c r="F8714">
        <v>7.53</v>
      </c>
    </row>
    <row r="8715" spans="1:6" x14ac:dyDescent="0.25">
      <c r="A8715" t="s">
        <v>3204</v>
      </c>
      <c r="B8715" t="s">
        <v>54</v>
      </c>
      <c r="C8715" t="s">
        <v>149</v>
      </c>
      <c r="D8715" t="s">
        <v>3218</v>
      </c>
      <c r="E8715">
        <v>14.34</v>
      </c>
      <c r="F8715">
        <v>7.37</v>
      </c>
    </row>
    <row r="8716" spans="1:6" x14ac:dyDescent="0.25">
      <c r="A8716" t="s">
        <v>3204</v>
      </c>
      <c r="B8716" t="s">
        <v>54</v>
      </c>
      <c r="C8716" t="s">
        <v>149</v>
      </c>
      <c r="D8716" t="s">
        <v>3219</v>
      </c>
      <c r="E8716">
        <v>29.23</v>
      </c>
      <c r="F8716">
        <v>7.06</v>
      </c>
    </row>
    <row r="8717" spans="1:6" x14ac:dyDescent="0.25">
      <c r="A8717" t="s">
        <v>3205</v>
      </c>
      <c r="B8717" t="s">
        <v>54</v>
      </c>
      <c r="C8717" t="s">
        <v>150</v>
      </c>
      <c r="D8717" t="s">
        <v>3217</v>
      </c>
      <c r="E8717">
        <v>0</v>
      </c>
      <c r="F8717">
        <v>6.94</v>
      </c>
    </row>
    <row r="8718" spans="1:6" x14ac:dyDescent="0.25">
      <c r="A8718" t="s">
        <v>3205</v>
      </c>
      <c r="B8718" t="s">
        <v>54</v>
      </c>
      <c r="C8718" t="s">
        <v>150</v>
      </c>
      <c r="D8718" t="s">
        <v>3218</v>
      </c>
      <c r="E8718">
        <v>13.7</v>
      </c>
      <c r="F8718">
        <v>6.62</v>
      </c>
    </row>
    <row r="8719" spans="1:6" x14ac:dyDescent="0.25">
      <c r="A8719" t="s">
        <v>3205</v>
      </c>
      <c r="B8719" t="s">
        <v>54</v>
      </c>
      <c r="C8719" t="s">
        <v>150</v>
      </c>
      <c r="D8719" t="s">
        <v>3219</v>
      </c>
      <c r="E8719">
        <v>27.23</v>
      </c>
      <c r="F8719">
        <v>6.43</v>
      </c>
    </row>
    <row r="8720" spans="1:6" x14ac:dyDescent="0.25">
      <c r="A8720" t="s">
        <v>3206</v>
      </c>
      <c r="B8720" t="s">
        <v>54</v>
      </c>
      <c r="C8720" t="s">
        <v>151</v>
      </c>
      <c r="D8720" t="s">
        <v>3217</v>
      </c>
      <c r="E8720">
        <v>0</v>
      </c>
      <c r="F8720">
        <v>6.21</v>
      </c>
    </row>
    <row r="8721" spans="1:6" x14ac:dyDescent="0.25">
      <c r="A8721" t="s">
        <v>3206</v>
      </c>
      <c r="B8721" t="s">
        <v>54</v>
      </c>
      <c r="C8721" t="s">
        <v>151</v>
      </c>
      <c r="D8721" t="s">
        <v>3218</v>
      </c>
      <c r="E8721">
        <v>13.85</v>
      </c>
      <c r="F8721">
        <v>5.87</v>
      </c>
    </row>
    <row r="8722" spans="1:6" x14ac:dyDescent="0.25">
      <c r="A8722" t="s">
        <v>3206</v>
      </c>
      <c r="B8722" t="s">
        <v>54</v>
      </c>
      <c r="C8722" t="s">
        <v>151</v>
      </c>
      <c r="D8722" t="s">
        <v>3219</v>
      </c>
      <c r="E8722">
        <v>28.4</v>
      </c>
      <c r="F8722">
        <v>5.57</v>
      </c>
    </row>
    <row r="8723" spans="1:6" x14ac:dyDescent="0.25">
      <c r="A8723" t="s">
        <v>3207</v>
      </c>
      <c r="B8723" t="s">
        <v>54</v>
      </c>
      <c r="C8723" t="s">
        <v>152</v>
      </c>
      <c r="D8723" t="s">
        <v>3217</v>
      </c>
      <c r="E8723">
        <v>0</v>
      </c>
      <c r="F8723">
        <v>5.71</v>
      </c>
    </row>
    <row r="8724" spans="1:6" x14ac:dyDescent="0.25">
      <c r="A8724" t="s">
        <v>3207</v>
      </c>
      <c r="B8724" t="s">
        <v>54</v>
      </c>
      <c r="C8724" t="s">
        <v>152</v>
      </c>
      <c r="D8724" t="s">
        <v>3218</v>
      </c>
      <c r="E8724">
        <v>13.97</v>
      </c>
      <c r="F8724">
        <v>5.35</v>
      </c>
    </row>
    <row r="8725" spans="1:6" x14ac:dyDescent="0.25">
      <c r="A8725" t="s">
        <v>3207</v>
      </c>
      <c r="B8725" t="s">
        <v>54</v>
      </c>
      <c r="C8725" t="s">
        <v>152</v>
      </c>
      <c r="D8725" t="s">
        <v>3219</v>
      </c>
      <c r="E8725">
        <v>27.54</v>
      </c>
      <c r="F8725">
        <v>5.14</v>
      </c>
    </row>
    <row r="8726" spans="1:6" x14ac:dyDescent="0.25">
      <c r="A8726" t="s">
        <v>3208</v>
      </c>
      <c r="B8726" t="s">
        <v>54</v>
      </c>
      <c r="C8726" t="s">
        <v>153</v>
      </c>
      <c r="D8726" t="s">
        <v>3217</v>
      </c>
      <c r="E8726">
        <v>0</v>
      </c>
      <c r="F8726">
        <v>5</v>
      </c>
    </row>
    <row r="8727" spans="1:6" x14ac:dyDescent="0.25">
      <c r="A8727" t="s">
        <v>3208</v>
      </c>
      <c r="B8727" t="s">
        <v>54</v>
      </c>
      <c r="C8727" t="s">
        <v>153</v>
      </c>
      <c r="D8727" t="s">
        <v>3218</v>
      </c>
      <c r="E8727">
        <v>14.47</v>
      </c>
      <c r="F8727">
        <v>4.75</v>
      </c>
    </row>
    <row r="8728" spans="1:6" x14ac:dyDescent="0.25">
      <c r="A8728" t="s">
        <v>3208</v>
      </c>
      <c r="B8728" t="s">
        <v>54</v>
      </c>
      <c r="C8728" t="s">
        <v>153</v>
      </c>
      <c r="D8728" t="s">
        <v>3219</v>
      </c>
      <c r="E8728">
        <v>27.45</v>
      </c>
      <c r="F8728">
        <v>4.53</v>
      </c>
    </row>
    <row r="8729" spans="1:6" x14ac:dyDescent="0.25">
      <c r="A8729" t="s">
        <v>3209</v>
      </c>
      <c r="B8729" t="s">
        <v>54</v>
      </c>
      <c r="C8729" t="s">
        <v>154</v>
      </c>
      <c r="D8729" t="s">
        <v>3217</v>
      </c>
      <c r="E8729">
        <v>0</v>
      </c>
      <c r="F8729">
        <v>4.5199999999999996</v>
      </c>
    </row>
    <row r="8730" spans="1:6" x14ac:dyDescent="0.25">
      <c r="A8730" t="s">
        <v>3209</v>
      </c>
      <c r="B8730" t="s">
        <v>54</v>
      </c>
      <c r="C8730" t="s">
        <v>154</v>
      </c>
      <c r="D8730" t="s">
        <v>3218</v>
      </c>
      <c r="E8730">
        <v>13.5</v>
      </c>
      <c r="F8730">
        <v>4.26</v>
      </c>
    </row>
    <row r="8731" spans="1:6" x14ac:dyDescent="0.25">
      <c r="A8731" t="s">
        <v>3209</v>
      </c>
      <c r="B8731" t="s">
        <v>54</v>
      </c>
      <c r="C8731" t="s">
        <v>154</v>
      </c>
      <c r="D8731" t="s">
        <v>3219</v>
      </c>
      <c r="E8731">
        <v>26.35</v>
      </c>
      <c r="F8731">
        <v>4.2</v>
      </c>
    </row>
    <row r="8732" spans="1:6" x14ac:dyDescent="0.25">
      <c r="A8732" t="s">
        <v>3210</v>
      </c>
      <c r="B8732" t="s">
        <v>54</v>
      </c>
      <c r="C8732" t="s">
        <v>155</v>
      </c>
      <c r="D8732" t="s">
        <v>3217</v>
      </c>
      <c r="E8732">
        <v>0</v>
      </c>
      <c r="F8732">
        <v>4.28</v>
      </c>
    </row>
    <row r="8733" spans="1:6" x14ac:dyDescent="0.25">
      <c r="A8733" t="s">
        <v>3210</v>
      </c>
      <c r="B8733" t="s">
        <v>54</v>
      </c>
      <c r="C8733" t="s">
        <v>155</v>
      </c>
      <c r="D8733" t="s">
        <v>3218</v>
      </c>
      <c r="E8733">
        <v>13.5</v>
      </c>
      <c r="F8733">
        <v>3.95</v>
      </c>
    </row>
    <row r="8734" spans="1:6" x14ac:dyDescent="0.25">
      <c r="A8734" t="s">
        <v>3210</v>
      </c>
      <c r="B8734" t="s">
        <v>54</v>
      </c>
      <c r="C8734" t="s">
        <v>155</v>
      </c>
      <c r="D8734" t="s">
        <v>3219</v>
      </c>
      <c r="E8734">
        <v>27.89</v>
      </c>
      <c r="F8734">
        <v>3.7</v>
      </c>
    </row>
    <row r="8735" spans="1:6" x14ac:dyDescent="0.25">
      <c r="A8735" t="s">
        <v>3211</v>
      </c>
      <c r="B8735" t="s">
        <v>54</v>
      </c>
      <c r="C8735" t="s">
        <v>337</v>
      </c>
      <c r="D8735" t="s">
        <v>3217</v>
      </c>
      <c r="E8735">
        <v>0</v>
      </c>
      <c r="F8735">
        <v>4.26</v>
      </c>
    </row>
    <row r="8736" spans="1:6" x14ac:dyDescent="0.25">
      <c r="A8736" t="s">
        <v>3211</v>
      </c>
      <c r="B8736" t="s">
        <v>54</v>
      </c>
      <c r="C8736" t="s">
        <v>337</v>
      </c>
      <c r="D8736" t="s">
        <v>3218</v>
      </c>
      <c r="E8736">
        <v>13.5</v>
      </c>
      <c r="F8736">
        <v>3.95</v>
      </c>
    </row>
    <row r="8737" spans="1:6" x14ac:dyDescent="0.25">
      <c r="A8737" t="s">
        <v>3211</v>
      </c>
      <c r="B8737" t="s">
        <v>54</v>
      </c>
      <c r="C8737" t="s">
        <v>337</v>
      </c>
      <c r="D8737" t="s">
        <v>3219</v>
      </c>
      <c r="E8737">
        <v>27.79</v>
      </c>
      <c r="F8737">
        <v>3.61</v>
      </c>
    </row>
    <row r="8738" spans="1:6" x14ac:dyDescent="0.25">
      <c r="A8738" t="s">
        <v>3212</v>
      </c>
      <c r="B8738" t="s">
        <v>55</v>
      </c>
      <c r="C8738" t="s">
        <v>56</v>
      </c>
      <c r="D8738" t="s">
        <v>3217</v>
      </c>
      <c r="E8738">
        <v>0</v>
      </c>
      <c r="F8738">
        <v>-32.159999999999997</v>
      </c>
    </row>
    <row r="8739" spans="1:6" x14ac:dyDescent="0.25">
      <c r="A8739" t="s">
        <v>3212</v>
      </c>
      <c r="B8739" t="s">
        <v>55</v>
      </c>
      <c r="C8739" t="s">
        <v>56</v>
      </c>
      <c r="D8739" t="s">
        <v>3218</v>
      </c>
      <c r="E8739">
        <v>20</v>
      </c>
      <c r="F8739">
        <v>-32.369999999999997</v>
      </c>
    </row>
    <row r="8740" spans="1:6" x14ac:dyDescent="0.25">
      <c r="A8740" t="s">
        <v>3212</v>
      </c>
      <c r="B8740" t="s">
        <v>55</v>
      </c>
      <c r="C8740" t="s">
        <v>56</v>
      </c>
      <c r="D8740" t="s">
        <v>3219</v>
      </c>
      <c r="E8740">
        <v>29</v>
      </c>
      <c r="F8740">
        <v>-32.17</v>
      </c>
    </row>
    <row r="8741" spans="1:6" x14ac:dyDescent="0.25">
      <c r="A8741" t="s">
        <v>3213</v>
      </c>
      <c r="B8741" t="s">
        <v>55</v>
      </c>
      <c r="C8741" t="s">
        <v>57</v>
      </c>
      <c r="D8741" t="s">
        <v>3217</v>
      </c>
      <c r="E8741">
        <v>0</v>
      </c>
      <c r="F8741">
        <v>-31.39</v>
      </c>
    </row>
    <row r="8742" spans="1:6" x14ac:dyDescent="0.25">
      <c r="A8742" t="s">
        <v>3213</v>
      </c>
      <c r="B8742" t="s">
        <v>55</v>
      </c>
      <c r="C8742" t="s">
        <v>57</v>
      </c>
      <c r="D8742" t="s">
        <v>3218</v>
      </c>
      <c r="E8742">
        <v>20</v>
      </c>
      <c r="F8742">
        <v>-32.15</v>
      </c>
    </row>
    <row r="8743" spans="1:6" x14ac:dyDescent="0.25">
      <c r="A8743" t="s">
        <v>3213</v>
      </c>
      <c r="B8743" t="s">
        <v>55</v>
      </c>
      <c r="C8743" t="s">
        <v>57</v>
      </c>
      <c r="D8743" t="s">
        <v>3219</v>
      </c>
      <c r="E8743">
        <v>29</v>
      </c>
      <c r="F8743">
        <v>-31.97</v>
      </c>
    </row>
    <row r="8744" spans="1:6" x14ac:dyDescent="0.25">
      <c r="A8744" t="s">
        <v>3214</v>
      </c>
      <c r="B8744" t="s">
        <v>55</v>
      </c>
      <c r="C8744" t="s">
        <v>338</v>
      </c>
      <c r="D8744" t="s">
        <v>3217</v>
      </c>
      <c r="E8744">
        <v>0</v>
      </c>
      <c r="F8744">
        <v>-31.25</v>
      </c>
    </row>
    <row r="8745" spans="1:6" x14ac:dyDescent="0.25">
      <c r="A8745" t="s">
        <v>3214</v>
      </c>
      <c r="B8745" t="s">
        <v>55</v>
      </c>
      <c r="C8745" t="s">
        <v>338</v>
      </c>
      <c r="D8745" t="s">
        <v>3218</v>
      </c>
      <c r="E8745">
        <v>20</v>
      </c>
      <c r="F8745">
        <v>-31.84</v>
      </c>
    </row>
    <row r="8746" spans="1:6" x14ac:dyDescent="0.25">
      <c r="A8746" t="s">
        <v>3214</v>
      </c>
      <c r="B8746" t="s">
        <v>55</v>
      </c>
      <c r="C8746" t="s">
        <v>338</v>
      </c>
      <c r="D8746" t="s">
        <v>3219</v>
      </c>
      <c r="E8746">
        <v>28.5</v>
      </c>
      <c r="F8746">
        <v>-31.56</v>
      </c>
    </row>
    <row r="8747" spans="1:6" x14ac:dyDescent="0.25">
      <c r="A8747" t="s">
        <v>3212</v>
      </c>
      <c r="B8747" t="s">
        <v>55</v>
      </c>
      <c r="C8747" t="s">
        <v>56</v>
      </c>
      <c r="D8747" t="s">
        <v>3217</v>
      </c>
      <c r="E8747">
        <v>0</v>
      </c>
      <c r="F8747">
        <v>-30.53</v>
      </c>
    </row>
    <row r="8748" spans="1:6" x14ac:dyDescent="0.25">
      <c r="A8748" t="s">
        <v>3212</v>
      </c>
      <c r="B8748" t="s">
        <v>55</v>
      </c>
      <c r="C8748" t="s">
        <v>56</v>
      </c>
      <c r="D8748" t="s">
        <v>3218</v>
      </c>
      <c r="E8748">
        <v>20</v>
      </c>
      <c r="F8748">
        <v>-31.88</v>
      </c>
    </row>
    <row r="8749" spans="1:6" x14ac:dyDescent="0.25">
      <c r="A8749" t="s">
        <v>3212</v>
      </c>
      <c r="B8749" t="s">
        <v>55</v>
      </c>
      <c r="C8749" t="s">
        <v>56</v>
      </c>
      <c r="D8749" t="s">
        <v>3219</v>
      </c>
      <c r="E8749">
        <v>40</v>
      </c>
      <c r="F8749">
        <v>-32.229999999999997</v>
      </c>
    </row>
    <row r="8750" spans="1:6" x14ac:dyDescent="0.25">
      <c r="A8750" t="s">
        <v>3213</v>
      </c>
      <c r="B8750" t="s">
        <v>55</v>
      </c>
      <c r="C8750" t="s">
        <v>57</v>
      </c>
      <c r="D8750" t="s">
        <v>3217</v>
      </c>
      <c r="E8750">
        <v>0</v>
      </c>
      <c r="F8750">
        <v>-30.79</v>
      </c>
    </row>
    <row r="8751" spans="1:6" x14ac:dyDescent="0.25">
      <c r="A8751" t="s">
        <v>3213</v>
      </c>
      <c r="B8751" t="s">
        <v>55</v>
      </c>
      <c r="C8751" t="s">
        <v>57</v>
      </c>
      <c r="D8751" t="s">
        <v>3218</v>
      </c>
      <c r="E8751">
        <v>9.42</v>
      </c>
      <c r="F8751">
        <v>-31.65</v>
      </c>
    </row>
    <row r="8752" spans="1:6" x14ac:dyDescent="0.25">
      <c r="A8752" t="s">
        <v>3213</v>
      </c>
      <c r="B8752" t="s">
        <v>55</v>
      </c>
      <c r="C8752" t="s">
        <v>57</v>
      </c>
      <c r="D8752" t="s">
        <v>3219</v>
      </c>
      <c r="E8752">
        <v>29.42</v>
      </c>
      <c r="F8752">
        <v>-31.96</v>
      </c>
    </row>
    <row r="8753" spans="1:6" x14ac:dyDescent="0.25">
      <c r="A8753" t="s">
        <v>3215</v>
      </c>
      <c r="B8753" t="s">
        <v>55</v>
      </c>
      <c r="C8753" t="s">
        <v>58</v>
      </c>
      <c r="D8753" t="s">
        <v>3217</v>
      </c>
      <c r="E8753">
        <v>0</v>
      </c>
      <c r="F8753">
        <v>-30.37</v>
      </c>
    </row>
    <row r="8754" spans="1:6" x14ac:dyDescent="0.25">
      <c r="A8754" t="s">
        <v>3215</v>
      </c>
      <c r="B8754" t="s">
        <v>55</v>
      </c>
      <c r="C8754" t="s">
        <v>58</v>
      </c>
      <c r="D8754" t="s">
        <v>3218</v>
      </c>
      <c r="E8754">
        <v>7.83</v>
      </c>
      <c r="F8754">
        <v>-30.78</v>
      </c>
    </row>
    <row r="8755" spans="1:6" x14ac:dyDescent="0.25">
      <c r="A8755" t="s">
        <v>3215</v>
      </c>
      <c r="B8755" t="s">
        <v>55</v>
      </c>
      <c r="C8755" t="s">
        <v>58</v>
      </c>
      <c r="D8755" t="s">
        <v>3219</v>
      </c>
      <c r="E8755">
        <v>27.83</v>
      </c>
      <c r="F8755">
        <v>-31.05</v>
      </c>
    </row>
    <row r="8756" spans="1:6" x14ac:dyDescent="0.25">
      <c r="A8756" t="s">
        <v>3216</v>
      </c>
      <c r="B8756" t="s">
        <v>55</v>
      </c>
      <c r="C8756" t="s">
        <v>339</v>
      </c>
      <c r="D8756" t="s">
        <v>3217</v>
      </c>
      <c r="E8756">
        <v>0</v>
      </c>
      <c r="F8756">
        <v>-30.62</v>
      </c>
    </row>
    <row r="8757" spans="1:6" x14ac:dyDescent="0.25">
      <c r="A8757" t="s">
        <v>3216</v>
      </c>
      <c r="B8757" t="s">
        <v>55</v>
      </c>
      <c r="C8757" t="s">
        <v>339</v>
      </c>
      <c r="D8757" t="s">
        <v>3218</v>
      </c>
      <c r="E8757">
        <v>9.42</v>
      </c>
      <c r="F8757">
        <v>-30.55</v>
      </c>
    </row>
    <row r="8758" spans="1:6" x14ac:dyDescent="0.25">
      <c r="A8758" t="s">
        <v>3216</v>
      </c>
      <c r="B8758" t="s">
        <v>55</v>
      </c>
      <c r="C8758" t="s">
        <v>339</v>
      </c>
      <c r="D8758" t="s">
        <v>3219</v>
      </c>
      <c r="E8758">
        <v>29.42</v>
      </c>
      <c r="F8758">
        <v>-30.84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8"/>
  <sheetViews>
    <sheetView workbookViewId="0"/>
  </sheetViews>
  <sheetFormatPr defaultRowHeight="15" x14ac:dyDescent="0.25"/>
  <sheetData>
    <row r="1" spans="1:1" x14ac:dyDescent="0.25">
      <c r="A1" s="2" t="s">
        <v>3220</v>
      </c>
    </row>
    <row r="2" spans="1:1" x14ac:dyDescent="0.25">
      <c r="A2" t="s">
        <v>19</v>
      </c>
    </row>
    <row r="3" spans="1:1" x14ac:dyDescent="0.25">
      <c r="A3" t="s">
        <v>20</v>
      </c>
    </row>
    <row r="4" spans="1:1" x14ac:dyDescent="0.25">
      <c r="A4" t="s">
        <v>21</v>
      </c>
    </row>
    <row r="5" spans="1:1" x14ac:dyDescent="0.25">
      <c r="A5" t="s">
        <v>22</v>
      </c>
    </row>
    <row r="6" spans="1:1" x14ac:dyDescent="0.25">
      <c r="A6" t="s">
        <v>23</v>
      </c>
    </row>
    <row r="7" spans="1:1" x14ac:dyDescent="0.25">
      <c r="A7" t="s">
        <v>24</v>
      </c>
    </row>
    <row r="8" spans="1:1" x14ac:dyDescent="0.25">
      <c r="A8" t="s">
        <v>25</v>
      </c>
    </row>
    <row r="9" spans="1:1" x14ac:dyDescent="0.25">
      <c r="A9" t="s">
        <v>26</v>
      </c>
    </row>
    <row r="10" spans="1:1" x14ac:dyDescent="0.25">
      <c r="A10" t="s">
        <v>27</v>
      </c>
    </row>
    <row r="11" spans="1:1" x14ac:dyDescent="0.25">
      <c r="A11" t="s">
        <v>28</v>
      </c>
    </row>
    <row r="12" spans="1:1" x14ac:dyDescent="0.25">
      <c r="A12" t="s">
        <v>29</v>
      </c>
    </row>
    <row r="13" spans="1:1" x14ac:dyDescent="0.25">
      <c r="A13" t="s">
        <v>30</v>
      </c>
    </row>
    <row r="14" spans="1:1" x14ac:dyDescent="0.25">
      <c r="A14" t="s">
        <v>31</v>
      </c>
    </row>
    <row r="15" spans="1:1" x14ac:dyDescent="0.25">
      <c r="A15" t="s">
        <v>32</v>
      </c>
    </row>
    <row r="16" spans="1:1" x14ac:dyDescent="0.25">
      <c r="A16" t="s">
        <v>33</v>
      </c>
    </row>
    <row r="17" spans="1:1" x14ac:dyDescent="0.25">
      <c r="A17" t="s">
        <v>34</v>
      </c>
    </row>
    <row r="18" spans="1:1" x14ac:dyDescent="0.25">
      <c r="A18" t="s">
        <v>35</v>
      </c>
    </row>
    <row r="19" spans="1:1" x14ac:dyDescent="0.25">
      <c r="A19" t="s">
        <v>36</v>
      </c>
    </row>
    <row r="20" spans="1:1" x14ac:dyDescent="0.25">
      <c r="A20" t="s">
        <v>37</v>
      </c>
    </row>
    <row r="21" spans="1:1" x14ac:dyDescent="0.25">
      <c r="A21" t="s">
        <v>38</v>
      </c>
    </row>
    <row r="22" spans="1:1" x14ac:dyDescent="0.25">
      <c r="A22" t="s">
        <v>39</v>
      </c>
    </row>
    <row r="23" spans="1:1" x14ac:dyDescent="0.25">
      <c r="A23" t="s">
        <v>40</v>
      </c>
    </row>
    <row r="24" spans="1:1" x14ac:dyDescent="0.25">
      <c r="A24" t="s">
        <v>41</v>
      </c>
    </row>
    <row r="25" spans="1:1" x14ac:dyDescent="0.25">
      <c r="A25" t="s">
        <v>42</v>
      </c>
    </row>
    <row r="26" spans="1:1" x14ac:dyDescent="0.25">
      <c r="A26" t="s">
        <v>43</v>
      </c>
    </row>
    <row r="27" spans="1:1" x14ac:dyDescent="0.25">
      <c r="A27" t="s">
        <v>44</v>
      </c>
    </row>
    <row r="28" spans="1:1" x14ac:dyDescent="0.25">
      <c r="A28" t="s">
        <v>45</v>
      </c>
    </row>
    <row r="29" spans="1:1" x14ac:dyDescent="0.25">
      <c r="A29" t="s">
        <v>46</v>
      </c>
    </row>
    <row r="30" spans="1:1" x14ac:dyDescent="0.25">
      <c r="A30" t="s">
        <v>47</v>
      </c>
    </row>
    <row r="31" spans="1:1" x14ac:dyDescent="0.25">
      <c r="A31" t="s">
        <v>48</v>
      </c>
    </row>
    <row r="32" spans="1:1" x14ac:dyDescent="0.25">
      <c r="A32" t="s">
        <v>49</v>
      </c>
    </row>
    <row r="33" spans="1:1" x14ac:dyDescent="0.25">
      <c r="A33" t="s">
        <v>50</v>
      </c>
    </row>
    <row r="34" spans="1:1" x14ac:dyDescent="0.25">
      <c r="A34" t="s">
        <v>51</v>
      </c>
    </row>
    <row r="35" spans="1:1" x14ac:dyDescent="0.25">
      <c r="A35" t="s">
        <v>52</v>
      </c>
    </row>
    <row r="36" spans="1:1" x14ac:dyDescent="0.25">
      <c r="A36" t="s">
        <v>53</v>
      </c>
    </row>
    <row r="37" spans="1:1" x14ac:dyDescent="0.25">
      <c r="A37" t="s">
        <v>54</v>
      </c>
    </row>
    <row r="38" spans="1:1" x14ac:dyDescent="0.25">
      <c r="A38" t="s">
        <v>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247"/>
  <sheetViews>
    <sheetView workbookViewId="0"/>
  </sheetViews>
  <sheetFormatPr defaultRowHeight="15" x14ac:dyDescent="0.25"/>
  <sheetData>
    <row r="1" spans="1:16" x14ac:dyDescent="0.25">
      <c r="A1" t="s">
        <v>1</v>
      </c>
      <c r="B1" t="s">
        <v>3221</v>
      </c>
      <c r="C1" t="s">
        <v>3222</v>
      </c>
      <c r="D1" t="s">
        <v>3223</v>
      </c>
      <c r="E1" t="s">
        <v>353</v>
      </c>
      <c r="F1" t="s">
        <v>3224</v>
      </c>
      <c r="G1" t="s">
        <v>3225</v>
      </c>
      <c r="H1" t="s">
        <v>3226</v>
      </c>
      <c r="I1" t="s">
        <v>3227</v>
      </c>
      <c r="J1" t="s">
        <v>3228</v>
      </c>
      <c r="K1" t="s">
        <v>3229</v>
      </c>
      <c r="L1" t="s">
        <v>3230</v>
      </c>
      <c r="M1" t="s">
        <v>3231</v>
      </c>
      <c r="N1" t="s">
        <v>3234</v>
      </c>
      <c r="O1" t="s">
        <v>3232</v>
      </c>
      <c r="P1">
        <f>COUNTIF(Data_Monitoring!$A$2:$A$2920, Dashboard_Visual!$B$4)</f>
        <v>52</v>
      </c>
    </row>
    <row r="2" spans="1:16" x14ac:dyDescent="0.25">
      <c r="A2" t="str">
        <f>IF(1&lt;=COUNTIF(Data_Monitoring!$A$2:$A$2920, Dashboard_Visual!$B$4), INDEX(Data_Monitoring!$B$2:$B$2920, MATCH(Dashboard_Visual!$B$4, Data_Monitoring!$A$2:$A$2920, 0) + 1 - 1), "")</f>
        <v>0+000</v>
      </c>
      <c r="B2">
        <f>IF(1&lt;=COUNTIF(Data_Monitoring!$A$2:$A$2920, Dashboard_Visual!$B$4), INDEX(Data_Monitoring!$C$2:$C$2920, MATCH(Dashboard_Visual!$B$4, Data_Monitoring!$A$2:$A$2920, 0) + 1 - 1), "")</f>
        <v>0</v>
      </c>
      <c r="C2">
        <f>IF(1&lt;=COUNTIF(Data_Monitoring!$A$2:$A$2920, Dashboard_Visual!$B$4), INDEX(Data_Monitoring!$J$2:$J$2920, MATCH(Dashboard_Visual!$B$4, Data_Monitoring!$A$2:$A$2920, 0) + 1 - 1), NA())</f>
        <v>101.04</v>
      </c>
      <c r="D2">
        <f>IF(1&lt;=COUNTIF(Data_Monitoring!$A$2:$A$2920, Dashboard_Visual!$B$4), INDEX(Data_Monitoring!$K$2:$K$2920, MATCH(Dashboard_Visual!$B$4, Data_Monitoring!$A$2:$A$2920, 0) + 1 - 1), NA())</f>
        <v>0</v>
      </c>
      <c r="E2">
        <f>IF(1&lt;=COUNTIF(Data_Monitoring!$A$2:$A$2920, Dashboard_Visual!$B$4), INDEX(Data_Monitoring!$H$2:$H$2920, MATCH(Dashboard_Visual!$B$4, Data_Monitoring!$A$2:$A$2920, 0) + 1 - 1), 0)</f>
        <v>30.27</v>
      </c>
      <c r="F2">
        <f>IF(1&lt;=COUNTIF(Data_Monitoring!$A$2:$A$2920, Dashboard_Visual!$B$4), INDEX(Data_Monitoring!$O$2:$O$2920, MATCH(Dashboard_Visual!$B$4, Data_Monitoring!$A$2:$A$2920, 0) + 1 - 1), 0)</f>
        <v>-1.49</v>
      </c>
      <c r="G2">
        <f>IF(1&lt;=COUNTIF(Data_Monitoring!$A$2:$A$2920, Dashboard_Visual!$B$4), INDEX(Data_Monitoring!$Q$2:$Q$2920, MATCH(Dashboard_Visual!$B$4, Data_Monitoring!$A$2:$A$2920, 0) + 1 - 1), 0)</f>
        <v>3.94</v>
      </c>
      <c r="H2" t="str">
        <f>IF(1&lt;=COUNTIF(Data_Monitoring!$A$2:$A$2920, Dashboard_Visual!$B$4), INDEX(Data_Monitoring!$L$2:$L$2920, MATCH(Dashboard_Visual!$B$4, Data_Monitoring!$A$2:$A$2920, 0) + 1 - 1), "")</f>
        <v>N/A</v>
      </c>
      <c r="I2" t="str">
        <f>IF(AND(1&lt;=$P$2, ISNUMBER(D2), OR(H2="Warning", H2="Overgrade")), TEXT(ABS(D2)/100, "0.00%"), "")</f>
        <v/>
      </c>
      <c r="J2" t="e">
        <f t="shared" ref="J2:J65" si="0">IF(H2="Aman", C2, NA())</f>
        <v>#N/A</v>
      </c>
      <c r="K2" t="e">
        <f>IF(AND(1&lt;=$P$2, H2="Warning"), C2, NA())</f>
        <v>#N/A</v>
      </c>
      <c r="L2" t="e">
        <f>IF(AND(1&lt;=$P$2, H2="Overgrade"), C2, NA())</f>
        <v>#N/A</v>
      </c>
      <c r="M2">
        <f>IF(1&lt;=COUNTIF(Data_Monitoring!$A$2:$A$2920, Dashboard_Visual!$B$4), INDEX(Data_Monitoring!$S$2:$S$2920, MATCH(Dashboard_Visual!$B$4, Data_Monitoring!$A$2:$A$2920, 0) + 1 - 1), 1)</f>
        <v>1</v>
      </c>
      <c r="N2" t="str">
        <f>IF(ISNUMBER(MATCH(Dashboard_Visual!$B$3, Chart_Data!$A$2:$A$247, 0)), Dashboard_Visual!$B$3, Chart_Data!$A$2)</f>
        <v>0+040</v>
      </c>
      <c r="O2" t="s">
        <v>3233</v>
      </c>
      <c r="P2">
        <f>P1 - IF(INDEX(M2:M247, P1)=0, 1, 0)</f>
        <v>51</v>
      </c>
    </row>
    <row r="3" spans="1:16" x14ac:dyDescent="0.25">
      <c r="A3" t="str">
        <f>IF(2&lt;=COUNTIF(Data_Monitoring!$A$2:$A$2920, Dashboard_Visual!$B$4), INDEX(Data_Monitoring!$B$2:$B$2920, MATCH(Dashboard_Visual!$B$4, Data_Monitoring!$A$2:$A$2920, 0) + 2 - 1), "")</f>
        <v>0+020</v>
      </c>
      <c r="B3">
        <f>IF(2&lt;=COUNTIF(Data_Monitoring!$A$2:$A$2920, Dashboard_Visual!$B$4), INDEX(Data_Monitoring!$C$2:$C$2920, MATCH(Dashboard_Visual!$B$4, Data_Monitoring!$A$2:$A$2920, 0) + 2 - 1), "")</f>
        <v>20</v>
      </c>
      <c r="C3">
        <f>IF(2&lt;=COUNTIF(Data_Monitoring!$A$2:$A$2920, Dashboard_Visual!$B$4), INDEX(Data_Monitoring!$J$2:$J$2920, MATCH(Dashboard_Visual!$B$4, Data_Monitoring!$A$2:$A$2920, 0) + 2 - 1), NA())</f>
        <v>100.68</v>
      </c>
      <c r="D3">
        <f>IF(2&lt;=COUNTIF(Data_Monitoring!$A$2:$A$2920, Dashboard_Visual!$B$4), INDEX(Data_Monitoring!$K$2:$K$2920, MATCH(Dashboard_Visual!$B$4, Data_Monitoring!$A$2:$A$2920, 0) + 2 - 1), NA())</f>
        <v>-1.78</v>
      </c>
      <c r="E3">
        <f>IF(2&lt;=COUNTIF(Data_Monitoring!$A$2:$A$2920, Dashboard_Visual!$B$4), INDEX(Data_Monitoring!$H$2:$H$2920, MATCH(Dashboard_Visual!$B$4, Data_Monitoring!$A$2:$A$2920, 0) + 2 - 1), 0)</f>
        <v>31.87</v>
      </c>
      <c r="F3">
        <f>IF(2&lt;=COUNTIF(Data_Monitoring!$A$2:$A$2920, Dashboard_Visual!$B$4), INDEX(Data_Monitoring!$O$2:$O$2920, MATCH(Dashboard_Visual!$B$4, Data_Monitoring!$A$2:$A$2920, 0) + 2 - 1), 0)</f>
        <v>-4.21</v>
      </c>
      <c r="G3">
        <f>IF(2&lt;=COUNTIF(Data_Monitoring!$A$2:$A$2920, Dashboard_Visual!$B$4), INDEX(Data_Monitoring!$Q$2:$Q$2920, MATCH(Dashboard_Visual!$B$4, Data_Monitoring!$A$2:$A$2920, 0) + 2 - 1), 0)</f>
        <v>4.28</v>
      </c>
      <c r="H3" t="str">
        <f>IF(2&lt;=COUNTIF(Data_Monitoring!$A$2:$A$2920, Dashboard_Visual!$B$4), INDEX(Data_Monitoring!$L$2:$L$2920, MATCH(Dashboard_Visual!$B$4, Data_Monitoring!$A$2:$A$2920, 0) + 2 - 1), "")</f>
        <v>Aman</v>
      </c>
      <c r="I3" t="str">
        <f>IF(AND(2&lt;=$P$2, ISNUMBER(D3), OR(H3="Warning", H3="Overgrade")), TEXT(ABS(D3)/100, "0.00%"), "")</f>
        <v/>
      </c>
      <c r="J3">
        <f t="shared" si="0"/>
        <v>100.68</v>
      </c>
      <c r="K3" t="e">
        <f>IF(AND(2&lt;=$P$2, H3="Warning"), C3, NA())</f>
        <v>#N/A</v>
      </c>
      <c r="L3" t="e">
        <f>IF(AND(2&lt;=$P$2, H3="Overgrade"), C3, NA())</f>
        <v>#N/A</v>
      </c>
      <c r="M3">
        <f>IF(2&lt;=COUNTIF(Data_Monitoring!$A$2:$A$2920, Dashboard_Visual!$B$4), INDEX(Data_Monitoring!$S$2:$S$2920, MATCH(Dashboard_Visual!$B$4, Data_Monitoring!$A$2:$A$2920, 0) + 2 - 1), 1)</f>
        <v>1</v>
      </c>
    </row>
    <row r="4" spans="1:16" x14ac:dyDescent="0.25">
      <c r="A4" t="str">
        <f>IF(3&lt;=COUNTIF(Data_Monitoring!$A$2:$A$2920, Dashboard_Visual!$B$4), INDEX(Data_Monitoring!$B$2:$B$2920, MATCH(Dashboard_Visual!$B$4, Data_Monitoring!$A$2:$A$2920, 0) + 3 - 1), "")</f>
        <v>0+040</v>
      </c>
      <c r="B4">
        <f>IF(3&lt;=COUNTIF(Data_Monitoring!$A$2:$A$2920, Dashboard_Visual!$B$4), INDEX(Data_Monitoring!$C$2:$C$2920, MATCH(Dashboard_Visual!$B$4, Data_Monitoring!$A$2:$A$2920, 0) + 3 - 1), "")</f>
        <v>40</v>
      </c>
      <c r="C4">
        <f>IF(3&lt;=COUNTIF(Data_Monitoring!$A$2:$A$2920, Dashboard_Visual!$B$4), INDEX(Data_Monitoring!$J$2:$J$2920, MATCH(Dashboard_Visual!$B$4, Data_Monitoring!$A$2:$A$2920, 0) + 3 - 1), NA())</f>
        <v>100.53</v>
      </c>
      <c r="D4">
        <f>IF(3&lt;=COUNTIF(Data_Monitoring!$A$2:$A$2920, Dashboard_Visual!$B$4), INDEX(Data_Monitoring!$K$2:$K$2920, MATCH(Dashboard_Visual!$B$4, Data_Monitoring!$A$2:$A$2920, 0) + 3 - 1), NA())</f>
        <v>-0.76</v>
      </c>
      <c r="E4">
        <f>IF(3&lt;=COUNTIF(Data_Monitoring!$A$2:$A$2920, Dashboard_Visual!$B$4), INDEX(Data_Monitoring!$H$2:$H$2920, MATCH(Dashboard_Visual!$B$4, Data_Monitoring!$A$2:$A$2920, 0) + 3 - 1), 0)</f>
        <v>32.049999999999997</v>
      </c>
      <c r="F4">
        <f>IF(3&lt;=COUNTIF(Data_Monitoring!$A$2:$A$2920, Dashboard_Visual!$B$4), INDEX(Data_Monitoring!$O$2:$O$2920, MATCH(Dashboard_Visual!$B$4, Data_Monitoring!$A$2:$A$2920, 0) + 3 - 1), 0)</f>
        <v>-1.82</v>
      </c>
      <c r="G4">
        <f>IF(3&lt;=COUNTIF(Data_Monitoring!$A$2:$A$2920, Dashboard_Visual!$B$4), INDEX(Data_Monitoring!$Q$2:$Q$2920, MATCH(Dashboard_Visual!$B$4, Data_Monitoring!$A$2:$A$2920, 0) + 3 - 1), 0)</f>
        <v>3.59</v>
      </c>
      <c r="H4" t="str">
        <f>IF(3&lt;=COUNTIF(Data_Monitoring!$A$2:$A$2920, Dashboard_Visual!$B$4), INDEX(Data_Monitoring!$L$2:$L$2920, MATCH(Dashboard_Visual!$B$4, Data_Monitoring!$A$2:$A$2920, 0) + 3 - 1), "")</f>
        <v>Aman</v>
      </c>
      <c r="I4" t="str">
        <f>IF(AND(3&lt;=$P$2, ISNUMBER(D4), OR(H4="Warning", H4="Overgrade")), TEXT(ABS(D4)/100, "0.00%"), "")</f>
        <v/>
      </c>
      <c r="J4">
        <f t="shared" si="0"/>
        <v>100.53</v>
      </c>
      <c r="K4" t="e">
        <f>IF(AND(3&lt;=$P$2, H4="Warning"), C4, NA())</f>
        <v>#N/A</v>
      </c>
      <c r="L4" t="e">
        <f>IF(AND(3&lt;=$P$2, H4="Overgrade"), C4, NA())</f>
        <v>#N/A</v>
      </c>
      <c r="M4">
        <f>IF(3&lt;=COUNTIF(Data_Monitoring!$A$2:$A$2920, Dashboard_Visual!$B$4), INDEX(Data_Monitoring!$S$2:$S$2920, MATCH(Dashboard_Visual!$B$4, Data_Monitoring!$A$2:$A$2920, 0) + 3 - 1), 1)</f>
        <v>1</v>
      </c>
    </row>
    <row r="5" spans="1:16" x14ac:dyDescent="0.25">
      <c r="A5" t="str">
        <f>IF(4&lt;=COUNTIF(Data_Monitoring!$A$2:$A$2920, Dashboard_Visual!$B$4), INDEX(Data_Monitoring!$B$2:$B$2920, MATCH(Dashboard_Visual!$B$4, Data_Monitoring!$A$2:$A$2920, 0) + 4 - 1), "")</f>
        <v>0+060</v>
      </c>
      <c r="B5">
        <f>IF(4&lt;=COUNTIF(Data_Monitoring!$A$2:$A$2920, Dashboard_Visual!$B$4), INDEX(Data_Monitoring!$C$2:$C$2920, MATCH(Dashboard_Visual!$B$4, Data_Monitoring!$A$2:$A$2920, 0) + 4 - 1), "")</f>
        <v>60</v>
      </c>
      <c r="C5">
        <f>IF(4&lt;=COUNTIF(Data_Monitoring!$A$2:$A$2920, Dashboard_Visual!$B$4), INDEX(Data_Monitoring!$J$2:$J$2920, MATCH(Dashboard_Visual!$B$4, Data_Monitoring!$A$2:$A$2920, 0) + 4 - 1), NA())</f>
        <v>100.99</v>
      </c>
      <c r="D5">
        <f>IF(4&lt;=COUNTIF(Data_Monitoring!$A$2:$A$2920, Dashboard_Visual!$B$4), INDEX(Data_Monitoring!$K$2:$K$2920, MATCH(Dashboard_Visual!$B$4, Data_Monitoring!$A$2:$A$2920, 0) + 4 - 1), NA())</f>
        <v>2.2799999999999998</v>
      </c>
      <c r="E5">
        <f>IF(4&lt;=COUNTIF(Data_Monitoring!$A$2:$A$2920, Dashboard_Visual!$B$4), INDEX(Data_Monitoring!$H$2:$H$2920, MATCH(Dashboard_Visual!$B$4, Data_Monitoring!$A$2:$A$2920, 0) + 4 - 1), 0)</f>
        <v>36.22</v>
      </c>
      <c r="F5">
        <f>IF(4&lt;=COUNTIF(Data_Monitoring!$A$2:$A$2920, Dashboard_Visual!$B$4), INDEX(Data_Monitoring!$O$2:$O$2920, MATCH(Dashboard_Visual!$B$4, Data_Monitoring!$A$2:$A$2920, 0) + 4 - 1), 0)</f>
        <v>2.58</v>
      </c>
      <c r="G5">
        <f>IF(4&lt;=COUNTIF(Data_Monitoring!$A$2:$A$2920, Dashboard_Visual!$B$4), INDEX(Data_Monitoring!$Q$2:$Q$2920, MATCH(Dashboard_Visual!$B$4, Data_Monitoring!$A$2:$A$2920, 0) + 4 - 1), 0)</f>
        <v>4.1900000000000004</v>
      </c>
      <c r="H5" t="str">
        <f>IF(4&lt;=COUNTIF(Data_Monitoring!$A$2:$A$2920, Dashboard_Visual!$B$4), INDEX(Data_Monitoring!$L$2:$L$2920, MATCH(Dashboard_Visual!$B$4, Data_Monitoring!$A$2:$A$2920, 0) + 4 - 1), "")</f>
        <v>Aman</v>
      </c>
      <c r="I5" t="str">
        <f>IF(AND(4&lt;=$P$2, ISNUMBER(D5), OR(H5="Warning", H5="Overgrade")), TEXT(ABS(D5)/100, "0.00%"), "")</f>
        <v/>
      </c>
      <c r="J5">
        <f t="shared" si="0"/>
        <v>100.99</v>
      </c>
      <c r="K5" t="e">
        <f>IF(AND(4&lt;=$P$2, H5="Warning"), C5, NA())</f>
        <v>#N/A</v>
      </c>
      <c r="L5" t="e">
        <f>IF(AND(4&lt;=$P$2, H5="Overgrade"), C5, NA())</f>
        <v>#N/A</v>
      </c>
      <c r="M5">
        <f>IF(4&lt;=COUNTIF(Data_Monitoring!$A$2:$A$2920, Dashboard_Visual!$B$4), INDEX(Data_Monitoring!$S$2:$S$2920, MATCH(Dashboard_Visual!$B$4, Data_Monitoring!$A$2:$A$2920, 0) + 4 - 1), 1)</f>
        <v>1</v>
      </c>
    </row>
    <row r="6" spans="1:16" x14ac:dyDescent="0.25">
      <c r="A6" t="str">
        <f>IF(5&lt;=COUNTIF(Data_Monitoring!$A$2:$A$2920, Dashboard_Visual!$B$4), INDEX(Data_Monitoring!$B$2:$B$2920, MATCH(Dashboard_Visual!$B$4, Data_Monitoring!$A$2:$A$2920, 0) + 5 - 1), "")</f>
        <v>0+080</v>
      </c>
      <c r="B6">
        <f>IF(5&lt;=COUNTIF(Data_Monitoring!$A$2:$A$2920, Dashboard_Visual!$B$4), INDEX(Data_Monitoring!$C$2:$C$2920, MATCH(Dashboard_Visual!$B$4, Data_Monitoring!$A$2:$A$2920, 0) + 5 - 1), "")</f>
        <v>80</v>
      </c>
      <c r="C6">
        <f>IF(5&lt;=COUNTIF(Data_Monitoring!$A$2:$A$2920, Dashboard_Visual!$B$4), INDEX(Data_Monitoring!$J$2:$J$2920, MATCH(Dashboard_Visual!$B$4, Data_Monitoring!$A$2:$A$2920, 0) + 5 - 1), NA())</f>
        <v>100.22</v>
      </c>
      <c r="D6">
        <f>IF(5&lt;=COUNTIF(Data_Monitoring!$A$2:$A$2920, Dashboard_Visual!$B$4), INDEX(Data_Monitoring!$K$2:$K$2920, MATCH(Dashboard_Visual!$B$4, Data_Monitoring!$A$2:$A$2920, 0) + 5 - 1), NA())</f>
        <v>-3.83</v>
      </c>
      <c r="E6">
        <f>IF(5&lt;=COUNTIF(Data_Monitoring!$A$2:$A$2920, Dashboard_Visual!$B$4), INDEX(Data_Monitoring!$H$2:$H$2920, MATCH(Dashboard_Visual!$B$4, Data_Monitoring!$A$2:$A$2920, 0) + 5 - 1), 0)</f>
        <v>35.119999999999997</v>
      </c>
      <c r="F6">
        <f>IF(5&lt;=COUNTIF(Data_Monitoring!$A$2:$A$2920, Dashboard_Visual!$B$4), INDEX(Data_Monitoring!$O$2:$O$2920, MATCH(Dashboard_Visual!$B$4, Data_Monitoring!$A$2:$A$2920, 0) + 5 - 1), 0)</f>
        <v>-2.78</v>
      </c>
      <c r="G6">
        <f>IF(5&lt;=COUNTIF(Data_Monitoring!$A$2:$A$2920, Dashboard_Visual!$B$4), INDEX(Data_Monitoring!$Q$2:$Q$2920, MATCH(Dashboard_Visual!$B$4, Data_Monitoring!$A$2:$A$2920, 0) + 5 - 1), 0)</f>
        <v>5.73</v>
      </c>
      <c r="H6" t="str">
        <f>IF(5&lt;=COUNTIF(Data_Monitoring!$A$2:$A$2920, Dashboard_Visual!$B$4), INDEX(Data_Monitoring!$L$2:$L$2920, MATCH(Dashboard_Visual!$B$4, Data_Monitoring!$A$2:$A$2920, 0) + 5 - 1), "")</f>
        <v>Aman</v>
      </c>
      <c r="I6" t="str">
        <f>IF(AND(5&lt;=$P$2, ISNUMBER(D6), OR(H6="Warning", H6="Overgrade")), TEXT(ABS(D6)/100, "0.00%"), "")</f>
        <v/>
      </c>
      <c r="J6">
        <f t="shared" si="0"/>
        <v>100.22</v>
      </c>
      <c r="K6" t="e">
        <f>IF(AND(5&lt;=$P$2, H6="Warning"), C6, NA())</f>
        <v>#N/A</v>
      </c>
      <c r="L6" t="e">
        <f>IF(AND(5&lt;=$P$2, H6="Overgrade"), C6, NA())</f>
        <v>#N/A</v>
      </c>
      <c r="M6">
        <f>IF(5&lt;=COUNTIF(Data_Monitoring!$A$2:$A$2920, Dashboard_Visual!$B$4), INDEX(Data_Monitoring!$S$2:$S$2920, MATCH(Dashboard_Visual!$B$4, Data_Monitoring!$A$2:$A$2920, 0) + 5 - 1), 1)</f>
        <v>1</v>
      </c>
    </row>
    <row r="7" spans="1:16" x14ac:dyDescent="0.25">
      <c r="A7" t="str">
        <f>IF(6&lt;=COUNTIF(Data_Monitoring!$A$2:$A$2920, Dashboard_Visual!$B$4), INDEX(Data_Monitoring!$B$2:$B$2920, MATCH(Dashboard_Visual!$B$4, Data_Monitoring!$A$2:$A$2920, 0) + 6 - 1), "")</f>
        <v>0+100</v>
      </c>
      <c r="B7">
        <f>IF(6&lt;=COUNTIF(Data_Monitoring!$A$2:$A$2920, Dashboard_Visual!$B$4), INDEX(Data_Monitoring!$C$2:$C$2920, MATCH(Dashboard_Visual!$B$4, Data_Monitoring!$A$2:$A$2920, 0) + 6 - 1), "")</f>
        <v>100</v>
      </c>
      <c r="C7">
        <f>IF(6&lt;=COUNTIF(Data_Monitoring!$A$2:$A$2920, Dashboard_Visual!$B$4), INDEX(Data_Monitoring!$J$2:$J$2920, MATCH(Dashboard_Visual!$B$4, Data_Monitoring!$A$2:$A$2920, 0) + 6 - 1), NA())</f>
        <v>99.92</v>
      </c>
      <c r="D7">
        <f>IF(6&lt;=COUNTIF(Data_Monitoring!$A$2:$A$2920, Dashboard_Visual!$B$4), INDEX(Data_Monitoring!$K$2:$K$2920, MATCH(Dashboard_Visual!$B$4, Data_Monitoring!$A$2:$A$2920, 0) + 6 - 1), NA())</f>
        <v>-1.48</v>
      </c>
      <c r="E7">
        <f>IF(6&lt;=COUNTIF(Data_Monitoring!$A$2:$A$2920, Dashboard_Visual!$B$4), INDEX(Data_Monitoring!$H$2:$H$2920, MATCH(Dashboard_Visual!$B$4, Data_Monitoring!$A$2:$A$2920, 0) + 6 - 1), 0)</f>
        <v>35.630000000000003</v>
      </c>
      <c r="F7">
        <f>IF(6&lt;=COUNTIF(Data_Monitoring!$A$2:$A$2920, Dashboard_Visual!$B$4), INDEX(Data_Monitoring!$O$2:$O$2920, MATCH(Dashboard_Visual!$B$4, Data_Monitoring!$A$2:$A$2920, 0) + 6 - 1), 0)</f>
        <v>-4.3600000000000003</v>
      </c>
      <c r="G7">
        <f>IF(6&lt;=COUNTIF(Data_Monitoring!$A$2:$A$2920, Dashboard_Visual!$B$4), INDEX(Data_Monitoring!$Q$2:$Q$2920, MATCH(Dashboard_Visual!$B$4, Data_Monitoring!$A$2:$A$2920, 0) + 6 - 1), 0)</f>
        <v>5.98</v>
      </c>
      <c r="H7" t="str">
        <f>IF(6&lt;=COUNTIF(Data_Monitoring!$A$2:$A$2920, Dashboard_Visual!$B$4), INDEX(Data_Monitoring!$L$2:$L$2920, MATCH(Dashboard_Visual!$B$4, Data_Monitoring!$A$2:$A$2920, 0) + 6 - 1), "")</f>
        <v>Aman</v>
      </c>
      <c r="I7" t="str">
        <f>IF(AND(6&lt;=$P$2, ISNUMBER(D7), OR(H7="Warning", H7="Overgrade")), TEXT(ABS(D7)/100, "0.00%"), "")</f>
        <v/>
      </c>
      <c r="J7">
        <f t="shared" si="0"/>
        <v>99.92</v>
      </c>
      <c r="K7" t="e">
        <f>IF(AND(6&lt;=$P$2, H7="Warning"), C7, NA())</f>
        <v>#N/A</v>
      </c>
      <c r="L7" t="e">
        <f>IF(AND(6&lt;=$P$2, H7="Overgrade"), C7, NA())</f>
        <v>#N/A</v>
      </c>
      <c r="M7">
        <f>IF(6&lt;=COUNTIF(Data_Monitoring!$A$2:$A$2920, Dashboard_Visual!$B$4), INDEX(Data_Monitoring!$S$2:$S$2920, MATCH(Dashboard_Visual!$B$4, Data_Monitoring!$A$2:$A$2920, 0) + 6 - 1), 1)</f>
        <v>1</v>
      </c>
    </row>
    <row r="8" spans="1:16" x14ac:dyDescent="0.25">
      <c r="A8" t="str">
        <f>IF(7&lt;=COUNTIF(Data_Monitoring!$A$2:$A$2920, Dashboard_Visual!$B$4), INDEX(Data_Monitoring!$B$2:$B$2920, MATCH(Dashboard_Visual!$B$4, Data_Monitoring!$A$2:$A$2920, 0) + 7 - 1), "")</f>
        <v>0+120</v>
      </c>
      <c r="B8">
        <f>IF(7&lt;=COUNTIF(Data_Monitoring!$A$2:$A$2920, Dashboard_Visual!$B$4), INDEX(Data_Monitoring!$C$2:$C$2920, MATCH(Dashboard_Visual!$B$4, Data_Monitoring!$A$2:$A$2920, 0) + 7 - 1), "")</f>
        <v>120</v>
      </c>
      <c r="C8">
        <f>IF(7&lt;=COUNTIF(Data_Monitoring!$A$2:$A$2920, Dashboard_Visual!$B$4), INDEX(Data_Monitoring!$J$2:$J$2920, MATCH(Dashboard_Visual!$B$4, Data_Monitoring!$A$2:$A$2920, 0) + 7 - 1), NA())</f>
        <v>99.76</v>
      </c>
      <c r="D8">
        <f>IF(7&lt;=COUNTIF(Data_Monitoring!$A$2:$A$2920, Dashboard_Visual!$B$4), INDEX(Data_Monitoring!$K$2:$K$2920, MATCH(Dashboard_Visual!$B$4, Data_Monitoring!$A$2:$A$2920, 0) + 7 - 1), NA())</f>
        <v>-0.79</v>
      </c>
      <c r="E8">
        <f>IF(7&lt;=COUNTIF(Data_Monitoring!$A$2:$A$2920, Dashboard_Visual!$B$4), INDEX(Data_Monitoring!$H$2:$H$2920, MATCH(Dashboard_Visual!$B$4, Data_Monitoring!$A$2:$A$2920, 0) + 7 - 1), 0)</f>
        <v>36.82</v>
      </c>
      <c r="F8">
        <f>IF(7&lt;=COUNTIF(Data_Monitoring!$A$2:$A$2920, Dashboard_Visual!$B$4), INDEX(Data_Monitoring!$O$2:$O$2920, MATCH(Dashboard_Visual!$B$4, Data_Monitoring!$A$2:$A$2920, 0) + 7 - 1), 0)</f>
        <v>-3.53</v>
      </c>
      <c r="G8">
        <f>IF(7&lt;=COUNTIF(Data_Monitoring!$A$2:$A$2920, Dashboard_Visual!$B$4), INDEX(Data_Monitoring!$Q$2:$Q$2920, MATCH(Dashboard_Visual!$B$4, Data_Monitoring!$A$2:$A$2920, 0) + 7 - 1), 0)</f>
        <v>2.42</v>
      </c>
      <c r="H8" t="str">
        <f>IF(7&lt;=COUNTIF(Data_Monitoring!$A$2:$A$2920, Dashboard_Visual!$B$4), INDEX(Data_Monitoring!$L$2:$L$2920, MATCH(Dashboard_Visual!$B$4, Data_Monitoring!$A$2:$A$2920, 0) + 7 - 1), "")</f>
        <v>Aman</v>
      </c>
      <c r="I8" t="str">
        <f>IF(AND(7&lt;=$P$2, ISNUMBER(D8), OR(H8="Warning", H8="Overgrade")), TEXT(ABS(D8)/100, "0.00%"), "")</f>
        <v/>
      </c>
      <c r="J8">
        <f t="shared" si="0"/>
        <v>99.76</v>
      </c>
      <c r="K8" t="e">
        <f>IF(AND(7&lt;=$P$2, H8="Warning"), C8, NA())</f>
        <v>#N/A</v>
      </c>
      <c r="L8" t="e">
        <f>IF(AND(7&lt;=$P$2, H8="Overgrade"), C8, NA())</f>
        <v>#N/A</v>
      </c>
      <c r="M8">
        <f>IF(7&lt;=COUNTIF(Data_Monitoring!$A$2:$A$2920, Dashboard_Visual!$B$4), INDEX(Data_Monitoring!$S$2:$S$2920, MATCH(Dashboard_Visual!$B$4, Data_Monitoring!$A$2:$A$2920, 0) + 7 - 1), 1)</f>
        <v>1</v>
      </c>
    </row>
    <row r="9" spans="1:16" x14ac:dyDescent="0.25">
      <c r="A9" t="str">
        <f>IF(8&lt;=COUNTIF(Data_Monitoring!$A$2:$A$2920, Dashboard_Visual!$B$4), INDEX(Data_Monitoring!$B$2:$B$2920, MATCH(Dashboard_Visual!$B$4, Data_Monitoring!$A$2:$A$2920, 0) + 8 - 1), "")</f>
        <v>0+140</v>
      </c>
      <c r="B9">
        <f>IF(8&lt;=COUNTIF(Data_Monitoring!$A$2:$A$2920, Dashboard_Visual!$B$4), INDEX(Data_Monitoring!$C$2:$C$2920, MATCH(Dashboard_Visual!$B$4, Data_Monitoring!$A$2:$A$2920, 0) + 8 - 1), "")</f>
        <v>140</v>
      </c>
      <c r="C9">
        <f>IF(8&lt;=COUNTIF(Data_Monitoring!$A$2:$A$2920, Dashboard_Visual!$B$4), INDEX(Data_Monitoring!$J$2:$J$2920, MATCH(Dashboard_Visual!$B$4, Data_Monitoring!$A$2:$A$2920, 0) + 8 - 1), NA())</f>
        <v>99.77</v>
      </c>
      <c r="D9">
        <f>IF(8&lt;=COUNTIF(Data_Monitoring!$A$2:$A$2920, Dashboard_Visual!$B$4), INDEX(Data_Monitoring!$K$2:$K$2920, MATCH(Dashboard_Visual!$B$4, Data_Monitoring!$A$2:$A$2920, 0) + 8 - 1), NA())</f>
        <v>0.01</v>
      </c>
      <c r="E9">
        <f>IF(8&lt;=COUNTIF(Data_Monitoring!$A$2:$A$2920, Dashboard_Visual!$B$4), INDEX(Data_Monitoring!$H$2:$H$2920, MATCH(Dashboard_Visual!$B$4, Data_Monitoring!$A$2:$A$2920, 0) + 8 - 1), 0)</f>
        <v>35.44</v>
      </c>
      <c r="F9">
        <f>IF(8&lt;=COUNTIF(Data_Monitoring!$A$2:$A$2920, Dashboard_Visual!$B$4), INDEX(Data_Monitoring!$O$2:$O$2920, MATCH(Dashboard_Visual!$B$4, Data_Monitoring!$A$2:$A$2920, 0) + 8 - 1), 0)</f>
        <v>-4.0199999999999996</v>
      </c>
      <c r="G9">
        <f>IF(8&lt;=COUNTIF(Data_Monitoring!$A$2:$A$2920, Dashboard_Visual!$B$4), INDEX(Data_Monitoring!$Q$2:$Q$2920, MATCH(Dashboard_Visual!$B$4, Data_Monitoring!$A$2:$A$2920, 0) + 8 - 1), 0)</f>
        <v>3.49</v>
      </c>
      <c r="H9" t="str">
        <f>IF(8&lt;=COUNTIF(Data_Monitoring!$A$2:$A$2920, Dashboard_Visual!$B$4), INDEX(Data_Monitoring!$L$2:$L$2920, MATCH(Dashboard_Visual!$B$4, Data_Monitoring!$A$2:$A$2920, 0) + 8 - 1), "")</f>
        <v>Aman</v>
      </c>
      <c r="I9" t="str">
        <f>IF(AND(8&lt;=$P$2, ISNUMBER(D9), OR(H9="Warning", H9="Overgrade")), TEXT(ABS(D9)/100, "0.00%"), "")</f>
        <v/>
      </c>
      <c r="J9">
        <f t="shared" si="0"/>
        <v>99.77</v>
      </c>
      <c r="K9" t="e">
        <f>IF(AND(8&lt;=$P$2, H9="Warning"), C9, NA())</f>
        <v>#N/A</v>
      </c>
      <c r="L9" t="e">
        <f>IF(AND(8&lt;=$P$2, H9="Overgrade"), C9, NA())</f>
        <v>#N/A</v>
      </c>
      <c r="M9">
        <f>IF(8&lt;=COUNTIF(Data_Monitoring!$A$2:$A$2920, Dashboard_Visual!$B$4), INDEX(Data_Monitoring!$S$2:$S$2920, MATCH(Dashboard_Visual!$B$4, Data_Monitoring!$A$2:$A$2920, 0) + 8 - 1), 1)</f>
        <v>1</v>
      </c>
    </row>
    <row r="10" spans="1:16" x14ac:dyDescent="0.25">
      <c r="A10" t="str">
        <f>IF(9&lt;=COUNTIF(Data_Monitoring!$A$2:$A$2920, Dashboard_Visual!$B$4), INDEX(Data_Monitoring!$B$2:$B$2920, MATCH(Dashboard_Visual!$B$4, Data_Monitoring!$A$2:$A$2920, 0) + 9 - 1), "")</f>
        <v>0+160</v>
      </c>
      <c r="B10">
        <f>IF(9&lt;=COUNTIF(Data_Monitoring!$A$2:$A$2920, Dashboard_Visual!$B$4), INDEX(Data_Monitoring!$C$2:$C$2920, MATCH(Dashboard_Visual!$B$4, Data_Monitoring!$A$2:$A$2920, 0) + 9 - 1), "")</f>
        <v>160</v>
      </c>
      <c r="C10">
        <f>IF(9&lt;=COUNTIF(Data_Monitoring!$A$2:$A$2920, Dashboard_Visual!$B$4), INDEX(Data_Monitoring!$J$2:$J$2920, MATCH(Dashboard_Visual!$B$4, Data_Monitoring!$A$2:$A$2920, 0) + 9 - 1), NA())</f>
        <v>99.84</v>
      </c>
      <c r="D10">
        <f>IF(9&lt;=COUNTIF(Data_Monitoring!$A$2:$A$2920, Dashboard_Visual!$B$4), INDEX(Data_Monitoring!$K$2:$K$2920, MATCH(Dashboard_Visual!$B$4, Data_Monitoring!$A$2:$A$2920, 0) + 9 - 1), NA())</f>
        <v>0.37</v>
      </c>
      <c r="E10">
        <f>IF(9&lt;=COUNTIF(Data_Monitoring!$A$2:$A$2920, Dashboard_Visual!$B$4), INDEX(Data_Monitoring!$H$2:$H$2920, MATCH(Dashboard_Visual!$B$4, Data_Monitoring!$A$2:$A$2920, 0) + 9 - 1), 0)</f>
        <v>33.54</v>
      </c>
      <c r="F10">
        <f>IF(9&lt;=COUNTIF(Data_Monitoring!$A$2:$A$2920, Dashboard_Visual!$B$4), INDEX(Data_Monitoring!$O$2:$O$2920, MATCH(Dashboard_Visual!$B$4, Data_Monitoring!$A$2:$A$2920, 0) + 9 - 1), 0)</f>
        <v>-2.71</v>
      </c>
      <c r="G10">
        <f>IF(9&lt;=COUNTIF(Data_Monitoring!$A$2:$A$2920, Dashboard_Visual!$B$4), INDEX(Data_Monitoring!$Q$2:$Q$2920, MATCH(Dashboard_Visual!$B$4, Data_Monitoring!$A$2:$A$2920, 0) + 9 - 1), 0)</f>
        <v>2.78</v>
      </c>
      <c r="H10" t="str">
        <f>IF(9&lt;=COUNTIF(Data_Monitoring!$A$2:$A$2920, Dashboard_Visual!$B$4), INDEX(Data_Monitoring!$L$2:$L$2920, MATCH(Dashboard_Visual!$B$4, Data_Monitoring!$A$2:$A$2920, 0) + 9 - 1), "")</f>
        <v>Aman</v>
      </c>
      <c r="I10" t="str">
        <f>IF(AND(9&lt;=$P$2, ISNUMBER(D10), OR(H10="Warning", H10="Overgrade")), TEXT(ABS(D10)/100, "0.00%"), "")</f>
        <v/>
      </c>
      <c r="J10">
        <f t="shared" si="0"/>
        <v>99.84</v>
      </c>
      <c r="K10" t="e">
        <f>IF(AND(9&lt;=$P$2, H10="Warning"), C10, NA())</f>
        <v>#N/A</v>
      </c>
      <c r="L10" t="e">
        <f>IF(AND(9&lt;=$P$2, H10="Overgrade"), C10, NA())</f>
        <v>#N/A</v>
      </c>
      <c r="M10">
        <f>IF(9&lt;=COUNTIF(Data_Monitoring!$A$2:$A$2920, Dashboard_Visual!$B$4), INDEX(Data_Monitoring!$S$2:$S$2920, MATCH(Dashboard_Visual!$B$4, Data_Monitoring!$A$2:$A$2920, 0) + 9 - 1), 1)</f>
        <v>1</v>
      </c>
    </row>
    <row r="11" spans="1:16" x14ac:dyDescent="0.25">
      <c r="A11" t="str">
        <f>IF(10&lt;=COUNTIF(Data_Monitoring!$A$2:$A$2920, Dashboard_Visual!$B$4), INDEX(Data_Monitoring!$B$2:$B$2920, MATCH(Dashboard_Visual!$B$4, Data_Monitoring!$A$2:$A$2920, 0) + 10 - 1), "")</f>
        <v>0+180</v>
      </c>
      <c r="B11">
        <f>IF(10&lt;=COUNTIF(Data_Monitoring!$A$2:$A$2920, Dashboard_Visual!$B$4), INDEX(Data_Monitoring!$C$2:$C$2920, MATCH(Dashboard_Visual!$B$4, Data_Monitoring!$A$2:$A$2920, 0) + 10 - 1), "")</f>
        <v>180</v>
      </c>
      <c r="C11">
        <f>IF(10&lt;=COUNTIF(Data_Monitoring!$A$2:$A$2920, Dashboard_Visual!$B$4), INDEX(Data_Monitoring!$J$2:$J$2920, MATCH(Dashboard_Visual!$B$4, Data_Monitoring!$A$2:$A$2920, 0) + 10 - 1), NA())</f>
        <v>99.94</v>
      </c>
      <c r="D11">
        <f>IF(10&lt;=COUNTIF(Data_Monitoring!$A$2:$A$2920, Dashboard_Visual!$B$4), INDEX(Data_Monitoring!$K$2:$K$2920, MATCH(Dashboard_Visual!$B$4, Data_Monitoring!$A$2:$A$2920, 0) + 10 - 1), NA())</f>
        <v>0.49</v>
      </c>
      <c r="E11">
        <f>IF(10&lt;=COUNTIF(Data_Monitoring!$A$2:$A$2920, Dashboard_Visual!$B$4), INDEX(Data_Monitoring!$H$2:$H$2920, MATCH(Dashboard_Visual!$B$4, Data_Monitoring!$A$2:$A$2920, 0) + 10 - 1), 0)</f>
        <v>32.51</v>
      </c>
      <c r="F11">
        <f>IF(10&lt;=COUNTIF(Data_Monitoring!$A$2:$A$2920, Dashboard_Visual!$B$4), INDEX(Data_Monitoring!$O$2:$O$2920, MATCH(Dashboard_Visual!$B$4, Data_Monitoring!$A$2:$A$2920, 0) + 10 - 1), 0)</f>
        <v>-1.36</v>
      </c>
      <c r="G11">
        <f>IF(10&lt;=COUNTIF(Data_Monitoring!$A$2:$A$2920, Dashboard_Visual!$B$4), INDEX(Data_Monitoring!$Q$2:$Q$2920, MATCH(Dashboard_Visual!$B$4, Data_Monitoring!$A$2:$A$2920, 0) + 10 - 1), 0)</f>
        <v>2.74</v>
      </c>
      <c r="H11" t="str">
        <f>IF(10&lt;=COUNTIF(Data_Monitoring!$A$2:$A$2920, Dashboard_Visual!$B$4), INDEX(Data_Monitoring!$L$2:$L$2920, MATCH(Dashboard_Visual!$B$4, Data_Monitoring!$A$2:$A$2920, 0) + 10 - 1), "")</f>
        <v>Aman</v>
      </c>
      <c r="I11" t="str">
        <f>IF(AND(10&lt;=$P$2, ISNUMBER(D11), OR(H11="Warning", H11="Overgrade")), TEXT(ABS(D11)/100, "0.00%"), "")</f>
        <v/>
      </c>
      <c r="J11">
        <f t="shared" si="0"/>
        <v>99.94</v>
      </c>
      <c r="K11" t="e">
        <f>IF(AND(10&lt;=$P$2, H11="Warning"), C11, NA())</f>
        <v>#N/A</v>
      </c>
      <c r="L11" t="e">
        <f>IF(AND(10&lt;=$P$2, H11="Overgrade"), C11, NA())</f>
        <v>#N/A</v>
      </c>
      <c r="M11">
        <f>IF(10&lt;=COUNTIF(Data_Monitoring!$A$2:$A$2920, Dashboard_Visual!$B$4), INDEX(Data_Monitoring!$S$2:$S$2920, MATCH(Dashboard_Visual!$B$4, Data_Monitoring!$A$2:$A$2920, 0) + 10 - 1), 1)</f>
        <v>1</v>
      </c>
    </row>
    <row r="12" spans="1:16" x14ac:dyDescent="0.25">
      <c r="A12" t="str">
        <f>IF(11&lt;=COUNTIF(Data_Monitoring!$A$2:$A$2920, Dashboard_Visual!$B$4), INDEX(Data_Monitoring!$B$2:$B$2920, MATCH(Dashboard_Visual!$B$4, Data_Monitoring!$A$2:$A$2920, 0) + 11 - 1), "")</f>
        <v>0+200</v>
      </c>
      <c r="B12">
        <f>IF(11&lt;=COUNTIF(Data_Monitoring!$A$2:$A$2920, Dashboard_Visual!$B$4), INDEX(Data_Monitoring!$C$2:$C$2920, MATCH(Dashboard_Visual!$B$4, Data_Monitoring!$A$2:$A$2920, 0) + 11 - 1), "")</f>
        <v>200</v>
      </c>
      <c r="C12">
        <f>IF(11&lt;=COUNTIF(Data_Monitoring!$A$2:$A$2920, Dashboard_Visual!$B$4), INDEX(Data_Monitoring!$J$2:$J$2920, MATCH(Dashboard_Visual!$B$4, Data_Monitoring!$A$2:$A$2920, 0) + 11 - 1), NA())</f>
        <v>100.21</v>
      </c>
      <c r="D12">
        <f>IF(11&lt;=COUNTIF(Data_Monitoring!$A$2:$A$2920, Dashboard_Visual!$B$4), INDEX(Data_Monitoring!$K$2:$K$2920, MATCH(Dashboard_Visual!$B$4, Data_Monitoring!$A$2:$A$2920, 0) + 11 - 1), NA())</f>
        <v>1.38</v>
      </c>
      <c r="E12">
        <f>IF(11&lt;=COUNTIF(Data_Monitoring!$A$2:$A$2920, Dashboard_Visual!$B$4), INDEX(Data_Monitoring!$H$2:$H$2920, MATCH(Dashboard_Visual!$B$4, Data_Monitoring!$A$2:$A$2920, 0) + 11 - 1), 0)</f>
        <v>32.51</v>
      </c>
      <c r="F12">
        <f>IF(11&lt;=COUNTIF(Data_Monitoring!$A$2:$A$2920, Dashboard_Visual!$B$4), INDEX(Data_Monitoring!$O$2:$O$2920, MATCH(Dashboard_Visual!$B$4, Data_Monitoring!$A$2:$A$2920, 0) + 11 - 1), 0)</f>
        <v>0.01</v>
      </c>
      <c r="G12">
        <f>IF(11&lt;=COUNTIF(Data_Monitoring!$A$2:$A$2920, Dashboard_Visual!$B$4), INDEX(Data_Monitoring!$Q$2:$Q$2920, MATCH(Dashboard_Visual!$B$4, Data_Monitoring!$A$2:$A$2920, 0) + 11 - 1), 0)</f>
        <v>3.39</v>
      </c>
      <c r="H12" t="str">
        <f>IF(11&lt;=COUNTIF(Data_Monitoring!$A$2:$A$2920, Dashboard_Visual!$B$4), INDEX(Data_Monitoring!$L$2:$L$2920, MATCH(Dashboard_Visual!$B$4, Data_Monitoring!$A$2:$A$2920, 0) + 11 - 1), "")</f>
        <v>Aman</v>
      </c>
      <c r="I12" t="str">
        <f>IF(AND(11&lt;=$P$2, ISNUMBER(D12), OR(H12="Warning", H12="Overgrade")), TEXT(ABS(D12)/100, "0.00%"), "")</f>
        <v/>
      </c>
      <c r="J12">
        <f t="shared" si="0"/>
        <v>100.21</v>
      </c>
      <c r="K12" t="e">
        <f>IF(AND(11&lt;=$P$2, H12="Warning"), C12, NA())</f>
        <v>#N/A</v>
      </c>
      <c r="L12" t="e">
        <f>IF(AND(11&lt;=$P$2, H12="Overgrade"), C12, NA())</f>
        <v>#N/A</v>
      </c>
      <c r="M12">
        <f>IF(11&lt;=COUNTIF(Data_Monitoring!$A$2:$A$2920, Dashboard_Visual!$B$4), INDEX(Data_Monitoring!$S$2:$S$2920, MATCH(Dashboard_Visual!$B$4, Data_Monitoring!$A$2:$A$2920, 0) + 11 - 1), 1)</f>
        <v>1</v>
      </c>
    </row>
    <row r="13" spans="1:16" x14ac:dyDescent="0.25">
      <c r="A13" t="str">
        <f>IF(12&lt;=COUNTIF(Data_Monitoring!$A$2:$A$2920, Dashboard_Visual!$B$4), INDEX(Data_Monitoring!$B$2:$B$2920, MATCH(Dashboard_Visual!$B$4, Data_Monitoring!$A$2:$A$2920, 0) + 12 - 1), "")</f>
        <v>0+220</v>
      </c>
      <c r="B13">
        <f>IF(12&lt;=COUNTIF(Data_Monitoring!$A$2:$A$2920, Dashboard_Visual!$B$4), INDEX(Data_Monitoring!$C$2:$C$2920, MATCH(Dashboard_Visual!$B$4, Data_Monitoring!$A$2:$A$2920, 0) + 12 - 1), "")</f>
        <v>220</v>
      </c>
      <c r="C13">
        <f>IF(12&lt;=COUNTIF(Data_Monitoring!$A$2:$A$2920, Dashboard_Visual!$B$4), INDEX(Data_Monitoring!$J$2:$J$2920, MATCH(Dashboard_Visual!$B$4, Data_Monitoring!$A$2:$A$2920, 0) + 12 - 1), NA())</f>
        <v>100.51</v>
      </c>
      <c r="D13">
        <f>IF(12&lt;=COUNTIF(Data_Monitoring!$A$2:$A$2920, Dashboard_Visual!$B$4), INDEX(Data_Monitoring!$K$2:$K$2920, MATCH(Dashboard_Visual!$B$4, Data_Monitoring!$A$2:$A$2920, 0) + 12 - 1), NA())</f>
        <v>1.47</v>
      </c>
      <c r="E13">
        <f>IF(12&lt;=COUNTIF(Data_Monitoring!$A$2:$A$2920, Dashboard_Visual!$B$4), INDEX(Data_Monitoring!$H$2:$H$2920, MATCH(Dashboard_Visual!$B$4, Data_Monitoring!$A$2:$A$2920, 0) + 12 - 1), 0)</f>
        <v>34.299999999999997</v>
      </c>
      <c r="F13">
        <f>IF(12&lt;=COUNTIF(Data_Monitoring!$A$2:$A$2920, Dashboard_Visual!$B$4), INDEX(Data_Monitoring!$O$2:$O$2920, MATCH(Dashboard_Visual!$B$4, Data_Monitoring!$A$2:$A$2920, 0) + 12 - 1), 0)</f>
        <v>0.14000000000000001</v>
      </c>
      <c r="G13">
        <f>IF(12&lt;=COUNTIF(Data_Monitoring!$A$2:$A$2920, Dashboard_Visual!$B$4), INDEX(Data_Monitoring!$Q$2:$Q$2920, MATCH(Dashboard_Visual!$B$4, Data_Monitoring!$A$2:$A$2920, 0) + 12 - 1), 0)</f>
        <v>4.67</v>
      </c>
      <c r="H13" t="str">
        <f>IF(12&lt;=COUNTIF(Data_Monitoring!$A$2:$A$2920, Dashboard_Visual!$B$4), INDEX(Data_Monitoring!$L$2:$L$2920, MATCH(Dashboard_Visual!$B$4, Data_Monitoring!$A$2:$A$2920, 0) + 12 - 1), "")</f>
        <v>Aman</v>
      </c>
      <c r="I13" t="str">
        <f>IF(AND(12&lt;=$P$2, ISNUMBER(D13), OR(H13="Warning", H13="Overgrade")), TEXT(ABS(D13)/100, "0.00%"), "")</f>
        <v/>
      </c>
      <c r="J13">
        <f t="shared" si="0"/>
        <v>100.51</v>
      </c>
      <c r="K13" t="e">
        <f>IF(AND(12&lt;=$P$2, H13="Warning"), C13, NA())</f>
        <v>#N/A</v>
      </c>
      <c r="L13" t="e">
        <f>IF(AND(12&lt;=$P$2, H13="Overgrade"), C13, NA())</f>
        <v>#N/A</v>
      </c>
      <c r="M13">
        <f>IF(12&lt;=COUNTIF(Data_Monitoring!$A$2:$A$2920, Dashboard_Visual!$B$4), INDEX(Data_Monitoring!$S$2:$S$2920, MATCH(Dashboard_Visual!$B$4, Data_Monitoring!$A$2:$A$2920, 0) + 12 - 1), 1)</f>
        <v>1</v>
      </c>
    </row>
    <row r="14" spans="1:16" x14ac:dyDescent="0.25">
      <c r="A14" t="str">
        <f>IF(13&lt;=COUNTIF(Data_Monitoring!$A$2:$A$2920, Dashboard_Visual!$B$4), INDEX(Data_Monitoring!$B$2:$B$2920, MATCH(Dashboard_Visual!$B$4, Data_Monitoring!$A$2:$A$2920, 0) + 13 - 1), "")</f>
        <v>0+240</v>
      </c>
      <c r="B14">
        <f>IF(13&lt;=COUNTIF(Data_Monitoring!$A$2:$A$2920, Dashboard_Visual!$B$4), INDEX(Data_Monitoring!$C$2:$C$2920, MATCH(Dashboard_Visual!$B$4, Data_Monitoring!$A$2:$A$2920, 0) + 13 - 1), "")</f>
        <v>240</v>
      </c>
      <c r="C14">
        <f>IF(13&lt;=COUNTIF(Data_Monitoring!$A$2:$A$2920, Dashboard_Visual!$B$4), INDEX(Data_Monitoring!$J$2:$J$2920, MATCH(Dashboard_Visual!$B$4, Data_Monitoring!$A$2:$A$2920, 0) + 13 - 1), NA())</f>
        <v>100.64</v>
      </c>
      <c r="D14">
        <f>IF(13&lt;=COUNTIF(Data_Monitoring!$A$2:$A$2920, Dashboard_Visual!$B$4), INDEX(Data_Monitoring!$K$2:$K$2920, MATCH(Dashboard_Visual!$B$4, Data_Monitoring!$A$2:$A$2920, 0) + 13 - 1), NA())</f>
        <v>0.65</v>
      </c>
      <c r="E14">
        <f>IF(13&lt;=COUNTIF(Data_Monitoring!$A$2:$A$2920, Dashboard_Visual!$B$4), INDEX(Data_Monitoring!$H$2:$H$2920, MATCH(Dashboard_Visual!$B$4, Data_Monitoring!$A$2:$A$2920, 0) + 13 - 1), 0)</f>
        <v>34.119999999999997</v>
      </c>
      <c r="F14">
        <f>IF(13&lt;=COUNTIF(Data_Monitoring!$A$2:$A$2920, Dashboard_Visual!$B$4), INDEX(Data_Monitoring!$O$2:$O$2920, MATCH(Dashboard_Visual!$B$4, Data_Monitoring!$A$2:$A$2920, 0) + 13 - 1), 0)</f>
        <v>-1.17</v>
      </c>
      <c r="G14">
        <f>IF(13&lt;=COUNTIF(Data_Monitoring!$A$2:$A$2920, Dashboard_Visual!$B$4), INDEX(Data_Monitoring!$Q$2:$Q$2920, MATCH(Dashboard_Visual!$B$4, Data_Monitoring!$A$2:$A$2920, 0) + 13 - 1), 0)</f>
        <v>4.21</v>
      </c>
      <c r="H14" t="str">
        <f>IF(13&lt;=COUNTIF(Data_Monitoring!$A$2:$A$2920, Dashboard_Visual!$B$4), INDEX(Data_Monitoring!$L$2:$L$2920, MATCH(Dashboard_Visual!$B$4, Data_Monitoring!$A$2:$A$2920, 0) + 13 - 1), "")</f>
        <v>Aman</v>
      </c>
      <c r="I14" t="str">
        <f>IF(AND(13&lt;=$P$2, ISNUMBER(D14), OR(H14="Warning", H14="Overgrade")), TEXT(ABS(D14)/100, "0.00%"), "")</f>
        <v/>
      </c>
      <c r="J14">
        <f t="shared" si="0"/>
        <v>100.64</v>
      </c>
      <c r="K14" t="e">
        <f>IF(AND(13&lt;=$P$2, H14="Warning"), C14, NA())</f>
        <v>#N/A</v>
      </c>
      <c r="L14" t="e">
        <f>IF(AND(13&lt;=$P$2, H14="Overgrade"), C14, NA())</f>
        <v>#N/A</v>
      </c>
      <c r="M14">
        <f>IF(13&lt;=COUNTIF(Data_Monitoring!$A$2:$A$2920, Dashboard_Visual!$B$4), INDEX(Data_Monitoring!$S$2:$S$2920, MATCH(Dashboard_Visual!$B$4, Data_Monitoring!$A$2:$A$2920, 0) + 13 - 1), 1)</f>
        <v>1</v>
      </c>
    </row>
    <row r="15" spans="1:16" x14ac:dyDescent="0.25">
      <c r="A15" t="str">
        <f>IF(14&lt;=COUNTIF(Data_Monitoring!$A$2:$A$2920, Dashboard_Visual!$B$4), INDEX(Data_Monitoring!$B$2:$B$2920, MATCH(Dashboard_Visual!$B$4, Data_Monitoring!$A$2:$A$2920, 0) + 14 - 1), "")</f>
        <v>0+260</v>
      </c>
      <c r="B15">
        <f>IF(14&lt;=COUNTIF(Data_Monitoring!$A$2:$A$2920, Dashboard_Visual!$B$4), INDEX(Data_Monitoring!$C$2:$C$2920, MATCH(Dashboard_Visual!$B$4, Data_Monitoring!$A$2:$A$2920, 0) + 14 - 1), "")</f>
        <v>260</v>
      </c>
      <c r="C15">
        <f>IF(14&lt;=COUNTIF(Data_Monitoring!$A$2:$A$2920, Dashboard_Visual!$B$4), INDEX(Data_Monitoring!$J$2:$J$2920, MATCH(Dashboard_Visual!$B$4, Data_Monitoring!$A$2:$A$2920, 0) + 14 - 1), NA())</f>
        <v>100.7</v>
      </c>
      <c r="D15">
        <f>IF(14&lt;=COUNTIF(Data_Monitoring!$A$2:$A$2920, Dashboard_Visual!$B$4), INDEX(Data_Monitoring!$K$2:$K$2920, MATCH(Dashboard_Visual!$B$4, Data_Monitoring!$A$2:$A$2920, 0) + 14 - 1), NA())</f>
        <v>0.34</v>
      </c>
      <c r="E15">
        <f>IF(14&lt;=COUNTIF(Data_Monitoring!$A$2:$A$2920, Dashboard_Visual!$B$4), INDEX(Data_Monitoring!$H$2:$H$2920, MATCH(Dashboard_Visual!$B$4, Data_Monitoring!$A$2:$A$2920, 0) + 14 - 1), 0)</f>
        <v>36.14</v>
      </c>
      <c r="F15">
        <f>IF(14&lt;=COUNTIF(Data_Monitoring!$A$2:$A$2920, Dashboard_Visual!$B$4), INDEX(Data_Monitoring!$O$2:$O$2920, MATCH(Dashboard_Visual!$B$4, Data_Monitoring!$A$2:$A$2920, 0) + 14 - 1), 0)</f>
        <v>-1.08</v>
      </c>
      <c r="G15">
        <f>IF(14&lt;=COUNTIF(Data_Monitoring!$A$2:$A$2920, Dashboard_Visual!$B$4), INDEX(Data_Monitoring!$Q$2:$Q$2920, MATCH(Dashboard_Visual!$B$4, Data_Monitoring!$A$2:$A$2920, 0) + 14 - 1), 0)</f>
        <v>3.65</v>
      </c>
      <c r="H15" t="str">
        <f>IF(14&lt;=COUNTIF(Data_Monitoring!$A$2:$A$2920, Dashboard_Visual!$B$4), INDEX(Data_Monitoring!$L$2:$L$2920, MATCH(Dashboard_Visual!$B$4, Data_Monitoring!$A$2:$A$2920, 0) + 14 - 1), "")</f>
        <v>Aman</v>
      </c>
      <c r="I15" t="str">
        <f>IF(AND(14&lt;=$P$2, ISNUMBER(D15), OR(H15="Warning", H15="Overgrade")), TEXT(ABS(D15)/100, "0.00%"), "")</f>
        <v/>
      </c>
      <c r="J15">
        <f t="shared" si="0"/>
        <v>100.7</v>
      </c>
      <c r="K15" t="e">
        <f>IF(AND(14&lt;=$P$2, H15="Warning"), C15, NA())</f>
        <v>#N/A</v>
      </c>
      <c r="L15" t="e">
        <f>IF(AND(14&lt;=$P$2, H15="Overgrade"), C15, NA())</f>
        <v>#N/A</v>
      </c>
      <c r="M15">
        <f>IF(14&lt;=COUNTIF(Data_Monitoring!$A$2:$A$2920, Dashboard_Visual!$B$4), INDEX(Data_Monitoring!$S$2:$S$2920, MATCH(Dashboard_Visual!$B$4, Data_Monitoring!$A$2:$A$2920, 0) + 14 - 1), 1)</f>
        <v>1</v>
      </c>
    </row>
    <row r="16" spans="1:16" x14ac:dyDescent="0.25">
      <c r="A16" t="str">
        <f>IF(15&lt;=COUNTIF(Data_Monitoring!$A$2:$A$2920, Dashboard_Visual!$B$4), INDEX(Data_Monitoring!$B$2:$B$2920, MATCH(Dashboard_Visual!$B$4, Data_Monitoring!$A$2:$A$2920, 0) + 15 - 1), "")</f>
        <v>0+280</v>
      </c>
      <c r="B16">
        <f>IF(15&lt;=COUNTIF(Data_Monitoring!$A$2:$A$2920, Dashboard_Visual!$B$4), INDEX(Data_Monitoring!$C$2:$C$2920, MATCH(Dashboard_Visual!$B$4, Data_Monitoring!$A$2:$A$2920, 0) + 15 - 1), "")</f>
        <v>280</v>
      </c>
      <c r="C16">
        <f>IF(15&lt;=COUNTIF(Data_Monitoring!$A$2:$A$2920, Dashboard_Visual!$B$4), INDEX(Data_Monitoring!$J$2:$J$2920, MATCH(Dashboard_Visual!$B$4, Data_Monitoring!$A$2:$A$2920, 0) + 15 - 1), NA())</f>
        <v>100.79</v>
      </c>
      <c r="D16">
        <f>IF(15&lt;=COUNTIF(Data_Monitoring!$A$2:$A$2920, Dashboard_Visual!$B$4), INDEX(Data_Monitoring!$K$2:$K$2920, MATCH(Dashboard_Visual!$B$4, Data_Monitoring!$A$2:$A$2920, 0) + 15 - 1), NA())</f>
        <v>0.45</v>
      </c>
      <c r="E16">
        <f>IF(15&lt;=COUNTIF(Data_Monitoring!$A$2:$A$2920, Dashboard_Visual!$B$4), INDEX(Data_Monitoring!$H$2:$H$2920, MATCH(Dashboard_Visual!$B$4, Data_Monitoring!$A$2:$A$2920, 0) + 15 - 1), 0)</f>
        <v>35.130000000000003</v>
      </c>
      <c r="F16">
        <f>IF(15&lt;=COUNTIF(Data_Monitoring!$A$2:$A$2920, Dashboard_Visual!$B$4), INDEX(Data_Monitoring!$O$2:$O$2920, MATCH(Dashboard_Visual!$B$4, Data_Monitoring!$A$2:$A$2920, 0) + 15 - 1), 0)</f>
        <v>-3.53</v>
      </c>
      <c r="G16">
        <f>IF(15&lt;=COUNTIF(Data_Monitoring!$A$2:$A$2920, Dashboard_Visual!$B$4), INDEX(Data_Monitoring!$Q$2:$Q$2920, MATCH(Dashboard_Visual!$B$4, Data_Monitoring!$A$2:$A$2920, 0) + 15 - 1), 0)</f>
        <v>2.73</v>
      </c>
      <c r="H16" t="str">
        <f>IF(15&lt;=COUNTIF(Data_Monitoring!$A$2:$A$2920, Dashboard_Visual!$B$4), INDEX(Data_Monitoring!$L$2:$L$2920, MATCH(Dashboard_Visual!$B$4, Data_Monitoring!$A$2:$A$2920, 0) + 15 - 1), "")</f>
        <v>Aman</v>
      </c>
      <c r="I16" t="str">
        <f>IF(AND(15&lt;=$P$2, ISNUMBER(D16), OR(H16="Warning", H16="Overgrade")), TEXT(ABS(D16)/100, "0.00%"), "")</f>
        <v/>
      </c>
      <c r="J16">
        <f t="shared" si="0"/>
        <v>100.79</v>
      </c>
      <c r="K16" t="e">
        <f>IF(AND(15&lt;=$P$2, H16="Warning"), C16, NA())</f>
        <v>#N/A</v>
      </c>
      <c r="L16" t="e">
        <f>IF(AND(15&lt;=$P$2, H16="Overgrade"), C16, NA())</f>
        <v>#N/A</v>
      </c>
      <c r="M16">
        <f>IF(15&lt;=COUNTIF(Data_Monitoring!$A$2:$A$2920, Dashboard_Visual!$B$4), INDEX(Data_Monitoring!$S$2:$S$2920, MATCH(Dashboard_Visual!$B$4, Data_Monitoring!$A$2:$A$2920, 0) + 15 - 1), 1)</f>
        <v>1</v>
      </c>
    </row>
    <row r="17" spans="1:13" x14ac:dyDescent="0.25">
      <c r="A17" t="str">
        <f>IF(16&lt;=COUNTIF(Data_Monitoring!$A$2:$A$2920, Dashboard_Visual!$B$4), INDEX(Data_Monitoring!$B$2:$B$2920, MATCH(Dashboard_Visual!$B$4, Data_Monitoring!$A$2:$A$2920, 0) + 16 - 1), "")</f>
        <v>0+300</v>
      </c>
      <c r="B17">
        <f>IF(16&lt;=COUNTIF(Data_Monitoring!$A$2:$A$2920, Dashboard_Visual!$B$4), INDEX(Data_Monitoring!$C$2:$C$2920, MATCH(Dashboard_Visual!$B$4, Data_Monitoring!$A$2:$A$2920, 0) + 16 - 1), "")</f>
        <v>300</v>
      </c>
      <c r="C17">
        <f>IF(16&lt;=COUNTIF(Data_Monitoring!$A$2:$A$2920, Dashboard_Visual!$B$4), INDEX(Data_Monitoring!$J$2:$J$2920, MATCH(Dashboard_Visual!$B$4, Data_Monitoring!$A$2:$A$2920, 0) + 16 - 1), NA())</f>
        <v>100.94</v>
      </c>
      <c r="D17">
        <f>IF(16&lt;=COUNTIF(Data_Monitoring!$A$2:$A$2920, Dashboard_Visual!$B$4), INDEX(Data_Monitoring!$K$2:$K$2920, MATCH(Dashboard_Visual!$B$4, Data_Monitoring!$A$2:$A$2920, 0) + 16 - 1), NA())</f>
        <v>0.71</v>
      </c>
      <c r="E17">
        <f>IF(16&lt;=COUNTIF(Data_Monitoring!$A$2:$A$2920, Dashboard_Visual!$B$4), INDEX(Data_Monitoring!$H$2:$H$2920, MATCH(Dashboard_Visual!$B$4, Data_Monitoring!$A$2:$A$2920, 0) + 16 - 1), 0)</f>
        <v>34.9</v>
      </c>
      <c r="F17">
        <f>IF(16&lt;=COUNTIF(Data_Monitoring!$A$2:$A$2920, Dashboard_Visual!$B$4), INDEX(Data_Monitoring!$O$2:$O$2920, MATCH(Dashboard_Visual!$B$4, Data_Monitoring!$A$2:$A$2920, 0) + 16 - 1), 0)</f>
        <v>-2.63</v>
      </c>
      <c r="G17">
        <f>IF(16&lt;=COUNTIF(Data_Monitoring!$A$2:$A$2920, Dashboard_Visual!$B$4), INDEX(Data_Monitoring!$Q$2:$Q$2920, MATCH(Dashboard_Visual!$B$4, Data_Monitoring!$A$2:$A$2920, 0) + 16 - 1), 0)</f>
        <v>4.71</v>
      </c>
      <c r="H17" t="str">
        <f>IF(16&lt;=COUNTIF(Data_Monitoring!$A$2:$A$2920, Dashboard_Visual!$B$4), INDEX(Data_Monitoring!$L$2:$L$2920, MATCH(Dashboard_Visual!$B$4, Data_Monitoring!$A$2:$A$2920, 0) + 16 - 1), "")</f>
        <v>Aman</v>
      </c>
      <c r="I17" t="str">
        <f>IF(AND(16&lt;=$P$2, ISNUMBER(D17), OR(H17="Warning", H17="Overgrade")), TEXT(ABS(D17)/100, "0.00%"), "")</f>
        <v/>
      </c>
      <c r="J17">
        <f t="shared" si="0"/>
        <v>100.94</v>
      </c>
      <c r="K17" t="e">
        <f>IF(AND(16&lt;=$P$2, H17="Warning"), C17, NA())</f>
        <v>#N/A</v>
      </c>
      <c r="L17" t="e">
        <f>IF(AND(16&lt;=$P$2, H17="Overgrade"), C17, NA())</f>
        <v>#N/A</v>
      </c>
      <c r="M17">
        <f>IF(16&lt;=COUNTIF(Data_Monitoring!$A$2:$A$2920, Dashboard_Visual!$B$4), INDEX(Data_Monitoring!$S$2:$S$2920, MATCH(Dashboard_Visual!$B$4, Data_Monitoring!$A$2:$A$2920, 0) + 16 - 1), 1)</f>
        <v>1</v>
      </c>
    </row>
    <row r="18" spans="1:13" x14ac:dyDescent="0.25">
      <c r="A18" t="str">
        <f>IF(17&lt;=COUNTIF(Data_Monitoring!$A$2:$A$2920, Dashboard_Visual!$B$4), INDEX(Data_Monitoring!$B$2:$B$2920, MATCH(Dashboard_Visual!$B$4, Data_Monitoring!$A$2:$A$2920, 0) + 17 - 1), "")</f>
        <v>0+320</v>
      </c>
      <c r="B18">
        <f>IF(17&lt;=COUNTIF(Data_Monitoring!$A$2:$A$2920, Dashboard_Visual!$B$4), INDEX(Data_Monitoring!$C$2:$C$2920, MATCH(Dashboard_Visual!$B$4, Data_Monitoring!$A$2:$A$2920, 0) + 17 - 1), "")</f>
        <v>320</v>
      </c>
      <c r="C18">
        <f>IF(17&lt;=COUNTIF(Data_Monitoring!$A$2:$A$2920, Dashboard_Visual!$B$4), INDEX(Data_Monitoring!$J$2:$J$2920, MATCH(Dashboard_Visual!$B$4, Data_Monitoring!$A$2:$A$2920, 0) + 17 - 1), NA())</f>
        <v>101.02</v>
      </c>
      <c r="D18">
        <f>IF(17&lt;=COUNTIF(Data_Monitoring!$A$2:$A$2920, Dashboard_Visual!$B$4), INDEX(Data_Monitoring!$K$2:$K$2920, MATCH(Dashboard_Visual!$B$4, Data_Monitoring!$A$2:$A$2920, 0) + 17 - 1), NA())</f>
        <v>0.42</v>
      </c>
      <c r="E18">
        <f>IF(17&lt;=COUNTIF(Data_Monitoring!$A$2:$A$2920, Dashboard_Visual!$B$4), INDEX(Data_Monitoring!$H$2:$H$2920, MATCH(Dashboard_Visual!$B$4, Data_Monitoring!$A$2:$A$2920, 0) + 17 - 1), 0)</f>
        <v>35.049999999999997</v>
      </c>
      <c r="F18">
        <f>IF(17&lt;=COUNTIF(Data_Monitoring!$A$2:$A$2920, Dashboard_Visual!$B$4), INDEX(Data_Monitoring!$O$2:$O$2920, MATCH(Dashboard_Visual!$B$4, Data_Monitoring!$A$2:$A$2920, 0) + 17 - 1), 0)</f>
        <v>-2.73</v>
      </c>
      <c r="G18">
        <f>IF(17&lt;=COUNTIF(Data_Monitoring!$A$2:$A$2920, Dashboard_Visual!$B$4), INDEX(Data_Monitoring!$Q$2:$Q$2920, MATCH(Dashboard_Visual!$B$4, Data_Monitoring!$A$2:$A$2920, 0) + 17 - 1), 0)</f>
        <v>5.2</v>
      </c>
      <c r="H18" t="str">
        <f>IF(17&lt;=COUNTIF(Data_Monitoring!$A$2:$A$2920, Dashboard_Visual!$B$4), INDEX(Data_Monitoring!$L$2:$L$2920, MATCH(Dashboard_Visual!$B$4, Data_Monitoring!$A$2:$A$2920, 0) + 17 - 1), "")</f>
        <v>Aman</v>
      </c>
      <c r="I18" t="str">
        <f>IF(AND(17&lt;=$P$2, ISNUMBER(D18), OR(H18="Warning", H18="Overgrade")), TEXT(ABS(D18)/100, "0.00%"), "")</f>
        <v/>
      </c>
      <c r="J18">
        <f t="shared" si="0"/>
        <v>101.02</v>
      </c>
      <c r="K18" t="e">
        <f>IF(AND(17&lt;=$P$2, H18="Warning"), C18, NA())</f>
        <v>#N/A</v>
      </c>
      <c r="L18" t="e">
        <f>IF(AND(17&lt;=$P$2, H18="Overgrade"), C18, NA())</f>
        <v>#N/A</v>
      </c>
      <c r="M18">
        <f>IF(17&lt;=COUNTIF(Data_Monitoring!$A$2:$A$2920, Dashboard_Visual!$B$4), INDEX(Data_Monitoring!$S$2:$S$2920, MATCH(Dashboard_Visual!$B$4, Data_Monitoring!$A$2:$A$2920, 0) + 17 - 1), 1)</f>
        <v>1</v>
      </c>
    </row>
    <row r="19" spans="1:13" x14ac:dyDescent="0.25">
      <c r="A19" t="str">
        <f>IF(18&lt;=COUNTIF(Data_Monitoring!$A$2:$A$2920, Dashboard_Visual!$B$4), INDEX(Data_Monitoring!$B$2:$B$2920, MATCH(Dashboard_Visual!$B$4, Data_Monitoring!$A$2:$A$2920, 0) + 18 - 1), "")</f>
        <v>0+340</v>
      </c>
      <c r="B19">
        <f>IF(18&lt;=COUNTIF(Data_Monitoring!$A$2:$A$2920, Dashboard_Visual!$B$4), INDEX(Data_Monitoring!$C$2:$C$2920, MATCH(Dashboard_Visual!$B$4, Data_Monitoring!$A$2:$A$2920, 0) + 18 - 1), "")</f>
        <v>340</v>
      </c>
      <c r="C19">
        <f>IF(18&lt;=COUNTIF(Data_Monitoring!$A$2:$A$2920, Dashboard_Visual!$B$4), INDEX(Data_Monitoring!$J$2:$J$2920, MATCH(Dashboard_Visual!$B$4, Data_Monitoring!$A$2:$A$2920, 0) + 18 - 1), NA())</f>
        <v>101.14</v>
      </c>
      <c r="D19">
        <f>IF(18&lt;=COUNTIF(Data_Monitoring!$A$2:$A$2920, Dashboard_Visual!$B$4), INDEX(Data_Monitoring!$K$2:$K$2920, MATCH(Dashboard_Visual!$B$4, Data_Monitoring!$A$2:$A$2920, 0) + 18 - 1), NA())</f>
        <v>0.6</v>
      </c>
      <c r="E19">
        <f>IF(18&lt;=COUNTIF(Data_Monitoring!$A$2:$A$2920, Dashboard_Visual!$B$4), INDEX(Data_Monitoring!$H$2:$H$2920, MATCH(Dashboard_Visual!$B$4, Data_Monitoring!$A$2:$A$2920, 0) + 18 - 1), 0)</f>
        <v>35.82</v>
      </c>
      <c r="F19">
        <f>IF(18&lt;=COUNTIF(Data_Monitoring!$A$2:$A$2920, Dashboard_Visual!$B$4), INDEX(Data_Monitoring!$O$2:$O$2920, MATCH(Dashboard_Visual!$B$4, Data_Monitoring!$A$2:$A$2920, 0) + 18 - 1), 0)</f>
        <v>-2.1</v>
      </c>
      <c r="G19">
        <f>IF(18&lt;=COUNTIF(Data_Monitoring!$A$2:$A$2920, Dashboard_Visual!$B$4), INDEX(Data_Monitoring!$Q$2:$Q$2920, MATCH(Dashboard_Visual!$B$4, Data_Monitoring!$A$2:$A$2920, 0) + 18 - 1), 0)</f>
        <v>6.18</v>
      </c>
      <c r="H19" t="str">
        <f>IF(18&lt;=COUNTIF(Data_Monitoring!$A$2:$A$2920, Dashboard_Visual!$B$4), INDEX(Data_Monitoring!$L$2:$L$2920, MATCH(Dashboard_Visual!$B$4, Data_Monitoring!$A$2:$A$2920, 0) + 18 - 1), "")</f>
        <v>Aman</v>
      </c>
      <c r="I19" t="str">
        <f>IF(AND(18&lt;=$P$2, ISNUMBER(D19), OR(H19="Warning", H19="Overgrade")), TEXT(ABS(D19)/100, "0.00%"), "")</f>
        <v/>
      </c>
      <c r="J19">
        <f t="shared" si="0"/>
        <v>101.14</v>
      </c>
      <c r="K19" t="e">
        <f>IF(AND(18&lt;=$P$2, H19="Warning"), C19, NA())</f>
        <v>#N/A</v>
      </c>
      <c r="L19" t="e">
        <f>IF(AND(18&lt;=$P$2, H19="Overgrade"), C19, NA())</f>
        <v>#N/A</v>
      </c>
      <c r="M19">
        <f>IF(18&lt;=COUNTIF(Data_Monitoring!$A$2:$A$2920, Dashboard_Visual!$B$4), INDEX(Data_Monitoring!$S$2:$S$2920, MATCH(Dashboard_Visual!$B$4, Data_Monitoring!$A$2:$A$2920, 0) + 18 - 1), 1)</f>
        <v>1</v>
      </c>
    </row>
    <row r="20" spans="1:13" x14ac:dyDescent="0.25">
      <c r="A20" t="str">
        <f>IF(19&lt;=COUNTIF(Data_Monitoring!$A$2:$A$2920, Dashboard_Visual!$B$4), INDEX(Data_Monitoring!$B$2:$B$2920, MATCH(Dashboard_Visual!$B$4, Data_Monitoring!$A$2:$A$2920, 0) + 19 - 1), "")</f>
        <v>0+360</v>
      </c>
      <c r="B20">
        <f>IF(19&lt;=COUNTIF(Data_Monitoring!$A$2:$A$2920, Dashboard_Visual!$B$4), INDEX(Data_Monitoring!$C$2:$C$2920, MATCH(Dashboard_Visual!$B$4, Data_Monitoring!$A$2:$A$2920, 0) + 19 - 1), "")</f>
        <v>360</v>
      </c>
      <c r="C20">
        <f>IF(19&lt;=COUNTIF(Data_Monitoring!$A$2:$A$2920, Dashboard_Visual!$B$4), INDEX(Data_Monitoring!$J$2:$J$2920, MATCH(Dashboard_Visual!$B$4, Data_Monitoring!$A$2:$A$2920, 0) + 19 - 1), NA())</f>
        <v>101.24</v>
      </c>
      <c r="D20">
        <f>IF(19&lt;=COUNTIF(Data_Monitoring!$A$2:$A$2920, Dashboard_Visual!$B$4), INDEX(Data_Monitoring!$K$2:$K$2920, MATCH(Dashboard_Visual!$B$4, Data_Monitoring!$A$2:$A$2920, 0) + 19 - 1), NA())</f>
        <v>0.49</v>
      </c>
      <c r="E20">
        <f>IF(19&lt;=COUNTIF(Data_Monitoring!$A$2:$A$2920, Dashboard_Visual!$B$4), INDEX(Data_Monitoring!$H$2:$H$2920, MATCH(Dashboard_Visual!$B$4, Data_Monitoring!$A$2:$A$2920, 0) + 19 - 1), 0)</f>
        <v>36.58</v>
      </c>
      <c r="F20">
        <f>IF(19&lt;=COUNTIF(Data_Monitoring!$A$2:$A$2920, Dashboard_Visual!$B$4), INDEX(Data_Monitoring!$O$2:$O$2920, MATCH(Dashboard_Visual!$B$4, Data_Monitoring!$A$2:$A$2920, 0) + 19 - 1), 0)</f>
        <v>-1.71</v>
      </c>
      <c r="G20">
        <f>IF(19&lt;=COUNTIF(Data_Monitoring!$A$2:$A$2920, Dashboard_Visual!$B$4), INDEX(Data_Monitoring!$Q$2:$Q$2920, MATCH(Dashboard_Visual!$B$4, Data_Monitoring!$A$2:$A$2920, 0) + 19 - 1), 0)</f>
        <v>6.2</v>
      </c>
      <c r="H20" t="str">
        <f>IF(19&lt;=COUNTIF(Data_Monitoring!$A$2:$A$2920, Dashboard_Visual!$B$4), INDEX(Data_Monitoring!$L$2:$L$2920, MATCH(Dashboard_Visual!$B$4, Data_Monitoring!$A$2:$A$2920, 0) + 19 - 1), "")</f>
        <v>Aman</v>
      </c>
      <c r="I20" t="str">
        <f>IF(AND(19&lt;=$P$2, ISNUMBER(D20), OR(H20="Warning", H20="Overgrade")), TEXT(ABS(D20)/100, "0.00%"), "")</f>
        <v/>
      </c>
      <c r="J20">
        <f t="shared" si="0"/>
        <v>101.24</v>
      </c>
      <c r="K20" t="e">
        <f>IF(AND(19&lt;=$P$2, H20="Warning"), C20, NA())</f>
        <v>#N/A</v>
      </c>
      <c r="L20" t="e">
        <f>IF(AND(19&lt;=$P$2, H20="Overgrade"), C20, NA())</f>
        <v>#N/A</v>
      </c>
      <c r="M20">
        <f>IF(19&lt;=COUNTIF(Data_Monitoring!$A$2:$A$2920, Dashboard_Visual!$B$4), INDEX(Data_Monitoring!$S$2:$S$2920, MATCH(Dashboard_Visual!$B$4, Data_Monitoring!$A$2:$A$2920, 0) + 19 - 1), 1)</f>
        <v>1</v>
      </c>
    </row>
    <row r="21" spans="1:13" x14ac:dyDescent="0.25">
      <c r="A21" t="str">
        <f>IF(20&lt;=COUNTIF(Data_Monitoring!$A$2:$A$2920, Dashboard_Visual!$B$4), INDEX(Data_Monitoring!$B$2:$B$2920, MATCH(Dashboard_Visual!$B$4, Data_Monitoring!$A$2:$A$2920, 0) + 20 - 1), "")</f>
        <v>0+380</v>
      </c>
      <c r="B21">
        <f>IF(20&lt;=COUNTIF(Data_Monitoring!$A$2:$A$2920, Dashboard_Visual!$B$4), INDEX(Data_Monitoring!$C$2:$C$2920, MATCH(Dashboard_Visual!$B$4, Data_Monitoring!$A$2:$A$2920, 0) + 20 - 1), "")</f>
        <v>380</v>
      </c>
      <c r="C21">
        <f>IF(20&lt;=COUNTIF(Data_Monitoring!$A$2:$A$2920, Dashboard_Visual!$B$4), INDEX(Data_Monitoring!$J$2:$J$2920, MATCH(Dashboard_Visual!$B$4, Data_Monitoring!$A$2:$A$2920, 0) + 20 - 1), NA())</f>
        <v>101.17</v>
      </c>
      <c r="D21">
        <f>IF(20&lt;=COUNTIF(Data_Monitoring!$A$2:$A$2920, Dashboard_Visual!$B$4), INDEX(Data_Monitoring!$K$2:$K$2920, MATCH(Dashboard_Visual!$B$4, Data_Monitoring!$A$2:$A$2920, 0) + 20 - 1), NA())</f>
        <v>-0.36</v>
      </c>
      <c r="E21">
        <f>IF(20&lt;=COUNTIF(Data_Monitoring!$A$2:$A$2920, Dashboard_Visual!$B$4), INDEX(Data_Monitoring!$H$2:$H$2920, MATCH(Dashboard_Visual!$B$4, Data_Monitoring!$A$2:$A$2920, 0) + 20 - 1), 0)</f>
        <v>37.520000000000003</v>
      </c>
      <c r="F21">
        <f>IF(20&lt;=COUNTIF(Data_Monitoring!$A$2:$A$2920, Dashboard_Visual!$B$4), INDEX(Data_Monitoring!$O$2:$O$2920, MATCH(Dashboard_Visual!$B$4, Data_Monitoring!$A$2:$A$2920, 0) + 20 - 1), 0)</f>
        <v>-4.41</v>
      </c>
      <c r="G21">
        <f>IF(20&lt;=COUNTIF(Data_Monitoring!$A$2:$A$2920, Dashboard_Visual!$B$4), INDEX(Data_Monitoring!$Q$2:$Q$2920, MATCH(Dashboard_Visual!$B$4, Data_Monitoring!$A$2:$A$2920, 0) + 20 - 1), 0)</f>
        <v>5.56</v>
      </c>
      <c r="H21" t="str">
        <f>IF(20&lt;=COUNTIF(Data_Monitoring!$A$2:$A$2920, Dashboard_Visual!$B$4), INDEX(Data_Monitoring!$L$2:$L$2920, MATCH(Dashboard_Visual!$B$4, Data_Monitoring!$A$2:$A$2920, 0) + 20 - 1), "")</f>
        <v>Aman</v>
      </c>
      <c r="I21" t="str">
        <f>IF(AND(20&lt;=$P$2, ISNUMBER(D21), OR(H21="Warning", H21="Overgrade")), TEXT(ABS(D21)/100, "0.00%"), "")</f>
        <v/>
      </c>
      <c r="J21">
        <f t="shared" si="0"/>
        <v>101.17</v>
      </c>
      <c r="K21" t="e">
        <f>IF(AND(20&lt;=$P$2, H21="Warning"), C21, NA())</f>
        <v>#N/A</v>
      </c>
      <c r="L21" t="e">
        <f>IF(AND(20&lt;=$P$2, H21="Overgrade"), C21, NA())</f>
        <v>#N/A</v>
      </c>
      <c r="M21">
        <f>IF(20&lt;=COUNTIF(Data_Monitoring!$A$2:$A$2920, Dashboard_Visual!$B$4), INDEX(Data_Monitoring!$S$2:$S$2920, MATCH(Dashboard_Visual!$B$4, Data_Monitoring!$A$2:$A$2920, 0) + 20 - 1), 1)</f>
        <v>1</v>
      </c>
    </row>
    <row r="22" spans="1:13" x14ac:dyDescent="0.25">
      <c r="A22" t="str">
        <f>IF(21&lt;=COUNTIF(Data_Monitoring!$A$2:$A$2920, Dashboard_Visual!$B$4), INDEX(Data_Monitoring!$B$2:$B$2920, MATCH(Dashboard_Visual!$B$4, Data_Monitoring!$A$2:$A$2920, 0) + 21 - 1), "")</f>
        <v>0+400</v>
      </c>
      <c r="B22">
        <f>IF(21&lt;=COUNTIF(Data_Monitoring!$A$2:$A$2920, Dashboard_Visual!$B$4), INDEX(Data_Monitoring!$C$2:$C$2920, MATCH(Dashboard_Visual!$B$4, Data_Monitoring!$A$2:$A$2920, 0) + 21 - 1), "")</f>
        <v>400</v>
      </c>
      <c r="C22">
        <f>IF(21&lt;=COUNTIF(Data_Monitoring!$A$2:$A$2920, Dashboard_Visual!$B$4), INDEX(Data_Monitoring!$J$2:$J$2920, MATCH(Dashboard_Visual!$B$4, Data_Monitoring!$A$2:$A$2920, 0) + 21 - 1), NA())</f>
        <v>101.08</v>
      </c>
      <c r="D22">
        <f>IF(21&lt;=COUNTIF(Data_Monitoring!$A$2:$A$2920, Dashboard_Visual!$B$4), INDEX(Data_Monitoring!$K$2:$K$2920, MATCH(Dashboard_Visual!$B$4, Data_Monitoring!$A$2:$A$2920, 0) + 21 - 1), NA())</f>
        <v>-0.42</v>
      </c>
      <c r="E22">
        <f>IF(21&lt;=COUNTIF(Data_Monitoring!$A$2:$A$2920, Dashboard_Visual!$B$4), INDEX(Data_Monitoring!$H$2:$H$2920, MATCH(Dashboard_Visual!$B$4, Data_Monitoring!$A$2:$A$2920, 0) + 21 - 1), 0)</f>
        <v>38.520000000000003</v>
      </c>
      <c r="F22">
        <f>IF(21&lt;=COUNTIF(Data_Monitoring!$A$2:$A$2920, Dashboard_Visual!$B$4), INDEX(Data_Monitoring!$O$2:$O$2920, MATCH(Dashboard_Visual!$B$4, Data_Monitoring!$A$2:$A$2920, 0) + 21 - 1), 0)</f>
        <v>-3.82</v>
      </c>
      <c r="G22">
        <f>IF(21&lt;=COUNTIF(Data_Monitoring!$A$2:$A$2920, Dashboard_Visual!$B$4), INDEX(Data_Monitoring!$Q$2:$Q$2920, MATCH(Dashboard_Visual!$B$4, Data_Monitoring!$A$2:$A$2920, 0) + 21 - 1), 0)</f>
        <v>4.4800000000000004</v>
      </c>
      <c r="H22" t="str">
        <f>IF(21&lt;=COUNTIF(Data_Monitoring!$A$2:$A$2920, Dashboard_Visual!$B$4), INDEX(Data_Monitoring!$L$2:$L$2920, MATCH(Dashboard_Visual!$B$4, Data_Monitoring!$A$2:$A$2920, 0) + 21 - 1), "")</f>
        <v>Aman</v>
      </c>
      <c r="I22" t="str">
        <f>IF(AND(21&lt;=$P$2, ISNUMBER(D22), OR(H22="Warning", H22="Overgrade")), TEXT(ABS(D22)/100, "0.00%"), "")</f>
        <v/>
      </c>
      <c r="J22">
        <f t="shared" si="0"/>
        <v>101.08</v>
      </c>
      <c r="K22" t="e">
        <f>IF(AND(21&lt;=$P$2, H22="Warning"), C22, NA())</f>
        <v>#N/A</v>
      </c>
      <c r="L22" t="e">
        <f>IF(AND(21&lt;=$P$2, H22="Overgrade"), C22, NA())</f>
        <v>#N/A</v>
      </c>
      <c r="M22">
        <f>IF(21&lt;=COUNTIF(Data_Monitoring!$A$2:$A$2920, Dashboard_Visual!$B$4), INDEX(Data_Monitoring!$S$2:$S$2920, MATCH(Dashboard_Visual!$B$4, Data_Monitoring!$A$2:$A$2920, 0) + 21 - 1), 1)</f>
        <v>1</v>
      </c>
    </row>
    <row r="23" spans="1:13" x14ac:dyDescent="0.25">
      <c r="A23" t="str">
        <f>IF(22&lt;=COUNTIF(Data_Monitoring!$A$2:$A$2920, Dashboard_Visual!$B$4), INDEX(Data_Monitoring!$B$2:$B$2920, MATCH(Dashboard_Visual!$B$4, Data_Monitoring!$A$2:$A$2920, 0) + 22 - 1), "")</f>
        <v>0+420</v>
      </c>
      <c r="B23">
        <f>IF(22&lt;=COUNTIF(Data_Monitoring!$A$2:$A$2920, Dashboard_Visual!$B$4), INDEX(Data_Monitoring!$C$2:$C$2920, MATCH(Dashboard_Visual!$B$4, Data_Monitoring!$A$2:$A$2920, 0) + 22 - 1), "")</f>
        <v>420</v>
      </c>
      <c r="C23">
        <f>IF(22&lt;=COUNTIF(Data_Monitoring!$A$2:$A$2920, Dashboard_Visual!$B$4), INDEX(Data_Monitoring!$J$2:$J$2920, MATCH(Dashboard_Visual!$B$4, Data_Monitoring!$A$2:$A$2920, 0) + 22 - 1), NA())</f>
        <v>101.08</v>
      </c>
      <c r="D23">
        <f>IF(22&lt;=COUNTIF(Data_Monitoring!$A$2:$A$2920, Dashboard_Visual!$B$4), INDEX(Data_Monitoring!$K$2:$K$2920, MATCH(Dashboard_Visual!$B$4, Data_Monitoring!$A$2:$A$2920, 0) + 22 - 1), NA())</f>
        <v>-0.01</v>
      </c>
      <c r="E23">
        <f>IF(22&lt;=COUNTIF(Data_Monitoring!$A$2:$A$2920, Dashboard_Visual!$B$4), INDEX(Data_Monitoring!$H$2:$H$2920, MATCH(Dashboard_Visual!$B$4, Data_Monitoring!$A$2:$A$2920, 0) + 22 - 1), 0)</f>
        <v>40</v>
      </c>
      <c r="F23">
        <f>IF(22&lt;=COUNTIF(Data_Monitoring!$A$2:$A$2920, Dashboard_Visual!$B$4), INDEX(Data_Monitoring!$O$2:$O$2920, MATCH(Dashboard_Visual!$B$4, Data_Monitoring!$A$2:$A$2920, 0) + 22 - 1), 0)</f>
        <v>-1.99</v>
      </c>
      <c r="G23">
        <f>IF(22&lt;=COUNTIF(Data_Monitoring!$A$2:$A$2920, Dashboard_Visual!$B$4), INDEX(Data_Monitoring!$Q$2:$Q$2920, MATCH(Dashboard_Visual!$B$4, Data_Monitoring!$A$2:$A$2920, 0) + 22 - 1), 0)</f>
        <v>4.24</v>
      </c>
      <c r="H23" t="str">
        <f>IF(22&lt;=COUNTIF(Data_Monitoring!$A$2:$A$2920, Dashboard_Visual!$B$4), INDEX(Data_Monitoring!$L$2:$L$2920, MATCH(Dashboard_Visual!$B$4, Data_Monitoring!$A$2:$A$2920, 0) + 22 - 1), "")</f>
        <v>Aman</v>
      </c>
      <c r="I23" t="str">
        <f>IF(AND(22&lt;=$P$2, ISNUMBER(D23), OR(H23="Warning", H23="Overgrade")), TEXT(ABS(D23)/100, "0.00%"), "")</f>
        <v/>
      </c>
      <c r="J23">
        <f t="shared" si="0"/>
        <v>101.08</v>
      </c>
      <c r="K23" t="e">
        <f>IF(AND(22&lt;=$P$2, H23="Warning"), C23, NA())</f>
        <v>#N/A</v>
      </c>
      <c r="L23" t="e">
        <f>IF(AND(22&lt;=$P$2, H23="Overgrade"), C23, NA())</f>
        <v>#N/A</v>
      </c>
      <c r="M23">
        <f>IF(22&lt;=COUNTIF(Data_Monitoring!$A$2:$A$2920, Dashboard_Visual!$B$4), INDEX(Data_Monitoring!$S$2:$S$2920, MATCH(Dashboard_Visual!$B$4, Data_Monitoring!$A$2:$A$2920, 0) + 22 - 1), 1)</f>
        <v>1</v>
      </c>
    </row>
    <row r="24" spans="1:13" x14ac:dyDescent="0.25">
      <c r="A24" t="str">
        <f>IF(23&lt;=COUNTIF(Data_Monitoring!$A$2:$A$2920, Dashboard_Visual!$B$4), INDEX(Data_Monitoring!$B$2:$B$2920, MATCH(Dashboard_Visual!$B$4, Data_Monitoring!$A$2:$A$2920, 0) + 23 - 1), "")</f>
        <v>0+440</v>
      </c>
      <c r="B24">
        <f>IF(23&lt;=COUNTIF(Data_Monitoring!$A$2:$A$2920, Dashboard_Visual!$B$4), INDEX(Data_Monitoring!$C$2:$C$2920, MATCH(Dashboard_Visual!$B$4, Data_Monitoring!$A$2:$A$2920, 0) + 23 - 1), "")</f>
        <v>440</v>
      </c>
      <c r="C24">
        <f>IF(23&lt;=COUNTIF(Data_Monitoring!$A$2:$A$2920, Dashboard_Visual!$B$4), INDEX(Data_Monitoring!$J$2:$J$2920, MATCH(Dashboard_Visual!$B$4, Data_Monitoring!$A$2:$A$2920, 0) + 23 - 1), NA())</f>
        <v>102.44</v>
      </c>
      <c r="D24">
        <f>IF(23&lt;=COUNTIF(Data_Monitoring!$A$2:$A$2920, Dashboard_Visual!$B$4), INDEX(Data_Monitoring!$K$2:$K$2920, MATCH(Dashboard_Visual!$B$4, Data_Monitoring!$A$2:$A$2920, 0) + 23 - 1), NA())</f>
        <v>6.81</v>
      </c>
      <c r="E24">
        <f>IF(23&lt;=COUNTIF(Data_Monitoring!$A$2:$A$2920, Dashboard_Visual!$B$4), INDEX(Data_Monitoring!$H$2:$H$2920, MATCH(Dashboard_Visual!$B$4, Data_Monitoring!$A$2:$A$2920, 0) + 23 - 1), 0)</f>
        <v>37.520000000000003</v>
      </c>
      <c r="F24">
        <f>IF(23&lt;=COUNTIF(Data_Monitoring!$A$2:$A$2920, Dashboard_Visual!$B$4), INDEX(Data_Monitoring!$O$2:$O$2920, MATCH(Dashboard_Visual!$B$4, Data_Monitoring!$A$2:$A$2920, 0) + 23 - 1), 0)</f>
        <v>-1.32</v>
      </c>
      <c r="G24">
        <f>IF(23&lt;=COUNTIF(Data_Monitoring!$A$2:$A$2920, Dashboard_Visual!$B$4), INDEX(Data_Monitoring!$Q$2:$Q$2920, MATCH(Dashboard_Visual!$B$4, Data_Monitoring!$A$2:$A$2920, 0) + 23 - 1), 0)</f>
        <v>4.07</v>
      </c>
      <c r="H24" t="str">
        <f>IF(23&lt;=COUNTIF(Data_Monitoring!$A$2:$A$2920, Dashboard_Visual!$B$4), INDEX(Data_Monitoring!$L$2:$L$2920, MATCH(Dashboard_Visual!$B$4, Data_Monitoring!$A$2:$A$2920, 0) + 23 - 1), "")</f>
        <v>Aman</v>
      </c>
      <c r="I24" t="str">
        <f>IF(AND(23&lt;=$P$2, ISNUMBER(D24), OR(H24="Warning", H24="Overgrade")), TEXT(ABS(D24)/100, "0.00%"), "")</f>
        <v/>
      </c>
      <c r="J24">
        <f t="shared" si="0"/>
        <v>102.44</v>
      </c>
      <c r="K24" t="e">
        <f>IF(AND(23&lt;=$P$2, H24="Warning"), C24, NA())</f>
        <v>#N/A</v>
      </c>
      <c r="L24" t="e">
        <f>IF(AND(23&lt;=$P$2, H24="Overgrade"), C24, NA())</f>
        <v>#N/A</v>
      </c>
      <c r="M24">
        <f>IF(23&lt;=COUNTIF(Data_Monitoring!$A$2:$A$2920, Dashboard_Visual!$B$4), INDEX(Data_Monitoring!$S$2:$S$2920, MATCH(Dashboard_Visual!$B$4, Data_Monitoring!$A$2:$A$2920, 0) + 23 - 1), 1)</f>
        <v>1</v>
      </c>
    </row>
    <row r="25" spans="1:13" x14ac:dyDescent="0.25">
      <c r="A25" t="str">
        <f>IF(24&lt;=COUNTIF(Data_Monitoring!$A$2:$A$2920, Dashboard_Visual!$B$4), INDEX(Data_Monitoring!$B$2:$B$2920, MATCH(Dashboard_Visual!$B$4, Data_Monitoring!$A$2:$A$2920, 0) + 24 - 1), "")</f>
        <v>0+460</v>
      </c>
      <c r="B25">
        <f>IF(24&lt;=COUNTIF(Data_Monitoring!$A$2:$A$2920, Dashboard_Visual!$B$4), INDEX(Data_Monitoring!$C$2:$C$2920, MATCH(Dashboard_Visual!$B$4, Data_Monitoring!$A$2:$A$2920, 0) + 24 - 1), "")</f>
        <v>460</v>
      </c>
      <c r="C25">
        <f>IF(24&lt;=COUNTIF(Data_Monitoring!$A$2:$A$2920, Dashboard_Visual!$B$4), INDEX(Data_Monitoring!$J$2:$J$2920, MATCH(Dashboard_Visual!$B$4, Data_Monitoring!$A$2:$A$2920, 0) + 24 - 1), NA())</f>
        <v>100.96</v>
      </c>
      <c r="D25">
        <f>IF(24&lt;=COUNTIF(Data_Monitoring!$A$2:$A$2920, Dashboard_Visual!$B$4), INDEX(Data_Monitoring!$K$2:$K$2920, MATCH(Dashboard_Visual!$B$4, Data_Monitoring!$A$2:$A$2920, 0) + 24 - 1), NA())</f>
        <v>-7.4</v>
      </c>
      <c r="E25">
        <f>IF(24&lt;=COUNTIF(Data_Monitoring!$A$2:$A$2920, Dashboard_Visual!$B$4), INDEX(Data_Monitoring!$H$2:$H$2920, MATCH(Dashboard_Visual!$B$4, Data_Monitoring!$A$2:$A$2920, 0) + 24 - 1), 0)</f>
        <v>36.17</v>
      </c>
      <c r="F25">
        <f>IF(24&lt;=COUNTIF(Data_Monitoring!$A$2:$A$2920, Dashboard_Visual!$B$4), INDEX(Data_Monitoring!$O$2:$O$2920, MATCH(Dashboard_Visual!$B$4, Data_Monitoring!$A$2:$A$2920, 0) + 24 - 1), 0)</f>
        <v>-3.68</v>
      </c>
      <c r="G25">
        <f>IF(24&lt;=COUNTIF(Data_Monitoring!$A$2:$A$2920, Dashboard_Visual!$B$4), INDEX(Data_Monitoring!$Q$2:$Q$2920, MATCH(Dashboard_Visual!$B$4, Data_Monitoring!$A$2:$A$2920, 0) + 24 - 1), 0)</f>
        <v>3.91</v>
      </c>
      <c r="H25" t="str">
        <f>IF(24&lt;=COUNTIF(Data_Monitoring!$A$2:$A$2920, Dashboard_Visual!$B$4), INDEX(Data_Monitoring!$L$2:$L$2920, MATCH(Dashboard_Visual!$B$4, Data_Monitoring!$A$2:$A$2920, 0) + 24 - 1), "")</f>
        <v>Aman</v>
      </c>
      <c r="I25" t="str">
        <f>IF(AND(24&lt;=$P$2, ISNUMBER(D25), OR(H25="Warning", H25="Overgrade")), TEXT(ABS(D25)/100, "0.00%"), "")</f>
        <v/>
      </c>
      <c r="J25">
        <f t="shared" si="0"/>
        <v>100.96</v>
      </c>
      <c r="K25" t="e">
        <f>IF(AND(24&lt;=$P$2, H25="Warning"), C25, NA())</f>
        <v>#N/A</v>
      </c>
      <c r="L25" t="e">
        <f>IF(AND(24&lt;=$P$2, H25="Overgrade"), C25, NA())</f>
        <v>#N/A</v>
      </c>
      <c r="M25">
        <f>IF(24&lt;=COUNTIF(Data_Monitoring!$A$2:$A$2920, Dashboard_Visual!$B$4), INDEX(Data_Monitoring!$S$2:$S$2920, MATCH(Dashboard_Visual!$B$4, Data_Monitoring!$A$2:$A$2920, 0) + 24 - 1), 1)</f>
        <v>1</v>
      </c>
    </row>
    <row r="26" spans="1:13" x14ac:dyDescent="0.25">
      <c r="A26" t="str">
        <f>IF(25&lt;=COUNTIF(Data_Monitoring!$A$2:$A$2920, Dashboard_Visual!$B$4), INDEX(Data_Monitoring!$B$2:$B$2920, MATCH(Dashboard_Visual!$B$4, Data_Monitoring!$A$2:$A$2920, 0) + 25 - 1), "")</f>
        <v>0+480</v>
      </c>
      <c r="B26">
        <f>IF(25&lt;=COUNTIF(Data_Monitoring!$A$2:$A$2920, Dashboard_Visual!$B$4), INDEX(Data_Monitoring!$C$2:$C$2920, MATCH(Dashboard_Visual!$B$4, Data_Monitoring!$A$2:$A$2920, 0) + 25 - 1), "")</f>
        <v>480</v>
      </c>
      <c r="C26">
        <f>IF(25&lt;=COUNTIF(Data_Monitoring!$A$2:$A$2920, Dashboard_Visual!$B$4), INDEX(Data_Monitoring!$J$2:$J$2920, MATCH(Dashboard_Visual!$B$4, Data_Monitoring!$A$2:$A$2920, 0) + 25 - 1), NA())</f>
        <v>100.87</v>
      </c>
      <c r="D26">
        <f>IF(25&lt;=COUNTIF(Data_Monitoring!$A$2:$A$2920, Dashboard_Visual!$B$4), INDEX(Data_Monitoring!$K$2:$K$2920, MATCH(Dashboard_Visual!$B$4, Data_Monitoring!$A$2:$A$2920, 0) + 25 - 1), NA())</f>
        <v>-0.45</v>
      </c>
      <c r="E26">
        <f>IF(25&lt;=COUNTIF(Data_Monitoring!$A$2:$A$2920, Dashboard_Visual!$B$4), INDEX(Data_Monitoring!$H$2:$H$2920, MATCH(Dashboard_Visual!$B$4, Data_Monitoring!$A$2:$A$2920, 0) + 25 - 1), 0)</f>
        <v>36.28</v>
      </c>
      <c r="F26">
        <f>IF(25&lt;=COUNTIF(Data_Monitoring!$A$2:$A$2920, Dashboard_Visual!$B$4), INDEX(Data_Monitoring!$O$2:$O$2920, MATCH(Dashboard_Visual!$B$4, Data_Monitoring!$A$2:$A$2920, 0) + 25 - 1), 0)</f>
        <v>-3.6</v>
      </c>
      <c r="G26">
        <f>IF(25&lt;=COUNTIF(Data_Monitoring!$A$2:$A$2920, Dashboard_Visual!$B$4), INDEX(Data_Monitoring!$Q$2:$Q$2920, MATCH(Dashboard_Visual!$B$4, Data_Monitoring!$A$2:$A$2920, 0) + 25 - 1), 0)</f>
        <v>3.95</v>
      </c>
      <c r="H26" t="str">
        <f>IF(25&lt;=COUNTIF(Data_Monitoring!$A$2:$A$2920, Dashboard_Visual!$B$4), INDEX(Data_Monitoring!$L$2:$L$2920, MATCH(Dashboard_Visual!$B$4, Data_Monitoring!$A$2:$A$2920, 0) + 25 - 1), "")</f>
        <v>Aman</v>
      </c>
      <c r="I26" t="str">
        <f>IF(AND(25&lt;=$P$2, ISNUMBER(D26), OR(H26="Warning", H26="Overgrade")), TEXT(ABS(D26)/100, "0.00%"), "")</f>
        <v/>
      </c>
      <c r="J26">
        <f t="shared" si="0"/>
        <v>100.87</v>
      </c>
      <c r="K26" t="e">
        <f>IF(AND(25&lt;=$P$2, H26="Warning"), C26, NA())</f>
        <v>#N/A</v>
      </c>
      <c r="L26" t="e">
        <f>IF(AND(25&lt;=$P$2, H26="Overgrade"), C26, NA())</f>
        <v>#N/A</v>
      </c>
      <c r="M26">
        <f>IF(25&lt;=COUNTIF(Data_Monitoring!$A$2:$A$2920, Dashboard_Visual!$B$4), INDEX(Data_Monitoring!$S$2:$S$2920, MATCH(Dashboard_Visual!$B$4, Data_Monitoring!$A$2:$A$2920, 0) + 25 - 1), 1)</f>
        <v>1</v>
      </c>
    </row>
    <row r="27" spans="1:13" x14ac:dyDescent="0.25">
      <c r="A27" t="str">
        <f>IF(26&lt;=COUNTIF(Data_Monitoring!$A$2:$A$2920, Dashboard_Visual!$B$4), INDEX(Data_Monitoring!$B$2:$B$2920, MATCH(Dashboard_Visual!$B$4, Data_Monitoring!$A$2:$A$2920, 0) + 26 - 1), "")</f>
        <v>0+500</v>
      </c>
      <c r="B27">
        <f>IF(26&lt;=COUNTIF(Data_Monitoring!$A$2:$A$2920, Dashboard_Visual!$B$4), INDEX(Data_Monitoring!$C$2:$C$2920, MATCH(Dashboard_Visual!$B$4, Data_Monitoring!$A$2:$A$2920, 0) + 26 - 1), "")</f>
        <v>500</v>
      </c>
      <c r="C27">
        <f>IF(26&lt;=COUNTIF(Data_Monitoring!$A$2:$A$2920, Dashboard_Visual!$B$4), INDEX(Data_Monitoring!$J$2:$J$2920, MATCH(Dashboard_Visual!$B$4, Data_Monitoring!$A$2:$A$2920, 0) + 26 - 1), NA())</f>
        <v>100.92</v>
      </c>
      <c r="D27">
        <f>IF(26&lt;=COUNTIF(Data_Monitoring!$A$2:$A$2920, Dashboard_Visual!$B$4), INDEX(Data_Monitoring!$K$2:$K$2920, MATCH(Dashboard_Visual!$B$4, Data_Monitoring!$A$2:$A$2920, 0) + 26 - 1), NA())</f>
        <v>0.25</v>
      </c>
      <c r="E27">
        <f>IF(26&lt;=COUNTIF(Data_Monitoring!$A$2:$A$2920, Dashboard_Visual!$B$4), INDEX(Data_Monitoring!$H$2:$H$2920, MATCH(Dashboard_Visual!$B$4, Data_Monitoring!$A$2:$A$2920, 0) + 26 - 1), 0)</f>
        <v>36.56</v>
      </c>
      <c r="F27">
        <f>IF(26&lt;=COUNTIF(Data_Monitoring!$A$2:$A$2920, Dashboard_Visual!$B$4), INDEX(Data_Monitoring!$O$2:$O$2920, MATCH(Dashboard_Visual!$B$4, Data_Monitoring!$A$2:$A$2920, 0) + 26 - 1), 0)</f>
        <v>-5.34</v>
      </c>
      <c r="G27">
        <f>IF(26&lt;=COUNTIF(Data_Monitoring!$A$2:$A$2920, Dashboard_Visual!$B$4), INDEX(Data_Monitoring!$Q$2:$Q$2920, MATCH(Dashboard_Visual!$B$4, Data_Monitoring!$A$2:$A$2920, 0) + 26 - 1), 0)</f>
        <v>4.13</v>
      </c>
      <c r="H27" t="str">
        <f>IF(26&lt;=COUNTIF(Data_Monitoring!$A$2:$A$2920, Dashboard_Visual!$B$4), INDEX(Data_Monitoring!$L$2:$L$2920, MATCH(Dashboard_Visual!$B$4, Data_Monitoring!$A$2:$A$2920, 0) + 26 - 1), "")</f>
        <v>Aman</v>
      </c>
      <c r="I27" t="str">
        <f>IF(AND(26&lt;=$P$2, ISNUMBER(D27), OR(H27="Warning", H27="Overgrade")), TEXT(ABS(D27)/100, "0.00%"), "")</f>
        <v/>
      </c>
      <c r="J27">
        <f t="shared" si="0"/>
        <v>100.92</v>
      </c>
      <c r="K27" t="e">
        <f>IF(AND(26&lt;=$P$2, H27="Warning"), C27, NA())</f>
        <v>#N/A</v>
      </c>
      <c r="L27" t="e">
        <f>IF(AND(26&lt;=$P$2, H27="Overgrade"), C27, NA())</f>
        <v>#N/A</v>
      </c>
      <c r="M27">
        <f>IF(26&lt;=COUNTIF(Data_Monitoring!$A$2:$A$2920, Dashboard_Visual!$B$4), INDEX(Data_Monitoring!$S$2:$S$2920, MATCH(Dashboard_Visual!$B$4, Data_Monitoring!$A$2:$A$2920, 0) + 26 - 1), 1)</f>
        <v>1</v>
      </c>
    </row>
    <row r="28" spans="1:13" x14ac:dyDescent="0.25">
      <c r="A28" t="str">
        <f>IF(27&lt;=COUNTIF(Data_Monitoring!$A$2:$A$2920, Dashboard_Visual!$B$4), INDEX(Data_Monitoring!$B$2:$B$2920, MATCH(Dashboard_Visual!$B$4, Data_Monitoring!$A$2:$A$2920, 0) + 27 - 1), "")</f>
        <v>0+520</v>
      </c>
      <c r="B28">
        <f>IF(27&lt;=COUNTIF(Data_Monitoring!$A$2:$A$2920, Dashboard_Visual!$B$4), INDEX(Data_Monitoring!$C$2:$C$2920, MATCH(Dashboard_Visual!$B$4, Data_Monitoring!$A$2:$A$2920, 0) + 27 - 1), "")</f>
        <v>520</v>
      </c>
      <c r="C28">
        <f>IF(27&lt;=COUNTIF(Data_Monitoring!$A$2:$A$2920, Dashboard_Visual!$B$4), INDEX(Data_Monitoring!$J$2:$J$2920, MATCH(Dashboard_Visual!$B$4, Data_Monitoring!$A$2:$A$2920, 0) + 27 - 1), NA())</f>
        <v>100.84</v>
      </c>
      <c r="D28">
        <f>IF(27&lt;=COUNTIF(Data_Monitoring!$A$2:$A$2920, Dashboard_Visual!$B$4), INDEX(Data_Monitoring!$K$2:$K$2920, MATCH(Dashboard_Visual!$B$4, Data_Monitoring!$A$2:$A$2920, 0) + 27 - 1), NA())</f>
        <v>-0.44</v>
      </c>
      <c r="E28">
        <f>IF(27&lt;=COUNTIF(Data_Monitoring!$A$2:$A$2920, Dashboard_Visual!$B$4), INDEX(Data_Monitoring!$H$2:$H$2920, MATCH(Dashboard_Visual!$B$4, Data_Monitoring!$A$2:$A$2920, 0) + 27 - 1), 0)</f>
        <v>40</v>
      </c>
      <c r="F28">
        <f>IF(27&lt;=COUNTIF(Data_Monitoring!$A$2:$A$2920, Dashboard_Visual!$B$4), INDEX(Data_Monitoring!$O$2:$O$2920, MATCH(Dashboard_Visual!$B$4, Data_Monitoring!$A$2:$A$2920, 0) + 27 - 1), 0)</f>
        <v>-4.1100000000000003</v>
      </c>
      <c r="G28">
        <f>IF(27&lt;=COUNTIF(Data_Monitoring!$A$2:$A$2920, Dashboard_Visual!$B$4), INDEX(Data_Monitoring!$Q$2:$Q$2920, MATCH(Dashboard_Visual!$B$4, Data_Monitoring!$A$2:$A$2920, 0) + 27 - 1), 0)</f>
        <v>4.1399999999999997</v>
      </c>
      <c r="H28" t="str">
        <f>IF(27&lt;=COUNTIF(Data_Monitoring!$A$2:$A$2920, Dashboard_Visual!$B$4), INDEX(Data_Monitoring!$L$2:$L$2920, MATCH(Dashboard_Visual!$B$4, Data_Monitoring!$A$2:$A$2920, 0) + 27 - 1), "")</f>
        <v>Aman</v>
      </c>
      <c r="I28" t="str">
        <f>IF(AND(27&lt;=$P$2, ISNUMBER(D28), OR(H28="Warning", H28="Overgrade")), TEXT(ABS(D28)/100, "0.00%"), "")</f>
        <v/>
      </c>
      <c r="J28">
        <f t="shared" si="0"/>
        <v>100.84</v>
      </c>
      <c r="K28" t="e">
        <f>IF(AND(27&lt;=$P$2, H28="Warning"), C28, NA())</f>
        <v>#N/A</v>
      </c>
      <c r="L28" t="e">
        <f>IF(AND(27&lt;=$P$2, H28="Overgrade"), C28, NA())</f>
        <v>#N/A</v>
      </c>
      <c r="M28">
        <f>IF(27&lt;=COUNTIF(Data_Monitoring!$A$2:$A$2920, Dashboard_Visual!$B$4), INDEX(Data_Monitoring!$S$2:$S$2920, MATCH(Dashboard_Visual!$B$4, Data_Monitoring!$A$2:$A$2920, 0) + 27 - 1), 1)</f>
        <v>1</v>
      </c>
    </row>
    <row r="29" spans="1:13" x14ac:dyDescent="0.25">
      <c r="A29" t="str">
        <f>IF(28&lt;=COUNTIF(Data_Monitoring!$A$2:$A$2920, Dashboard_Visual!$B$4), INDEX(Data_Monitoring!$B$2:$B$2920, MATCH(Dashboard_Visual!$B$4, Data_Monitoring!$A$2:$A$2920, 0) + 28 - 1), "")</f>
        <v>0+540</v>
      </c>
      <c r="B29">
        <f>IF(28&lt;=COUNTIF(Data_Monitoring!$A$2:$A$2920, Dashboard_Visual!$B$4), INDEX(Data_Monitoring!$C$2:$C$2920, MATCH(Dashboard_Visual!$B$4, Data_Monitoring!$A$2:$A$2920, 0) + 28 - 1), "")</f>
        <v>540</v>
      </c>
      <c r="C29">
        <f>IF(28&lt;=COUNTIF(Data_Monitoring!$A$2:$A$2920, Dashboard_Visual!$B$4), INDEX(Data_Monitoring!$J$2:$J$2920, MATCH(Dashboard_Visual!$B$4, Data_Monitoring!$A$2:$A$2920, 0) + 28 - 1), NA())</f>
        <v>100.81</v>
      </c>
      <c r="D29">
        <f>IF(28&lt;=COUNTIF(Data_Monitoring!$A$2:$A$2920, Dashboard_Visual!$B$4), INDEX(Data_Monitoring!$K$2:$K$2920, MATCH(Dashboard_Visual!$B$4, Data_Monitoring!$A$2:$A$2920, 0) + 28 - 1), NA())</f>
        <v>-0.13</v>
      </c>
      <c r="E29">
        <f>IF(28&lt;=COUNTIF(Data_Monitoring!$A$2:$A$2920, Dashboard_Visual!$B$4), INDEX(Data_Monitoring!$H$2:$H$2920, MATCH(Dashboard_Visual!$B$4, Data_Monitoring!$A$2:$A$2920, 0) + 28 - 1), 0)</f>
        <v>40</v>
      </c>
      <c r="F29">
        <f>IF(28&lt;=COUNTIF(Data_Monitoring!$A$2:$A$2920, Dashboard_Visual!$B$4), INDEX(Data_Monitoring!$O$2:$O$2920, MATCH(Dashboard_Visual!$B$4, Data_Monitoring!$A$2:$A$2920, 0) + 28 - 1), 0)</f>
        <v>-3.52</v>
      </c>
      <c r="G29">
        <f>IF(28&lt;=COUNTIF(Data_Monitoring!$A$2:$A$2920, Dashboard_Visual!$B$4), INDEX(Data_Monitoring!$Q$2:$Q$2920, MATCH(Dashboard_Visual!$B$4, Data_Monitoring!$A$2:$A$2920, 0) + 28 - 1), 0)</f>
        <v>4.3</v>
      </c>
      <c r="H29" t="str">
        <f>IF(28&lt;=COUNTIF(Data_Monitoring!$A$2:$A$2920, Dashboard_Visual!$B$4), INDEX(Data_Monitoring!$L$2:$L$2920, MATCH(Dashboard_Visual!$B$4, Data_Monitoring!$A$2:$A$2920, 0) + 28 - 1), "")</f>
        <v>Aman</v>
      </c>
      <c r="I29" t="str">
        <f>IF(AND(28&lt;=$P$2, ISNUMBER(D29), OR(H29="Warning", H29="Overgrade")), TEXT(ABS(D29)/100, "0.00%"), "")</f>
        <v/>
      </c>
      <c r="J29">
        <f t="shared" si="0"/>
        <v>100.81</v>
      </c>
      <c r="K29" t="e">
        <f>IF(AND(28&lt;=$P$2, H29="Warning"), C29, NA())</f>
        <v>#N/A</v>
      </c>
      <c r="L29" t="e">
        <f>IF(AND(28&lt;=$P$2, H29="Overgrade"), C29, NA())</f>
        <v>#N/A</v>
      </c>
      <c r="M29">
        <f>IF(28&lt;=COUNTIF(Data_Monitoring!$A$2:$A$2920, Dashboard_Visual!$B$4), INDEX(Data_Monitoring!$S$2:$S$2920, MATCH(Dashboard_Visual!$B$4, Data_Monitoring!$A$2:$A$2920, 0) + 28 - 1), 1)</f>
        <v>1</v>
      </c>
    </row>
    <row r="30" spans="1:13" x14ac:dyDescent="0.25">
      <c r="A30" t="str">
        <f>IF(29&lt;=COUNTIF(Data_Monitoring!$A$2:$A$2920, Dashboard_Visual!$B$4), INDEX(Data_Monitoring!$B$2:$B$2920, MATCH(Dashboard_Visual!$B$4, Data_Monitoring!$A$2:$A$2920, 0) + 29 - 1), "")</f>
        <v>0+560</v>
      </c>
      <c r="B30">
        <f>IF(29&lt;=COUNTIF(Data_Monitoring!$A$2:$A$2920, Dashboard_Visual!$B$4), INDEX(Data_Monitoring!$C$2:$C$2920, MATCH(Dashboard_Visual!$B$4, Data_Monitoring!$A$2:$A$2920, 0) + 29 - 1), "")</f>
        <v>560</v>
      </c>
      <c r="C30">
        <f>IF(29&lt;=COUNTIF(Data_Monitoring!$A$2:$A$2920, Dashboard_Visual!$B$4), INDEX(Data_Monitoring!$J$2:$J$2920, MATCH(Dashboard_Visual!$B$4, Data_Monitoring!$A$2:$A$2920, 0) + 29 - 1), NA())</f>
        <v>102.39</v>
      </c>
      <c r="D30">
        <f>IF(29&lt;=COUNTIF(Data_Monitoring!$A$2:$A$2920, Dashboard_Visual!$B$4), INDEX(Data_Monitoring!$K$2:$K$2920, MATCH(Dashboard_Visual!$B$4, Data_Monitoring!$A$2:$A$2920, 0) + 29 - 1), NA())</f>
        <v>7.91</v>
      </c>
      <c r="E30">
        <f>IF(29&lt;=COUNTIF(Data_Monitoring!$A$2:$A$2920, Dashboard_Visual!$B$4), INDEX(Data_Monitoring!$H$2:$H$2920, MATCH(Dashboard_Visual!$B$4, Data_Monitoring!$A$2:$A$2920, 0) + 29 - 1), 0)</f>
        <v>40</v>
      </c>
      <c r="F30">
        <f>IF(29&lt;=COUNTIF(Data_Monitoring!$A$2:$A$2920, Dashboard_Visual!$B$4), INDEX(Data_Monitoring!$O$2:$O$2920, MATCH(Dashboard_Visual!$B$4, Data_Monitoring!$A$2:$A$2920, 0) + 29 - 1), 0)</f>
        <v>-1.28</v>
      </c>
      <c r="G30">
        <f>IF(29&lt;=COUNTIF(Data_Monitoring!$A$2:$A$2920, Dashboard_Visual!$B$4), INDEX(Data_Monitoring!$Q$2:$Q$2920, MATCH(Dashboard_Visual!$B$4, Data_Monitoring!$A$2:$A$2920, 0) + 29 - 1), 0)</f>
        <v>4.38</v>
      </c>
      <c r="H30" t="str">
        <f>IF(29&lt;=COUNTIF(Data_Monitoring!$A$2:$A$2920, Dashboard_Visual!$B$4), INDEX(Data_Monitoring!$L$2:$L$2920, MATCH(Dashboard_Visual!$B$4, Data_Monitoring!$A$2:$A$2920, 0) + 29 - 1), "")</f>
        <v>Aman</v>
      </c>
      <c r="I30" t="str">
        <f>IF(AND(29&lt;=$P$2, ISNUMBER(D30), OR(H30="Warning", H30="Overgrade")), TEXT(ABS(D30)/100, "0.00%"), "")</f>
        <v/>
      </c>
      <c r="J30">
        <f t="shared" si="0"/>
        <v>102.39</v>
      </c>
      <c r="K30" t="e">
        <f>IF(AND(29&lt;=$P$2, H30="Warning"), C30, NA())</f>
        <v>#N/A</v>
      </c>
      <c r="L30" t="e">
        <f>IF(AND(29&lt;=$P$2, H30="Overgrade"), C30, NA())</f>
        <v>#N/A</v>
      </c>
      <c r="M30">
        <f>IF(29&lt;=COUNTIF(Data_Monitoring!$A$2:$A$2920, Dashboard_Visual!$B$4), INDEX(Data_Monitoring!$S$2:$S$2920, MATCH(Dashboard_Visual!$B$4, Data_Monitoring!$A$2:$A$2920, 0) + 29 - 1), 1)</f>
        <v>1</v>
      </c>
    </row>
    <row r="31" spans="1:13" x14ac:dyDescent="0.25">
      <c r="A31" t="str">
        <f>IF(30&lt;=COUNTIF(Data_Monitoring!$A$2:$A$2920, Dashboard_Visual!$B$4), INDEX(Data_Monitoring!$B$2:$B$2920, MATCH(Dashboard_Visual!$B$4, Data_Monitoring!$A$2:$A$2920, 0) + 30 - 1), "")</f>
        <v>0+580</v>
      </c>
      <c r="B31">
        <f>IF(30&lt;=COUNTIF(Data_Monitoring!$A$2:$A$2920, Dashboard_Visual!$B$4), INDEX(Data_Monitoring!$C$2:$C$2920, MATCH(Dashboard_Visual!$B$4, Data_Monitoring!$A$2:$A$2920, 0) + 30 - 1), "")</f>
        <v>580</v>
      </c>
      <c r="C31">
        <f>IF(30&lt;=COUNTIF(Data_Monitoring!$A$2:$A$2920, Dashboard_Visual!$B$4), INDEX(Data_Monitoring!$J$2:$J$2920, MATCH(Dashboard_Visual!$B$4, Data_Monitoring!$A$2:$A$2920, 0) + 30 - 1), NA())</f>
        <v>100.64</v>
      </c>
      <c r="D31">
        <f>IF(30&lt;=COUNTIF(Data_Monitoring!$A$2:$A$2920, Dashboard_Visual!$B$4), INDEX(Data_Monitoring!$K$2:$K$2920, MATCH(Dashboard_Visual!$B$4, Data_Monitoring!$A$2:$A$2920, 0) + 30 - 1), NA())</f>
        <v>-8.77</v>
      </c>
      <c r="E31">
        <f>IF(30&lt;=COUNTIF(Data_Monitoring!$A$2:$A$2920, Dashboard_Visual!$B$4), INDEX(Data_Monitoring!$H$2:$H$2920, MATCH(Dashboard_Visual!$B$4, Data_Monitoring!$A$2:$A$2920, 0) + 30 - 1), 0)</f>
        <v>40</v>
      </c>
      <c r="F31">
        <f>IF(30&lt;=COUNTIF(Data_Monitoring!$A$2:$A$2920, Dashboard_Visual!$B$4), INDEX(Data_Monitoring!$O$2:$O$2920, MATCH(Dashboard_Visual!$B$4, Data_Monitoring!$A$2:$A$2920, 0) + 30 - 1), 0)</f>
        <v>-4.38</v>
      </c>
      <c r="G31">
        <f>IF(30&lt;=COUNTIF(Data_Monitoring!$A$2:$A$2920, Dashboard_Visual!$B$4), INDEX(Data_Monitoring!$Q$2:$Q$2920, MATCH(Dashboard_Visual!$B$4, Data_Monitoring!$A$2:$A$2920, 0) + 30 - 1), 0)</f>
        <v>2.14</v>
      </c>
      <c r="H31" t="str">
        <f>IF(30&lt;=COUNTIF(Data_Monitoring!$A$2:$A$2920, Dashboard_Visual!$B$4), INDEX(Data_Monitoring!$L$2:$L$2920, MATCH(Dashboard_Visual!$B$4, Data_Monitoring!$A$2:$A$2920, 0) + 30 - 1), "")</f>
        <v>Warning</v>
      </c>
      <c r="I31" t="str">
        <f>IF(AND(30&lt;=$P$2, ISNUMBER(D31), OR(H31="Warning", H31="Overgrade")), TEXT(ABS(D31)/100, "0.00%"), "")</f>
        <v>009%</v>
      </c>
      <c r="J31" t="e">
        <f t="shared" si="0"/>
        <v>#N/A</v>
      </c>
      <c r="K31">
        <f>IF(AND(30&lt;=$P$2, H31="Warning"), C31, NA())</f>
        <v>100.64</v>
      </c>
      <c r="L31" t="e">
        <f>IF(AND(30&lt;=$P$2, H31="Overgrade"), C31, NA())</f>
        <v>#N/A</v>
      </c>
      <c r="M31">
        <f>IF(30&lt;=COUNTIF(Data_Monitoring!$A$2:$A$2920, Dashboard_Visual!$B$4), INDEX(Data_Monitoring!$S$2:$S$2920, MATCH(Dashboard_Visual!$B$4, Data_Monitoring!$A$2:$A$2920, 0) + 30 - 1), 1)</f>
        <v>1</v>
      </c>
    </row>
    <row r="32" spans="1:13" x14ac:dyDescent="0.25">
      <c r="A32" t="str">
        <f>IF(31&lt;=COUNTIF(Data_Monitoring!$A$2:$A$2920, Dashboard_Visual!$B$4), INDEX(Data_Monitoring!$B$2:$B$2920, MATCH(Dashboard_Visual!$B$4, Data_Monitoring!$A$2:$A$2920, 0) + 31 - 1), "")</f>
        <v>0+600</v>
      </c>
      <c r="B32">
        <f>IF(31&lt;=COUNTIF(Data_Monitoring!$A$2:$A$2920, Dashboard_Visual!$B$4), INDEX(Data_Monitoring!$C$2:$C$2920, MATCH(Dashboard_Visual!$B$4, Data_Monitoring!$A$2:$A$2920, 0) + 31 - 1), "")</f>
        <v>600</v>
      </c>
      <c r="C32">
        <f>IF(31&lt;=COUNTIF(Data_Monitoring!$A$2:$A$2920, Dashboard_Visual!$B$4), INDEX(Data_Monitoring!$J$2:$J$2920, MATCH(Dashboard_Visual!$B$4, Data_Monitoring!$A$2:$A$2920, 0) + 31 - 1), NA())</f>
        <v>100.8</v>
      </c>
      <c r="D32">
        <f>IF(31&lt;=COUNTIF(Data_Monitoring!$A$2:$A$2920, Dashboard_Visual!$B$4), INDEX(Data_Monitoring!$K$2:$K$2920, MATCH(Dashboard_Visual!$B$4, Data_Monitoring!$A$2:$A$2920, 0) + 31 - 1), NA())</f>
        <v>0.81</v>
      </c>
      <c r="E32">
        <f>IF(31&lt;=COUNTIF(Data_Monitoring!$A$2:$A$2920, Dashboard_Visual!$B$4), INDEX(Data_Monitoring!$H$2:$H$2920, MATCH(Dashboard_Visual!$B$4, Data_Monitoring!$A$2:$A$2920, 0) + 31 - 1), 0)</f>
        <v>40</v>
      </c>
      <c r="F32">
        <f>IF(31&lt;=COUNTIF(Data_Monitoring!$A$2:$A$2920, Dashboard_Visual!$B$4), INDEX(Data_Monitoring!$O$2:$O$2920, MATCH(Dashboard_Visual!$B$4, Data_Monitoring!$A$2:$A$2920, 0) + 31 - 1), 0)</f>
        <v>-4.17</v>
      </c>
      <c r="G32">
        <f>IF(31&lt;=COUNTIF(Data_Monitoring!$A$2:$A$2920, Dashboard_Visual!$B$4), INDEX(Data_Monitoring!$Q$2:$Q$2920, MATCH(Dashboard_Visual!$B$4, Data_Monitoring!$A$2:$A$2920, 0) + 31 - 1), 0)</f>
        <v>4.92</v>
      </c>
      <c r="H32" t="str">
        <f>IF(31&lt;=COUNTIF(Data_Monitoring!$A$2:$A$2920, Dashboard_Visual!$B$4), INDEX(Data_Monitoring!$L$2:$L$2920, MATCH(Dashboard_Visual!$B$4, Data_Monitoring!$A$2:$A$2920, 0) + 31 - 1), "")</f>
        <v>Aman</v>
      </c>
      <c r="I32" t="str">
        <f>IF(AND(31&lt;=$P$2, ISNUMBER(D32), OR(H32="Warning", H32="Overgrade")), TEXT(ABS(D32)/100, "0.00%"), "")</f>
        <v/>
      </c>
      <c r="J32">
        <f t="shared" si="0"/>
        <v>100.8</v>
      </c>
      <c r="K32" t="e">
        <f>IF(AND(31&lt;=$P$2, H32="Warning"), C32, NA())</f>
        <v>#N/A</v>
      </c>
      <c r="L32" t="e">
        <f>IF(AND(31&lt;=$P$2, H32="Overgrade"), C32, NA())</f>
        <v>#N/A</v>
      </c>
      <c r="M32">
        <f>IF(31&lt;=COUNTIF(Data_Monitoring!$A$2:$A$2920, Dashboard_Visual!$B$4), INDEX(Data_Monitoring!$S$2:$S$2920, MATCH(Dashboard_Visual!$B$4, Data_Monitoring!$A$2:$A$2920, 0) + 31 - 1), 1)</f>
        <v>1</v>
      </c>
    </row>
    <row r="33" spans="1:13" x14ac:dyDescent="0.25">
      <c r="A33" t="str">
        <f>IF(32&lt;=COUNTIF(Data_Monitoring!$A$2:$A$2920, Dashboard_Visual!$B$4), INDEX(Data_Monitoring!$B$2:$B$2920, MATCH(Dashboard_Visual!$B$4, Data_Monitoring!$A$2:$A$2920, 0) + 32 - 1), "")</f>
        <v>0+620</v>
      </c>
      <c r="B33">
        <f>IF(32&lt;=COUNTIF(Data_Monitoring!$A$2:$A$2920, Dashboard_Visual!$B$4), INDEX(Data_Monitoring!$C$2:$C$2920, MATCH(Dashboard_Visual!$B$4, Data_Monitoring!$A$2:$A$2920, 0) + 32 - 1), "")</f>
        <v>620</v>
      </c>
      <c r="C33">
        <f>IF(32&lt;=COUNTIF(Data_Monitoring!$A$2:$A$2920, Dashboard_Visual!$B$4), INDEX(Data_Monitoring!$J$2:$J$2920, MATCH(Dashboard_Visual!$B$4, Data_Monitoring!$A$2:$A$2920, 0) + 32 - 1), NA())</f>
        <v>100.83</v>
      </c>
      <c r="D33">
        <f>IF(32&lt;=COUNTIF(Data_Monitoring!$A$2:$A$2920, Dashboard_Visual!$B$4), INDEX(Data_Monitoring!$K$2:$K$2920, MATCH(Dashboard_Visual!$B$4, Data_Monitoring!$A$2:$A$2920, 0) + 32 - 1), NA())</f>
        <v>0.16</v>
      </c>
      <c r="E33">
        <f>IF(32&lt;=COUNTIF(Data_Monitoring!$A$2:$A$2920, Dashboard_Visual!$B$4), INDEX(Data_Monitoring!$H$2:$H$2920, MATCH(Dashboard_Visual!$B$4, Data_Monitoring!$A$2:$A$2920, 0) + 32 - 1), 0)</f>
        <v>40</v>
      </c>
      <c r="F33">
        <f>IF(32&lt;=COUNTIF(Data_Monitoring!$A$2:$A$2920, Dashboard_Visual!$B$4), INDEX(Data_Monitoring!$O$2:$O$2920, MATCH(Dashboard_Visual!$B$4, Data_Monitoring!$A$2:$A$2920, 0) + 32 - 1), 0)</f>
        <v>-4.4400000000000004</v>
      </c>
      <c r="G33">
        <f>IF(32&lt;=COUNTIF(Data_Monitoring!$A$2:$A$2920, Dashboard_Visual!$B$4), INDEX(Data_Monitoring!$Q$2:$Q$2920, MATCH(Dashboard_Visual!$B$4, Data_Monitoring!$A$2:$A$2920, 0) + 32 - 1), 0)</f>
        <v>4.29</v>
      </c>
      <c r="H33" t="str">
        <f>IF(32&lt;=COUNTIF(Data_Monitoring!$A$2:$A$2920, Dashboard_Visual!$B$4), INDEX(Data_Monitoring!$L$2:$L$2920, MATCH(Dashboard_Visual!$B$4, Data_Monitoring!$A$2:$A$2920, 0) + 32 - 1), "")</f>
        <v>Aman</v>
      </c>
      <c r="I33" t="str">
        <f>IF(AND(32&lt;=$P$2, ISNUMBER(D33), OR(H33="Warning", H33="Overgrade")), TEXT(ABS(D33)/100, "0.00%"), "")</f>
        <v/>
      </c>
      <c r="J33">
        <f t="shared" si="0"/>
        <v>100.83</v>
      </c>
      <c r="K33" t="e">
        <f>IF(AND(32&lt;=$P$2, H33="Warning"), C33, NA())</f>
        <v>#N/A</v>
      </c>
      <c r="L33" t="e">
        <f>IF(AND(32&lt;=$P$2, H33="Overgrade"), C33, NA())</f>
        <v>#N/A</v>
      </c>
      <c r="M33">
        <f>IF(32&lt;=COUNTIF(Data_Monitoring!$A$2:$A$2920, Dashboard_Visual!$B$4), INDEX(Data_Monitoring!$S$2:$S$2920, MATCH(Dashboard_Visual!$B$4, Data_Monitoring!$A$2:$A$2920, 0) + 32 - 1), 1)</f>
        <v>1</v>
      </c>
    </row>
    <row r="34" spans="1:13" x14ac:dyDescent="0.25">
      <c r="A34" t="str">
        <f>IF(33&lt;=COUNTIF(Data_Monitoring!$A$2:$A$2920, Dashboard_Visual!$B$4), INDEX(Data_Monitoring!$B$2:$B$2920, MATCH(Dashboard_Visual!$B$4, Data_Monitoring!$A$2:$A$2920, 0) + 33 - 1), "")</f>
        <v>0+640</v>
      </c>
      <c r="B34">
        <f>IF(33&lt;=COUNTIF(Data_Monitoring!$A$2:$A$2920, Dashboard_Visual!$B$4), INDEX(Data_Monitoring!$C$2:$C$2920, MATCH(Dashboard_Visual!$B$4, Data_Monitoring!$A$2:$A$2920, 0) + 33 - 1), "")</f>
        <v>640</v>
      </c>
      <c r="C34">
        <f>IF(33&lt;=COUNTIF(Data_Monitoring!$A$2:$A$2920, Dashboard_Visual!$B$4), INDEX(Data_Monitoring!$J$2:$J$2920, MATCH(Dashboard_Visual!$B$4, Data_Monitoring!$A$2:$A$2920, 0) + 33 - 1), NA())</f>
        <v>100.59</v>
      </c>
      <c r="D34">
        <f>IF(33&lt;=COUNTIF(Data_Monitoring!$A$2:$A$2920, Dashboard_Visual!$B$4), INDEX(Data_Monitoring!$K$2:$K$2920, MATCH(Dashboard_Visual!$B$4, Data_Monitoring!$A$2:$A$2920, 0) + 33 - 1), NA())</f>
        <v>-1.21</v>
      </c>
      <c r="E34">
        <f>IF(33&lt;=COUNTIF(Data_Monitoring!$A$2:$A$2920, Dashboard_Visual!$B$4), INDEX(Data_Monitoring!$H$2:$H$2920, MATCH(Dashboard_Visual!$B$4, Data_Monitoring!$A$2:$A$2920, 0) + 33 - 1), 0)</f>
        <v>40</v>
      </c>
      <c r="F34">
        <f>IF(33&lt;=COUNTIF(Data_Monitoring!$A$2:$A$2920, Dashboard_Visual!$B$4), INDEX(Data_Monitoring!$O$2:$O$2920, MATCH(Dashboard_Visual!$B$4, Data_Monitoring!$A$2:$A$2920, 0) + 33 - 1), 0)</f>
        <v>-5.16</v>
      </c>
      <c r="G34">
        <f>IF(33&lt;=COUNTIF(Data_Monitoring!$A$2:$A$2920, Dashboard_Visual!$B$4), INDEX(Data_Monitoring!$Q$2:$Q$2920, MATCH(Dashboard_Visual!$B$4, Data_Monitoring!$A$2:$A$2920, 0) + 33 - 1), 0)</f>
        <v>-2.12</v>
      </c>
      <c r="H34" t="str">
        <f>IF(33&lt;=COUNTIF(Data_Monitoring!$A$2:$A$2920, Dashboard_Visual!$B$4), INDEX(Data_Monitoring!$L$2:$L$2920, MATCH(Dashboard_Visual!$B$4, Data_Monitoring!$A$2:$A$2920, 0) + 33 - 1), "")</f>
        <v>Aman</v>
      </c>
      <c r="I34" t="str">
        <f>IF(AND(33&lt;=$P$2, ISNUMBER(D34), OR(H34="Warning", H34="Overgrade")), TEXT(ABS(D34)/100, "0.00%"), "")</f>
        <v/>
      </c>
      <c r="J34">
        <f t="shared" si="0"/>
        <v>100.59</v>
      </c>
      <c r="K34" t="e">
        <f>IF(AND(33&lt;=$P$2, H34="Warning"), C34, NA())</f>
        <v>#N/A</v>
      </c>
      <c r="L34" t="e">
        <f>IF(AND(33&lt;=$P$2, H34="Overgrade"), C34, NA())</f>
        <v>#N/A</v>
      </c>
      <c r="M34">
        <f>IF(33&lt;=COUNTIF(Data_Monitoring!$A$2:$A$2920, Dashboard_Visual!$B$4), INDEX(Data_Monitoring!$S$2:$S$2920, MATCH(Dashboard_Visual!$B$4, Data_Monitoring!$A$2:$A$2920, 0) + 33 - 1), 1)</f>
        <v>1</v>
      </c>
    </row>
    <row r="35" spans="1:13" x14ac:dyDescent="0.25">
      <c r="A35" t="str">
        <f>IF(34&lt;=COUNTIF(Data_Monitoring!$A$2:$A$2920, Dashboard_Visual!$B$4), INDEX(Data_Monitoring!$B$2:$B$2920, MATCH(Dashboard_Visual!$B$4, Data_Monitoring!$A$2:$A$2920, 0) + 34 - 1), "")</f>
        <v>0+660</v>
      </c>
      <c r="B35">
        <f>IF(34&lt;=COUNTIF(Data_Monitoring!$A$2:$A$2920, Dashboard_Visual!$B$4), INDEX(Data_Monitoring!$C$2:$C$2920, MATCH(Dashboard_Visual!$B$4, Data_Monitoring!$A$2:$A$2920, 0) + 34 - 1), "")</f>
        <v>660</v>
      </c>
      <c r="C35">
        <f>IF(34&lt;=COUNTIF(Data_Monitoring!$A$2:$A$2920, Dashboard_Visual!$B$4), INDEX(Data_Monitoring!$J$2:$J$2920, MATCH(Dashboard_Visual!$B$4, Data_Monitoring!$A$2:$A$2920, 0) + 34 - 1), NA())</f>
        <v>100.35</v>
      </c>
      <c r="D35">
        <f>IF(34&lt;=COUNTIF(Data_Monitoring!$A$2:$A$2920, Dashboard_Visual!$B$4), INDEX(Data_Monitoring!$K$2:$K$2920, MATCH(Dashboard_Visual!$B$4, Data_Monitoring!$A$2:$A$2920, 0) + 34 - 1), NA())</f>
        <v>-1.18</v>
      </c>
      <c r="E35">
        <f>IF(34&lt;=COUNTIF(Data_Monitoring!$A$2:$A$2920, Dashboard_Visual!$B$4), INDEX(Data_Monitoring!$H$2:$H$2920, MATCH(Dashboard_Visual!$B$4, Data_Monitoring!$A$2:$A$2920, 0) + 34 - 1), 0)</f>
        <v>40</v>
      </c>
      <c r="F35">
        <f>IF(34&lt;=COUNTIF(Data_Monitoring!$A$2:$A$2920, Dashboard_Visual!$B$4), INDEX(Data_Monitoring!$O$2:$O$2920, MATCH(Dashboard_Visual!$B$4, Data_Monitoring!$A$2:$A$2920, 0) + 34 - 1), 0)</f>
        <v>-6.19</v>
      </c>
      <c r="G35">
        <f>IF(34&lt;=COUNTIF(Data_Monitoring!$A$2:$A$2920, Dashboard_Visual!$B$4), INDEX(Data_Monitoring!$Q$2:$Q$2920, MATCH(Dashboard_Visual!$B$4, Data_Monitoring!$A$2:$A$2920, 0) + 34 - 1), 0)</f>
        <v>1.87</v>
      </c>
      <c r="H35" t="str">
        <f>IF(34&lt;=COUNTIF(Data_Monitoring!$A$2:$A$2920, Dashboard_Visual!$B$4), INDEX(Data_Monitoring!$L$2:$L$2920, MATCH(Dashboard_Visual!$B$4, Data_Monitoring!$A$2:$A$2920, 0) + 34 - 1), "")</f>
        <v>Aman</v>
      </c>
      <c r="I35" t="str">
        <f>IF(AND(34&lt;=$P$2, ISNUMBER(D35), OR(H35="Warning", H35="Overgrade")), TEXT(ABS(D35)/100, "0.00%"), "")</f>
        <v/>
      </c>
      <c r="J35">
        <f t="shared" si="0"/>
        <v>100.35</v>
      </c>
      <c r="K35" t="e">
        <f>IF(AND(34&lt;=$P$2, H35="Warning"), C35, NA())</f>
        <v>#N/A</v>
      </c>
      <c r="L35" t="e">
        <f>IF(AND(34&lt;=$P$2, H35="Overgrade"), C35, NA())</f>
        <v>#N/A</v>
      </c>
      <c r="M35">
        <f>IF(34&lt;=COUNTIF(Data_Monitoring!$A$2:$A$2920, Dashboard_Visual!$B$4), INDEX(Data_Monitoring!$S$2:$S$2920, MATCH(Dashboard_Visual!$B$4, Data_Monitoring!$A$2:$A$2920, 0) + 34 - 1), 1)</f>
        <v>1</v>
      </c>
    </row>
    <row r="36" spans="1:13" x14ac:dyDescent="0.25">
      <c r="A36" t="str">
        <f>IF(35&lt;=COUNTIF(Data_Monitoring!$A$2:$A$2920, Dashboard_Visual!$B$4), INDEX(Data_Monitoring!$B$2:$B$2920, MATCH(Dashboard_Visual!$B$4, Data_Monitoring!$A$2:$A$2920, 0) + 35 - 1), "")</f>
        <v>0+680</v>
      </c>
      <c r="B36">
        <f>IF(35&lt;=COUNTIF(Data_Monitoring!$A$2:$A$2920, Dashboard_Visual!$B$4), INDEX(Data_Monitoring!$C$2:$C$2920, MATCH(Dashboard_Visual!$B$4, Data_Monitoring!$A$2:$A$2920, 0) + 35 - 1), "")</f>
        <v>680</v>
      </c>
      <c r="C36">
        <f>IF(35&lt;=COUNTIF(Data_Monitoring!$A$2:$A$2920, Dashboard_Visual!$B$4), INDEX(Data_Monitoring!$J$2:$J$2920, MATCH(Dashboard_Visual!$B$4, Data_Monitoring!$A$2:$A$2920, 0) + 35 - 1), NA())</f>
        <v>100.52</v>
      </c>
      <c r="D36">
        <f>IF(35&lt;=COUNTIF(Data_Monitoring!$A$2:$A$2920, Dashboard_Visual!$B$4), INDEX(Data_Monitoring!$K$2:$K$2920, MATCH(Dashboard_Visual!$B$4, Data_Monitoring!$A$2:$A$2920, 0) + 35 - 1), NA())</f>
        <v>0.84</v>
      </c>
      <c r="E36">
        <f>IF(35&lt;=COUNTIF(Data_Monitoring!$A$2:$A$2920, Dashboard_Visual!$B$4), INDEX(Data_Monitoring!$H$2:$H$2920, MATCH(Dashboard_Visual!$B$4, Data_Monitoring!$A$2:$A$2920, 0) + 35 - 1), 0)</f>
        <v>36.11</v>
      </c>
      <c r="F36">
        <f>IF(35&lt;=COUNTIF(Data_Monitoring!$A$2:$A$2920, Dashboard_Visual!$B$4), INDEX(Data_Monitoring!$O$2:$O$2920, MATCH(Dashboard_Visual!$B$4, Data_Monitoring!$A$2:$A$2920, 0) + 35 - 1), 0)</f>
        <v>-5.34</v>
      </c>
      <c r="G36">
        <f>IF(35&lt;=COUNTIF(Data_Monitoring!$A$2:$A$2920, Dashboard_Visual!$B$4), INDEX(Data_Monitoring!$Q$2:$Q$2920, MATCH(Dashboard_Visual!$B$4, Data_Monitoring!$A$2:$A$2920, 0) + 35 - 1), 0)</f>
        <v>-8.11</v>
      </c>
      <c r="H36" t="str">
        <f>IF(35&lt;=COUNTIF(Data_Monitoring!$A$2:$A$2920, Dashboard_Visual!$B$4), INDEX(Data_Monitoring!$L$2:$L$2920, MATCH(Dashboard_Visual!$B$4, Data_Monitoring!$A$2:$A$2920, 0) + 35 - 1), "")</f>
        <v>Aman</v>
      </c>
      <c r="I36" t="str">
        <f>IF(AND(35&lt;=$P$2, ISNUMBER(D36), OR(H36="Warning", H36="Overgrade")), TEXT(ABS(D36)/100, "0.00%"), "")</f>
        <v/>
      </c>
      <c r="J36">
        <f t="shared" si="0"/>
        <v>100.52</v>
      </c>
      <c r="K36" t="e">
        <f>IF(AND(35&lt;=$P$2, H36="Warning"), C36, NA())</f>
        <v>#N/A</v>
      </c>
      <c r="L36" t="e">
        <f>IF(AND(35&lt;=$P$2, H36="Overgrade"), C36, NA())</f>
        <v>#N/A</v>
      </c>
      <c r="M36">
        <f>IF(35&lt;=COUNTIF(Data_Monitoring!$A$2:$A$2920, Dashboard_Visual!$B$4), INDEX(Data_Monitoring!$S$2:$S$2920, MATCH(Dashboard_Visual!$B$4, Data_Monitoring!$A$2:$A$2920, 0) + 35 - 1), 1)</f>
        <v>1</v>
      </c>
    </row>
    <row r="37" spans="1:13" x14ac:dyDescent="0.25">
      <c r="A37" t="str">
        <f>IF(36&lt;=COUNTIF(Data_Monitoring!$A$2:$A$2920, Dashboard_Visual!$B$4), INDEX(Data_Monitoring!$B$2:$B$2920, MATCH(Dashboard_Visual!$B$4, Data_Monitoring!$A$2:$A$2920, 0) + 36 - 1), "")</f>
        <v>0+700</v>
      </c>
      <c r="B37">
        <f>IF(36&lt;=COUNTIF(Data_Monitoring!$A$2:$A$2920, Dashboard_Visual!$B$4), INDEX(Data_Monitoring!$C$2:$C$2920, MATCH(Dashboard_Visual!$B$4, Data_Monitoring!$A$2:$A$2920, 0) + 36 - 1), "")</f>
        <v>700</v>
      </c>
      <c r="C37">
        <f>IF(36&lt;=COUNTIF(Data_Monitoring!$A$2:$A$2920, Dashboard_Visual!$B$4), INDEX(Data_Monitoring!$J$2:$J$2920, MATCH(Dashboard_Visual!$B$4, Data_Monitoring!$A$2:$A$2920, 0) + 36 - 1), NA())</f>
        <v>101.49</v>
      </c>
      <c r="D37">
        <f>IF(36&lt;=COUNTIF(Data_Monitoring!$A$2:$A$2920, Dashboard_Visual!$B$4), INDEX(Data_Monitoring!$K$2:$K$2920, MATCH(Dashboard_Visual!$B$4, Data_Monitoring!$A$2:$A$2920, 0) + 36 - 1), NA())</f>
        <v>4.84</v>
      </c>
      <c r="E37">
        <f>IF(36&lt;=COUNTIF(Data_Monitoring!$A$2:$A$2920, Dashboard_Visual!$B$4), INDEX(Data_Monitoring!$H$2:$H$2920, MATCH(Dashboard_Visual!$B$4, Data_Monitoring!$A$2:$A$2920, 0) + 36 - 1), 0)</f>
        <v>36.85</v>
      </c>
      <c r="F37">
        <f>IF(36&lt;=COUNTIF(Data_Monitoring!$A$2:$A$2920, Dashboard_Visual!$B$4), INDEX(Data_Monitoring!$O$2:$O$2920, MATCH(Dashboard_Visual!$B$4, Data_Monitoring!$A$2:$A$2920, 0) + 36 - 1), 0)</f>
        <v>-3.72</v>
      </c>
      <c r="G37">
        <f>IF(36&lt;=COUNTIF(Data_Monitoring!$A$2:$A$2920, Dashboard_Visual!$B$4), INDEX(Data_Monitoring!$Q$2:$Q$2920, MATCH(Dashboard_Visual!$B$4, Data_Monitoring!$A$2:$A$2920, 0) + 36 - 1), 0)</f>
        <v>2.2400000000000002</v>
      </c>
      <c r="H37" t="str">
        <f>IF(36&lt;=COUNTIF(Data_Monitoring!$A$2:$A$2920, Dashboard_Visual!$B$4), INDEX(Data_Monitoring!$L$2:$L$2920, MATCH(Dashboard_Visual!$B$4, Data_Monitoring!$A$2:$A$2920, 0) + 36 - 1), "")</f>
        <v>Aman</v>
      </c>
      <c r="I37" t="str">
        <f>IF(AND(36&lt;=$P$2, ISNUMBER(D37), OR(H37="Warning", H37="Overgrade")), TEXT(ABS(D37)/100, "0.00%"), "")</f>
        <v/>
      </c>
      <c r="J37">
        <f t="shared" si="0"/>
        <v>101.49</v>
      </c>
      <c r="K37" t="e">
        <f>IF(AND(36&lt;=$P$2, H37="Warning"), C37, NA())</f>
        <v>#N/A</v>
      </c>
      <c r="L37" t="e">
        <f>IF(AND(36&lt;=$P$2, H37="Overgrade"), C37, NA())</f>
        <v>#N/A</v>
      </c>
      <c r="M37">
        <f>IF(36&lt;=COUNTIF(Data_Monitoring!$A$2:$A$2920, Dashboard_Visual!$B$4), INDEX(Data_Monitoring!$S$2:$S$2920, MATCH(Dashboard_Visual!$B$4, Data_Monitoring!$A$2:$A$2920, 0) + 36 - 1), 1)</f>
        <v>1</v>
      </c>
    </row>
    <row r="38" spans="1:13" x14ac:dyDescent="0.25">
      <c r="A38" t="str">
        <f>IF(37&lt;=COUNTIF(Data_Monitoring!$A$2:$A$2920, Dashboard_Visual!$B$4), INDEX(Data_Monitoring!$B$2:$B$2920, MATCH(Dashboard_Visual!$B$4, Data_Monitoring!$A$2:$A$2920, 0) + 37 - 1), "")</f>
        <v>0+720</v>
      </c>
      <c r="B38">
        <f>IF(37&lt;=COUNTIF(Data_Monitoring!$A$2:$A$2920, Dashboard_Visual!$B$4), INDEX(Data_Monitoring!$C$2:$C$2920, MATCH(Dashboard_Visual!$B$4, Data_Monitoring!$A$2:$A$2920, 0) + 37 - 1), "")</f>
        <v>720</v>
      </c>
      <c r="C38">
        <f>IF(37&lt;=COUNTIF(Data_Monitoring!$A$2:$A$2920, Dashboard_Visual!$B$4), INDEX(Data_Monitoring!$J$2:$J$2920, MATCH(Dashboard_Visual!$B$4, Data_Monitoring!$A$2:$A$2920, 0) + 37 - 1), NA())</f>
        <v>99.74</v>
      </c>
      <c r="D38">
        <f>IF(37&lt;=COUNTIF(Data_Monitoring!$A$2:$A$2920, Dashboard_Visual!$B$4), INDEX(Data_Monitoring!$K$2:$K$2920, MATCH(Dashboard_Visual!$B$4, Data_Monitoring!$A$2:$A$2920, 0) + 37 - 1), NA())</f>
        <v>-8.74</v>
      </c>
      <c r="E38">
        <f>IF(37&lt;=COUNTIF(Data_Monitoring!$A$2:$A$2920, Dashboard_Visual!$B$4), INDEX(Data_Monitoring!$H$2:$H$2920, MATCH(Dashboard_Visual!$B$4, Data_Monitoring!$A$2:$A$2920, 0) + 37 - 1), 0)</f>
        <v>33.72</v>
      </c>
      <c r="F38">
        <f>IF(37&lt;=COUNTIF(Data_Monitoring!$A$2:$A$2920, Dashboard_Visual!$B$4), INDEX(Data_Monitoring!$O$2:$O$2920, MATCH(Dashboard_Visual!$B$4, Data_Monitoring!$A$2:$A$2920, 0) + 37 - 1), 0)</f>
        <v>-6.04</v>
      </c>
      <c r="G38">
        <f>IF(37&lt;=COUNTIF(Data_Monitoring!$A$2:$A$2920, Dashboard_Visual!$B$4), INDEX(Data_Monitoring!$Q$2:$Q$2920, MATCH(Dashboard_Visual!$B$4, Data_Monitoring!$A$2:$A$2920, 0) + 37 - 1), 0)</f>
        <v>2.75</v>
      </c>
      <c r="H38" t="str">
        <f>IF(37&lt;=COUNTIF(Data_Monitoring!$A$2:$A$2920, Dashboard_Visual!$B$4), INDEX(Data_Monitoring!$L$2:$L$2920, MATCH(Dashboard_Visual!$B$4, Data_Monitoring!$A$2:$A$2920, 0) + 37 - 1), "")</f>
        <v>Warning</v>
      </c>
      <c r="I38" t="str">
        <f>IF(AND(37&lt;=$P$2, ISNUMBER(D38), OR(H38="Warning", H38="Overgrade")), TEXT(ABS(D38)/100, "0.00%"), "")</f>
        <v>009%</v>
      </c>
      <c r="J38" t="e">
        <f t="shared" si="0"/>
        <v>#N/A</v>
      </c>
      <c r="K38">
        <f>IF(AND(37&lt;=$P$2, H38="Warning"), C38, NA())</f>
        <v>99.74</v>
      </c>
      <c r="L38" t="e">
        <f>IF(AND(37&lt;=$P$2, H38="Overgrade"), C38, NA())</f>
        <v>#N/A</v>
      </c>
      <c r="M38">
        <f>IF(37&lt;=COUNTIF(Data_Monitoring!$A$2:$A$2920, Dashboard_Visual!$B$4), INDEX(Data_Monitoring!$S$2:$S$2920, MATCH(Dashboard_Visual!$B$4, Data_Monitoring!$A$2:$A$2920, 0) + 37 - 1), 1)</f>
        <v>1</v>
      </c>
    </row>
    <row r="39" spans="1:13" x14ac:dyDescent="0.25">
      <c r="A39" t="str">
        <f>IF(38&lt;=COUNTIF(Data_Monitoring!$A$2:$A$2920, Dashboard_Visual!$B$4), INDEX(Data_Monitoring!$B$2:$B$2920, MATCH(Dashboard_Visual!$B$4, Data_Monitoring!$A$2:$A$2920, 0) + 38 - 1), "")</f>
        <v>0+740</v>
      </c>
      <c r="B39">
        <f>IF(38&lt;=COUNTIF(Data_Monitoring!$A$2:$A$2920, Dashboard_Visual!$B$4), INDEX(Data_Monitoring!$C$2:$C$2920, MATCH(Dashboard_Visual!$B$4, Data_Monitoring!$A$2:$A$2920, 0) + 38 - 1), "")</f>
        <v>740</v>
      </c>
      <c r="C39">
        <f>IF(38&lt;=COUNTIF(Data_Monitoring!$A$2:$A$2920, Dashboard_Visual!$B$4), INDEX(Data_Monitoring!$J$2:$J$2920, MATCH(Dashboard_Visual!$B$4, Data_Monitoring!$A$2:$A$2920, 0) + 38 - 1), NA())</f>
        <v>98.91</v>
      </c>
      <c r="D39">
        <f>IF(38&lt;=COUNTIF(Data_Monitoring!$A$2:$A$2920, Dashboard_Visual!$B$4), INDEX(Data_Monitoring!$K$2:$K$2920, MATCH(Dashboard_Visual!$B$4, Data_Monitoring!$A$2:$A$2920, 0) + 38 - 1), NA())</f>
        <v>-4.18</v>
      </c>
      <c r="E39">
        <f>IF(38&lt;=COUNTIF(Data_Monitoring!$A$2:$A$2920, Dashboard_Visual!$B$4), INDEX(Data_Monitoring!$H$2:$H$2920, MATCH(Dashboard_Visual!$B$4, Data_Monitoring!$A$2:$A$2920, 0) + 38 - 1), 0)</f>
        <v>33.700000000000003</v>
      </c>
      <c r="F39">
        <f>IF(38&lt;=COUNTIF(Data_Monitoring!$A$2:$A$2920, Dashboard_Visual!$B$4), INDEX(Data_Monitoring!$O$2:$O$2920, MATCH(Dashboard_Visual!$B$4, Data_Monitoring!$A$2:$A$2920, 0) + 38 - 1), 0)</f>
        <v>-2.19</v>
      </c>
      <c r="G39">
        <f>IF(38&lt;=COUNTIF(Data_Monitoring!$A$2:$A$2920, Dashboard_Visual!$B$4), INDEX(Data_Monitoring!$Q$2:$Q$2920, MATCH(Dashboard_Visual!$B$4, Data_Monitoring!$A$2:$A$2920, 0) + 38 - 1), 0)</f>
        <v>5.36</v>
      </c>
      <c r="H39" t="str">
        <f>IF(38&lt;=COUNTIF(Data_Monitoring!$A$2:$A$2920, Dashboard_Visual!$B$4), INDEX(Data_Monitoring!$L$2:$L$2920, MATCH(Dashboard_Visual!$B$4, Data_Monitoring!$A$2:$A$2920, 0) + 38 - 1), "")</f>
        <v>Aman</v>
      </c>
      <c r="I39" t="str">
        <f>IF(AND(38&lt;=$P$2, ISNUMBER(D39), OR(H39="Warning", H39="Overgrade")), TEXT(ABS(D39)/100, "0.00%"), "")</f>
        <v/>
      </c>
      <c r="J39">
        <f t="shared" si="0"/>
        <v>98.91</v>
      </c>
      <c r="K39" t="e">
        <f>IF(AND(38&lt;=$P$2, H39="Warning"), C39, NA())</f>
        <v>#N/A</v>
      </c>
      <c r="L39" t="e">
        <f>IF(AND(38&lt;=$P$2, H39="Overgrade"), C39, NA())</f>
        <v>#N/A</v>
      </c>
      <c r="M39">
        <f>IF(38&lt;=COUNTIF(Data_Monitoring!$A$2:$A$2920, Dashboard_Visual!$B$4), INDEX(Data_Monitoring!$S$2:$S$2920, MATCH(Dashboard_Visual!$B$4, Data_Monitoring!$A$2:$A$2920, 0) + 38 - 1), 1)</f>
        <v>1</v>
      </c>
    </row>
    <row r="40" spans="1:13" x14ac:dyDescent="0.25">
      <c r="A40" t="str">
        <f>IF(39&lt;=COUNTIF(Data_Monitoring!$A$2:$A$2920, Dashboard_Visual!$B$4), INDEX(Data_Monitoring!$B$2:$B$2920, MATCH(Dashboard_Visual!$B$4, Data_Monitoring!$A$2:$A$2920, 0) + 39 - 1), "")</f>
        <v>0+760</v>
      </c>
      <c r="B40">
        <f>IF(39&lt;=COUNTIF(Data_Monitoring!$A$2:$A$2920, Dashboard_Visual!$B$4), INDEX(Data_Monitoring!$C$2:$C$2920, MATCH(Dashboard_Visual!$B$4, Data_Monitoring!$A$2:$A$2920, 0) + 39 - 1), "")</f>
        <v>760</v>
      </c>
      <c r="C40">
        <f>IF(39&lt;=COUNTIF(Data_Monitoring!$A$2:$A$2920, Dashboard_Visual!$B$4), INDEX(Data_Monitoring!$J$2:$J$2920, MATCH(Dashboard_Visual!$B$4, Data_Monitoring!$A$2:$A$2920, 0) + 39 - 1), NA())</f>
        <v>98.03</v>
      </c>
      <c r="D40">
        <f>IF(39&lt;=COUNTIF(Data_Monitoring!$A$2:$A$2920, Dashboard_Visual!$B$4), INDEX(Data_Monitoring!$K$2:$K$2920, MATCH(Dashboard_Visual!$B$4, Data_Monitoring!$A$2:$A$2920, 0) + 39 - 1), NA())</f>
        <v>-4.3899999999999997</v>
      </c>
      <c r="E40">
        <f>IF(39&lt;=COUNTIF(Data_Monitoring!$A$2:$A$2920, Dashboard_Visual!$B$4), INDEX(Data_Monitoring!$H$2:$H$2920, MATCH(Dashboard_Visual!$B$4, Data_Monitoring!$A$2:$A$2920, 0) + 39 - 1), 0)</f>
        <v>32.619999999999997</v>
      </c>
      <c r="F40">
        <f>IF(39&lt;=COUNTIF(Data_Monitoring!$A$2:$A$2920, Dashboard_Visual!$B$4), INDEX(Data_Monitoring!$O$2:$O$2920, MATCH(Dashboard_Visual!$B$4, Data_Monitoring!$A$2:$A$2920, 0) + 39 - 1), 0)</f>
        <v>-3.58</v>
      </c>
      <c r="G40">
        <f>IF(39&lt;=COUNTIF(Data_Monitoring!$A$2:$A$2920, Dashboard_Visual!$B$4), INDEX(Data_Monitoring!$Q$2:$Q$2920, MATCH(Dashboard_Visual!$B$4, Data_Monitoring!$A$2:$A$2920, 0) + 39 - 1), 0)</f>
        <v>5.62</v>
      </c>
      <c r="H40" t="str">
        <f>IF(39&lt;=COUNTIF(Data_Monitoring!$A$2:$A$2920, Dashboard_Visual!$B$4), INDEX(Data_Monitoring!$L$2:$L$2920, MATCH(Dashboard_Visual!$B$4, Data_Monitoring!$A$2:$A$2920, 0) + 39 - 1), "")</f>
        <v>Aman</v>
      </c>
      <c r="I40" t="str">
        <f>IF(AND(39&lt;=$P$2, ISNUMBER(D40), OR(H40="Warning", H40="Overgrade")), TEXT(ABS(D40)/100, "0.00%"), "")</f>
        <v/>
      </c>
      <c r="J40">
        <f t="shared" si="0"/>
        <v>98.03</v>
      </c>
      <c r="K40" t="e">
        <f>IF(AND(39&lt;=$P$2, H40="Warning"), C40, NA())</f>
        <v>#N/A</v>
      </c>
      <c r="L40" t="e">
        <f>IF(AND(39&lt;=$P$2, H40="Overgrade"), C40, NA())</f>
        <v>#N/A</v>
      </c>
      <c r="M40">
        <f>IF(39&lt;=COUNTIF(Data_Monitoring!$A$2:$A$2920, Dashboard_Visual!$B$4), INDEX(Data_Monitoring!$S$2:$S$2920, MATCH(Dashboard_Visual!$B$4, Data_Monitoring!$A$2:$A$2920, 0) + 39 - 1), 1)</f>
        <v>1</v>
      </c>
    </row>
    <row r="41" spans="1:13" x14ac:dyDescent="0.25">
      <c r="A41" t="str">
        <f>IF(40&lt;=COUNTIF(Data_Monitoring!$A$2:$A$2920, Dashboard_Visual!$B$4), INDEX(Data_Monitoring!$B$2:$B$2920, MATCH(Dashboard_Visual!$B$4, Data_Monitoring!$A$2:$A$2920, 0) + 40 - 1), "")</f>
        <v>0+780</v>
      </c>
      <c r="B41">
        <f>IF(40&lt;=COUNTIF(Data_Monitoring!$A$2:$A$2920, Dashboard_Visual!$B$4), INDEX(Data_Monitoring!$C$2:$C$2920, MATCH(Dashboard_Visual!$B$4, Data_Monitoring!$A$2:$A$2920, 0) + 40 - 1), "")</f>
        <v>780</v>
      </c>
      <c r="C41">
        <f>IF(40&lt;=COUNTIF(Data_Monitoring!$A$2:$A$2920, Dashboard_Visual!$B$4), INDEX(Data_Monitoring!$J$2:$J$2920, MATCH(Dashboard_Visual!$B$4, Data_Monitoring!$A$2:$A$2920, 0) + 40 - 1), NA())</f>
        <v>97.35</v>
      </c>
      <c r="D41">
        <f>IF(40&lt;=COUNTIF(Data_Monitoring!$A$2:$A$2920, Dashboard_Visual!$B$4), INDEX(Data_Monitoring!$K$2:$K$2920, MATCH(Dashboard_Visual!$B$4, Data_Monitoring!$A$2:$A$2920, 0) + 40 - 1), NA())</f>
        <v>-3.38</v>
      </c>
      <c r="E41">
        <f>IF(40&lt;=COUNTIF(Data_Monitoring!$A$2:$A$2920, Dashboard_Visual!$B$4), INDEX(Data_Monitoring!$H$2:$H$2920, MATCH(Dashboard_Visual!$B$4, Data_Monitoring!$A$2:$A$2920, 0) + 40 - 1), 0)</f>
        <v>34.04</v>
      </c>
      <c r="F41">
        <f>IF(40&lt;=COUNTIF(Data_Monitoring!$A$2:$A$2920, Dashboard_Visual!$B$4), INDEX(Data_Monitoring!$O$2:$O$2920, MATCH(Dashboard_Visual!$B$4, Data_Monitoring!$A$2:$A$2920, 0) + 40 - 1), 0)</f>
        <v>-3.35</v>
      </c>
      <c r="G41">
        <f>IF(40&lt;=COUNTIF(Data_Monitoring!$A$2:$A$2920, Dashboard_Visual!$B$4), INDEX(Data_Monitoring!$Q$2:$Q$2920, MATCH(Dashboard_Visual!$B$4, Data_Monitoring!$A$2:$A$2920, 0) + 40 - 1), 0)</f>
        <v>4.13</v>
      </c>
      <c r="H41" t="str">
        <f>IF(40&lt;=COUNTIF(Data_Monitoring!$A$2:$A$2920, Dashboard_Visual!$B$4), INDEX(Data_Monitoring!$L$2:$L$2920, MATCH(Dashboard_Visual!$B$4, Data_Monitoring!$A$2:$A$2920, 0) + 40 - 1), "")</f>
        <v>Aman</v>
      </c>
      <c r="I41" t="str">
        <f>IF(AND(40&lt;=$P$2, ISNUMBER(D41), OR(H41="Warning", H41="Overgrade")), TEXT(ABS(D41)/100, "0.00%"), "")</f>
        <v/>
      </c>
      <c r="J41">
        <f t="shared" si="0"/>
        <v>97.35</v>
      </c>
      <c r="K41" t="e">
        <f>IF(AND(40&lt;=$P$2, H41="Warning"), C41, NA())</f>
        <v>#N/A</v>
      </c>
      <c r="L41" t="e">
        <f>IF(AND(40&lt;=$P$2, H41="Overgrade"), C41, NA())</f>
        <v>#N/A</v>
      </c>
      <c r="M41">
        <f>IF(40&lt;=COUNTIF(Data_Monitoring!$A$2:$A$2920, Dashboard_Visual!$B$4), INDEX(Data_Monitoring!$S$2:$S$2920, MATCH(Dashboard_Visual!$B$4, Data_Monitoring!$A$2:$A$2920, 0) + 40 - 1), 1)</f>
        <v>1</v>
      </c>
    </row>
    <row r="42" spans="1:13" x14ac:dyDescent="0.25">
      <c r="A42" t="str">
        <f>IF(41&lt;=COUNTIF(Data_Monitoring!$A$2:$A$2920, Dashboard_Visual!$B$4), INDEX(Data_Monitoring!$B$2:$B$2920, MATCH(Dashboard_Visual!$B$4, Data_Monitoring!$A$2:$A$2920, 0) + 41 - 1), "")</f>
        <v>0+800</v>
      </c>
      <c r="B42">
        <f>IF(41&lt;=COUNTIF(Data_Monitoring!$A$2:$A$2920, Dashboard_Visual!$B$4), INDEX(Data_Monitoring!$C$2:$C$2920, MATCH(Dashboard_Visual!$B$4, Data_Monitoring!$A$2:$A$2920, 0) + 41 - 1), "")</f>
        <v>800</v>
      </c>
      <c r="C42">
        <f>IF(41&lt;=COUNTIF(Data_Monitoring!$A$2:$A$2920, Dashboard_Visual!$B$4), INDEX(Data_Monitoring!$J$2:$J$2920, MATCH(Dashboard_Visual!$B$4, Data_Monitoring!$A$2:$A$2920, 0) + 41 - 1), NA())</f>
        <v>96.48</v>
      </c>
      <c r="D42">
        <f>IF(41&lt;=COUNTIF(Data_Monitoring!$A$2:$A$2920, Dashboard_Visual!$B$4), INDEX(Data_Monitoring!$K$2:$K$2920, MATCH(Dashboard_Visual!$B$4, Data_Monitoring!$A$2:$A$2920, 0) + 41 - 1), NA())</f>
        <v>-4.37</v>
      </c>
      <c r="E42">
        <f>IF(41&lt;=COUNTIF(Data_Monitoring!$A$2:$A$2920, Dashboard_Visual!$B$4), INDEX(Data_Monitoring!$H$2:$H$2920, MATCH(Dashboard_Visual!$B$4, Data_Monitoring!$A$2:$A$2920, 0) + 41 - 1), 0)</f>
        <v>33.15</v>
      </c>
      <c r="F42">
        <f>IF(41&lt;=COUNTIF(Data_Monitoring!$A$2:$A$2920, Dashboard_Visual!$B$4), INDEX(Data_Monitoring!$O$2:$O$2920, MATCH(Dashboard_Visual!$B$4, Data_Monitoring!$A$2:$A$2920, 0) + 41 - 1), 0)</f>
        <v>-1.98</v>
      </c>
      <c r="G42">
        <f>IF(41&lt;=COUNTIF(Data_Monitoring!$A$2:$A$2920, Dashboard_Visual!$B$4), INDEX(Data_Monitoring!$Q$2:$Q$2920, MATCH(Dashboard_Visual!$B$4, Data_Monitoring!$A$2:$A$2920, 0) + 41 - 1), 0)</f>
        <v>4.51</v>
      </c>
      <c r="H42" t="str">
        <f>IF(41&lt;=COUNTIF(Data_Monitoring!$A$2:$A$2920, Dashboard_Visual!$B$4), INDEX(Data_Monitoring!$L$2:$L$2920, MATCH(Dashboard_Visual!$B$4, Data_Monitoring!$A$2:$A$2920, 0) + 41 - 1), "")</f>
        <v>Aman</v>
      </c>
      <c r="I42" t="str">
        <f>IF(AND(41&lt;=$P$2, ISNUMBER(D42), OR(H42="Warning", H42="Overgrade")), TEXT(ABS(D42)/100, "0.00%"), "")</f>
        <v/>
      </c>
      <c r="J42">
        <f t="shared" si="0"/>
        <v>96.48</v>
      </c>
      <c r="K42" t="e">
        <f>IF(AND(41&lt;=$P$2, H42="Warning"), C42, NA())</f>
        <v>#N/A</v>
      </c>
      <c r="L42" t="e">
        <f>IF(AND(41&lt;=$P$2, H42="Overgrade"), C42, NA())</f>
        <v>#N/A</v>
      </c>
      <c r="M42">
        <f>IF(41&lt;=COUNTIF(Data_Monitoring!$A$2:$A$2920, Dashboard_Visual!$B$4), INDEX(Data_Monitoring!$S$2:$S$2920, MATCH(Dashboard_Visual!$B$4, Data_Monitoring!$A$2:$A$2920, 0) + 41 - 1), 1)</f>
        <v>1</v>
      </c>
    </row>
    <row r="43" spans="1:13" x14ac:dyDescent="0.25">
      <c r="A43" t="str">
        <f>IF(42&lt;=COUNTIF(Data_Monitoring!$A$2:$A$2920, Dashboard_Visual!$B$4), INDEX(Data_Monitoring!$B$2:$B$2920, MATCH(Dashboard_Visual!$B$4, Data_Monitoring!$A$2:$A$2920, 0) + 42 - 1), "")</f>
        <v>0+820</v>
      </c>
      <c r="B43">
        <f>IF(42&lt;=COUNTIF(Data_Monitoring!$A$2:$A$2920, Dashboard_Visual!$B$4), INDEX(Data_Monitoring!$C$2:$C$2920, MATCH(Dashboard_Visual!$B$4, Data_Monitoring!$A$2:$A$2920, 0) + 42 - 1), "")</f>
        <v>820</v>
      </c>
      <c r="C43">
        <f>IF(42&lt;=COUNTIF(Data_Monitoring!$A$2:$A$2920, Dashboard_Visual!$B$4), INDEX(Data_Monitoring!$J$2:$J$2920, MATCH(Dashboard_Visual!$B$4, Data_Monitoring!$A$2:$A$2920, 0) + 42 - 1), NA())</f>
        <v>95.41</v>
      </c>
      <c r="D43">
        <f>IF(42&lt;=COUNTIF(Data_Monitoring!$A$2:$A$2920, Dashboard_Visual!$B$4), INDEX(Data_Monitoring!$K$2:$K$2920, MATCH(Dashboard_Visual!$B$4, Data_Monitoring!$A$2:$A$2920, 0) + 42 - 1), NA())</f>
        <v>-5.36</v>
      </c>
      <c r="E43">
        <f>IF(42&lt;=COUNTIF(Data_Monitoring!$A$2:$A$2920, Dashboard_Visual!$B$4), INDEX(Data_Monitoring!$H$2:$H$2920, MATCH(Dashboard_Visual!$B$4, Data_Monitoring!$A$2:$A$2920, 0) + 42 - 1), 0)</f>
        <v>34.409999999999997</v>
      </c>
      <c r="F43">
        <f>IF(42&lt;=COUNTIF(Data_Monitoring!$A$2:$A$2920, Dashboard_Visual!$B$4), INDEX(Data_Monitoring!$O$2:$O$2920, MATCH(Dashboard_Visual!$B$4, Data_Monitoring!$A$2:$A$2920, 0) + 42 - 1), 0)</f>
        <v>-2.94</v>
      </c>
      <c r="G43">
        <f>IF(42&lt;=COUNTIF(Data_Monitoring!$A$2:$A$2920, Dashboard_Visual!$B$4), INDEX(Data_Monitoring!$Q$2:$Q$2920, MATCH(Dashboard_Visual!$B$4, Data_Monitoring!$A$2:$A$2920, 0) + 42 - 1), 0)</f>
        <v>5.34</v>
      </c>
      <c r="H43" t="str">
        <f>IF(42&lt;=COUNTIF(Data_Monitoring!$A$2:$A$2920, Dashboard_Visual!$B$4), INDEX(Data_Monitoring!$L$2:$L$2920, MATCH(Dashboard_Visual!$B$4, Data_Monitoring!$A$2:$A$2920, 0) + 42 - 1), "")</f>
        <v>Aman</v>
      </c>
      <c r="I43" t="str">
        <f>IF(AND(42&lt;=$P$2, ISNUMBER(D43), OR(H43="Warning", H43="Overgrade")), TEXT(ABS(D43)/100, "0.00%"), "")</f>
        <v/>
      </c>
      <c r="J43">
        <f t="shared" si="0"/>
        <v>95.41</v>
      </c>
      <c r="K43" t="e">
        <f>IF(AND(42&lt;=$P$2, H43="Warning"), C43, NA())</f>
        <v>#N/A</v>
      </c>
      <c r="L43" t="e">
        <f>IF(AND(42&lt;=$P$2, H43="Overgrade"), C43, NA())</f>
        <v>#N/A</v>
      </c>
      <c r="M43">
        <f>IF(42&lt;=COUNTIF(Data_Monitoring!$A$2:$A$2920, Dashboard_Visual!$B$4), INDEX(Data_Monitoring!$S$2:$S$2920, MATCH(Dashboard_Visual!$B$4, Data_Monitoring!$A$2:$A$2920, 0) + 42 - 1), 1)</f>
        <v>1</v>
      </c>
    </row>
    <row r="44" spans="1:13" x14ac:dyDescent="0.25">
      <c r="A44" t="str">
        <f>IF(43&lt;=COUNTIF(Data_Monitoring!$A$2:$A$2920, Dashboard_Visual!$B$4), INDEX(Data_Monitoring!$B$2:$B$2920, MATCH(Dashboard_Visual!$B$4, Data_Monitoring!$A$2:$A$2920, 0) + 43 - 1), "")</f>
        <v>0+840</v>
      </c>
      <c r="B44">
        <f>IF(43&lt;=COUNTIF(Data_Monitoring!$A$2:$A$2920, Dashboard_Visual!$B$4), INDEX(Data_Monitoring!$C$2:$C$2920, MATCH(Dashboard_Visual!$B$4, Data_Monitoring!$A$2:$A$2920, 0) + 43 - 1), "")</f>
        <v>840</v>
      </c>
      <c r="C44">
        <f>IF(43&lt;=COUNTIF(Data_Monitoring!$A$2:$A$2920, Dashboard_Visual!$B$4), INDEX(Data_Monitoring!$J$2:$J$2920, MATCH(Dashboard_Visual!$B$4, Data_Monitoring!$A$2:$A$2920, 0) + 43 - 1), NA())</f>
        <v>95.49</v>
      </c>
      <c r="D44">
        <f>IF(43&lt;=COUNTIF(Data_Monitoring!$A$2:$A$2920, Dashboard_Visual!$B$4), INDEX(Data_Monitoring!$K$2:$K$2920, MATCH(Dashboard_Visual!$B$4, Data_Monitoring!$A$2:$A$2920, 0) + 43 - 1), NA())</f>
        <v>0.43</v>
      </c>
      <c r="E44">
        <f>IF(43&lt;=COUNTIF(Data_Monitoring!$A$2:$A$2920, Dashboard_Visual!$B$4), INDEX(Data_Monitoring!$H$2:$H$2920, MATCH(Dashboard_Visual!$B$4, Data_Monitoring!$A$2:$A$2920, 0) + 43 - 1), 0)</f>
        <v>37.01</v>
      </c>
      <c r="F44">
        <f>IF(43&lt;=COUNTIF(Data_Monitoring!$A$2:$A$2920, Dashboard_Visual!$B$4), INDEX(Data_Monitoring!$O$2:$O$2920, MATCH(Dashboard_Visual!$B$4, Data_Monitoring!$A$2:$A$2920, 0) + 43 - 1), 0)</f>
        <v>-1.69</v>
      </c>
      <c r="G44">
        <f>IF(43&lt;=COUNTIF(Data_Monitoring!$A$2:$A$2920, Dashboard_Visual!$B$4), INDEX(Data_Monitoring!$Q$2:$Q$2920, MATCH(Dashboard_Visual!$B$4, Data_Monitoring!$A$2:$A$2920, 0) + 43 - 1), 0)</f>
        <v>4.16</v>
      </c>
      <c r="H44" t="str">
        <f>IF(43&lt;=COUNTIF(Data_Monitoring!$A$2:$A$2920, Dashboard_Visual!$B$4), INDEX(Data_Monitoring!$L$2:$L$2920, MATCH(Dashboard_Visual!$B$4, Data_Monitoring!$A$2:$A$2920, 0) + 43 - 1), "")</f>
        <v>Aman</v>
      </c>
      <c r="I44" t="str">
        <f>IF(AND(43&lt;=$P$2, ISNUMBER(D44), OR(H44="Warning", H44="Overgrade")), TEXT(ABS(D44)/100, "0.00%"), "")</f>
        <v/>
      </c>
      <c r="J44">
        <f t="shared" si="0"/>
        <v>95.49</v>
      </c>
      <c r="K44" t="e">
        <f>IF(AND(43&lt;=$P$2, H44="Warning"), C44, NA())</f>
        <v>#N/A</v>
      </c>
      <c r="L44" t="e">
        <f>IF(AND(43&lt;=$P$2, H44="Overgrade"), C44, NA())</f>
        <v>#N/A</v>
      </c>
      <c r="M44">
        <f>IF(43&lt;=COUNTIF(Data_Monitoring!$A$2:$A$2920, Dashboard_Visual!$B$4), INDEX(Data_Monitoring!$S$2:$S$2920, MATCH(Dashboard_Visual!$B$4, Data_Monitoring!$A$2:$A$2920, 0) + 43 - 1), 1)</f>
        <v>1</v>
      </c>
    </row>
    <row r="45" spans="1:13" x14ac:dyDescent="0.25">
      <c r="A45" t="str">
        <f>IF(44&lt;=COUNTIF(Data_Monitoring!$A$2:$A$2920, Dashboard_Visual!$B$4), INDEX(Data_Monitoring!$B$2:$B$2920, MATCH(Dashboard_Visual!$B$4, Data_Monitoring!$A$2:$A$2920, 0) + 44 - 1), "")</f>
        <v>0+860</v>
      </c>
      <c r="B45">
        <f>IF(44&lt;=COUNTIF(Data_Monitoring!$A$2:$A$2920, Dashboard_Visual!$B$4), INDEX(Data_Monitoring!$C$2:$C$2920, MATCH(Dashboard_Visual!$B$4, Data_Monitoring!$A$2:$A$2920, 0) + 44 - 1), "")</f>
        <v>860</v>
      </c>
      <c r="C45">
        <f>IF(44&lt;=COUNTIF(Data_Monitoring!$A$2:$A$2920, Dashboard_Visual!$B$4), INDEX(Data_Monitoring!$J$2:$J$2920, MATCH(Dashboard_Visual!$B$4, Data_Monitoring!$A$2:$A$2920, 0) + 44 - 1), NA())</f>
        <v>93.19</v>
      </c>
      <c r="D45">
        <f>IF(44&lt;=COUNTIF(Data_Monitoring!$A$2:$A$2920, Dashboard_Visual!$B$4), INDEX(Data_Monitoring!$K$2:$K$2920, MATCH(Dashboard_Visual!$B$4, Data_Monitoring!$A$2:$A$2920, 0) + 44 - 1), NA())</f>
        <v>-11.52</v>
      </c>
      <c r="E45">
        <f>IF(44&lt;=COUNTIF(Data_Monitoring!$A$2:$A$2920, Dashboard_Visual!$B$4), INDEX(Data_Monitoring!$H$2:$H$2920, MATCH(Dashboard_Visual!$B$4, Data_Monitoring!$A$2:$A$2920, 0) + 44 - 1), 0)</f>
        <v>36</v>
      </c>
      <c r="F45">
        <f>IF(44&lt;=COUNTIF(Data_Monitoring!$A$2:$A$2920, Dashboard_Visual!$B$4), INDEX(Data_Monitoring!$O$2:$O$2920, MATCH(Dashboard_Visual!$B$4, Data_Monitoring!$A$2:$A$2920, 0) + 44 - 1), 0)</f>
        <v>-4.17</v>
      </c>
      <c r="G45">
        <f>IF(44&lt;=COUNTIF(Data_Monitoring!$A$2:$A$2920, Dashboard_Visual!$B$4), INDEX(Data_Monitoring!$Q$2:$Q$2920, MATCH(Dashboard_Visual!$B$4, Data_Monitoring!$A$2:$A$2920, 0) + 44 - 1), 0)</f>
        <v>4.0599999999999996</v>
      </c>
      <c r="H45" t="str">
        <f>IF(44&lt;=COUNTIF(Data_Monitoring!$A$2:$A$2920, Dashboard_Visual!$B$4), INDEX(Data_Monitoring!$L$2:$L$2920, MATCH(Dashboard_Visual!$B$4, Data_Monitoring!$A$2:$A$2920, 0) + 44 - 1), "")</f>
        <v>Overgrade</v>
      </c>
      <c r="I45" t="str">
        <f>IF(AND(44&lt;=$P$2, ISNUMBER(D45), OR(H45="Warning", H45="Overgrade")), TEXT(ABS(D45)/100, "0.00%"), "")</f>
        <v>012%</v>
      </c>
      <c r="J45" t="e">
        <f t="shared" si="0"/>
        <v>#N/A</v>
      </c>
      <c r="K45" t="e">
        <f>IF(AND(44&lt;=$P$2, H45="Warning"), C45, NA())</f>
        <v>#N/A</v>
      </c>
      <c r="L45">
        <f>IF(AND(44&lt;=$P$2, H45="Overgrade"), C45, NA())</f>
        <v>93.19</v>
      </c>
      <c r="M45">
        <f>IF(44&lt;=COUNTIF(Data_Monitoring!$A$2:$A$2920, Dashboard_Visual!$B$4), INDEX(Data_Monitoring!$S$2:$S$2920, MATCH(Dashboard_Visual!$B$4, Data_Monitoring!$A$2:$A$2920, 0) + 44 - 1), 1)</f>
        <v>1</v>
      </c>
    </row>
    <row r="46" spans="1:13" x14ac:dyDescent="0.25">
      <c r="A46" t="str">
        <f>IF(45&lt;=COUNTIF(Data_Monitoring!$A$2:$A$2920, Dashboard_Visual!$B$4), INDEX(Data_Monitoring!$B$2:$B$2920, MATCH(Dashboard_Visual!$B$4, Data_Monitoring!$A$2:$A$2920, 0) + 45 - 1), "")</f>
        <v>0+880</v>
      </c>
      <c r="B46">
        <f>IF(45&lt;=COUNTIF(Data_Monitoring!$A$2:$A$2920, Dashboard_Visual!$B$4), INDEX(Data_Monitoring!$C$2:$C$2920, MATCH(Dashboard_Visual!$B$4, Data_Monitoring!$A$2:$A$2920, 0) + 45 - 1), "")</f>
        <v>880</v>
      </c>
      <c r="C46">
        <f>IF(45&lt;=COUNTIF(Data_Monitoring!$A$2:$A$2920, Dashboard_Visual!$B$4), INDEX(Data_Monitoring!$J$2:$J$2920, MATCH(Dashboard_Visual!$B$4, Data_Monitoring!$A$2:$A$2920, 0) + 45 - 1), NA())</f>
        <v>92.2</v>
      </c>
      <c r="D46">
        <f>IF(45&lt;=COUNTIF(Data_Monitoring!$A$2:$A$2920, Dashboard_Visual!$B$4), INDEX(Data_Monitoring!$K$2:$K$2920, MATCH(Dashboard_Visual!$B$4, Data_Monitoring!$A$2:$A$2920, 0) + 45 - 1), NA())</f>
        <v>-4.93</v>
      </c>
      <c r="E46">
        <f>IF(45&lt;=COUNTIF(Data_Monitoring!$A$2:$A$2920, Dashboard_Visual!$B$4), INDEX(Data_Monitoring!$H$2:$H$2920, MATCH(Dashboard_Visual!$B$4, Data_Monitoring!$A$2:$A$2920, 0) + 45 - 1), 0)</f>
        <v>36.799999999999997</v>
      </c>
      <c r="F46">
        <f>IF(45&lt;=COUNTIF(Data_Monitoring!$A$2:$A$2920, Dashboard_Visual!$B$4), INDEX(Data_Monitoring!$O$2:$O$2920, MATCH(Dashboard_Visual!$B$4, Data_Monitoring!$A$2:$A$2920, 0) + 45 - 1), 0)</f>
        <v>-5.47</v>
      </c>
      <c r="G46">
        <f>IF(45&lt;=COUNTIF(Data_Monitoring!$A$2:$A$2920, Dashboard_Visual!$B$4), INDEX(Data_Monitoring!$Q$2:$Q$2920, MATCH(Dashboard_Visual!$B$4, Data_Monitoring!$A$2:$A$2920, 0) + 45 - 1), 0)</f>
        <v>1.77</v>
      </c>
      <c r="H46" t="str">
        <f>IF(45&lt;=COUNTIF(Data_Monitoring!$A$2:$A$2920, Dashboard_Visual!$B$4), INDEX(Data_Monitoring!$L$2:$L$2920, MATCH(Dashboard_Visual!$B$4, Data_Monitoring!$A$2:$A$2920, 0) + 45 - 1), "")</f>
        <v>Aman</v>
      </c>
      <c r="I46" t="str">
        <f>IF(AND(45&lt;=$P$2, ISNUMBER(D46), OR(H46="Warning", H46="Overgrade")), TEXT(ABS(D46)/100, "0.00%"), "")</f>
        <v/>
      </c>
      <c r="J46">
        <f t="shared" si="0"/>
        <v>92.2</v>
      </c>
      <c r="K46" t="e">
        <f>IF(AND(45&lt;=$P$2, H46="Warning"), C46, NA())</f>
        <v>#N/A</v>
      </c>
      <c r="L46" t="e">
        <f>IF(AND(45&lt;=$P$2, H46="Overgrade"), C46, NA())</f>
        <v>#N/A</v>
      </c>
      <c r="M46">
        <f>IF(45&lt;=COUNTIF(Data_Monitoring!$A$2:$A$2920, Dashboard_Visual!$B$4), INDEX(Data_Monitoring!$S$2:$S$2920, MATCH(Dashboard_Visual!$B$4, Data_Monitoring!$A$2:$A$2920, 0) + 45 - 1), 1)</f>
        <v>1</v>
      </c>
    </row>
    <row r="47" spans="1:13" x14ac:dyDescent="0.25">
      <c r="A47" t="str">
        <f>IF(46&lt;=COUNTIF(Data_Monitoring!$A$2:$A$2920, Dashboard_Visual!$B$4), INDEX(Data_Monitoring!$B$2:$B$2920, MATCH(Dashboard_Visual!$B$4, Data_Monitoring!$A$2:$A$2920, 0) + 46 - 1), "")</f>
        <v>0+900</v>
      </c>
      <c r="B47">
        <f>IF(46&lt;=COUNTIF(Data_Monitoring!$A$2:$A$2920, Dashboard_Visual!$B$4), INDEX(Data_Monitoring!$C$2:$C$2920, MATCH(Dashboard_Visual!$B$4, Data_Monitoring!$A$2:$A$2920, 0) + 46 - 1), "")</f>
        <v>900</v>
      </c>
      <c r="C47">
        <f>IF(46&lt;=COUNTIF(Data_Monitoring!$A$2:$A$2920, Dashboard_Visual!$B$4), INDEX(Data_Monitoring!$J$2:$J$2920, MATCH(Dashboard_Visual!$B$4, Data_Monitoring!$A$2:$A$2920, 0) + 46 - 1), NA())</f>
        <v>93.4</v>
      </c>
      <c r="D47">
        <f>IF(46&lt;=COUNTIF(Data_Monitoring!$A$2:$A$2920, Dashboard_Visual!$B$4), INDEX(Data_Monitoring!$K$2:$K$2920, MATCH(Dashboard_Visual!$B$4, Data_Monitoring!$A$2:$A$2920, 0) + 46 - 1), NA())</f>
        <v>5.98</v>
      </c>
      <c r="E47">
        <f>IF(46&lt;=COUNTIF(Data_Monitoring!$A$2:$A$2920, Dashboard_Visual!$B$4), INDEX(Data_Monitoring!$H$2:$H$2920, MATCH(Dashboard_Visual!$B$4, Data_Monitoring!$A$2:$A$2920, 0) + 46 - 1), 0)</f>
        <v>37.89</v>
      </c>
      <c r="F47">
        <f>IF(46&lt;=COUNTIF(Data_Monitoring!$A$2:$A$2920, Dashboard_Visual!$B$4), INDEX(Data_Monitoring!$O$2:$O$2920, MATCH(Dashboard_Visual!$B$4, Data_Monitoring!$A$2:$A$2920, 0) + 46 - 1), 0)</f>
        <v>-2.95</v>
      </c>
      <c r="G47">
        <f>IF(46&lt;=COUNTIF(Data_Monitoring!$A$2:$A$2920, Dashboard_Visual!$B$4), INDEX(Data_Monitoring!$Q$2:$Q$2920, MATCH(Dashboard_Visual!$B$4, Data_Monitoring!$A$2:$A$2920, 0) + 46 - 1), 0)</f>
        <v>0.54</v>
      </c>
      <c r="H47" t="str">
        <f>IF(46&lt;=COUNTIF(Data_Monitoring!$A$2:$A$2920, Dashboard_Visual!$B$4), INDEX(Data_Monitoring!$L$2:$L$2920, MATCH(Dashboard_Visual!$B$4, Data_Monitoring!$A$2:$A$2920, 0) + 46 - 1), "")</f>
        <v>Aman</v>
      </c>
      <c r="I47" t="str">
        <f>IF(AND(46&lt;=$P$2, ISNUMBER(D47), OR(H47="Warning", H47="Overgrade")), TEXT(ABS(D47)/100, "0.00%"), "")</f>
        <v/>
      </c>
      <c r="J47">
        <f t="shared" si="0"/>
        <v>93.4</v>
      </c>
      <c r="K47" t="e">
        <f>IF(AND(46&lt;=$P$2, H47="Warning"), C47, NA())</f>
        <v>#N/A</v>
      </c>
      <c r="L47" t="e">
        <f>IF(AND(46&lt;=$P$2, H47="Overgrade"), C47, NA())</f>
        <v>#N/A</v>
      </c>
      <c r="M47">
        <f>IF(46&lt;=COUNTIF(Data_Monitoring!$A$2:$A$2920, Dashboard_Visual!$B$4), INDEX(Data_Monitoring!$S$2:$S$2920, MATCH(Dashboard_Visual!$B$4, Data_Monitoring!$A$2:$A$2920, 0) + 46 - 1), 1)</f>
        <v>1</v>
      </c>
    </row>
    <row r="48" spans="1:13" x14ac:dyDescent="0.25">
      <c r="A48" t="str">
        <f>IF(47&lt;=COUNTIF(Data_Monitoring!$A$2:$A$2920, Dashboard_Visual!$B$4), INDEX(Data_Monitoring!$B$2:$B$2920, MATCH(Dashboard_Visual!$B$4, Data_Monitoring!$A$2:$A$2920, 0) + 47 - 1), "")</f>
        <v>0+920</v>
      </c>
      <c r="B48">
        <f>IF(47&lt;=COUNTIF(Data_Monitoring!$A$2:$A$2920, Dashboard_Visual!$B$4), INDEX(Data_Monitoring!$C$2:$C$2920, MATCH(Dashboard_Visual!$B$4, Data_Monitoring!$A$2:$A$2920, 0) + 47 - 1), "")</f>
        <v>920</v>
      </c>
      <c r="C48">
        <f>IF(47&lt;=COUNTIF(Data_Monitoring!$A$2:$A$2920, Dashboard_Visual!$B$4), INDEX(Data_Monitoring!$J$2:$J$2920, MATCH(Dashboard_Visual!$B$4, Data_Monitoring!$A$2:$A$2920, 0) + 47 - 1), NA())</f>
        <v>92.64</v>
      </c>
      <c r="D48">
        <f>IF(47&lt;=COUNTIF(Data_Monitoring!$A$2:$A$2920, Dashboard_Visual!$B$4), INDEX(Data_Monitoring!$K$2:$K$2920, MATCH(Dashboard_Visual!$B$4, Data_Monitoring!$A$2:$A$2920, 0) + 47 - 1), NA())</f>
        <v>-3.8</v>
      </c>
      <c r="E48">
        <f>IF(47&lt;=COUNTIF(Data_Monitoring!$A$2:$A$2920, Dashboard_Visual!$B$4), INDEX(Data_Monitoring!$H$2:$H$2920, MATCH(Dashboard_Visual!$B$4, Data_Monitoring!$A$2:$A$2920, 0) + 47 - 1), 0)</f>
        <v>37.74</v>
      </c>
      <c r="F48">
        <f>IF(47&lt;=COUNTIF(Data_Monitoring!$A$2:$A$2920, Dashboard_Visual!$B$4), INDEX(Data_Monitoring!$O$2:$O$2920, MATCH(Dashboard_Visual!$B$4, Data_Monitoring!$A$2:$A$2920, 0) + 47 - 1), 0)</f>
        <v>-6.68</v>
      </c>
      <c r="G48">
        <f>IF(47&lt;=COUNTIF(Data_Monitoring!$A$2:$A$2920, Dashboard_Visual!$B$4), INDEX(Data_Monitoring!$Q$2:$Q$2920, MATCH(Dashboard_Visual!$B$4, Data_Monitoring!$A$2:$A$2920, 0) + 47 - 1), 0)</f>
        <v>1.63</v>
      </c>
      <c r="H48" t="str">
        <f>IF(47&lt;=COUNTIF(Data_Monitoring!$A$2:$A$2920, Dashboard_Visual!$B$4), INDEX(Data_Monitoring!$L$2:$L$2920, MATCH(Dashboard_Visual!$B$4, Data_Monitoring!$A$2:$A$2920, 0) + 47 - 1), "")</f>
        <v>Aman</v>
      </c>
      <c r="I48" t="str">
        <f>IF(AND(47&lt;=$P$2, ISNUMBER(D48), OR(H48="Warning", H48="Overgrade")), TEXT(ABS(D48)/100, "0.00%"), "")</f>
        <v/>
      </c>
      <c r="J48">
        <f t="shared" si="0"/>
        <v>92.64</v>
      </c>
      <c r="K48" t="e">
        <f>IF(AND(47&lt;=$P$2, H48="Warning"), C48, NA())</f>
        <v>#N/A</v>
      </c>
      <c r="L48" t="e">
        <f>IF(AND(47&lt;=$P$2, H48="Overgrade"), C48, NA())</f>
        <v>#N/A</v>
      </c>
      <c r="M48">
        <f>IF(47&lt;=COUNTIF(Data_Monitoring!$A$2:$A$2920, Dashboard_Visual!$B$4), INDEX(Data_Monitoring!$S$2:$S$2920, MATCH(Dashboard_Visual!$B$4, Data_Monitoring!$A$2:$A$2920, 0) + 47 - 1), 1)</f>
        <v>1</v>
      </c>
    </row>
    <row r="49" spans="1:13" x14ac:dyDescent="0.25">
      <c r="A49" t="str">
        <f>IF(48&lt;=COUNTIF(Data_Monitoring!$A$2:$A$2920, Dashboard_Visual!$B$4), INDEX(Data_Monitoring!$B$2:$B$2920, MATCH(Dashboard_Visual!$B$4, Data_Monitoring!$A$2:$A$2920, 0) + 48 - 1), "")</f>
        <v>0+940</v>
      </c>
      <c r="B49">
        <f>IF(48&lt;=COUNTIF(Data_Monitoring!$A$2:$A$2920, Dashboard_Visual!$B$4), INDEX(Data_Monitoring!$C$2:$C$2920, MATCH(Dashboard_Visual!$B$4, Data_Monitoring!$A$2:$A$2920, 0) + 48 - 1), "")</f>
        <v>940</v>
      </c>
      <c r="C49">
        <f>IF(48&lt;=COUNTIF(Data_Monitoring!$A$2:$A$2920, Dashboard_Visual!$B$4), INDEX(Data_Monitoring!$J$2:$J$2920, MATCH(Dashboard_Visual!$B$4, Data_Monitoring!$A$2:$A$2920, 0) + 48 - 1), NA())</f>
        <v>90.24</v>
      </c>
      <c r="D49">
        <f>IF(48&lt;=COUNTIF(Data_Monitoring!$A$2:$A$2920, Dashboard_Visual!$B$4), INDEX(Data_Monitoring!$K$2:$K$2920, MATCH(Dashboard_Visual!$B$4, Data_Monitoring!$A$2:$A$2920, 0) + 48 - 1), NA())</f>
        <v>-12.03</v>
      </c>
      <c r="E49">
        <f>IF(48&lt;=COUNTIF(Data_Monitoring!$A$2:$A$2920, Dashboard_Visual!$B$4), INDEX(Data_Monitoring!$H$2:$H$2920, MATCH(Dashboard_Visual!$B$4, Data_Monitoring!$A$2:$A$2920, 0) + 48 - 1), 0)</f>
        <v>31.94</v>
      </c>
      <c r="F49">
        <f>IF(48&lt;=COUNTIF(Data_Monitoring!$A$2:$A$2920, Dashboard_Visual!$B$4), INDEX(Data_Monitoring!$O$2:$O$2920, MATCH(Dashboard_Visual!$B$4, Data_Monitoring!$A$2:$A$2920, 0) + 48 - 1), 0)</f>
        <v>-1.28</v>
      </c>
      <c r="G49">
        <f>IF(48&lt;=COUNTIF(Data_Monitoring!$A$2:$A$2920, Dashboard_Visual!$B$4), INDEX(Data_Monitoring!$Q$2:$Q$2920, MATCH(Dashboard_Visual!$B$4, Data_Monitoring!$A$2:$A$2920, 0) + 48 - 1), 0)</f>
        <v>2.14</v>
      </c>
      <c r="H49" t="str">
        <f>IF(48&lt;=COUNTIF(Data_Monitoring!$A$2:$A$2920, Dashboard_Visual!$B$4), INDEX(Data_Monitoring!$L$2:$L$2920, MATCH(Dashboard_Visual!$B$4, Data_Monitoring!$A$2:$A$2920, 0) + 48 - 1), "")</f>
        <v>Overgrade</v>
      </c>
      <c r="I49" t="str">
        <f>IF(AND(48&lt;=$P$2, ISNUMBER(D49), OR(H49="Warning", H49="Overgrade")), TEXT(ABS(D49)/100, "0.00%"), "")</f>
        <v>012%</v>
      </c>
      <c r="J49" t="e">
        <f t="shared" si="0"/>
        <v>#N/A</v>
      </c>
      <c r="K49" t="e">
        <f>IF(AND(48&lt;=$P$2, H49="Warning"), C49, NA())</f>
        <v>#N/A</v>
      </c>
      <c r="L49">
        <f>IF(AND(48&lt;=$P$2, H49="Overgrade"), C49, NA())</f>
        <v>90.24</v>
      </c>
      <c r="M49">
        <f>IF(48&lt;=COUNTIF(Data_Monitoring!$A$2:$A$2920, Dashboard_Visual!$B$4), INDEX(Data_Monitoring!$S$2:$S$2920, MATCH(Dashboard_Visual!$B$4, Data_Monitoring!$A$2:$A$2920, 0) + 48 - 1), 1)</f>
        <v>1</v>
      </c>
    </row>
    <row r="50" spans="1:13" x14ac:dyDescent="0.25">
      <c r="A50" t="str">
        <f>IF(49&lt;=COUNTIF(Data_Monitoring!$A$2:$A$2920, Dashboard_Visual!$B$4), INDEX(Data_Monitoring!$B$2:$B$2920, MATCH(Dashboard_Visual!$B$4, Data_Monitoring!$A$2:$A$2920, 0) + 49 - 1), "")</f>
        <v>0+960</v>
      </c>
      <c r="B50">
        <f>IF(49&lt;=COUNTIF(Data_Monitoring!$A$2:$A$2920, Dashboard_Visual!$B$4), INDEX(Data_Monitoring!$C$2:$C$2920, MATCH(Dashboard_Visual!$B$4, Data_Monitoring!$A$2:$A$2920, 0) + 49 - 1), "")</f>
        <v>960</v>
      </c>
      <c r="C50">
        <f>IF(49&lt;=COUNTIF(Data_Monitoring!$A$2:$A$2920, Dashboard_Visual!$B$4), INDEX(Data_Monitoring!$J$2:$J$2920, MATCH(Dashboard_Visual!$B$4, Data_Monitoring!$A$2:$A$2920, 0) + 49 - 1), NA())</f>
        <v>89.25</v>
      </c>
      <c r="D50">
        <f>IF(49&lt;=COUNTIF(Data_Monitoring!$A$2:$A$2920, Dashboard_Visual!$B$4), INDEX(Data_Monitoring!$K$2:$K$2920, MATCH(Dashboard_Visual!$B$4, Data_Monitoring!$A$2:$A$2920, 0) + 49 - 1), NA())</f>
        <v>-4.9400000000000004</v>
      </c>
      <c r="E50">
        <f>IF(49&lt;=COUNTIF(Data_Monitoring!$A$2:$A$2920, Dashboard_Visual!$B$4), INDEX(Data_Monitoring!$H$2:$H$2920, MATCH(Dashboard_Visual!$B$4, Data_Monitoring!$A$2:$A$2920, 0) + 49 - 1), 0)</f>
        <v>32.04</v>
      </c>
      <c r="F50">
        <f>IF(49&lt;=COUNTIF(Data_Monitoring!$A$2:$A$2920, Dashboard_Visual!$B$4), INDEX(Data_Monitoring!$O$2:$O$2920, MATCH(Dashboard_Visual!$B$4, Data_Monitoring!$A$2:$A$2920, 0) + 49 - 1), 0)</f>
        <v>-0.01</v>
      </c>
      <c r="G50">
        <f>IF(49&lt;=COUNTIF(Data_Monitoring!$A$2:$A$2920, Dashboard_Visual!$B$4), INDEX(Data_Monitoring!$Q$2:$Q$2920, MATCH(Dashboard_Visual!$B$4, Data_Monitoring!$A$2:$A$2920, 0) + 49 - 1), 0)</f>
        <v>0.97</v>
      </c>
      <c r="H50" t="str">
        <f>IF(49&lt;=COUNTIF(Data_Monitoring!$A$2:$A$2920, Dashboard_Visual!$B$4), INDEX(Data_Monitoring!$L$2:$L$2920, MATCH(Dashboard_Visual!$B$4, Data_Monitoring!$A$2:$A$2920, 0) + 49 - 1), "")</f>
        <v>Aman</v>
      </c>
      <c r="I50" t="str">
        <f>IF(AND(49&lt;=$P$2, ISNUMBER(D50), OR(H50="Warning", H50="Overgrade")), TEXT(ABS(D50)/100, "0.00%"), "")</f>
        <v/>
      </c>
      <c r="J50">
        <f t="shared" si="0"/>
        <v>89.25</v>
      </c>
      <c r="K50" t="e">
        <f>IF(AND(49&lt;=$P$2, H50="Warning"), C50, NA())</f>
        <v>#N/A</v>
      </c>
      <c r="L50" t="e">
        <f>IF(AND(49&lt;=$P$2, H50="Overgrade"), C50, NA())</f>
        <v>#N/A</v>
      </c>
      <c r="M50">
        <f>IF(49&lt;=COUNTIF(Data_Monitoring!$A$2:$A$2920, Dashboard_Visual!$B$4), INDEX(Data_Monitoring!$S$2:$S$2920, MATCH(Dashboard_Visual!$B$4, Data_Monitoring!$A$2:$A$2920, 0) + 49 - 1), 1)</f>
        <v>1</v>
      </c>
    </row>
    <row r="51" spans="1:13" x14ac:dyDescent="0.25">
      <c r="A51" t="str">
        <f>IF(50&lt;=COUNTIF(Data_Monitoring!$A$2:$A$2920, Dashboard_Visual!$B$4), INDEX(Data_Monitoring!$B$2:$B$2920, MATCH(Dashboard_Visual!$B$4, Data_Monitoring!$A$2:$A$2920, 0) + 50 - 1), "")</f>
        <v>0+980</v>
      </c>
      <c r="B51">
        <f>IF(50&lt;=COUNTIF(Data_Monitoring!$A$2:$A$2920, Dashboard_Visual!$B$4), INDEX(Data_Monitoring!$C$2:$C$2920, MATCH(Dashboard_Visual!$B$4, Data_Monitoring!$A$2:$A$2920, 0) + 50 - 1), "")</f>
        <v>980</v>
      </c>
      <c r="C51">
        <f>IF(50&lt;=COUNTIF(Data_Monitoring!$A$2:$A$2920, Dashboard_Visual!$B$4), INDEX(Data_Monitoring!$J$2:$J$2920, MATCH(Dashboard_Visual!$B$4, Data_Monitoring!$A$2:$A$2920, 0) + 50 - 1), NA())</f>
        <v>88.49</v>
      </c>
      <c r="D51">
        <f>IF(50&lt;=COUNTIF(Data_Monitoring!$A$2:$A$2920, Dashboard_Visual!$B$4), INDEX(Data_Monitoring!$K$2:$K$2920, MATCH(Dashboard_Visual!$B$4, Data_Monitoring!$A$2:$A$2920, 0) + 50 - 1), NA())</f>
        <v>-3.81</v>
      </c>
      <c r="E51">
        <f>IF(50&lt;=COUNTIF(Data_Monitoring!$A$2:$A$2920, Dashboard_Visual!$B$4), INDEX(Data_Monitoring!$H$2:$H$2920, MATCH(Dashboard_Visual!$B$4, Data_Monitoring!$A$2:$A$2920, 0) + 50 - 1), 0)</f>
        <v>32.200000000000003</v>
      </c>
      <c r="F51">
        <f>IF(50&lt;=COUNTIF(Data_Monitoring!$A$2:$A$2920, Dashboard_Visual!$B$4), INDEX(Data_Monitoring!$O$2:$O$2920, MATCH(Dashboard_Visual!$B$4, Data_Monitoring!$A$2:$A$2920, 0) + 50 - 1), 0)</f>
        <v>1.98</v>
      </c>
      <c r="G51">
        <f>IF(50&lt;=COUNTIF(Data_Monitoring!$A$2:$A$2920, Dashboard_Visual!$B$4), INDEX(Data_Monitoring!$Q$2:$Q$2920, MATCH(Dashboard_Visual!$B$4, Data_Monitoring!$A$2:$A$2920, 0) + 50 - 1), 0)</f>
        <v>1.99</v>
      </c>
      <c r="H51" t="str">
        <f>IF(50&lt;=COUNTIF(Data_Monitoring!$A$2:$A$2920, Dashboard_Visual!$B$4), INDEX(Data_Monitoring!$L$2:$L$2920, MATCH(Dashboard_Visual!$B$4, Data_Monitoring!$A$2:$A$2920, 0) + 50 - 1), "")</f>
        <v>Aman</v>
      </c>
      <c r="I51" t="str">
        <f>IF(AND(50&lt;=$P$2, ISNUMBER(D51), OR(H51="Warning", H51="Overgrade")), TEXT(ABS(D51)/100, "0.00%"), "")</f>
        <v/>
      </c>
      <c r="J51">
        <f t="shared" si="0"/>
        <v>88.49</v>
      </c>
      <c r="K51" t="e">
        <f>IF(AND(50&lt;=$P$2, H51="Warning"), C51, NA())</f>
        <v>#N/A</v>
      </c>
      <c r="L51" t="e">
        <f>IF(AND(50&lt;=$P$2, H51="Overgrade"), C51, NA())</f>
        <v>#N/A</v>
      </c>
      <c r="M51">
        <f>IF(50&lt;=COUNTIF(Data_Monitoring!$A$2:$A$2920, Dashboard_Visual!$B$4), INDEX(Data_Monitoring!$S$2:$S$2920, MATCH(Dashboard_Visual!$B$4, Data_Monitoring!$A$2:$A$2920, 0) + 50 - 1), 1)</f>
        <v>1</v>
      </c>
    </row>
    <row r="52" spans="1:13" x14ac:dyDescent="0.25">
      <c r="A52" t="str">
        <f>IF(51&lt;=COUNTIF(Data_Monitoring!$A$2:$A$2920, Dashboard_Visual!$B$4), INDEX(Data_Monitoring!$B$2:$B$2920, MATCH(Dashboard_Visual!$B$4, Data_Monitoring!$A$2:$A$2920, 0) + 51 - 1), "")</f>
        <v>1+000</v>
      </c>
      <c r="B52">
        <f>IF(51&lt;=COUNTIF(Data_Monitoring!$A$2:$A$2920, Dashboard_Visual!$B$4), INDEX(Data_Monitoring!$C$2:$C$2920, MATCH(Dashboard_Visual!$B$4, Data_Monitoring!$A$2:$A$2920, 0) + 51 - 1), "")</f>
        <v>1000</v>
      </c>
      <c r="C52">
        <f>IF(51&lt;=COUNTIF(Data_Monitoring!$A$2:$A$2920, Dashboard_Visual!$B$4), INDEX(Data_Monitoring!$J$2:$J$2920, MATCH(Dashboard_Visual!$B$4, Data_Monitoring!$A$2:$A$2920, 0) + 51 - 1), NA())</f>
        <v>88.71</v>
      </c>
      <c r="D52">
        <f>IF(51&lt;=COUNTIF(Data_Monitoring!$A$2:$A$2920, Dashboard_Visual!$B$4), INDEX(Data_Monitoring!$K$2:$K$2920, MATCH(Dashboard_Visual!$B$4, Data_Monitoring!$A$2:$A$2920, 0) + 51 - 1), NA())</f>
        <v>1.1399999999999999</v>
      </c>
      <c r="E52">
        <f>IF(51&lt;=COUNTIF(Data_Monitoring!$A$2:$A$2920, Dashboard_Visual!$B$4), INDEX(Data_Monitoring!$H$2:$H$2920, MATCH(Dashboard_Visual!$B$4, Data_Monitoring!$A$2:$A$2920, 0) + 51 - 1), 0)</f>
        <v>36.54</v>
      </c>
      <c r="F52">
        <f>IF(51&lt;=COUNTIF(Data_Monitoring!$A$2:$A$2920, Dashboard_Visual!$B$4), INDEX(Data_Monitoring!$O$2:$O$2920, MATCH(Dashboard_Visual!$B$4, Data_Monitoring!$A$2:$A$2920, 0) + 51 - 1), 0)</f>
        <v>2.75</v>
      </c>
      <c r="G52">
        <f>IF(51&lt;=COUNTIF(Data_Monitoring!$A$2:$A$2920, Dashboard_Visual!$B$4), INDEX(Data_Monitoring!$Q$2:$Q$2920, MATCH(Dashboard_Visual!$B$4, Data_Monitoring!$A$2:$A$2920, 0) + 51 - 1), 0)</f>
        <v>0.79</v>
      </c>
      <c r="H52" t="str">
        <f>IF(51&lt;=COUNTIF(Data_Monitoring!$A$2:$A$2920, Dashboard_Visual!$B$4), INDEX(Data_Monitoring!$L$2:$L$2920, MATCH(Dashboard_Visual!$B$4, Data_Monitoring!$A$2:$A$2920, 0) + 51 - 1), "")</f>
        <v>Aman</v>
      </c>
      <c r="I52" t="str">
        <f>IF(AND(51&lt;=$P$2, ISNUMBER(D52), OR(H52="Warning", H52="Overgrade")), TEXT(ABS(D52)/100, "0.00%"), "")</f>
        <v/>
      </c>
      <c r="J52">
        <f t="shared" si="0"/>
        <v>88.71</v>
      </c>
      <c r="K52" t="e">
        <f>IF(AND(51&lt;=$P$2, H52="Warning"), C52, NA())</f>
        <v>#N/A</v>
      </c>
      <c r="L52" t="e">
        <f>IF(AND(51&lt;=$P$2, H52="Overgrade"), C52, NA())</f>
        <v>#N/A</v>
      </c>
      <c r="M52">
        <f>IF(51&lt;=COUNTIF(Data_Monitoring!$A$2:$A$2920, Dashboard_Visual!$B$4), INDEX(Data_Monitoring!$S$2:$S$2920, MATCH(Dashboard_Visual!$B$4, Data_Monitoring!$A$2:$A$2920, 0) + 51 - 1), 1)</f>
        <v>1</v>
      </c>
    </row>
    <row r="53" spans="1:13" x14ac:dyDescent="0.25">
      <c r="A53" t="str">
        <f>IF(52&lt;=COUNTIF(Data_Monitoring!$A$2:$A$2920, Dashboard_Visual!$B$4), INDEX(Data_Monitoring!$B$2:$B$2920, MATCH(Dashboard_Visual!$B$4, Data_Monitoring!$A$2:$A$2920, 0) + 52 - 1), "")</f>
        <v>1+006.9</v>
      </c>
      <c r="B53">
        <f>IF(52&lt;=COUNTIF(Data_Monitoring!$A$2:$A$2920, Dashboard_Visual!$B$4), INDEX(Data_Monitoring!$C$2:$C$2920, MATCH(Dashboard_Visual!$B$4, Data_Monitoring!$A$2:$A$2920, 0) + 52 - 1), "")</f>
        <v>1006.857</v>
      </c>
      <c r="C53">
        <f>IF(52&lt;=COUNTIF(Data_Monitoring!$A$2:$A$2920, Dashboard_Visual!$B$4), INDEX(Data_Monitoring!$J$2:$J$2920, MATCH(Dashboard_Visual!$B$4, Data_Monitoring!$A$2:$A$2920, 0) + 52 - 1), NA())</f>
        <v>87.2</v>
      </c>
      <c r="D53">
        <f>IF(52&lt;=COUNTIF(Data_Monitoring!$A$2:$A$2920, Dashboard_Visual!$B$4), INDEX(Data_Monitoring!$K$2:$K$2920, MATCH(Dashboard_Visual!$B$4, Data_Monitoring!$A$2:$A$2920, 0) + 52 - 1), NA())</f>
        <v>-22.12</v>
      </c>
      <c r="E53">
        <f>IF(52&lt;=COUNTIF(Data_Monitoring!$A$2:$A$2920, Dashboard_Visual!$B$4), INDEX(Data_Monitoring!$H$2:$H$2920, MATCH(Dashboard_Visual!$B$4, Data_Monitoring!$A$2:$A$2920, 0) + 52 - 1), 0)</f>
        <v>37.06</v>
      </c>
      <c r="F53">
        <f>IF(52&lt;=COUNTIF(Data_Monitoring!$A$2:$A$2920, Dashboard_Visual!$B$4), INDEX(Data_Monitoring!$O$2:$O$2920, MATCH(Dashboard_Visual!$B$4, Data_Monitoring!$A$2:$A$2920, 0) + 52 - 1), 0)</f>
        <v>3.11</v>
      </c>
      <c r="G53">
        <f>IF(52&lt;=COUNTIF(Data_Monitoring!$A$2:$A$2920, Dashboard_Visual!$B$4), INDEX(Data_Monitoring!$Q$2:$Q$2920, MATCH(Dashboard_Visual!$B$4, Data_Monitoring!$A$2:$A$2920, 0) + 52 - 1), 0)</f>
        <v>0.53</v>
      </c>
      <c r="H53" t="str">
        <f>IF(52&lt;=COUNTIF(Data_Monitoring!$A$2:$A$2920, Dashboard_Visual!$B$4), INDEX(Data_Monitoring!$L$2:$L$2920, MATCH(Dashboard_Visual!$B$4, Data_Monitoring!$A$2:$A$2920, 0) + 52 - 1), "")</f>
        <v>Overgrade</v>
      </c>
      <c r="I53" t="str">
        <f>IF(AND(52&lt;=$P$2, ISNUMBER(D53), OR(H53="Warning", H53="Overgrade")), TEXT(ABS(D53)/100, "0.00%"), "")</f>
        <v/>
      </c>
      <c r="J53" t="e">
        <f t="shared" si="0"/>
        <v>#N/A</v>
      </c>
      <c r="K53" t="e">
        <f>IF(AND(52&lt;=$P$2, H53="Warning"), C53, NA())</f>
        <v>#N/A</v>
      </c>
      <c r="L53" t="e">
        <f>IF(AND(52&lt;=$P$2, H53="Overgrade"), C53, NA())</f>
        <v>#N/A</v>
      </c>
      <c r="M53">
        <f>IF(52&lt;=COUNTIF(Data_Monitoring!$A$2:$A$2920, Dashboard_Visual!$B$4), INDEX(Data_Monitoring!$S$2:$S$2920, MATCH(Dashboard_Visual!$B$4, Data_Monitoring!$A$2:$A$2920, 0) + 52 - 1), 1)</f>
        <v>0</v>
      </c>
    </row>
    <row r="54" spans="1:13" x14ac:dyDescent="0.25">
      <c r="A54" t="str">
        <f>IF(53&lt;=COUNTIF(Data_Monitoring!$A$2:$A$2920, Dashboard_Visual!$B$4), INDEX(Data_Monitoring!$B$2:$B$2920, MATCH(Dashboard_Visual!$B$4, Data_Monitoring!$A$2:$A$2920, 0) + 53 - 1), "")</f>
        <v/>
      </c>
      <c r="B54" t="str">
        <f>IF(53&lt;=COUNTIF(Data_Monitoring!$A$2:$A$2920, Dashboard_Visual!$B$4), INDEX(Data_Monitoring!$C$2:$C$2920, MATCH(Dashboard_Visual!$B$4, Data_Monitoring!$A$2:$A$2920, 0) + 53 - 1), "")</f>
        <v/>
      </c>
      <c r="C54" t="e">
        <f>IF(53&lt;=COUNTIF(Data_Monitoring!$A$2:$A$2920, Dashboard_Visual!$B$4), INDEX(Data_Monitoring!$J$2:$J$2920, MATCH(Dashboard_Visual!$B$4, Data_Monitoring!$A$2:$A$2920, 0) + 53 - 1), NA())</f>
        <v>#N/A</v>
      </c>
      <c r="D54" t="e">
        <f>IF(53&lt;=COUNTIF(Data_Monitoring!$A$2:$A$2920, Dashboard_Visual!$B$4), INDEX(Data_Monitoring!$K$2:$K$2920, MATCH(Dashboard_Visual!$B$4, Data_Monitoring!$A$2:$A$2920, 0) + 53 - 1), NA())</f>
        <v>#N/A</v>
      </c>
      <c r="E54">
        <f>IF(53&lt;=COUNTIF(Data_Monitoring!$A$2:$A$2920, Dashboard_Visual!$B$4), INDEX(Data_Monitoring!$H$2:$H$2920, MATCH(Dashboard_Visual!$B$4, Data_Monitoring!$A$2:$A$2920, 0) + 53 - 1), 0)</f>
        <v>0</v>
      </c>
      <c r="F54">
        <f>IF(53&lt;=COUNTIF(Data_Monitoring!$A$2:$A$2920, Dashboard_Visual!$B$4), INDEX(Data_Monitoring!$O$2:$O$2920, MATCH(Dashboard_Visual!$B$4, Data_Monitoring!$A$2:$A$2920, 0) + 53 - 1), 0)</f>
        <v>0</v>
      </c>
      <c r="G54">
        <f>IF(53&lt;=COUNTIF(Data_Monitoring!$A$2:$A$2920, Dashboard_Visual!$B$4), INDEX(Data_Monitoring!$Q$2:$Q$2920, MATCH(Dashboard_Visual!$B$4, Data_Monitoring!$A$2:$A$2920, 0) + 53 - 1), 0)</f>
        <v>0</v>
      </c>
      <c r="H54" t="str">
        <f>IF(53&lt;=COUNTIF(Data_Monitoring!$A$2:$A$2920, Dashboard_Visual!$B$4), INDEX(Data_Monitoring!$L$2:$L$2920, MATCH(Dashboard_Visual!$B$4, Data_Monitoring!$A$2:$A$2920, 0) + 53 - 1), "")</f>
        <v/>
      </c>
      <c r="I54" t="str">
        <f>IF(AND(53&lt;=$P$2, ISNUMBER(D54), OR(H54="Warning", H54="Overgrade")), TEXT(ABS(D54)/100, "0.00%"), "")</f>
        <v/>
      </c>
      <c r="J54" t="e">
        <f t="shared" si="0"/>
        <v>#N/A</v>
      </c>
      <c r="K54" t="e">
        <f>IF(AND(53&lt;=$P$2, H54="Warning"), C54, NA())</f>
        <v>#N/A</v>
      </c>
      <c r="L54" t="e">
        <f>IF(AND(53&lt;=$P$2, H54="Overgrade"), C54, NA())</f>
        <v>#N/A</v>
      </c>
      <c r="M54">
        <f>IF(53&lt;=COUNTIF(Data_Monitoring!$A$2:$A$2920, Dashboard_Visual!$B$4), INDEX(Data_Monitoring!$S$2:$S$2920, MATCH(Dashboard_Visual!$B$4, Data_Monitoring!$A$2:$A$2920, 0) + 53 - 1), 1)</f>
        <v>1</v>
      </c>
    </row>
    <row r="55" spans="1:13" x14ac:dyDescent="0.25">
      <c r="A55" t="str">
        <f>IF(54&lt;=COUNTIF(Data_Monitoring!$A$2:$A$2920, Dashboard_Visual!$B$4), INDEX(Data_Monitoring!$B$2:$B$2920, MATCH(Dashboard_Visual!$B$4, Data_Monitoring!$A$2:$A$2920, 0) + 54 - 1), "")</f>
        <v/>
      </c>
      <c r="B55" t="str">
        <f>IF(54&lt;=COUNTIF(Data_Monitoring!$A$2:$A$2920, Dashboard_Visual!$B$4), INDEX(Data_Monitoring!$C$2:$C$2920, MATCH(Dashboard_Visual!$B$4, Data_Monitoring!$A$2:$A$2920, 0) + 54 - 1), "")</f>
        <v/>
      </c>
      <c r="C55" t="e">
        <f>IF(54&lt;=COUNTIF(Data_Monitoring!$A$2:$A$2920, Dashboard_Visual!$B$4), INDEX(Data_Monitoring!$J$2:$J$2920, MATCH(Dashboard_Visual!$B$4, Data_Monitoring!$A$2:$A$2920, 0) + 54 - 1), NA())</f>
        <v>#N/A</v>
      </c>
      <c r="D55" t="e">
        <f>IF(54&lt;=COUNTIF(Data_Monitoring!$A$2:$A$2920, Dashboard_Visual!$B$4), INDEX(Data_Monitoring!$K$2:$K$2920, MATCH(Dashboard_Visual!$B$4, Data_Monitoring!$A$2:$A$2920, 0) + 54 - 1), NA())</f>
        <v>#N/A</v>
      </c>
      <c r="E55">
        <f>IF(54&lt;=COUNTIF(Data_Monitoring!$A$2:$A$2920, Dashboard_Visual!$B$4), INDEX(Data_Monitoring!$H$2:$H$2920, MATCH(Dashboard_Visual!$B$4, Data_Monitoring!$A$2:$A$2920, 0) + 54 - 1), 0)</f>
        <v>0</v>
      </c>
      <c r="F55">
        <f>IF(54&lt;=COUNTIF(Data_Monitoring!$A$2:$A$2920, Dashboard_Visual!$B$4), INDEX(Data_Monitoring!$O$2:$O$2920, MATCH(Dashboard_Visual!$B$4, Data_Monitoring!$A$2:$A$2920, 0) + 54 - 1), 0)</f>
        <v>0</v>
      </c>
      <c r="G55">
        <f>IF(54&lt;=COUNTIF(Data_Monitoring!$A$2:$A$2920, Dashboard_Visual!$B$4), INDEX(Data_Monitoring!$Q$2:$Q$2920, MATCH(Dashboard_Visual!$B$4, Data_Monitoring!$A$2:$A$2920, 0) + 54 - 1), 0)</f>
        <v>0</v>
      </c>
      <c r="H55" t="str">
        <f>IF(54&lt;=COUNTIF(Data_Monitoring!$A$2:$A$2920, Dashboard_Visual!$B$4), INDEX(Data_Monitoring!$L$2:$L$2920, MATCH(Dashboard_Visual!$B$4, Data_Monitoring!$A$2:$A$2920, 0) + 54 - 1), "")</f>
        <v/>
      </c>
      <c r="I55" t="str">
        <f>IF(AND(54&lt;=$P$2, ISNUMBER(D55), OR(H55="Warning", H55="Overgrade")), TEXT(ABS(D55)/100, "0.00%"), "")</f>
        <v/>
      </c>
      <c r="J55" t="e">
        <f t="shared" si="0"/>
        <v>#N/A</v>
      </c>
      <c r="K55" t="e">
        <f>IF(AND(54&lt;=$P$2, H55="Warning"), C55, NA())</f>
        <v>#N/A</v>
      </c>
      <c r="L55" t="e">
        <f>IF(AND(54&lt;=$P$2, H55="Overgrade"), C55, NA())</f>
        <v>#N/A</v>
      </c>
      <c r="M55">
        <f>IF(54&lt;=COUNTIF(Data_Monitoring!$A$2:$A$2920, Dashboard_Visual!$B$4), INDEX(Data_Monitoring!$S$2:$S$2920, MATCH(Dashboard_Visual!$B$4, Data_Monitoring!$A$2:$A$2920, 0) + 54 - 1), 1)</f>
        <v>1</v>
      </c>
    </row>
    <row r="56" spans="1:13" x14ac:dyDescent="0.25">
      <c r="A56" t="str">
        <f>IF(55&lt;=COUNTIF(Data_Monitoring!$A$2:$A$2920, Dashboard_Visual!$B$4), INDEX(Data_Monitoring!$B$2:$B$2920, MATCH(Dashboard_Visual!$B$4, Data_Monitoring!$A$2:$A$2920, 0) + 55 - 1), "")</f>
        <v/>
      </c>
      <c r="B56" t="str">
        <f>IF(55&lt;=COUNTIF(Data_Monitoring!$A$2:$A$2920, Dashboard_Visual!$B$4), INDEX(Data_Monitoring!$C$2:$C$2920, MATCH(Dashboard_Visual!$B$4, Data_Monitoring!$A$2:$A$2920, 0) + 55 - 1), "")</f>
        <v/>
      </c>
      <c r="C56" t="e">
        <f>IF(55&lt;=COUNTIF(Data_Monitoring!$A$2:$A$2920, Dashboard_Visual!$B$4), INDEX(Data_Monitoring!$J$2:$J$2920, MATCH(Dashboard_Visual!$B$4, Data_Monitoring!$A$2:$A$2920, 0) + 55 - 1), NA())</f>
        <v>#N/A</v>
      </c>
      <c r="D56" t="e">
        <f>IF(55&lt;=COUNTIF(Data_Monitoring!$A$2:$A$2920, Dashboard_Visual!$B$4), INDEX(Data_Monitoring!$K$2:$K$2920, MATCH(Dashboard_Visual!$B$4, Data_Monitoring!$A$2:$A$2920, 0) + 55 - 1), NA())</f>
        <v>#N/A</v>
      </c>
      <c r="E56">
        <f>IF(55&lt;=COUNTIF(Data_Monitoring!$A$2:$A$2920, Dashboard_Visual!$B$4), INDEX(Data_Monitoring!$H$2:$H$2920, MATCH(Dashboard_Visual!$B$4, Data_Monitoring!$A$2:$A$2920, 0) + 55 - 1), 0)</f>
        <v>0</v>
      </c>
      <c r="F56">
        <f>IF(55&lt;=COUNTIF(Data_Monitoring!$A$2:$A$2920, Dashboard_Visual!$B$4), INDEX(Data_Monitoring!$O$2:$O$2920, MATCH(Dashboard_Visual!$B$4, Data_Monitoring!$A$2:$A$2920, 0) + 55 - 1), 0)</f>
        <v>0</v>
      </c>
      <c r="G56">
        <f>IF(55&lt;=COUNTIF(Data_Monitoring!$A$2:$A$2920, Dashboard_Visual!$B$4), INDEX(Data_Monitoring!$Q$2:$Q$2920, MATCH(Dashboard_Visual!$B$4, Data_Monitoring!$A$2:$A$2920, 0) + 55 - 1), 0)</f>
        <v>0</v>
      </c>
      <c r="H56" t="str">
        <f>IF(55&lt;=COUNTIF(Data_Monitoring!$A$2:$A$2920, Dashboard_Visual!$B$4), INDEX(Data_Monitoring!$L$2:$L$2920, MATCH(Dashboard_Visual!$B$4, Data_Monitoring!$A$2:$A$2920, 0) + 55 - 1), "")</f>
        <v/>
      </c>
      <c r="I56" t="str">
        <f>IF(AND(55&lt;=$P$2, ISNUMBER(D56), OR(H56="Warning", H56="Overgrade")), TEXT(ABS(D56)/100, "0.00%"), "")</f>
        <v/>
      </c>
      <c r="J56" t="e">
        <f t="shared" si="0"/>
        <v>#N/A</v>
      </c>
      <c r="K56" t="e">
        <f>IF(AND(55&lt;=$P$2, H56="Warning"), C56, NA())</f>
        <v>#N/A</v>
      </c>
      <c r="L56" t="e">
        <f>IF(AND(55&lt;=$P$2, H56="Overgrade"), C56, NA())</f>
        <v>#N/A</v>
      </c>
      <c r="M56">
        <f>IF(55&lt;=COUNTIF(Data_Monitoring!$A$2:$A$2920, Dashboard_Visual!$B$4), INDEX(Data_Monitoring!$S$2:$S$2920, MATCH(Dashboard_Visual!$B$4, Data_Monitoring!$A$2:$A$2920, 0) + 55 - 1), 1)</f>
        <v>1</v>
      </c>
    </row>
    <row r="57" spans="1:13" x14ac:dyDescent="0.25">
      <c r="A57" t="str">
        <f>IF(56&lt;=COUNTIF(Data_Monitoring!$A$2:$A$2920, Dashboard_Visual!$B$4), INDEX(Data_Monitoring!$B$2:$B$2920, MATCH(Dashboard_Visual!$B$4, Data_Monitoring!$A$2:$A$2920, 0) + 56 - 1), "")</f>
        <v/>
      </c>
      <c r="B57" t="str">
        <f>IF(56&lt;=COUNTIF(Data_Monitoring!$A$2:$A$2920, Dashboard_Visual!$B$4), INDEX(Data_Monitoring!$C$2:$C$2920, MATCH(Dashboard_Visual!$B$4, Data_Monitoring!$A$2:$A$2920, 0) + 56 - 1), "")</f>
        <v/>
      </c>
      <c r="C57" t="e">
        <f>IF(56&lt;=COUNTIF(Data_Monitoring!$A$2:$A$2920, Dashboard_Visual!$B$4), INDEX(Data_Monitoring!$J$2:$J$2920, MATCH(Dashboard_Visual!$B$4, Data_Monitoring!$A$2:$A$2920, 0) + 56 - 1), NA())</f>
        <v>#N/A</v>
      </c>
      <c r="D57" t="e">
        <f>IF(56&lt;=COUNTIF(Data_Monitoring!$A$2:$A$2920, Dashboard_Visual!$B$4), INDEX(Data_Monitoring!$K$2:$K$2920, MATCH(Dashboard_Visual!$B$4, Data_Monitoring!$A$2:$A$2920, 0) + 56 - 1), NA())</f>
        <v>#N/A</v>
      </c>
      <c r="E57">
        <f>IF(56&lt;=COUNTIF(Data_Monitoring!$A$2:$A$2920, Dashboard_Visual!$B$4), INDEX(Data_Monitoring!$H$2:$H$2920, MATCH(Dashboard_Visual!$B$4, Data_Monitoring!$A$2:$A$2920, 0) + 56 - 1), 0)</f>
        <v>0</v>
      </c>
      <c r="F57">
        <f>IF(56&lt;=COUNTIF(Data_Monitoring!$A$2:$A$2920, Dashboard_Visual!$B$4), INDEX(Data_Monitoring!$O$2:$O$2920, MATCH(Dashboard_Visual!$B$4, Data_Monitoring!$A$2:$A$2920, 0) + 56 - 1), 0)</f>
        <v>0</v>
      </c>
      <c r="G57">
        <f>IF(56&lt;=COUNTIF(Data_Monitoring!$A$2:$A$2920, Dashboard_Visual!$B$4), INDEX(Data_Monitoring!$Q$2:$Q$2920, MATCH(Dashboard_Visual!$B$4, Data_Monitoring!$A$2:$A$2920, 0) + 56 - 1), 0)</f>
        <v>0</v>
      </c>
      <c r="H57" t="str">
        <f>IF(56&lt;=COUNTIF(Data_Monitoring!$A$2:$A$2920, Dashboard_Visual!$B$4), INDEX(Data_Monitoring!$L$2:$L$2920, MATCH(Dashboard_Visual!$B$4, Data_Monitoring!$A$2:$A$2920, 0) + 56 - 1), "")</f>
        <v/>
      </c>
      <c r="I57" t="str">
        <f>IF(AND(56&lt;=$P$2, ISNUMBER(D57), OR(H57="Warning", H57="Overgrade")), TEXT(ABS(D57)/100, "0.00%"), "")</f>
        <v/>
      </c>
      <c r="J57" t="e">
        <f t="shared" si="0"/>
        <v>#N/A</v>
      </c>
      <c r="K57" t="e">
        <f>IF(AND(56&lt;=$P$2, H57="Warning"), C57, NA())</f>
        <v>#N/A</v>
      </c>
      <c r="L57" t="e">
        <f>IF(AND(56&lt;=$P$2, H57="Overgrade"), C57, NA())</f>
        <v>#N/A</v>
      </c>
      <c r="M57">
        <f>IF(56&lt;=COUNTIF(Data_Monitoring!$A$2:$A$2920, Dashboard_Visual!$B$4), INDEX(Data_Monitoring!$S$2:$S$2920, MATCH(Dashboard_Visual!$B$4, Data_Monitoring!$A$2:$A$2920, 0) + 56 - 1), 1)</f>
        <v>1</v>
      </c>
    </row>
    <row r="58" spans="1:13" x14ac:dyDescent="0.25">
      <c r="A58" t="str">
        <f>IF(57&lt;=COUNTIF(Data_Monitoring!$A$2:$A$2920, Dashboard_Visual!$B$4), INDEX(Data_Monitoring!$B$2:$B$2920, MATCH(Dashboard_Visual!$B$4, Data_Monitoring!$A$2:$A$2920, 0) + 57 - 1), "")</f>
        <v/>
      </c>
      <c r="B58" t="str">
        <f>IF(57&lt;=COUNTIF(Data_Monitoring!$A$2:$A$2920, Dashboard_Visual!$B$4), INDEX(Data_Monitoring!$C$2:$C$2920, MATCH(Dashboard_Visual!$B$4, Data_Monitoring!$A$2:$A$2920, 0) + 57 - 1), "")</f>
        <v/>
      </c>
      <c r="C58" t="e">
        <f>IF(57&lt;=COUNTIF(Data_Monitoring!$A$2:$A$2920, Dashboard_Visual!$B$4), INDEX(Data_Monitoring!$J$2:$J$2920, MATCH(Dashboard_Visual!$B$4, Data_Monitoring!$A$2:$A$2920, 0) + 57 - 1), NA())</f>
        <v>#N/A</v>
      </c>
      <c r="D58" t="e">
        <f>IF(57&lt;=COUNTIF(Data_Monitoring!$A$2:$A$2920, Dashboard_Visual!$B$4), INDEX(Data_Monitoring!$K$2:$K$2920, MATCH(Dashboard_Visual!$B$4, Data_Monitoring!$A$2:$A$2920, 0) + 57 - 1), NA())</f>
        <v>#N/A</v>
      </c>
      <c r="E58">
        <f>IF(57&lt;=COUNTIF(Data_Monitoring!$A$2:$A$2920, Dashboard_Visual!$B$4), INDEX(Data_Monitoring!$H$2:$H$2920, MATCH(Dashboard_Visual!$B$4, Data_Monitoring!$A$2:$A$2920, 0) + 57 - 1), 0)</f>
        <v>0</v>
      </c>
      <c r="F58">
        <f>IF(57&lt;=COUNTIF(Data_Monitoring!$A$2:$A$2920, Dashboard_Visual!$B$4), INDEX(Data_Monitoring!$O$2:$O$2920, MATCH(Dashboard_Visual!$B$4, Data_Monitoring!$A$2:$A$2920, 0) + 57 - 1), 0)</f>
        <v>0</v>
      </c>
      <c r="G58">
        <f>IF(57&lt;=COUNTIF(Data_Monitoring!$A$2:$A$2920, Dashboard_Visual!$B$4), INDEX(Data_Monitoring!$Q$2:$Q$2920, MATCH(Dashboard_Visual!$B$4, Data_Monitoring!$A$2:$A$2920, 0) + 57 - 1), 0)</f>
        <v>0</v>
      </c>
      <c r="H58" t="str">
        <f>IF(57&lt;=COUNTIF(Data_Monitoring!$A$2:$A$2920, Dashboard_Visual!$B$4), INDEX(Data_Monitoring!$L$2:$L$2920, MATCH(Dashboard_Visual!$B$4, Data_Monitoring!$A$2:$A$2920, 0) + 57 - 1), "")</f>
        <v/>
      </c>
      <c r="I58" t="str">
        <f>IF(AND(57&lt;=$P$2, ISNUMBER(D58), OR(H58="Warning", H58="Overgrade")), TEXT(ABS(D58)/100, "0.00%"), "")</f>
        <v/>
      </c>
      <c r="J58" t="e">
        <f t="shared" si="0"/>
        <v>#N/A</v>
      </c>
      <c r="K58" t="e">
        <f>IF(AND(57&lt;=$P$2, H58="Warning"), C58, NA())</f>
        <v>#N/A</v>
      </c>
      <c r="L58" t="e">
        <f>IF(AND(57&lt;=$P$2, H58="Overgrade"), C58, NA())</f>
        <v>#N/A</v>
      </c>
      <c r="M58">
        <f>IF(57&lt;=COUNTIF(Data_Monitoring!$A$2:$A$2920, Dashboard_Visual!$B$4), INDEX(Data_Monitoring!$S$2:$S$2920, MATCH(Dashboard_Visual!$B$4, Data_Monitoring!$A$2:$A$2920, 0) + 57 - 1), 1)</f>
        <v>1</v>
      </c>
    </row>
    <row r="59" spans="1:13" x14ac:dyDescent="0.25">
      <c r="A59" t="str">
        <f>IF(58&lt;=COUNTIF(Data_Monitoring!$A$2:$A$2920, Dashboard_Visual!$B$4), INDEX(Data_Monitoring!$B$2:$B$2920, MATCH(Dashboard_Visual!$B$4, Data_Monitoring!$A$2:$A$2920, 0) + 58 - 1), "")</f>
        <v/>
      </c>
      <c r="B59" t="str">
        <f>IF(58&lt;=COUNTIF(Data_Monitoring!$A$2:$A$2920, Dashboard_Visual!$B$4), INDEX(Data_Monitoring!$C$2:$C$2920, MATCH(Dashboard_Visual!$B$4, Data_Monitoring!$A$2:$A$2920, 0) + 58 - 1), "")</f>
        <v/>
      </c>
      <c r="C59" t="e">
        <f>IF(58&lt;=COUNTIF(Data_Monitoring!$A$2:$A$2920, Dashboard_Visual!$B$4), INDEX(Data_Monitoring!$J$2:$J$2920, MATCH(Dashboard_Visual!$B$4, Data_Monitoring!$A$2:$A$2920, 0) + 58 - 1), NA())</f>
        <v>#N/A</v>
      </c>
      <c r="D59" t="e">
        <f>IF(58&lt;=COUNTIF(Data_Monitoring!$A$2:$A$2920, Dashboard_Visual!$B$4), INDEX(Data_Monitoring!$K$2:$K$2920, MATCH(Dashboard_Visual!$B$4, Data_Monitoring!$A$2:$A$2920, 0) + 58 - 1), NA())</f>
        <v>#N/A</v>
      </c>
      <c r="E59">
        <f>IF(58&lt;=COUNTIF(Data_Monitoring!$A$2:$A$2920, Dashboard_Visual!$B$4), INDEX(Data_Monitoring!$H$2:$H$2920, MATCH(Dashboard_Visual!$B$4, Data_Monitoring!$A$2:$A$2920, 0) + 58 - 1), 0)</f>
        <v>0</v>
      </c>
      <c r="F59">
        <f>IF(58&lt;=COUNTIF(Data_Monitoring!$A$2:$A$2920, Dashboard_Visual!$B$4), INDEX(Data_Monitoring!$O$2:$O$2920, MATCH(Dashboard_Visual!$B$4, Data_Monitoring!$A$2:$A$2920, 0) + 58 - 1), 0)</f>
        <v>0</v>
      </c>
      <c r="G59">
        <f>IF(58&lt;=COUNTIF(Data_Monitoring!$A$2:$A$2920, Dashboard_Visual!$B$4), INDEX(Data_Monitoring!$Q$2:$Q$2920, MATCH(Dashboard_Visual!$B$4, Data_Monitoring!$A$2:$A$2920, 0) + 58 - 1), 0)</f>
        <v>0</v>
      </c>
      <c r="H59" t="str">
        <f>IF(58&lt;=COUNTIF(Data_Monitoring!$A$2:$A$2920, Dashboard_Visual!$B$4), INDEX(Data_Monitoring!$L$2:$L$2920, MATCH(Dashboard_Visual!$B$4, Data_Monitoring!$A$2:$A$2920, 0) + 58 - 1), "")</f>
        <v/>
      </c>
      <c r="I59" t="str">
        <f>IF(AND(58&lt;=$P$2, ISNUMBER(D59), OR(H59="Warning", H59="Overgrade")), TEXT(ABS(D59)/100, "0.00%"), "")</f>
        <v/>
      </c>
      <c r="J59" t="e">
        <f t="shared" si="0"/>
        <v>#N/A</v>
      </c>
      <c r="K59" t="e">
        <f>IF(AND(58&lt;=$P$2, H59="Warning"), C59, NA())</f>
        <v>#N/A</v>
      </c>
      <c r="L59" t="e">
        <f>IF(AND(58&lt;=$P$2, H59="Overgrade"), C59, NA())</f>
        <v>#N/A</v>
      </c>
      <c r="M59">
        <f>IF(58&lt;=COUNTIF(Data_Monitoring!$A$2:$A$2920, Dashboard_Visual!$B$4), INDEX(Data_Monitoring!$S$2:$S$2920, MATCH(Dashboard_Visual!$B$4, Data_Monitoring!$A$2:$A$2920, 0) + 58 - 1), 1)</f>
        <v>1</v>
      </c>
    </row>
    <row r="60" spans="1:13" x14ac:dyDescent="0.25">
      <c r="A60" t="str">
        <f>IF(59&lt;=COUNTIF(Data_Monitoring!$A$2:$A$2920, Dashboard_Visual!$B$4), INDEX(Data_Monitoring!$B$2:$B$2920, MATCH(Dashboard_Visual!$B$4, Data_Monitoring!$A$2:$A$2920, 0) + 59 - 1), "")</f>
        <v/>
      </c>
      <c r="B60" t="str">
        <f>IF(59&lt;=COUNTIF(Data_Monitoring!$A$2:$A$2920, Dashboard_Visual!$B$4), INDEX(Data_Monitoring!$C$2:$C$2920, MATCH(Dashboard_Visual!$B$4, Data_Monitoring!$A$2:$A$2920, 0) + 59 - 1), "")</f>
        <v/>
      </c>
      <c r="C60" t="e">
        <f>IF(59&lt;=COUNTIF(Data_Monitoring!$A$2:$A$2920, Dashboard_Visual!$B$4), INDEX(Data_Monitoring!$J$2:$J$2920, MATCH(Dashboard_Visual!$B$4, Data_Monitoring!$A$2:$A$2920, 0) + 59 - 1), NA())</f>
        <v>#N/A</v>
      </c>
      <c r="D60" t="e">
        <f>IF(59&lt;=COUNTIF(Data_Monitoring!$A$2:$A$2920, Dashboard_Visual!$B$4), INDEX(Data_Monitoring!$K$2:$K$2920, MATCH(Dashboard_Visual!$B$4, Data_Monitoring!$A$2:$A$2920, 0) + 59 - 1), NA())</f>
        <v>#N/A</v>
      </c>
      <c r="E60">
        <f>IF(59&lt;=COUNTIF(Data_Monitoring!$A$2:$A$2920, Dashboard_Visual!$B$4), INDEX(Data_Monitoring!$H$2:$H$2920, MATCH(Dashboard_Visual!$B$4, Data_Monitoring!$A$2:$A$2920, 0) + 59 - 1), 0)</f>
        <v>0</v>
      </c>
      <c r="F60">
        <f>IF(59&lt;=COUNTIF(Data_Monitoring!$A$2:$A$2920, Dashboard_Visual!$B$4), INDEX(Data_Monitoring!$O$2:$O$2920, MATCH(Dashboard_Visual!$B$4, Data_Monitoring!$A$2:$A$2920, 0) + 59 - 1), 0)</f>
        <v>0</v>
      </c>
      <c r="G60">
        <f>IF(59&lt;=COUNTIF(Data_Monitoring!$A$2:$A$2920, Dashboard_Visual!$B$4), INDEX(Data_Monitoring!$Q$2:$Q$2920, MATCH(Dashboard_Visual!$B$4, Data_Monitoring!$A$2:$A$2920, 0) + 59 - 1), 0)</f>
        <v>0</v>
      </c>
      <c r="H60" t="str">
        <f>IF(59&lt;=COUNTIF(Data_Monitoring!$A$2:$A$2920, Dashboard_Visual!$B$4), INDEX(Data_Monitoring!$L$2:$L$2920, MATCH(Dashboard_Visual!$B$4, Data_Monitoring!$A$2:$A$2920, 0) + 59 - 1), "")</f>
        <v/>
      </c>
      <c r="I60" t="str">
        <f>IF(AND(59&lt;=$P$2, ISNUMBER(D60), OR(H60="Warning", H60="Overgrade")), TEXT(ABS(D60)/100, "0.00%"), "")</f>
        <v/>
      </c>
      <c r="J60" t="e">
        <f t="shared" si="0"/>
        <v>#N/A</v>
      </c>
      <c r="K60" t="e">
        <f>IF(AND(59&lt;=$P$2, H60="Warning"), C60, NA())</f>
        <v>#N/A</v>
      </c>
      <c r="L60" t="e">
        <f>IF(AND(59&lt;=$P$2, H60="Overgrade"), C60, NA())</f>
        <v>#N/A</v>
      </c>
      <c r="M60">
        <f>IF(59&lt;=COUNTIF(Data_Monitoring!$A$2:$A$2920, Dashboard_Visual!$B$4), INDEX(Data_Monitoring!$S$2:$S$2920, MATCH(Dashboard_Visual!$B$4, Data_Monitoring!$A$2:$A$2920, 0) + 59 - 1), 1)</f>
        <v>1</v>
      </c>
    </row>
    <row r="61" spans="1:13" x14ac:dyDescent="0.25">
      <c r="A61" t="str">
        <f>IF(60&lt;=COUNTIF(Data_Monitoring!$A$2:$A$2920, Dashboard_Visual!$B$4), INDEX(Data_Monitoring!$B$2:$B$2920, MATCH(Dashboard_Visual!$B$4, Data_Monitoring!$A$2:$A$2920, 0) + 60 - 1), "")</f>
        <v/>
      </c>
      <c r="B61" t="str">
        <f>IF(60&lt;=COUNTIF(Data_Monitoring!$A$2:$A$2920, Dashboard_Visual!$B$4), INDEX(Data_Monitoring!$C$2:$C$2920, MATCH(Dashboard_Visual!$B$4, Data_Monitoring!$A$2:$A$2920, 0) + 60 - 1), "")</f>
        <v/>
      </c>
      <c r="C61" t="e">
        <f>IF(60&lt;=COUNTIF(Data_Monitoring!$A$2:$A$2920, Dashboard_Visual!$B$4), INDEX(Data_Monitoring!$J$2:$J$2920, MATCH(Dashboard_Visual!$B$4, Data_Monitoring!$A$2:$A$2920, 0) + 60 - 1), NA())</f>
        <v>#N/A</v>
      </c>
      <c r="D61" t="e">
        <f>IF(60&lt;=COUNTIF(Data_Monitoring!$A$2:$A$2920, Dashboard_Visual!$B$4), INDEX(Data_Monitoring!$K$2:$K$2920, MATCH(Dashboard_Visual!$B$4, Data_Monitoring!$A$2:$A$2920, 0) + 60 - 1), NA())</f>
        <v>#N/A</v>
      </c>
      <c r="E61">
        <f>IF(60&lt;=COUNTIF(Data_Monitoring!$A$2:$A$2920, Dashboard_Visual!$B$4), INDEX(Data_Monitoring!$H$2:$H$2920, MATCH(Dashboard_Visual!$B$4, Data_Monitoring!$A$2:$A$2920, 0) + 60 - 1), 0)</f>
        <v>0</v>
      </c>
      <c r="F61">
        <f>IF(60&lt;=COUNTIF(Data_Monitoring!$A$2:$A$2920, Dashboard_Visual!$B$4), INDEX(Data_Monitoring!$O$2:$O$2920, MATCH(Dashboard_Visual!$B$4, Data_Monitoring!$A$2:$A$2920, 0) + 60 - 1), 0)</f>
        <v>0</v>
      </c>
      <c r="G61">
        <f>IF(60&lt;=COUNTIF(Data_Monitoring!$A$2:$A$2920, Dashboard_Visual!$B$4), INDEX(Data_Monitoring!$Q$2:$Q$2920, MATCH(Dashboard_Visual!$B$4, Data_Monitoring!$A$2:$A$2920, 0) + 60 - 1), 0)</f>
        <v>0</v>
      </c>
      <c r="H61" t="str">
        <f>IF(60&lt;=COUNTIF(Data_Monitoring!$A$2:$A$2920, Dashboard_Visual!$B$4), INDEX(Data_Monitoring!$L$2:$L$2920, MATCH(Dashboard_Visual!$B$4, Data_Monitoring!$A$2:$A$2920, 0) + 60 - 1), "")</f>
        <v/>
      </c>
      <c r="I61" t="str">
        <f>IF(AND(60&lt;=$P$2, ISNUMBER(D61), OR(H61="Warning", H61="Overgrade")), TEXT(ABS(D61)/100, "0.00%"), "")</f>
        <v/>
      </c>
      <c r="J61" t="e">
        <f t="shared" si="0"/>
        <v>#N/A</v>
      </c>
      <c r="K61" t="e">
        <f>IF(AND(60&lt;=$P$2, H61="Warning"), C61, NA())</f>
        <v>#N/A</v>
      </c>
      <c r="L61" t="e">
        <f>IF(AND(60&lt;=$P$2, H61="Overgrade"), C61, NA())</f>
        <v>#N/A</v>
      </c>
      <c r="M61">
        <f>IF(60&lt;=COUNTIF(Data_Monitoring!$A$2:$A$2920, Dashboard_Visual!$B$4), INDEX(Data_Monitoring!$S$2:$S$2920, MATCH(Dashboard_Visual!$B$4, Data_Monitoring!$A$2:$A$2920, 0) + 60 - 1), 1)</f>
        <v>1</v>
      </c>
    </row>
    <row r="62" spans="1:13" x14ac:dyDescent="0.25">
      <c r="A62" t="str">
        <f>IF(61&lt;=COUNTIF(Data_Monitoring!$A$2:$A$2920, Dashboard_Visual!$B$4), INDEX(Data_Monitoring!$B$2:$B$2920, MATCH(Dashboard_Visual!$B$4, Data_Monitoring!$A$2:$A$2920, 0) + 61 - 1), "")</f>
        <v/>
      </c>
      <c r="B62" t="str">
        <f>IF(61&lt;=COUNTIF(Data_Monitoring!$A$2:$A$2920, Dashboard_Visual!$B$4), INDEX(Data_Monitoring!$C$2:$C$2920, MATCH(Dashboard_Visual!$B$4, Data_Monitoring!$A$2:$A$2920, 0) + 61 - 1), "")</f>
        <v/>
      </c>
      <c r="C62" t="e">
        <f>IF(61&lt;=COUNTIF(Data_Monitoring!$A$2:$A$2920, Dashboard_Visual!$B$4), INDEX(Data_Monitoring!$J$2:$J$2920, MATCH(Dashboard_Visual!$B$4, Data_Monitoring!$A$2:$A$2920, 0) + 61 - 1), NA())</f>
        <v>#N/A</v>
      </c>
      <c r="D62" t="e">
        <f>IF(61&lt;=COUNTIF(Data_Monitoring!$A$2:$A$2920, Dashboard_Visual!$B$4), INDEX(Data_Monitoring!$K$2:$K$2920, MATCH(Dashboard_Visual!$B$4, Data_Monitoring!$A$2:$A$2920, 0) + 61 - 1), NA())</f>
        <v>#N/A</v>
      </c>
      <c r="E62">
        <f>IF(61&lt;=COUNTIF(Data_Monitoring!$A$2:$A$2920, Dashboard_Visual!$B$4), INDEX(Data_Monitoring!$H$2:$H$2920, MATCH(Dashboard_Visual!$B$4, Data_Monitoring!$A$2:$A$2920, 0) + 61 - 1), 0)</f>
        <v>0</v>
      </c>
      <c r="F62">
        <f>IF(61&lt;=COUNTIF(Data_Monitoring!$A$2:$A$2920, Dashboard_Visual!$B$4), INDEX(Data_Monitoring!$O$2:$O$2920, MATCH(Dashboard_Visual!$B$4, Data_Monitoring!$A$2:$A$2920, 0) + 61 - 1), 0)</f>
        <v>0</v>
      </c>
      <c r="G62">
        <f>IF(61&lt;=COUNTIF(Data_Monitoring!$A$2:$A$2920, Dashboard_Visual!$B$4), INDEX(Data_Monitoring!$Q$2:$Q$2920, MATCH(Dashboard_Visual!$B$4, Data_Monitoring!$A$2:$A$2920, 0) + 61 - 1), 0)</f>
        <v>0</v>
      </c>
      <c r="H62" t="str">
        <f>IF(61&lt;=COUNTIF(Data_Monitoring!$A$2:$A$2920, Dashboard_Visual!$B$4), INDEX(Data_Monitoring!$L$2:$L$2920, MATCH(Dashboard_Visual!$B$4, Data_Monitoring!$A$2:$A$2920, 0) + 61 - 1), "")</f>
        <v/>
      </c>
      <c r="I62" t="str">
        <f>IF(AND(61&lt;=$P$2, ISNUMBER(D62), OR(H62="Warning", H62="Overgrade")), TEXT(ABS(D62)/100, "0.00%"), "")</f>
        <v/>
      </c>
      <c r="J62" t="e">
        <f t="shared" si="0"/>
        <v>#N/A</v>
      </c>
      <c r="K62" t="e">
        <f>IF(AND(61&lt;=$P$2, H62="Warning"), C62, NA())</f>
        <v>#N/A</v>
      </c>
      <c r="L62" t="e">
        <f>IF(AND(61&lt;=$P$2, H62="Overgrade"), C62, NA())</f>
        <v>#N/A</v>
      </c>
      <c r="M62">
        <f>IF(61&lt;=COUNTIF(Data_Monitoring!$A$2:$A$2920, Dashboard_Visual!$B$4), INDEX(Data_Monitoring!$S$2:$S$2920, MATCH(Dashboard_Visual!$B$4, Data_Monitoring!$A$2:$A$2920, 0) + 61 - 1), 1)</f>
        <v>1</v>
      </c>
    </row>
    <row r="63" spans="1:13" x14ac:dyDescent="0.25">
      <c r="A63" t="str">
        <f>IF(62&lt;=COUNTIF(Data_Monitoring!$A$2:$A$2920, Dashboard_Visual!$B$4), INDEX(Data_Monitoring!$B$2:$B$2920, MATCH(Dashboard_Visual!$B$4, Data_Monitoring!$A$2:$A$2920, 0) + 62 - 1), "")</f>
        <v/>
      </c>
      <c r="B63" t="str">
        <f>IF(62&lt;=COUNTIF(Data_Monitoring!$A$2:$A$2920, Dashboard_Visual!$B$4), INDEX(Data_Monitoring!$C$2:$C$2920, MATCH(Dashboard_Visual!$B$4, Data_Monitoring!$A$2:$A$2920, 0) + 62 - 1), "")</f>
        <v/>
      </c>
      <c r="C63" t="e">
        <f>IF(62&lt;=COUNTIF(Data_Monitoring!$A$2:$A$2920, Dashboard_Visual!$B$4), INDEX(Data_Monitoring!$J$2:$J$2920, MATCH(Dashboard_Visual!$B$4, Data_Monitoring!$A$2:$A$2920, 0) + 62 - 1), NA())</f>
        <v>#N/A</v>
      </c>
      <c r="D63" t="e">
        <f>IF(62&lt;=COUNTIF(Data_Monitoring!$A$2:$A$2920, Dashboard_Visual!$B$4), INDEX(Data_Monitoring!$K$2:$K$2920, MATCH(Dashboard_Visual!$B$4, Data_Monitoring!$A$2:$A$2920, 0) + 62 - 1), NA())</f>
        <v>#N/A</v>
      </c>
      <c r="E63">
        <f>IF(62&lt;=COUNTIF(Data_Monitoring!$A$2:$A$2920, Dashboard_Visual!$B$4), INDEX(Data_Monitoring!$H$2:$H$2920, MATCH(Dashboard_Visual!$B$4, Data_Monitoring!$A$2:$A$2920, 0) + 62 - 1), 0)</f>
        <v>0</v>
      </c>
      <c r="F63">
        <f>IF(62&lt;=COUNTIF(Data_Monitoring!$A$2:$A$2920, Dashboard_Visual!$B$4), INDEX(Data_Monitoring!$O$2:$O$2920, MATCH(Dashboard_Visual!$B$4, Data_Monitoring!$A$2:$A$2920, 0) + 62 - 1), 0)</f>
        <v>0</v>
      </c>
      <c r="G63">
        <f>IF(62&lt;=COUNTIF(Data_Monitoring!$A$2:$A$2920, Dashboard_Visual!$B$4), INDEX(Data_Monitoring!$Q$2:$Q$2920, MATCH(Dashboard_Visual!$B$4, Data_Monitoring!$A$2:$A$2920, 0) + 62 - 1), 0)</f>
        <v>0</v>
      </c>
      <c r="H63" t="str">
        <f>IF(62&lt;=COUNTIF(Data_Monitoring!$A$2:$A$2920, Dashboard_Visual!$B$4), INDEX(Data_Monitoring!$L$2:$L$2920, MATCH(Dashboard_Visual!$B$4, Data_Monitoring!$A$2:$A$2920, 0) + 62 - 1), "")</f>
        <v/>
      </c>
      <c r="I63" t="str">
        <f>IF(AND(62&lt;=$P$2, ISNUMBER(D63), OR(H63="Warning", H63="Overgrade")), TEXT(ABS(D63)/100, "0.00%"), "")</f>
        <v/>
      </c>
      <c r="J63" t="e">
        <f t="shared" si="0"/>
        <v>#N/A</v>
      </c>
      <c r="K63" t="e">
        <f>IF(AND(62&lt;=$P$2, H63="Warning"), C63, NA())</f>
        <v>#N/A</v>
      </c>
      <c r="L63" t="e">
        <f>IF(AND(62&lt;=$P$2, H63="Overgrade"), C63, NA())</f>
        <v>#N/A</v>
      </c>
      <c r="M63">
        <f>IF(62&lt;=COUNTIF(Data_Monitoring!$A$2:$A$2920, Dashboard_Visual!$B$4), INDEX(Data_Monitoring!$S$2:$S$2920, MATCH(Dashboard_Visual!$B$4, Data_Monitoring!$A$2:$A$2920, 0) + 62 - 1), 1)</f>
        <v>1</v>
      </c>
    </row>
    <row r="64" spans="1:13" x14ac:dyDescent="0.25">
      <c r="A64" t="str">
        <f>IF(63&lt;=COUNTIF(Data_Monitoring!$A$2:$A$2920, Dashboard_Visual!$B$4), INDEX(Data_Monitoring!$B$2:$B$2920, MATCH(Dashboard_Visual!$B$4, Data_Monitoring!$A$2:$A$2920, 0) + 63 - 1), "")</f>
        <v/>
      </c>
      <c r="B64" t="str">
        <f>IF(63&lt;=COUNTIF(Data_Monitoring!$A$2:$A$2920, Dashboard_Visual!$B$4), INDEX(Data_Monitoring!$C$2:$C$2920, MATCH(Dashboard_Visual!$B$4, Data_Monitoring!$A$2:$A$2920, 0) + 63 - 1), "")</f>
        <v/>
      </c>
      <c r="C64" t="e">
        <f>IF(63&lt;=COUNTIF(Data_Monitoring!$A$2:$A$2920, Dashboard_Visual!$B$4), INDEX(Data_Monitoring!$J$2:$J$2920, MATCH(Dashboard_Visual!$B$4, Data_Monitoring!$A$2:$A$2920, 0) + 63 - 1), NA())</f>
        <v>#N/A</v>
      </c>
      <c r="D64" t="e">
        <f>IF(63&lt;=COUNTIF(Data_Monitoring!$A$2:$A$2920, Dashboard_Visual!$B$4), INDEX(Data_Monitoring!$K$2:$K$2920, MATCH(Dashboard_Visual!$B$4, Data_Monitoring!$A$2:$A$2920, 0) + 63 - 1), NA())</f>
        <v>#N/A</v>
      </c>
      <c r="E64">
        <f>IF(63&lt;=COUNTIF(Data_Monitoring!$A$2:$A$2920, Dashboard_Visual!$B$4), INDEX(Data_Monitoring!$H$2:$H$2920, MATCH(Dashboard_Visual!$B$4, Data_Monitoring!$A$2:$A$2920, 0) + 63 - 1), 0)</f>
        <v>0</v>
      </c>
      <c r="F64">
        <f>IF(63&lt;=COUNTIF(Data_Monitoring!$A$2:$A$2920, Dashboard_Visual!$B$4), INDEX(Data_Monitoring!$O$2:$O$2920, MATCH(Dashboard_Visual!$B$4, Data_Monitoring!$A$2:$A$2920, 0) + 63 - 1), 0)</f>
        <v>0</v>
      </c>
      <c r="G64">
        <f>IF(63&lt;=COUNTIF(Data_Monitoring!$A$2:$A$2920, Dashboard_Visual!$B$4), INDEX(Data_Monitoring!$Q$2:$Q$2920, MATCH(Dashboard_Visual!$B$4, Data_Monitoring!$A$2:$A$2920, 0) + 63 - 1), 0)</f>
        <v>0</v>
      </c>
      <c r="H64" t="str">
        <f>IF(63&lt;=COUNTIF(Data_Monitoring!$A$2:$A$2920, Dashboard_Visual!$B$4), INDEX(Data_Monitoring!$L$2:$L$2920, MATCH(Dashboard_Visual!$B$4, Data_Monitoring!$A$2:$A$2920, 0) + 63 - 1), "")</f>
        <v/>
      </c>
      <c r="I64" t="str">
        <f>IF(AND(63&lt;=$P$2, ISNUMBER(D64), OR(H64="Warning", H64="Overgrade")), TEXT(ABS(D64)/100, "0.00%"), "")</f>
        <v/>
      </c>
      <c r="J64" t="e">
        <f t="shared" si="0"/>
        <v>#N/A</v>
      </c>
      <c r="K64" t="e">
        <f>IF(AND(63&lt;=$P$2, H64="Warning"), C64, NA())</f>
        <v>#N/A</v>
      </c>
      <c r="L64" t="e">
        <f>IF(AND(63&lt;=$P$2, H64="Overgrade"), C64, NA())</f>
        <v>#N/A</v>
      </c>
      <c r="M64">
        <f>IF(63&lt;=COUNTIF(Data_Monitoring!$A$2:$A$2920, Dashboard_Visual!$B$4), INDEX(Data_Monitoring!$S$2:$S$2920, MATCH(Dashboard_Visual!$B$4, Data_Monitoring!$A$2:$A$2920, 0) + 63 - 1), 1)</f>
        <v>1</v>
      </c>
    </row>
    <row r="65" spans="1:13" x14ac:dyDescent="0.25">
      <c r="A65" t="str">
        <f>IF(64&lt;=COUNTIF(Data_Monitoring!$A$2:$A$2920, Dashboard_Visual!$B$4), INDEX(Data_Monitoring!$B$2:$B$2920, MATCH(Dashboard_Visual!$B$4, Data_Monitoring!$A$2:$A$2920, 0) + 64 - 1), "")</f>
        <v/>
      </c>
      <c r="B65" t="str">
        <f>IF(64&lt;=COUNTIF(Data_Monitoring!$A$2:$A$2920, Dashboard_Visual!$B$4), INDEX(Data_Monitoring!$C$2:$C$2920, MATCH(Dashboard_Visual!$B$4, Data_Monitoring!$A$2:$A$2920, 0) + 64 - 1), "")</f>
        <v/>
      </c>
      <c r="C65" t="e">
        <f>IF(64&lt;=COUNTIF(Data_Monitoring!$A$2:$A$2920, Dashboard_Visual!$B$4), INDEX(Data_Monitoring!$J$2:$J$2920, MATCH(Dashboard_Visual!$B$4, Data_Monitoring!$A$2:$A$2920, 0) + 64 - 1), NA())</f>
        <v>#N/A</v>
      </c>
      <c r="D65" t="e">
        <f>IF(64&lt;=COUNTIF(Data_Monitoring!$A$2:$A$2920, Dashboard_Visual!$B$4), INDEX(Data_Monitoring!$K$2:$K$2920, MATCH(Dashboard_Visual!$B$4, Data_Monitoring!$A$2:$A$2920, 0) + 64 - 1), NA())</f>
        <v>#N/A</v>
      </c>
      <c r="E65">
        <f>IF(64&lt;=COUNTIF(Data_Monitoring!$A$2:$A$2920, Dashboard_Visual!$B$4), INDEX(Data_Monitoring!$H$2:$H$2920, MATCH(Dashboard_Visual!$B$4, Data_Monitoring!$A$2:$A$2920, 0) + 64 - 1), 0)</f>
        <v>0</v>
      </c>
      <c r="F65">
        <f>IF(64&lt;=COUNTIF(Data_Monitoring!$A$2:$A$2920, Dashboard_Visual!$B$4), INDEX(Data_Monitoring!$O$2:$O$2920, MATCH(Dashboard_Visual!$B$4, Data_Monitoring!$A$2:$A$2920, 0) + 64 - 1), 0)</f>
        <v>0</v>
      </c>
      <c r="G65">
        <f>IF(64&lt;=COUNTIF(Data_Monitoring!$A$2:$A$2920, Dashboard_Visual!$B$4), INDEX(Data_Monitoring!$Q$2:$Q$2920, MATCH(Dashboard_Visual!$B$4, Data_Monitoring!$A$2:$A$2920, 0) + 64 - 1), 0)</f>
        <v>0</v>
      </c>
      <c r="H65" t="str">
        <f>IF(64&lt;=COUNTIF(Data_Monitoring!$A$2:$A$2920, Dashboard_Visual!$B$4), INDEX(Data_Monitoring!$L$2:$L$2920, MATCH(Dashboard_Visual!$B$4, Data_Monitoring!$A$2:$A$2920, 0) + 64 - 1), "")</f>
        <v/>
      </c>
      <c r="I65" t="str">
        <f>IF(AND(64&lt;=$P$2, ISNUMBER(D65), OR(H65="Warning", H65="Overgrade")), TEXT(ABS(D65)/100, "0.00%"), "")</f>
        <v/>
      </c>
      <c r="J65" t="e">
        <f t="shared" si="0"/>
        <v>#N/A</v>
      </c>
      <c r="K65" t="e">
        <f>IF(AND(64&lt;=$P$2, H65="Warning"), C65, NA())</f>
        <v>#N/A</v>
      </c>
      <c r="L65" t="e">
        <f>IF(AND(64&lt;=$P$2, H65="Overgrade"), C65, NA())</f>
        <v>#N/A</v>
      </c>
      <c r="M65">
        <f>IF(64&lt;=COUNTIF(Data_Monitoring!$A$2:$A$2920, Dashboard_Visual!$B$4), INDEX(Data_Monitoring!$S$2:$S$2920, MATCH(Dashboard_Visual!$B$4, Data_Monitoring!$A$2:$A$2920, 0) + 64 - 1), 1)</f>
        <v>1</v>
      </c>
    </row>
    <row r="66" spans="1:13" x14ac:dyDescent="0.25">
      <c r="A66" t="str">
        <f>IF(65&lt;=COUNTIF(Data_Monitoring!$A$2:$A$2920, Dashboard_Visual!$B$4), INDEX(Data_Monitoring!$B$2:$B$2920, MATCH(Dashboard_Visual!$B$4, Data_Monitoring!$A$2:$A$2920, 0) + 65 - 1), "")</f>
        <v/>
      </c>
      <c r="B66" t="str">
        <f>IF(65&lt;=COUNTIF(Data_Monitoring!$A$2:$A$2920, Dashboard_Visual!$B$4), INDEX(Data_Monitoring!$C$2:$C$2920, MATCH(Dashboard_Visual!$B$4, Data_Monitoring!$A$2:$A$2920, 0) + 65 - 1), "")</f>
        <v/>
      </c>
      <c r="C66" t="e">
        <f>IF(65&lt;=COUNTIF(Data_Monitoring!$A$2:$A$2920, Dashboard_Visual!$B$4), INDEX(Data_Monitoring!$J$2:$J$2920, MATCH(Dashboard_Visual!$B$4, Data_Monitoring!$A$2:$A$2920, 0) + 65 - 1), NA())</f>
        <v>#N/A</v>
      </c>
      <c r="D66" t="e">
        <f>IF(65&lt;=COUNTIF(Data_Monitoring!$A$2:$A$2920, Dashboard_Visual!$B$4), INDEX(Data_Monitoring!$K$2:$K$2920, MATCH(Dashboard_Visual!$B$4, Data_Monitoring!$A$2:$A$2920, 0) + 65 - 1), NA())</f>
        <v>#N/A</v>
      </c>
      <c r="E66">
        <f>IF(65&lt;=COUNTIF(Data_Monitoring!$A$2:$A$2920, Dashboard_Visual!$B$4), INDEX(Data_Monitoring!$H$2:$H$2920, MATCH(Dashboard_Visual!$B$4, Data_Monitoring!$A$2:$A$2920, 0) + 65 - 1), 0)</f>
        <v>0</v>
      </c>
      <c r="F66">
        <f>IF(65&lt;=COUNTIF(Data_Monitoring!$A$2:$A$2920, Dashboard_Visual!$B$4), INDEX(Data_Monitoring!$O$2:$O$2920, MATCH(Dashboard_Visual!$B$4, Data_Monitoring!$A$2:$A$2920, 0) + 65 - 1), 0)</f>
        <v>0</v>
      </c>
      <c r="G66">
        <f>IF(65&lt;=COUNTIF(Data_Monitoring!$A$2:$A$2920, Dashboard_Visual!$B$4), INDEX(Data_Monitoring!$Q$2:$Q$2920, MATCH(Dashboard_Visual!$B$4, Data_Monitoring!$A$2:$A$2920, 0) + 65 - 1), 0)</f>
        <v>0</v>
      </c>
      <c r="H66" t="str">
        <f>IF(65&lt;=COUNTIF(Data_Monitoring!$A$2:$A$2920, Dashboard_Visual!$B$4), INDEX(Data_Monitoring!$L$2:$L$2920, MATCH(Dashboard_Visual!$B$4, Data_Monitoring!$A$2:$A$2920, 0) + 65 - 1), "")</f>
        <v/>
      </c>
      <c r="I66" t="str">
        <f>IF(AND(65&lt;=$P$2, ISNUMBER(D66), OR(H66="Warning", H66="Overgrade")), TEXT(ABS(D66)/100, "0.00%"), "")</f>
        <v/>
      </c>
      <c r="J66" t="e">
        <f t="shared" ref="J66:J129" si="1">IF(H66="Aman", C66, NA())</f>
        <v>#N/A</v>
      </c>
      <c r="K66" t="e">
        <f>IF(AND(65&lt;=$P$2, H66="Warning"), C66, NA())</f>
        <v>#N/A</v>
      </c>
      <c r="L66" t="e">
        <f>IF(AND(65&lt;=$P$2, H66="Overgrade"), C66, NA())</f>
        <v>#N/A</v>
      </c>
      <c r="M66">
        <f>IF(65&lt;=COUNTIF(Data_Monitoring!$A$2:$A$2920, Dashboard_Visual!$B$4), INDEX(Data_Monitoring!$S$2:$S$2920, MATCH(Dashboard_Visual!$B$4, Data_Monitoring!$A$2:$A$2920, 0) + 65 - 1), 1)</f>
        <v>1</v>
      </c>
    </row>
    <row r="67" spans="1:13" x14ac:dyDescent="0.25">
      <c r="A67" t="str">
        <f>IF(66&lt;=COUNTIF(Data_Monitoring!$A$2:$A$2920, Dashboard_Visual!$B$4), INDEX(Data_Monitoring!$B$2:$B$2920, MATCH(Dashboard_Visual!$B$4, Data_Monitoring!$A$2:$A$2920, 0) + 66 - 1), "")</f>
        <v/>
      </c>
      <c r="B67" t="str">
        <f>IF(66&lt;=COUNTIF(Data_Monitoring!$A$2:$A$2920, Dashboard_Visual!$B$4), INDEX(Data_Monitoring!$C$2:$C$2920, MATCH(Dashboard_Visual!$B$4, Data_Monitoring!$A$2:$A$2920, 0) + 66 - 1), "")</f>
        <v/>
      </c>
      <c r="C67" t="e">
        <f>IF(66&lt;=COUNTIF(Data_Monitoring!$A$2:$A$2920, Dashboard_Visual!$B$4), INDEX(Data_Monitoring!$J$2:$J$2920, MATCH(Dashboard_Visual!$B$4, Data_Monitoring!$A$2:$A$2920, 0) + 66 - 1), NA())</f>
        <v>#N/A</v>
      </c>
      <c r="D67" t="e">
        <f>IF(66&lt;=COUNTIF(Data_Monitoring!$A$2:$A$2920, Dashboard_Visual!$B$4), INDEX(Data_Monitoring!$K$2:$K$2920, MATCH(Dashboard_Visual!$B$4, Data_Monitoring!$A$2:$A$2920, 0) + 66 - 1), NA())</f>
        <v>#N/A</v>
      </c>
      <c r="E67">
        <f>IF(66&lt;=COUNTIF(Data_Monitoring!$A$2:$A$2920, Dashboard_Visual!$B$4), INDEX(Data_Monitoring!$H$2:$H$2920, MATCH(Dashboard_Visual!$B$4, Data_Monitoring!$A$2:$A$2920, 0) + 66 - 1), 0)</f>
        <v>0</v>
      </c>
      <c r="F67">
        <f>IF(66&lt;=COUNTIF(Data_Monitoring!$A$2:$A$2920, Dashboard_Visual!$B$4), INDEX(Data_Monitoring!$O$2:$O$2920, MATCH(Dashboard_Visual!$B$4, Data_Monitoring!$A$2:$A$2920, 0) + 66 - 1), 0)</f>
        <v>0</v>
      </c>
      <c r="G67">
        <f>IF(66&lt;=COUNTIF(Data_Monitoring!$A$2:$A$2920, Dashboard_Visual!$B$4), INDEX(Data_Monitoring!$Q$2:$Q$2920, MATCH(Dashboard_Visual!$B$4, Data_Monitoring!$A$2:$A$2920, 0) + 66 - 1), 0)</f>
        <v>0</v>
      </c>
      <c r="H67" t="str">
        <f>IF(66&lt;=COUNTIF(Data_Monitoring!$A$2:$A$2920, Dashboard_Visual!$B$4), INDEX(Data_Monitoring!$L$2:$L$2920, MATCH(Dashboard_Visual!$B$4, Data_Monitoring!$A$2:$A$2920, 0) + 66 - 1), "")</f>
        <v/>
      </c>
      <c r="I67" t="str">
        <f>IF(AND(66&lt;=$P$2, ISNUMBER(D67), OR(H67="Warning", H67="Overgrade")), TEXT(ABS(D67)/100, "0.00%"), "")</f>
        <v/>
      </c>
      <c r="J67" t="e">
        <f t="shared" si="1"/>
        <v>#N/A</v>
      </c>
      <c r="K67" t="e">
        <f>IF(AND(66&lt;=$P$2, H67="Warning"), C67, NA())</f>
        <v>#N/A</v>
      </c>
      <c r="L67" t="e">
        <f>IF(AND(66&lt;=$P$2, H67="Overgrade"), C67, NA())</f>
        <v>#N/A</v>
      </c>
      <c r="M67">
        <f>IF(66&lt;=COUNTIF(Data_Monitoring!$A$2:$A$2920, Dashboard_Visual!$B$4), INDEX(Data_Monitoring!$S$2:$S$2920, MATCH(Dashboard_Visual!$B$4, Data_Monitoring!$A$2:$A$2920, 0) + 66 - 1), 1)</f>
        <v>1</v>
      </c>
    </row>
    <row r="68" spans="1:13" x14ac:dyDescent="0.25">
      <c r="A68" t="str">
        <f>IF(67&lt;=COUNTIF(Data_Monitoring!$A$2:$A$2920, Dashboard_Visual!$B$4), INDEX(Data_Monitoring!$B$2:$B$2920, MATCH(Dashboard_Visual!$B$4, Data_Monitoring!$A$2:$A$2920, 0) + 67 - 1), "")</f>
        <v/>
      </c>
      <c r="B68" t="str">
        <f>IF(67&lt;=COUNTIF(Data_Monitoring!$A$2:$A$2920, Dashboard_Visual!$B$4), INDEX(Data_Monitoring!$C$2:$C$2920, MATCH(Dashboard_Visual!$B$4, Data_Monitoring!$A$2:$A$2920, 0) + 67 - 1), "")</f>
        <v/>
      </c>
      <c r="C68" t="e">
        <f>IF(67&lt;=COUNTIF(Data_Monitoring!$A$2:$A$2920, Dashboard_Visual!$B$4), INDEX(Data_Monitoring!$J$2:$J$2920, MATCH(Dashboard_Visual!$B$4, Data_Monitoring!$A$2:$A$2920, 0) + 67 - 1), NA())</f>
        <v>#N/A</v>
      </c>
      <c r="D68" t="e">
        <f>IF(67&lt;=COUNTIF(Data_Monitoring!$A$2:$A$2920, Dashboard_Visual!$B$4), INDEX(Data_Monitoring!$K$2:$K$2920, MATCH(Dashboard_Visual!$B$4, Data_Monitoring!$A$2:$A$2920, 0) + 67 - 1), NA())</f>
        <v>#N/A</v>
      </c>
      <c r="E68">
        <f>IF(67&lt;=COUNTIF(Data_Monitoring!$A$2:$A$2920, Dashboard_Visual!$B$4), INDEX(Data_Monitoring!$H$2:$H$2920, MATCH(Dashboard_Visual!$B$4, Data_Monitoring!$A$2:$A$2920, 0) + 67 - 1), 0)</f>
        <v>0</v>
      </c>
      <c r="F68">
        <f>IF(67&lt;=COUNTIF(Data_Monitoring!$A$2:$A$2920, Dashboard_Visual!$B$4), INDEX(Data_Monitoring!$O$2:$O$2920, MATCH(Dashboard_Visual!$B$4, Data_Monitoring!$A$2:$A$2920, 0) + 67 - 1), 0)</f>
        <v>0</v>
      </c>
      <c r="G68">
        <f>IF(67&lt;=COUNTIF(Data_Monitoring!$A$2:$A$2920, Dashboard_Visual!$B$4), INDEX(Data_Monitoring!$Q$2:$Q$2920, MATCH(Dashboard_Visual!$B$4, Data_Monitoring!$A$2:$A$2920, 0) + 67 - 1), 0)</f>
        <v>0</v>
      </c>
      <c r="H68" t="str">
        <f>IF(67&lt;=COUNTIF(Data_Monitoring!$A$2:$A$2920, Dashboard_Visual!$B$4), INDEX(Data_Monitoring!$L$2:$L$2920, MATCH(Dashboard_Visual!$B$4, Data_Monitoring!$A$2:$A$2920, 0) + 67 - 1), "")</f>
        <v/>
      </c>
      <c r="I68" t="str">
        <f>IF(AND(67&lt;=$P$2, ISNUMBER(D68), OR(H68="Warning", H68="Overgrade")), TEXT(ABS(D68)/100, "0.00%"), "")</f>
        <v/>
      </c>
      <c r="J68" t="e">
        <f t="shared" si="1"/>
        <v>#N/A</v>
      </c>
      <c r="K68" t="e">
        <f>IF(AND(67&lt;=$P$2, H68="Warning"), C68, NA())</f>
        <v>#N/A</v>
      </c>
      <c r="L68" t="e">
        <f>IF(AND(67&lt;=$P$2, H68="Overgrade"), C68, NA())</f>
        <v>#N/A</v>
      </c>
      <c r="M68">
        <f>IF(67&lt;=COUNTIF(Data_Monitoring!$A$2:$A$2920, Dashboard_Visual!$B$4), INDEX(Data_Monitoring!$S$2:$S$2920, MATCH(Dashboard_Visual!$B$4, Data_Monitoring!$A$2:$A$2920, 0) + 67 - 1), 1)</f>
        <v>1</v>
      </c>
    </row>
    <row r="69" spans="1:13" x14ac:dyDescent="0.25">
      <c r="A69" t="str">
        <f>IF(68&lt;=COUNTIF(Data_Monitoring!$A$2:$A$2920, Dashboard_Visual!$B$4), INDEX(Data_Monitoring!$B$2:$B$2920, MATCH(Dashboard_Visual!$B$4, Data_Monitoring!$A$2:$A$2920, 0) + 68 - 1), "")</f>
        <v/>
      </c>
      <c r="B69" t="str">
        <f>IF(68&lt;=COUNTIF(Data_Monitoring!$A$2:$A$2920, Dashboard_Visual!$B$4), INDEX(Data_Monitoring!$C$2:$C$2920, MATCH(Dashboard_Visual!$B$4, Data_Monitoring!$A$2:$A$2920, 0) + 68 - 1), "")</f>
        <v/>
      </c>
      <c r="C69" t="e">
        <f>IF(68&lt;=COUNTIF(Data_Monitoring!$A$2:$A$2920, Dashboard_Visual!$B$4), INDEX(Data_Monitoring!$J$2:$J$2920, MATCH(Dashboard_Visual!$B$4, Data_Monitoring!$A$2:$A$2920, 0) + 68 - 1), NA())</f>
        <v>#N/A</v>
      </c>
      <c r="D69" t="e">
        <f>IF(68&lt;=COUNTIF(Data_Monitoring!$A$2:$A$2920, Dashboard_Visual!$B$4), INDEX(Data_Monitoring!$K$2:$K$2920, MATCH(Dashboard_Visual!$B$4, Data_Monitoring!$A$2:$A$2920, 0) + 68 - 1), NA())</f>
        <v>#N/A</v>
      </c>
      <c r="E69">
        <f>IF(68&lt;=COUNTIF(Data_Monitoring!$A$2:$A$2920, Dashboard_Visual!$B$4), INDEX(Data_Monitoring!$H$2:$H$2920, MATCH(Dashboard_Visual!$B$4, Data_Monitoring!$A$2:$A$2920, 0) + 68 - 1), 0)</f>
        <v>0</v>
      </c>
      <c r="F69">
        <f>IF(68&lt;=COUNTIF(Data_Monitoring!$A$2:$A$2920, Dashboard_Visual!$B$4), INDEX(Data_Monitoring!$O$2:$O$2920, MATCH(Dashboard_Visual!$B$4, Data_Monitoring!$A$2:$A$2920, 0) + 68 - 1), 0)</f>
        <v>0</v>
      </c>
      <c r="G69">
        <f>IF(68&lt;=COUNTIF(Data_Monitoring!$A$2:$A$2920, Dashboard_Visual!$B$4), INDEX(Data_Monitoring!$Q$2:$Q$2920, MATCH(Dashboard_Visual!$B$4, Data_Monitoring!$A$2:$A$2920, 0) + 68 - 1), 0)</f>
        <v>0</v>
      </c>
      <c r="H69" t="str">
        <f>IF(68&lt;=COUNTIF(Data_Monitoring!$A$2:$A$2920, Dashboard_Visual!$B$4), INDEX(Data_Monitoring!$L$2:$L$2920, MATCH(Dashboard_Visual!$B$4, Data_Monitoring!$A$2:$A$2920, 0) + 68 - 1), "")</f>
        <v/>
      </c>
      <c r="I69" t="str">
        <f>IF(AND(68&lt;=$P$2, ISNUMBER(D69), OR(H69="Warning", H69="Overgrade")), TEXT(ABS(D69)/100, "0.00%"), "")</f>
        <v/>
      </c>
      <c r="J69" t="e">
        <f t="shared" si="1"/>
        <v>#N/A</v>
      </c>
      <c r="K69" t="e">
        <f>IF(AND(68&lt;=$P$2, H69="Warning"), C69, NA())</f>
        <v>#N/A</v>
      </c>
      <c r="L69" t="e">
        <f>IF(AND(68&lt;=$P$2, H69="Overgrade"), C69, NA())</f>
        <v>#N/A</v>
      </c>
      <c r="M69">
        <f>IF(68&lt;=COUNTIF(Data_Monitoring!$A$2:$A$2920, Dashboard_Visual!$B$4), INDEX(Data_Monitoring!$S$2:$S$2920, MATCH(Dashboard_Visual!$B$4, Data_Monitoring!$A$2:$A$2920, 0) + 68 - 1), 1)</f>
        <v>1</v>
      </c>
    </row>
    <row r="70" spans="1:13" x14ac:dyDescent="0.25">
      <c r="A70" t="str">
        <f>IF(69&lt;=COUNTIF(Data_Monitoring!$A$2:$A$2920, Dashboard_Visual!$B$4), INDEX(Data_Monitoring!$B$2:$B$2920, MATCH(Dashboard_Visual!$B$4, Data_Monitoring!$A$2:$A$2920, 0) + 69 - 1), "")</f>
        <v/>
      </c>
      <c r="B70" t="str">
        <f>IF(69&lt;=COUNTIF(Data_Monitoring!$A$2:$A$2920, Dashboard_Visual!$B$4), INDEX(Data_Monitoring!$C$2:$C$2920, MATCH(Dashboard_Visual!$B$4, Data_Monitoring!$A$2:$A$2920, 0) + 69 - 1), "")</f>
        <v/>
      </c>
      <c r="C70" t="e">
        <f>IF(69&lt;=COUNTIF(Data_Monitoring!$A$2:$A$2920, Dashboard_Visual!$B$4), INDEX(Data_Monitoring!$J$2:$J$2920, MATCH(Dashboard_Visual!$B$4, Data_Monitoring!$A$2:$A$2920, 0) + 69 - 1), NA())</f>
        <v>#N/A</v>
      </c>
      <c r="D70" t="e">
        <f>IF(69&lt;=COUNTIF(Data_Monitoring!$A$2:$A$2920, Dashboard_Visual!$B$4), INDEX(Data_Monitoring!$K$2:$K$2920, MATCH(Dashboard_Visual!$B$4, Data_Monitoring!$A$2:$A$2920, 0) + 69 - 1), NA())</f>
        <v>#N/A</v>
      </c>
      <c r="E70">
        <f>IF(69&lt;=COUNTIF(Data_Monitoring!$A$2:$A$2920, Dashboard_Visual!$B$4), INDEX(Data_Monitoring!$H$2:$H$2920, MATCH(Dashboard_Visual!$B$4, Data_Monitoring!$A$2:$A$2920, 0) + 69 - 1), 0)</f>
        <v>0</v>
      </c>
      <c r="F70">
        <f>IF(69&lt;=COUNTIF(Data_Monitoring!$A$2:$A$2920, Dashboard_Visual!$B$4), INDEX(Data_Monitoring!$O$2:$O$2920, MATCH(Dashboard_Visual!$B$4, Data_Monitoring!$A$2:$A$2920, 0) + 69 - 1), 0)</f>
        <v>0</v>
      </c>
      <c r="G70">
        <f>IF(69&lt;=COUNTIF(Data_Monitoring!$A$2:$A$2920, Dashboard_Visual!$B$4), INDEX(Data_Monitoring!$Q$2:$Q$2920, MATCH(Dashboard_Visual!$B$4, Data_Monitoring!$A$2:$A$2920, 0) + 69 - 1), 0)</f>
        <v>0</v>
      </c>
      <c r="H70" t="str">
        <f>IF(69&lt;=COUNTIF(Data_Monitoring!$A$2:$A$2920, Dashboard_Visual!$B$4), INDEX(Data_Monitoring!$L$2:$L$2920, MATCH(Dashboard_Visual!$B$4, Data_Monitoring!$A$2:$A$2920, 0) + 69 - 1), "")</f>
        <v/>
      </c>
      <c r="I70" t="str">
        <f>IF(AND(69&lt;=$P$2, ISNUMBER(D70), OR(H70="Warning", H70="Overgrade")), TEXT(ABS(D70)/100, "0.00%"), "")</f>
        <v/>
      </c>
      <c r="J70" t="e">
        <f t="shared" si="1"/>
        <v>#N/A</v>
      </c>
      <c r="K70" t="e">
        <f>IF(AND(69&lt;=$P$2, H70="Warning"), C70, NA())</f>
        <v>#N/A</v>
      </c>
      <c r="L70" t="e">
        <f>IF(AND(69&lt;=$P$2, H70="Overgrade"), C70, NA())</f>
        <v>#N/A</v>
      </c>
      <c r="M70">
        <f>IF(69&lt;=COUNTIF(Data_Monitoring!$A$2:$A$2920, Dashboard_Visual!$B$4), INDEX(Data_Monitoring!$S$2:$S$2920, MATCH(Dashboard_Visual!$B$4, Data_Monitoring!$A$2:$A$2920, 0) + 69 - 1), 1)</f>
        <v>1</v>
      </c>
    </row>
    <row r="71" spans="1:13" x14ac:dyDescent="0.25">
      <c r="A71" t="str">
        <f>IF(70&lt;=COUNTIF(Data_Monitoring!$A$2:$A$2920, Dashboard_Visual!$B$4), INDEX(Data_Monitoring!$B$2:$B$2920, MATCH(Dashboard_Visual!$B$4, Data_Monitoring!$A$2:$A$2920, 0) + 70 - 1), "")</f>
        <v/>
      </c>
      <c r="B71" t="str">
        <f>IF(70&lt;=COUNTIF(Data_Monitoring!$A$2:$A$2920, Dashboard_Visual!$B$4), INDEX(Data_Monitoring!$C$2:$C$2920, MATCH(Dashboard_Visual!$B$4, Data_Monitoring!$A$2:$A$2920, 0) + 70 - 1), "")</f>
        <v/>
      </c>
      <c r="C71" t="e">
        <f>IF(70&lt;=COUNTIF(Data_Monitoring!$A$2:$A$2920, Dashboard_Visual!$B$4), INDEX(Data_Monitoring!$J$2:$J$2920, MATCH(Dashboard_Visual!$B$4, Data_Monitoring!$A$2:$A$2920, 0) + 70 - 1), NA())</f>
        <v>#N/A</v>
      </c>
      <c r="D71" t="e">
        <f>IF(70&lt;=COUNTIF(Data_Monitoring!$A$2:$A$2920, Dashboard_Visual!$B$4), INDEX(Data_Monitoring!$K$2:$K$2920, MATCH(Dashboard_Visual!$B$4, Data_Monitoring!$A$2:$A$2920, 0) + 70 - 1), NA())</f>
        <v>#N/A</v>
      </c>
      <c r="E71">
        <f>IF(70&lt;=COUNTIF(Data_Monitoring!$A$2:$A$2920, Dashboard_Visual!$B$4), INDEX(Data_Monitoring!$H$2:$H$2920, MATCH(Dashboard_Visual!$B$4, Data_Monitoring!$A$2:$A$2920, 0) + 70 - 1), 0)</f>
        <v>0</v>
      </c>
      <c r="F71">
        <f>IF(70&lt;=COUNTIF(Data_Monitoring!$A$2:$A$2920, Dashboard_Visual!$B$4), INDEX(Data_Monitoring!$O$2:$O$2920, MATCH(Dashboard_Visual!$B$4, Data_Monitoring!$A$2:$A$2920, 0) + 70 - 1), 0)</f>
        <v>0</v>
      </c>
      <c r="G71">
        <f>IF(70&lt;=COUNTIF(Data_Monitoring!$A$2:$A$2920, Dashboard_Visual!$B$4), INDEX(Data_Monitoring!$Q$2:$Q$2920, MATCH(Dashboard_Visual!$B$4, Data_Monitoring!$A$2:$A$2920, 0) + 70 - 1), 0)</f>
        <v>0</v>
      </c>
      <c r="H71" t="str">
        <f>IF(70&lt;=COUNTIF(Data_Monitoring!$A$2:$A$2920, Dashboard_Visual!$B$4), INDEX(Data_Monitoring!$L$2:$L$2920, MATCH(Dashboard_Visual!$B$4, Data_Monitoring!$A$2:$A$2920, 0) + 70 - 1), "")</f>
        <v/>
      </c>
      <c r="I71" t="str">
        <f>IF(AND(70&lt;=$P$2, ISNUMBER(D71), OR(H71="Warning", H71="Overgrade")), TEXT(ABS(D71)/100, "0.00%"), "")</f>
        <v/>
      </c>
      <c r="J71" t="e">
        <f t="shared" si="1"/>
        <v>#N/A</v>
      </c>
      <c r="K71" t="e">
        <f>IF(AND(70&lt;=$P$2, H71="Warning"), C71, NA())</f>
        <v>#N/A</v>
      </c>
      <c r="L71" t="e">
        <f>IF(AND(70&lt;=$P$2, H71="Overgrade"), C71, NA())</f>
        <v>#N/A</v>
      </c>
      <c r="M71">
        <f>IF(70&lt;=COUNTIF(Data_Monitoring!$A$2:$A$2920, Dashboard_Visual!$B$4), INDEX(Data_Monitoring!$S$2:$S$2920, MATCH(Dashboard_Visual!$B$4, Data_Monitoring!$A$2:$A$2920, 0) + 70 - 1), 1)</f>
        <v>1</v>
      </c>
    </row>
    <row r="72" spans="1:13" x14ac:dyDescent="0.25">
      <c r="A72" t="str">
        <f>IF(71&lt;=COUNTIF(Data_Monitoring!$A$2:$A$2920, Dashboard_Visual!$B$4), INDEX(Data_Monitoring!$B$2:$B$2920, MATCH(Dashboard_Visual!$B$4, Data_Monitoring!$A$2:$A$2920, 0) + 71 - 1), "")</f>
        <v/>
      </c>
      <c r="B72" t="str">
        <f>IF(71&lt;=COUNTIF(Data_Monitoring!$A$2:$A$2920, Dashboard_Visual!$B$4), INDEX(Data_Monitoring!$C$2:$C$2920, MATCH(Dashboard_Visual!$B$4, Data_Monitoring!$A$2:$A$2920, 0) + 71 - 1), "")</f>
        <v/>
      </c>
      <c r="C72" t="e">
        <f>IF(71&lt;=COUNTIF(Data_Monitoring!$A$2:$A$2920, Dashboard_Visual!$B$4), INDEX(Data_Monitoring!$J$2:$J$2920, MATCH(Dashboard_Visual!$B$4, Data_Monitoring!$A$2:$A$2920, 0) + 71 - 1), NA())</f>
        <v>#N/A</v>
      </c>
      <c r="D72" t="e">
        <f>IF(71&lt;=COUNTIF(Data_Monitoring!$A$2:$A$2920, Dashboard_Visual!$B$4), INDEX(Data_Monitoring!$K$2:$K$2920, MATCH(Dashboard_Visual!$B$4, Data_Monitoring!$A$2:$A$2920, 0) + 71 - 1), NA())</f>
        <v>#N/A</v>
      </c>
      <c r="E72">
        <f>IF(71&lt;=COUNTIF(Data_Monitoring!$A$2:$A$2920, Dashboard_Visual!$B$4), INDEX(Data_Monitoring!$H$2:$H$2920, MATCH(Dashboard_Visual!$B$4, Data_Monitoring!$A$2:$A$2920, 0) + 71 - 1), 0)</f>
        <v>0</v>
      </c>
      <c r="F72">
        <f>IF(71&lt;=COUNTIF(Data_Monitoring!$A$2:$A$2920, Dashboard_Visual!$B$4), INDEX(Data_Monitoring!$O$2:$O$2920, MATCH(Dashboard_Visual!$B$4, Data_Monitoring!$A$2:$A$2920, 0) + 71 - 1), 0)</f>
        <v>0</v>
      </c>
      <c r="G72">
        <f>IF(71&lt;=COUNTIF(Data_Monitoring!$A$2:$A$2920, Dashboard_Visual!$B$4), INDEX(Data_Monitoring!$Q$2:$Q$2920, MATCH(Dashboard_Visual!$B$4, Data_Monitoring!$A$2:$A$2920, 0) + 71 - 1), 0)</f>
        <v>0</v>
      </c>
      <c r="H72" t="str">
        <f>IF(71&lt;=COUNTIF(Data_Monitoring!$A$2:$A$2920, Dashboard_Visual!$B$4), INDEX(Data_Monitoring!$L$2:$L$2920, MATCH(Dashboard_Visual!$B$4, Data_Monitoring!$A$2:$A$2920, 0) + 71 - 1), "")</f>
        <v/>
      </c>
      <c r="I72" t="str">
        <f>IF(AND(71&lt;=$P$2, ISNUMBER(D72), OR(H72="Warning", H72="Overgrade")), TEXT(ABS(D72)/100, "0.00%"), "")</f>
        <v/>
      </c>
      <c r="J72" t="e">
        <f t="shared" si="1"/>
        <v>#N/A</v>
      </c>
      <c r="K72" t="e">
        <f>IF(AND(71&lt;=$P$2, H72="Warning"), C72, NA())</f>
        <v>#N/A</v>
      </c>
      <c r="L72" t="e">
        <f>IF(AND(71&lt;=$P$2, H72="Overgrade"), C72, NA())</f>
        <v>#N/A</v>
      </c>
      <c r="M72">
        <f>IF(71&lt;=COUNTIF(Data_Monitoring!$A$2:$A$2920, Dashboard_Visual!$B$4), INDEX(Data_Monitoring!$S$2:$S$2920, MATCH(Dashboard_Visual!$B$4, Data_Monitoring!$A$2:$A$2920, 0) + 71 - 1), 1)</f>
        <v>1</v>
      </c>
    </row>
    <row r="73" spans="1:13" x14ac:dyDescent="0.25">
      <c r="A73" t="str">
        <f>IF(72&lt;=COUNTIF(Data_Monitoring!$A$2:$A$2920, Dashboard_Visual!$B$4), INDEX(Data_Monitoring!$B$2:$B$2920, MATCH(Dashboard_Visual!$B$4, Data_Monitoring!$A$2:$A$2920, 0) + 72 - 1), "")</f>
        <v/>
      </c>
      <c r="B73" t="str">
        <f>IF(72&lt;=COUNTIF(Data_Monitoring!$A$2:$A$2920, Dashboard_Visual!$B$4), INDEX(Data_Monitoring!$C$2:$C$2920, MATCH(Dashboard_Visual!$B$4, Data_Monitoring!$A$2:$A$2920, 0) + 72 - 1), "")</f>
        <v/>
      </c>
      <c r="C73" t="e">
        <f>IF(72&lt;=COUNTIF(Data_Monitoring!$A$2:$A$2920, Dashboard_Visual!$B$4), INDEX(Data_Monitoring!$J$2:$J$2920, MATCH(Dashboard_Visual!$B$4, Data_Monitoring!$A$2:$A$2920, 0) + 72 - 1), NA())</f>
        <v>#N/A</v>
      </c>
      <c r="D73" t="e">
        <f>IF(72&lt;=COUNTIF(Data_Monitoring!$A$2:$A$2920, Dashboard_Visual!$B$4), INDEX(Data_Monitoring!$K$2:$K$2920, MATCH(Dashboard_Visual!$B$4, Data_Monitoring!$A$2:$A$2920, 0) + 72 - 1), NA())</f>
        <v>#N/A</v>
      </c>
      <c r="E73">
        <f>IF(72&lt;=COUNTIF(Data_Monitoring!$A$2:$A$2920, Dashboard_Visual!$B$4), INDEX(Data_Monitoring!$H$2:$H$2920, MATCH(Dashboard_Visual!$B$4, Data_Monitoring!$A$2:$A$2920, 0) + 72 - 1), 0)</f>
        <v>0</v>
      </c>
      <c r="F73">
        <f>IF(72&lt;=COUNTIF(Data_Monitoring!$A$2:$A$2920, Dashboard_Visual!$B$4), INDEX(Data_Monitoring!$O$2:$O$2920, MATCH(Dashboard_Visual!$B$4, Data_Monitoring!$A$2:$A$2920, 0) + 72 - 1), 0)</f>
        <v>0</v>
      </c>
      <c r="G73">
        <f>IF(72&lt;=COUNTIF(Data_Monitoring!$A$2:$A$2920, Dashboard_Visual!$B$4), INDEX(Data_Monitoring!$Q$2:$Q$2920, MATCH(Dashboard_Visual!$B$4, Data_Monitoring!$A$2:$A$2920, 0) + 72 - 1), 0)</f>
        <v>0</v>
      </c>
      <c r="H73" t="str">
        <f>IF(72&lt;=COUNTIF(Data_Monitoring!$A$2:$A$2920, Dashboard_Visual!$B$4), INDEX(Data_Monitoring!$L$2:$L$2920, MATCH(Dashboard_Visual!$B$4, Data_Monitoring!$A$2:$A$2920, 0) + 72 - 1), "")</f>
        <v/>
      </c>
      <c r="I73" t="str">
        <f>IF(AND(72&lt;=$P$2, ISNUMBER(D73), OR(H73="Warning", H73="Overgrade")), TEXT(ABS(D73)/100, "0.00%"), "")</f>
        <v/>
      </c>
      <c r="J73" t="e">
        <f t="shared" si="1"/>
        <v>#N/A</v>
      </c>
      <c r="K73" t="e">
        <f>IF(AND(72&lt;=$P$2, H73="Warning"), C73, NA())</f>
        <v>#N/A</v>
      </c>
      <c r="L73" t="e">
        <f>IF(AND(72&lt;=$P$2, H73="Overgrade"), C73, NA())</f>
        <v>#N/A</v>
      </c>
      <c r="M73">
        <f>IF(72&lt;=COUNTIF(Data_Monitoring!$A$2:$A$2920, Dashboard_Visual!$B$4), INDEX(Data_Monitoring!$S$2:$S$2920, MATCH(Dashboard_Visual!$B$4, Data_Monitoring!$A$2:$A$2920, 0) + 72 - 1), 1)</f>
        <v>1</v>
      </c>
    </row>
    <row r="74" spans="1:13" x14ac:dyDescent="0.25">
      <c r="A74" t="str">
        <f>IF(73&lt;=COUNTIF(Data_Monitoring!$A$2:$A$2920, Dashboard_Visual!$B$4), INDEX(Data_Monitoring!$B$2:$B$2920, MATCH(Dashboard_Visual!$B$4, Data_Monitoring!$A$2:$A$2920, 0) + 73 - 1), "")</f>
        <v/>
      </c>
      <c r="B74" t="str">
        <f>IF(73&lt;=COUNTIF(Data_Monitoring!$A$2:$A$2920, Dashboard_Visual!$B$4), INDEX(Data_Monitoring!$C$2:$C$2920, MATCH(Dashboard_Visual!$B$4, Data_Monitoring!$A$2:$A$2920, 0) + 73 - 1), "")</f>
        <v/>
      </c>
      <c r="C74" t="e">
        <f>IF(73&lt;=COUNTIF(Data_Monitoring!$A$2:$A$2920, Dashboard_Visual!$B$4), INDEX(Data_Monitoring!$J$2:$J$2920, MATCH(Dashboard_Visual!$B$4, Data_Monitoring!$A$2:$A$2920, 0) + 73 - 1), NA())</f>
        <v>#N/A</v>
      </c>
      <c r="D74" t="e">
        <f>IF(73&lt;=COUNTIF(Data_Monitoring!$A$2:$A$2920, Dashboard_Visual!$B$4), INDEX(Data_Monitoring!$K$2:$K$2920, MATCH(Dashboard_Visual!$B$4, Data_Monitoring!$A$2:$A$2920, 0) + 73 - 1), NA())</f>
        <v>#N/A</v>
      </c>
      <c r="E74">
        <f>IF(73&lt;=COUNTIF(Data_Monitoring!$A$2:$A$2920, Dashboard_Visual!$B$4), INDEX(Data_Monitoring!$H$2:$H$2920, MATCH(Dashboard_Visual!$B$4, Data_Monitoring!$A$2:$A$2920, 0) + 73 - 1), 0)</f>
        <v>0</v>
      </c>
      <c r="F74">
        <f>IF(73&lt;=COUNTIF(Data_Monitoring!$A$2:$A$2920, Dashboard_Visual!$B$4), INDEX(Data_Monitoring!$O$2:$O$2920, MATCH(Dashboard_Visual!$B$4, Data_Monitoring!$A$2:$A$2920, 0) + 73 - 1), 0)</f>
        <v>0</v>
      </c>
      <c r="G74">
        <f>IF(73&lt;=COUNTIF(Data_Monitoring!$A$2:$A$2920, Dashboard_Visual!$B$4), INDEX(Data_Monitoring!$Q$2:$Q$2920, MATCH(Dashboard_Visual!$B$4, Data_Monitoring!$A$2:$A$2920, 0) + 73 - 1), 0)</f>
        <v>0</v>
      </c>
      <c r="H74" t="str">
        <f>IF(73&lt;=COUNTIF(Data_Monitoring!$A$2:$A$2920, Dashboard_Visual!$B$4), INDEX(Data_Monitoring!$L$2:$L$2920, MATCH(Dashboard_Visual!$B$4, Data_Monitoring!$A$2:$A$2920, 0) + 73 - 1), "")</f>
        <v/>
      </c>
      <c r="I74" t="str">
        <f>IF(AND(73&lt;=$P$2, ISNUMBER(D74), OR(H74="Warning", H74="Overgrade")), TEXT(ABS(D74)/100, "0.00%"), "")</f>
        <v/>
      </c>
      <c r="J74" t="e">
        <f t="shared" si="1"/>
        <v>#N/A</v>
      </c>
      <c r="K74" t="e">
        <f>IF(AND(73&lt;=$P$2, H74="Warning"), C74, NA())</f>
        <v>#N/A</v>
      </c>
      <c r="L74" t="e">
        <f>IF(AND(73&lt;=$P$2, H74="Overgrade"), C74, NA())</f>
        <v>#N/A</v>
      </c>
      <c r="M74">
        <f>IF(73&lt;=COUNTIF(Data_Monitoring!$A$2:$A$2920, Dashboard_Visual!$B$4), INDEX(Data_Monitoring!$S$2:$S$2920, MATCH(Dashboard_Visual!$B$4, Data_Monitoring!$A$2:$A$2920, 0) + 73 - 1), 1)</f>
        <v>1</v>
      </c>
    </row>
    <row r="75" spans="1:13" x14ac:dyDescent="0.25">
      <c r="A75" t="str">
        <f>IF(74&lt;=COUNTIF(Data_Monitoring!$A$2:$A$2920, Dashboard_Visual!$B$4), INDEX(Data_Monitoring!$B$2:$B$2920, MATCH(Dashboard_Visual!$B$4, Data_Monitoring!$A$2:$A$2920, 0) + 74 - 1), "")</f>
        <v/>
      </c>
      <c r="B75" t="str">
        <f>IF(74&lt;=COUNTIF(Data_Monitoring!$A$2:$A$2920, Dashboard_Visual!$B$4), INDEX(Data_Monitoring!$C$2:$C$2920, MATCH(Dashboard_Visual!$B$4, Data_Monitoring!$A$2:$A$2920, 0) + 74 - 1), "")</f>
        <v/>
      </c>
      <c r="C75" t="e">
        <f>IF(74&lt;=COUNTIF(Data_Monitoring!$A$2:$A$2920, Dashboard_Visual!$B$4), INDEX(Data_Monitoring!$J$2:$J$2920, MATCH(Dashboard_Visual!$B$4, Data_Monitoring!$A$2:$A$2920, 0) + 74 - 1), NA())</f>
        <v>#N/A</v>
      </c>
      <c r="D75" t="e">
        <f>IF(74&lt;=COUNTIF(Data_Monitoring!$A$2:$A$2920, Dashboard_Visual!$B$4), INDEX(Data_Monitoring!$K$2:$K$2920, MATCH(Dashboard_Visual!$B$4, Data_Monitoring!$A$2:$A$2920, 0) + 74 - 1), NA())</f>
        <v>#N/A</v>
      </c>
      <c r="E75">
        <f>IF(74&lt;=COUNTIF(Data_Monitoring!$A$2:$A$2920, Dashboard_Visual!$B$4), INDEX(Data_Monitoring!$H$2:$H$2920, MATCH(Dashboard_Visual!$B$4, Data_Monitoring!$A$2:$A$2920, 0) + 74 - 1), 0)</f>
        <v>0</v>
      </c>
      <c r="F75">
        <f>IF(74&lt;=COUNTIF(Data_Monitoring!$A$2:$A$2920, Dashboard_Visual!$B$4), INDEX(Data_Monitoring!$O$2:$O$2920, MATCH(Dashboard_Visual!$B$4, Data_Monitoring!$A$2:$A$2920, 0) + 74 - 1), 0)</f>
        <v>0</v>
      </c>
      <c r="G75">
        <f>IF(74&lt;=COUNTIF(Data_Monitoring!$A$2:$A$2920, Dashboard_Visual!$B$4), INDEX(Data_Monitoring!$Q$2:$Q$2920, MATCH(Dashboard_Visual!$B$4, Data_Monitoring!$A$2:$A$2920, 0) + 74 - 1), 0)</f>
        <v>0</v>
      </c>
      <c r="H75" t="str">
        <f>IF(74&lt;=COUNTIF(Data_Monitoring!$A$2:$A$2920, Dashboard_Visual!$B$4), INDEX(Data_Monitoring!$L$2:$L$2920, MATCH(Dashboard_Visual!$B$4, Data_Monitoring!$A$2:$A$2920, 0) + 74 - 1), "")</f>
        <v/>
      </c>
      <c r="I75" t="str">
        <f>IF(AND(74&lt;=$P$2, ISNUMBER(D75), OR(H75="Warning", H75="Overgrade")), TEXT(ABS(D75)/100, "0.00%"), "")</f>
        <v/>
      </c>
      <c r="J75" t="e">
        <f t="shared" si="1"/>
        <v>#N/A</v>
      </c>
      <c r="K75" t="e">
        <f>IF(AND(74&lt;=$P$2, H75="Warning"), C75, NA())</f>
        <v>#N/A</v>
      </c>
      <c r="L75" t="e">
        <f>IF(AND(74&lt;=$P$2, H75="Overgrade"), C75, NA())</f>
        <v>#N/A</v>
      </c>
      <c r="M75">
        <f>IF(74&lt;=COUNTIF(Data_Monitoring!$A$2:$A$2920, Dashboard_Visual!$B$4), INDEX(Data_Monitoring!$S$2:$S$2920, MATCH(Dashboard_Visual!$B$4, Data_Monitoring!$A$2:$A$2920, 0) + 74 - 1), 1)</f>
        <v>1</v>
      </c>
    </row>
    <row r="76" spans="1:13" x14ac:dyDescent="0.25">
      <c r="A76" t="str">
        <f>IF(75&lt;=COUNTIF(Data_Monitoring!$A$2:$A$2920, Dashboard_Visual!$B$4), INDEX(Data_Monitoring!$B$2:$B$2920, MATCH(Dashboard_Visual!$B$4, Data_Monitoring!$A$2:$A$2920, 0) + 75 - 1), "")</f>
        <v/>
      </c>
      <c r="B76" t="str">
        <f>IF(75&lt;=COUNTIF(Data_Monitoring!$A$2:$A$2920, Dashboard_Visual!$B$4), INDEX(Data_Monitoring!$C$2:$C$2920, MATCH(Dashboard_Visual!$B$4, Data_Monitoring!$A$2:$A$2920, 0) + 75 - 1), "")</f>
        <v/>
      </c>
      <c r="C76" t="e">
        <f>IF(75&lt;=COUNTIF(Data_Monitoring!$A$2:$A$2920, Dashboard_Visual!$B$4), INDEX(Data_Monitoring!$J$2:$J$2920, MATCH(Dashboard_Visual!$B$4, Data_Monitoring!$A$2:$A$2920, 0) + 75 - 1), NA())</f>
        <v>#N/A</v>
      </c>
      <c r="D76" t="e">
        <f>IF(75&lt;=COUNTIF(Data_Monitoring!$A$2:$A$2920, Dashboard_Visual!$B$4), INDEX(Data_Monitoring!$K$2:$K$2920, MATCH(Dashboard_Visual!$B$4, Data_Monitoring!$A$2:$A$2920, 0) + 75 - 1), NA())</f>
        <v>#N/A</v>
      </c>
      <c r="E76">
        <f>IF(75&lt;=COUNTIF(Data_Monitoring!$A$2:$A$2920, Dashboard_Visual!$B$4), INDEX(Data_Monitoring!$H$2:$H$2920, MATCH(Dashboard_Visual!$B$4, Data_Monitoring!$A$2:$A$2920, 0) + 75 - 1), 0)</f>
        <v>0</v>
      </c>
      <c r="F76">
        <f>IF(75&lt;=COUNTIF(Data_Monitoring!$A$2:$A$2920, Dashboard_Visual!$B$4), INDEX(Data_Monitoring!$O$2:$O$2920, MATCH(Dashboard_Visual!$B$4, Data_Monitoring!$A$2:$A$2920, 0) + 75 - 1), 0)</f>
        <v>0</v>
      </c>
      <c r="G76">
        <f>IF(75&lt;=COUNTIF(Data_Monitoring!$A$2:$A$2920, Dashboard_Visual!$B$4), INDEX(Data_Monitoring!$Q$2:$Q$2920, MATCH(Dashboard_Visual!$B$4, Data_Monitoring!$A$2:$A$2920, 0) + 75 - 1), 0)</f>
        <v>0</v>
      </c>
      <c r="H76" t="str">
        <f>IF(75&lt;=COUNTIF(Data_Monitoring!$A$2:$A$2920, Dashboard_Visual!$B$4), INDEX(Data_Monitoring!$L$2:$L$2920, MATCH(Dashboard_Visual!$B$4, Data_Monitoring!$A$2:$A$2920, 0) + 75 - 1), "")</f>
        <v/>
      </c>
      <c r="I76" t="str">
        <f>IF(AND(75&lt;=$P$2, ISNUMBER(D76), OR(H76="Warning", H76="Overgrade")), TEXT(ABS(D76)/100, "0.00%"), "")</f>
        <v/>
      </c>
      <c r="J76" t="e">
        <f t="shared" si="1"/>
        <v>#N/A</v>
      </c>
      <c r="K76" t="e">
        <f>IF(AND(75&lt;=$P$2, H76="Warning"), C76, NA())</f>
        <v>#N/A</v>
      </c>
      <c r="L76" t="e">
        <f>IF(AND(75&lt;=$P$2, H76="Overgrade"), C76, NA())</f>
        <v>#N/A</v>
      </c>
      <c r="M76">
        <f>IF(75&lt;=COUNTIF(Data_Monitoring!$A$2:$A$2920, Dashboard_Visual!$B$4), INDEX(Data_Monitoring!$S$2:$S$2920, MATCH(Dashboard_Visual!$B$4, Data_Monitoring!$A$2:$A$2920, 0) + 75 - 1), 1)</f>
        <v>1</v>
      </c>
    </row>
    <row r="77" spans="1:13" x14ac:dyDescent="0.25">
      <c r="A77" t="str">
        <f>IF(76&lt;=COUNTIF(Data_Monitoring!$A$2:$A$2920, Dashboard_Visual!$B$4), INDEX(Data_Monitoring!$B$2:$B$2920, MATCH(Dashboard_Visual!$B$4, Data_Monitoring!$A$2:$A$2920, 0) + 76 - 1), "")</f>
        <v/>
      </c>
      <c r="B77" t="str">
        <f>IF(76&lt;=COUNTIF(Data_Monitoring!$A$2:$A$2920, Dashboard_Visual!$B$4), INDEX(Data_Monitoring!$C$2:$C$2920, MATCH(Dashboard_Visual!$B$4, Data_Monitoring!$A$2:$A$2920, 0) + 76 - 1), "")</f>
        <v/>
      </c>
      <c r="C77" t="e">
        <f>IF(76&lt;=COUNTIF(Data_Monitoring!$A$2:$A$2920, Dashboard_Visual!$B$4), INDEX(Data_Monitoring!$J$2:$J$2920, MATCH(Dashboard_Visual!$B$4, Data_Monitoring!$A$2:$A$2920, 0) + 76 - 1), NA())</f>
        <v>#N/A</v>
      </c>
      <c r="D77" t="e">
        <f>IF(76&lt;=COUNTIF(Data_Monitoring!$A$2:$A$2920, Dashboard_Visual!$B$4), INDEX(Data_Monitoring!$K$2:$K$2920, MATCH(Dashboard_Visual!$B$4, Data_Monitoring!$A$2:$A$2920, 0) + 76 - 1), NA())</f>
        <v>#N/A</v>
      </c>
      <c r="E77">
        <f>IF(76&lt;=COUNTIF(Data_Monitoring!$A$2:$A$2920, Dashboard_Visual!$B$4), INDEX(Data_Monitoring!$H$2:$H$2920, MATCH(Dashboard_Visual!$B$4, Data_Monitoring!$A$2:$A$2920, 0) + 76 - 1), 0)</f>
        <v>0</v>
      </c>
      <c r="F77">
        <f>IF(76&lt;=COUNTIF(Data_Monitoring!$A$2:$A$2920, Dashboard_Visual!$B$4), INDEX(Data_Monitoring!$O$2:$O$2920, MATCH(Dashboard_Visual!$B$4, Data_Monitoring!$A$2:$A$2920, 0) + 76 - 1), 0)</f>
        <v>0</v>
      </c>
      <c r="G77">
        <f>IF(76&lt;=COUNTIF(Data_Monitoring!$A$2:$A$2920, Dashboard_Visual!$B$4), INDEX(Data_Monitoring!$Q$2:$Q$2920, MATCH(Dashboard_Visual!$B$4, Data_Monitoring!$A$2:$A$2920, 0) + 76 - 1), 0)</f>
        <v>0</v>
      </c>
      <c r="H77" t="str">
        <f>IF(76&lt;=COUNTIF(Data_Monitoring!$A$2:$A$2920, Dashboard_Visual!$B$4), INDEX(Data_Monitoring!$L$2:$L$2920, MATCH(Dashboard_Visual!$B$4, Data_Monitoring!$A$2:$A$2920, 0) + 76 - 1), "")</f>
        <v/>
      </c>
      <c r="I77" t="str">
        <f>IF(AND(76&lt;=$P$2, ISNUMBER(D77), OR(H77="Warning", H77="Overgrade")), TEXT(ABS(D77)/100, "0.00%"), "")</f>
        <v/>
      </c>
      <c r="J77" t="e">
        <f t="shared" si="1"/>
        <v>#N/A</v>
      </c>
      <c r="K77" t="e">
        <f>IF(AND(76&lt;=$P$2, H77="Warning"), C77, NA())</f>
        <v>#N/A</v>
      </c>
      <c r="L77" t="e">
        <f>IF(AND(76&lt;=$P$2, H77="Overgrade"), C77, NA())</f>
        <v>#N/A</v>
      </c>
      <c r="M77">
        <f>IF(76&lt;=COUNTIF(Data_Monitoring!$A$2:$A$2920, Dashboard_Visual!$B$4), INDEX(Data_Monitoring!$S$2:$S$2920, MATCH(Dashboard_Visual!$B$4, Data_Monitoring!$A$2:$A$2920, 0) + 76 - 1), 1)</f>
        <v>1</v>
      </c>
    </row>
    <row r="78" spans="1:13" x14ac:dyDescent="0.25">
      <c r="A78" t="str">
        <f>IF(77&lt;=COUNTIF(Data_Monitoring!$A$2:$A$2920, Dashboard_Visual!$B$4), INDEX(Data_Monitoring!$B$2:$B$2920, MATCH(Dashboard_Visual!$B$4, Data_Monitoring!$A$2:$A$2920, 0) + 77 - 1), "")</f>
        <v/>
      </c>
      <c r="B78" t="str">
        <f>IF(77&lt;=COUNTIF(Data_Monitoring!$A$2:$A$2920, Dashboard_Visual!$B$4), INDEX(Data_Monitoring!$C$2:$C$2920, MATCH(Dashboard_Visual!$B$4, Data_Monitoring!$A$2:$A$2920, 0) + 77 - 1), "")</f>
        <v/>
      </c>
      <c r="C78" t="e">
        <f>IF(77&lt;=COUNTIF(Data_Monitoring!$A$2:$A$2920, Dashboard_Visual!$B$4), INDEX(Data_Monitoring!$J$2:$J$2920, MATCH(Dashboard_Visual!$B$4, Data_Monitoring!$A$2:$A$2920, 0) + 77 - 1), NA())</f>
        <v>#N/A</v>
      </c>
      <c r="D78" t="e">
        <f>IF(77&lt;=COUNTIF(Data_Monitoring!$A$2:$A$2920, Dashboard_Visual!$B$4), INDEX(Data_Monitoring!$K$2:$K$2920, MATCH(Dashboard_Visual!$B$4, Data_Monitoring!$A$2:$A$2920, 0) + 77 - 1), NA())</f>
        <v>#N/A</v>
      </c>
      <c r="E78">
        <f>IF(77&lt;=COUNTIF(Data_Monitoring!$A$2:$A$2920, Dashboard_Visual!$B$4), INDEX(Data_Monitoring!$H$2:$H$2920, MATCH(Dashboard_Visual!$B$4, Data_Monitoring!$A$2:$A$2920, 0) + 77 - 1), 0)</f>
        <v>0</v>
      </c>
      <c r="F78">
        <f>IF(77&lt;=COUNTIF(Data_Monitoring!$A$2:$A$2920, Dashboard_Visual!$B$4), INDEX(Data_Monitoring!$O$2:$O$2920, MATCH(Dashboard_Visual!$B$4, Data_Monitoring!$A$2:$A$2920, 0) + 77 - 1), 0)</f>
        <v>0</v>
      </c>
      <c r="G78">
        <f>IF(77&lt;=COUNTIF(Data_Monitoring!$A$2:$A$2920, Dashboard_Visual!$B$4), INDEX(Data_Monitoring!$Q$2:$Q$2920, MATCH(Dashboard_Visual!$B$4, Data_Monitoring!$A$2:$A$2920, 0) + 77 - 1), 0)</f>
        <v>0</v>
      </c>
      <c r="H78" t="str">
        <f>IF(77&lt;=COUNTIF(Data_Monitoring!$A$2:$A$2920, Dashboard_Visual!$B$4), INDEX(Data_Monitoring!$L$2:$L$2920, MATCH(Dashboard_Visual!$B$4, Data_Monitoring!$A$2:$A$2920, 0) + 77 - 1), "")</f>
        <v/>
      </c>
      <c r="I78" t="str">
        <f>IF(AND(77&lt;=$P$2, ISNUMBER(D78), OR(H78="Warning", H78="Overgrade")), TEXT(ABS(D78)/100, "0.00%"), "")</f>
        <v/>
      </c>
      <c r="J78" t="e">
        <f t="shared" si="1"/>
        <v>#N/A</v>
      </c>
      <c r="K78" t="e">
        <f>IF(AND(77&lt;=$P$2, H78="Warning"), C78, NA())</f>
        <v>#N/A</v>
      </c>
      <c r="L78" t="e">
        <f>IF(AND(77&lt;=$P$2, H78="Overgrade"), C78, NA())</f>
        <v>#N/A</v>
      </c>
      <c r="M78">
        <f>IF(77&lt;=COUNTIF(Data_Monitoring!$A$2:$A$2920, Dashboard_Visual!$B$4), INDEX(Data_Monitoring!$S$2:$S$2920, MATCH(Dashboard_Visual!$B$4, Data_Monitoring!$A$2:$A$2920, 0) + 77 - 1), 1)</f>
        <v>1</v>
      </c>
    </row>
    <row r="79" spans="1:13" x14ac:dyDescent="0.25">
      <c r="A79" t="str">
        <f>IF(78&lt;=COUNTIF(Data_Monitoring!$A$2:$A$2920, Dashboard_Visual!$B$4), INDEX(Data_Monitoring!$B$2:$B$2920, MATCH(Dashboard_Visual!$B$4, Data_Monitoring!$A$2:$A$2920, 0) + 78 - 1), "")</f>
        <v/>
      </c>
      <c r="B79" t="str">
        <f>IF(78&lt;=COUNTIF(Data_Monitoring!$A$2:$A$2920, Dashboard_Visual!$B$4), INDEX(Data_Monitoring!$C$2:$C$2920, MATCH(Dashboard_Visual!$B$4, Data_Monitoring!$A$2:$A$2920, 0) + 78 - 1), "")</f>
        <v/>
      </c>
      <c r="C79" t="e">
        <f>IF(78&lt;=COUNTIF(Data_Monitoring!$A$2:$A$2920, Dashboard_Visual!$B$4), INDEX(Data_Monitoring!$J$2:$J$2920, MATCH(Dashboard_Visual!$B$4, Data_Monitoring!$A$2:$A$2920, 0) + 78 - 1), NA())</f>
        <v>#N/A</v>
      </c>
      <c r="D79" t="e">
        <f>IF(78&lt;=COUNTIF(Data_Monitoring!$A$2:$A$2920, Dashboard_Visual!$B$4), INDEX(Data_Monitoring!$K$2:$K$2920, MATCH(Dashboard_Visual!$B$4, Data_Monitoring!$A$2:$A$2920, 0) + 78 - 1), NA())</f>
        <v>#N/A</v>
      </c>
      <c r="E79">
        <f>IF(78&lt;=COUNTIF(Data_Monitoring!$A$2:$A$2920, Dashboard_Visual!$B$4), INDEX(Data_Monitoring!$H$2:$H$2920, MATCH(Dashboard_Visual!$B$4, Data_Monitoring!$A$2:$A$2920, 0) + 78 - 1), 0)</f>
        <v>0</v>
      </c>
      <c r="F79">
        <f>IF(78&lt;=COUNTIF(Data_Monitoring!$A$2:$A$2920, Dashboard_Visual!$B$4), INDEX(Data_Monitoring!$O$2:$O$2920, MATCH(Dashboard_Visual!$B$4, Data_Monitoring!$A$2:$A$2920, 0) + 78 - 1), 0)</f>
        <v>0</v>
      </c>
      <c r="G79">
        <f>IF(78&lt;=COUNTIF(Data_Monitoring!$A$2:$A$2920, Dashboard_Visual!$B$4), INDEX(Data_Monitoring!$Q$2:$Q$2920, MATCH(Dashboard_Visual!$B$4, Data_Monitoring!$A$2:$A$2920, 0) + 78 - 1), 0)</f>
        <v>0</v>
      </c>
      <c r="H79" t="str">
        <f>IF(78&lt;=COUNTIF(Data_Monitoring!$A$2:$A$2920, Dashboard_Visual!$B$4), INDEX(Data_Monitoring!$L$2:$L$2920, MATCH(Dashboard_Visual!$B$4, Data_Monitoring!$A$2:$A$2920, 0) + 78 - 1), "")</f>
        <v/>
      </c>
      <c r="I79" t="str">
        <f>IF(AND(78&lt;=$P$2, ISNUMBER(D79), OR(H79="Warning", H79="Overgrade")), TEXT(ABS(D79)/100, "0.00%"), "")</f>
        <v/>
      </c>
      <c r="J79" t="e">
        <f t="shared" si="1"/>
        <v>#N/A</v>
      </c>
      <c r="K79" t="e">
        <f>IF(AND(78&lt;=$P$2, H79="Warning"), C79, NA())</f>
        <v>#N/A</v>
      </c>
      <c r="L79" t="e">
        <f>IF(AND(78&lt;=$P$2, H79="Overgrade"), C79, NA())</f>
        <v>#N/A</v>
      </c>
      <c r="M79">
        <f>IF(78&lt;=COUNTIF(Data_Monitoring!$A$2:$A$2920, Dashboard_Visual!$B$4), INDEX(Data_Monitoring!$S$2:$S$2920, MATCH(Dashboard_Visual!$B$4, Data_Monitoring!$A$2:$A$2920, 0) + 78 - 1), 1)</f>
        <v>1</v>
      </c>
    </row>
    <row r="80" spans="1:13" x14ac:dyDescent="0.25">
      <c r="A80" t="str">
        <f>IF(79&lt;=COUNTIF(Data_Monitoring!$A$2:$A$2920, Dashboard_Visual!$B$4), INDEX(Data_Monitoring!$B$2:$B$2920, MATCH(Dashboard_Visual!$B$4, Data_Monitoring!$A$2:$A$2920, 0) + 79 - 1), "")</f>
        <v/>
      </c>
      <c r="B80" t="str">
        <f>IF(79&lt;=COUNTIF(Data_Monitoring!$A$2:$A$2920, Dashboard_Visual!$B$4), INDEX(Data_Monitoring!$C$2:$C$2920, MATCH(Dashboard_Visual!$B$4, Data_Monitoring!$A$2:$A$2920, 0) + 79 - 1), "")</f>
        <v/>
      </c>
      <c r="C80" t="e">
        <f>IF(79&lt;=COUNTIF(Data_Monitoring!$A$2:$A$2920, Dashboard_Visual!$B$4), INDEX(Data_Monitoring!$J$2:$J$2920, MATCH(Dashboard_Visual!$B$4, Data_Monitoring!$A$2:$A$2920, 0) + 79 - 1), NA())</f>
        <v>#N/A</v>
      </c>
      <c r="D80" t="e">
        <f>IF(79&lt;=COUNTIF(Data_Monitoring!$A$2:$A$2920, Dashboard_Visual!$B$4), INDEX(Data_Monitoring!$K$2:$K$2920, MATCH(Dashboard_Visual!$B$4, Data_Monitoring!$A$2:$A$2920, 0) + 79 - 1), NA())</f>
        <v>#N/A</v>
      </c>
      <c r="E80">
        <f>IF(79&lt;=COUNTIF(Data_Monitoring!$A$2:$A$2920, Dashboard_Visual!$B$4), INDEX(Data_Monitoring!$H$2:$H$2920, MATCH(Dashboard_Visual!$B$4, Data_Monitoring!$A$2:$A$2920, 0) + 79 - 1), 0)</f>
        <v>0</v>
      </c>
      <c r="F80">
        <f>IF(79&lt;=COUNTIF(Data_Monitoring!$A$2:$A$2920, Dashboard_Visual!$B$4), INDEX(Data_Monitoring!$O$2:$O$2920, MATCH(Dashboard_Visual!$B$4, Data_Monitoring!$A$2:$A$2920, 0) + 79 - 1), 0)</f>
        <v>0</v>
      </c>
      <c r="G80">
        <f>IF(79&lt;=COUNTIF(Data_Monitoring!$A$2:$A$2920, Dashboard_Visual!$B$4), INDEX(Data_Monitoring!$Q$2:$Q$2920, MATCH(Dashboard_Visual!$B$4, Data_Monitoring!$A$2:$A$2920, 0) + 79 - 1), 0)</f>
        <v>0</v>
      </c>
      <c r="H80" t="str">
        <f>IF(79&lt;=COUNTIF(Data_Monitoring!$A$2:$A$2920, Dashboard_Visual!$B$4), INDEX(Data_Monitoring!$L$2:$L$2920, MATCH(Dashboard_Visual!$B$4, Data_Monitoring!$A$2:$A$2920, 0) + 79 - 1), "")</f>
        <v/>
      </c>
      <c r="I80" t="str">
        <f>IF(AND(79&lt;=$P$2, ISNUMBER(D80), OR(H80="Warning", H80="Overgrade")), TEXT(ABS(D80)/100, "0.00%"), "")</f>
        <v/>
      </c>
      <c r="J80" t="e">
        <f t="shared" si="1"/>
        <v>#N/A</v>
      </c>
      <c r="K80" t="e">
        <f>IF(AND(79&lt;=$P$2, H80="Warning"), C80, NA())</f>
        <v>#N/A</v>
      </c>
      <c r="L80" t="e">
        <f>IF(AND(79&lt;=$P$2, H80="Overgrade"), C80, NA())</f>
        <v>#N/A</v>
      </c>
      <c r="M80">
        <f>IF(79&lt;=COUNTIF(Data_Monitoring!$A$2:$A$2920, Dashboard_Visual!$B$4), INDEX(Data_Monitoring!$S$2:$S$2920, MATCH(Dashboard_Visual!$B$4, Data_Monitoring!$A$2:$A$2920, 0) + 79 - 1), 1)</f>
        <v>1</v>
      </c>
    </row>
    <row r="81" spans="1:13" x14ac:dyDescent="0.25">
      <c r="A81" t="str">
        <f>IF(80&lt;=COUNTIF(Data_Monitoring!$A$2:$A$2920, Dashboard_Visual!$B$4), INDEX(Data_Monitoring!$B$2:$B$2920, MATCH(Dashboard_Visual!$B$4, Data_Monitoring!$A$2:$A$2920, 0) + 80 - 1), "")</f>
        <v/>
      </c>
      <c r="B81" t="str">
        <f>IF(80&lt;=COUNTIF(Data_Monitoring!$A$2:$A$2920, Dashboard_Visual!$B$4), INDEX(Data_Monitoring!$C$2:$C$2920, MATCH(Dashboard_Visual!$B$4, Data_Monitoring!$A$2:$A$2920, 0) + 80 - 1), "")</f>
        <v/>
      </c>
      <c r="C81" t="e">
        <f>IF(80&lt;=COUNTIF(Data_Monitoring!$A$2:$A$2920, Dashboard_Visual!$B$4), INDEX(Data_Monitoring!$J$2:$J$2920, MATCH(Dashboard_Visual!$B$4, Data_Monitoring!$A$2:$A$2920, 0) + 80 - 1), NA())</f>
        <v>#N/A</v>
      </c>
      <c r="D81" t="e">
        <f>IF(80&lt;=COUNTIF(Data_Monitoring!$A$2:$A$2920, Dashboard_Visual!$B$4), INDEX(Data_Monitoring!$K$2:$K$2920, MATCH(Dashboard_Visual!$B$4, Data_Monitoring!$A$2:$A$2920, 0) + 80 - 1), NA())</f>
        <v>#N/A</v>
      </c>
      <c r="E81">
        <f>IF(80&lt;=COUNTIF(Data_Monitoring!$A$2:$A$2920, Dashboard_Visual!$B$4), INDEX(Data_Monitoring!$H$2:$H$2920, MATCH(Dashboard_Visual!$B$4, Data_Monitoring!$A$2:$A$2920, 0) + 80 - 1), 0)</f>
        <v>0</v>
      </c>
      <c r="F81">
        <f>IF(80&lt;=COUNTIF(Data_Monitoring!$A$2:$A$2920, Dashboard_Visual!$B$4), INDEX(Data_Monitoring!$O$2:$O$2920, MATCH(Dashboard_Visual!$B$4, Data_Monitoring!$A$2:$A$2920, 0) + 80 - 1), 0)</f>
        <v>0</v>
      </c>
      <c r="G81">
        <f>IF(80&lt;=COUNTIF(Data_Monitoring!$A$2:$A$2920, Dashboard_Visual!$B$4), INDEX(Data_Monitoring!$Q$2:$Q$2920, MATCH(Dashboard_Visual!$B$4, Data_Monitoring!$A$2:$A$2920, 0) + 80 - 1), 0)</f>
        <v>0</v>
      </c>
      <c r="H81" t="str">
        <f>IF(80&lt;=COUNTIF(Data_Monitoring!$A$2:$A$2920, Dashboard_Visual!$B$4), INDEX(Data_Monitoring!$L$2:$L$2920, MATCH(Dashboard_Visual!$B$4, Data_Monitoring!$A$2:$A$2920, 0) + 80 - 1), "")</f>
        <v/>
      </c>
      <c r="I81" t="str">
        <f>IF(AND(80&lt;=$P$2, ISNUMBER(D81), OR(H81="Warning", H81="Overgrade")), TEXT(ABS(D81)/100, "0.00%"), "")</f>
        <v/>
      </c>
      <c r="J81" t="e">
        <f t="shared" si="1"/>
        <v>#N/A</v>
      </c>
      <c r="K81" t="e">
        <f>IF(AND(80&lt;=$P$2, H81="Warning"), C81, NA())</f>
        <v>#N/A</v>
      </c>
      <c r="L81" t="e">
        <f>IF(AND(80&lt;=$P$2, H81="Overgrade"), C81, NA())</f>
        <v>#N/A</v>
      </c>
      <c r="M81">
        <f>IF(80&lt;=COUNTIF(Data_Monitoring!$A$2:$A$2920, Dashboard_Visual!$B$4), INDEX(Data_Monitoring!$S$2:$S$2920, MATCH(Dashboard_Visual!$B$4, Data_Monitoring!$A$2:$A$2920, 0) + 80 - 1), 1)</f>
        <v>1</v>
      </c>
    </row>
    <row r="82" spans="1:13" x14ac:dyDescent="0.25">
      <c r="A82" t="str">
        <f>IF(81&lt;=COUNTIF(Data_Monitoring!$A$2:$A$2920, Dashboard_Visual!$B$4), INDEX(Data_Monitoring!$B$2:$B$2920, MATCH(Dashboard_Visual!$B$4, Data_Monitoring!$A$2:$A$2920, 0) + 81 - 1), "")</f>
        <v/>
      </c>
      <c r="B82" t="str">
        <f>IF(81&lt;=COUNTIF(Data_Monitoring!$A$2:$A$2920, Dashboard_Visual!$B$4), INDEX(Data_Monitoring!$C$2:$C$2920, MATCH(Dashboard_Visual!$B$4, Data_Monitoring!$A$2:$A$2920, 0) + 81 - 1), "")</f>
        <v/>
      </c>
      <c r="C82" t="e">
        <f>IF(81&lt;=COUNTIF(Data_Monitoring!$A$2:$A$2920, Dashboard_Visual!$B$4), INDEX(Data_Monitoring!$J$2:$J$2920, MATCH(Dashboard_Visual!$B$4, Data_Monitoring!$A$2:$A$2920, 0) + 81 - 1), NA())</f>
        <v>#N/A</v>
      </c>
      <c r="D82" t="e">
        <f>IF(81&lt;=COUNTIF(Data_Monitoring!$A$2:$A$2920, Dashboard_Visual!$B$4), INDEX(Data_Monitoring!$K$2:$K$2920, MATCH(Dashboard_Visual!$B$4, Data_Monitoring!$A$2:$A$2920, 0) + 81 - 1), NA())</f>
        <v>#N/A</v>
      </c>
      <c r="E82">
        <f>IF(81&lt;=COUNTIF(Data_Monitoring!$A$2:$A$2920, Dashboard_Visual!$B$4), INDEX(Data_Monitoring!$H$2:$H$2920, MATCH(Dashboard_Visual!$B$4, Data_Monitoring!$A$2:$A$2920, 0) + 81 - 1), 0)</f>
        <v>0</v>
      </c>
      <c r="F82">
        <f>IF(81&lt;=COUNTIF(Data_Monitoring!$A$2:$A$2920, Dashboard_Visual!$B$4), INDEX(Data_Monitoring!$O$2:$O$2920, MATCH(Dashboard_Visual!$B$4, Data_Monitoring!$A$2:$A$2920, 0) + 81 - 1), 0)</f>
        <v>0</v>
      </c>
      <c r="G82">
        <f>IF(81&lt;=COUNTIF(Data_Monitoring!$A$2:$A$2920, Dashboard_Visual!$B$4), INDEX(Data_Monitoring!$Q$2:$Q$2920, MATCH(Dashboard_Visual!$B$4, Data_Monitoring!$A$2:$A$2920, 0) + 81 - 1), 0)</f>
        <v>0</v>
      </c>
      <c r="H82" t="str">
        <f>IF(81&lt;=COUNTIF(Data_Monitoring!$A$2:$A$2920, Dashboard_Visual!$B$4), INDEX(Data_Monitoring!$L$2:$L$2920, MATCH(Dashboard_Visual!$B$4, Data_Monitoring!$A$2:$A$2920, 0) + 81 - 1), "")</f>
        <v/>
      </c>
      <c r="I82" t="str">
        <f>IF(AND(81&lt;=$P$2, ISNUMBER(D82), OR(H82="Warning", H82="Overgrade")), TEXT(ABS(D82)/100, "0.00%"), "")</f>
        <v/>
      </c>
      <c r="J82" t="e">
        <f t="shared" si="1"/>
        <v>#N/A</v>
      </c>
      <c r="K82" t="e">
        <f>IF(AND(81&lt;=$P$2, H82="Warning"), C82, NA())</f>
        <v>#N/A</v>
      </c>
      <c r="L82" t="e">
        <f>IF(AND(81&lt;=$P$2, H82="Overgrade"), C82, NA())</f>
        <v>#N/A</v>
      </c>
      <c r="M82">
        <f>IF(81&lt;=COUNTIF(Data_Monitoring!$A$2:$A$2920, Dashboard_Visual!$B$4), INDEX(Data_Monitoring!$S$2:$S$2920, MATCH(Dashboard_Visual!$B$4, Data_Monitoring!$A$2:$A$2920, 0) + 81 - 1), 1)</f>
        <v>1</v>
      </c>
    </row>
    <row r="83" spans="1:13" x14ac:dyDescent="0.25">
      <c r="A83" t="str">
        <f>IF(82&lt;=COUNTIF(Data_Monitoring!$A$2:$A$2920, Dashboard_Visual!$B$4), INDEX(Data_Monitoring!$B$2:$B$2920, MATCH(Dashboard_Visual!$B$4, Data_Monitoring!$A$2:$A$2920, 0) + 82 - 1), "")</f>
        <v/>
      </c>
      <c r="B83" t="str">
        <f>IF(82&lt;=COUNTIF(Data_Monitoring!$A$2:$A$2920, Dashboard_Visual!$B$4), INDEX(Data_Monitoring!$C$2:$C$2920, MATCH(Dashboard_Visual!$B$4, Data_Monitoring!$A$2:$A$2920, 0) + 82 - 1), "")</f>
        <v/>
      </c>
      <c r="C83" t="e">
        <f>IF(82&lt;=COUNTIF(Data_Monitoring!$A$2:$A$2920, Dashboard_Visual!$B$4), INDEX(Data_Monitoring!$J$2:$J$2920, MATCH(Dashboard_Visual!$B$4, Data_Monitoring!$A$2:$A$2920, 0) + 82 - 1), NA())</f>
        <v>#N/A</v>
      </c>
      <c r="D83" t="e">
        <f>IF(82&lt;=COUNTIF(Data_Monitoring!$A$2:$A$2920, Dashboard_Visual!$B$4), INDEX(Data_Monitoring!$K$2:$K$2920, MATCH(Dashboard_Visual!$B$4, Data_Monitoring!$A$2:$A$2920, 0) + 82 - 1), NA())</f>
        <v>#N/A</v>
      </c>
      <c r="E83">
        <f>IF(82&lt;=COUNTIF(Data_Monitoring!$A$2:$A$2920, Dashboard_Visual!$B$4), INDEX(Data_Monitoring!$H$2:$H$2920, MATCH(Dashboard_Visual!$B$4, Data_Monitoring!$A$2:$A$2920, 0) + 82 - 1), 0)</f>
        <v>0</v>
      </c>
      <c r="F83">
        <f>IF(82&lt;=COUNTIF(Data_Monitoring!$A$2:$A$2920, Dashboard_Visual!$B$4), INDEX(Data_Monitoring!$O$2:$O$2920, MATCH(Dashboard_Visual!$B$4, Data_Monitoring!$A$2:$A$2920, 0) + 82 - 1), 0)</f>
        <v>0</v>
      </c>
      <c r="G83">
        <f>IF(82&lt;=COUNTIF(Data_Monitoring!$A$2:$A$2920, Dashboard_Visual!$B$4), INDEX(Data_Monitoring!$Q$2:$Q$2920, MATCH(Dashboard_Visual!$B$4, Data_Monitoring!$A$2:$A$2920, 0) + 82 - 1), 0)</f>
        <v>0</v>
      </c>
      <c r="H83" t="str">
        <f>IF(82&lt;=COUNTIF(Data_Monitoring!$A$2:$A$2920, Dashboard_Visual!$B$4), INDEX(Data_Monitoring!$L$2:$L$2920, MATCH(Dashboard_Visual!$B$4, Data_Monitoring!$A$2:$A$2920, 0) + 82 - 1), "")</f>
        <v/>
      </c>
      <c r="I83" t="str">
        <f>IF(AND(82&lt;=$P$2, ISNUMBER(D83), OR(H83="Warning", H83="Overgrade")), TEXT(ABS(D83)/100, "0.00%"), "")</f>
        <v/>
      </c>
      <c r="J83" t="e">
        <f t="shared" si="1"/>
        <v>#N/A</v>
      </c>
      <c r="K83" t="e">
        <f>IF(AND(82&lt;=$P$2, H83="Warning"), C83, NA())</f>
        <v>#N/A</v>
      </c>
      <c r="L83" t="e">
        <f>IF(AND(82&lt;=$P$2, H83="Overgrade"), C83, NA())</f>
        <v>#N/A</v>
      </c>
      <c r="M83">
        <f>IF(82&lt;=COUNTIF(Data_Monitoring!$A$2:$A$2920, Dashboard_Visual!$B$4), INDEX(Data_Monitoring!$S$2:$S$2920, MATCH(Dashboard_Visual!$B$4, Data_Monitoring!$A$2:$A$2920, 0) + 82 - 1), 1)</f>
        <v>1</v>
      </c>
    </row>
    <row r="84" spans="1:13" x14ac:dyDescent="0.25">
      <c r="A84" t="str">
        <f>IF(83&lt;=COUNTIF(Data_Monitoring!$A$2:$A$2920, Dashboard_Visual!$B$4), INDEX(Data_Monitoring!$B$2:$B$2920, MATCH(Dashboard_Visual!$B$4, Data_Monitoring!$A$2:$A$2920, 0) + 83 - 1), "")</f>
        <v/>
      </c>
      <c r="B84" t="str">
        <f>IF(83&lt;=COUNTIF(Data_Monitoring!$A$2:$A$2920, Dashboard_Visual!$B$4), INDEX(Data_Monitoring!$C$2:$C$2920, MATCH(Dashboard_Visual!$B$4, Data_Monitoring!$A$2:$A$2920, 0) + 83 - 1), "")</f>
        <v/>
      </c>
      <c r="C84" t="e">
        <f>IF(83&lt;=COUNTIF(Data_Monitoring!$A$2:$A$2920, Dashboard_Visual!$B$4), INDEX(Data_Monitoring!$J$2:$J$2920, MATCH(Dashboard_Visual!$B$4, Data_Monitoring!$A$2:$A$2920, 0) + 83 - 1), NA())</f>
        <v>#N/A</v>
      </c>
      <c r="D84" t="e">
        <f>IF(83&lt;=COUNTIF(Data_Monitoring!$A$2:$A$2920, Dashboard_Visual!$B$4), INDEX(Data_Monitoring!$K$2:$K$2920, MATCH(Dashboard_Visual!$B$4, Data_Monitoring!$A$2:$A$2920, 0) + 83 - 1), NA())</f>
        <v>#N/A</v>
      </c>
      <c r="E84">
        <f>IF(83&lt;=COUNTIF(Data_Monitoring!$A$2:$A$2920, Dashboard_Visual!$B$4), INDEX(Data_Monitoring!$H$2:$H$2920, MATCH(Dashboard_Visual!$B$4, Data_Monitoring!$A$2:$A$2920, 0) + 83 - 1), 0)</f>
        <v>0</v>
      </c>
      <c r="F84">
        <f>IF(83&lt;=COUNTIF(Data_Monitoring!$A$2:$A$2920, Dashboard_Visual!$B$4), INDEX(Data_Monitoring!$O$2:$O$2920, MATCH(Dashboard_Visual!$B$4, Data_Monitoring!$A$2:$A$2920, 0) + 83 - 1), 0)</f>
        <v>0</v>
      </c>
      <c r="G84">
        <f>IF(83&lt;=COUNTIF(Data_Monitoring!$A$2:$A$2920, Dashboard_Visual!$B$4), INDEX(Data_Monitoring!$Q$2:$Q$2920, MATCH(Dashboard_Visual!$B$4, Data_Monitoring!$A$2:$A$2920, 0) + 83 - 1), 0)</f>
        <v>0</v>
      </c>
      <c r="H84" t="str">
        <f>IF(83&lt;=COUNTIF(Data_Monitoring!$A$2:$A$2920, Dashboard_Visual!$B$4), INDEX(Data_Monitoring!$L$2:$L$2920, MATCH(Dashboard_Visual!$B$4, Data_Monitoring!$A$2:$A$2920, 0) + 83 - 1), "")</f>
        <v/>
      </c>
      <c r="I84" t="str">
        <f>IF(AND(83&lt;=$P$2, ISNUMBER(D84), OR(H84="Warning", H84="Overgrade")), TEXT(ABS(D84)/100, "0.00%"), "")</f>
        <v/>
      </c>
      <c r="J84" t="e">
        <f t="shared" si="1"/>
        <v>#N/A</v>
      </c>
      <c r="K84" t="e">
        <f>IF(AND(83&lt;=$P$2, H84="Warning"), C84, NA())</f>
        <v>#N/A</v>
      </c>
      <c r="L84" t="e">
        <f>IF(AND(83&lt;=$P$2, H84="Overgrade"), C84, NA())</f>
        <v>#N/A</v>
      </c>
      <c r="M84">
        <f>IF(83&lt;=COUNTIF(Data_Monitoring!$A$2:$A$2920, Dashboard_Visual!$B$4), INDEX(Data_Monitoring!$S$2:$S$2920, MATCH(Dashboard_Visual!$B$4, Data_Monitoring!$A$2:$A$2920, 0) + 83 - 1), 1)</f>
        <v>1</v>
      </c>
    </row>
    <row r="85" spans="1:13" x14ac:dyDescent="0.25">
      <c r="A85" t="str">
        <f>IF(84&lt;=COUNTIF(Data_Monitoring!$A$2:$A$2920, Dashboard_Visual!$B$4), INDEX(Data_Monitoring!$B$2:$B$2920, MATCH(Dashboard_Visual!$B$4, Data_Monitoring!$A$2:$A$2920, 0) + 84 - 1), "")</f>
        <v/>
      </c>
      <c r="B85" t="str">
        <f>IF(84&lt;=COUNTIF(Data_Monitoring!$A$2:$A$2920, Dashboard_Visual!$B$4), INDEX(Data_Monitoring!$C$2:$C$2920, MATCH(Dashboard_Visual!$B$4, Data_Monitoring!$A$2:$A$2920, 0) + 84 - 1), "")</f>
        <v/>
      </c>
      <c r="C85" t="e">
        <f>IF(84&lt;=COUNTIF(Data_Monitoring!$A$2:$A$2920, Dashboard_Visual!$B$4), INDEX(Data_Monitoring!$J$2:$J$2920, MATCH(Dashboard_Visual!$B$4, Data_Monitoring!$A$2:$A$2920, 0) + 84 - 1), NA())</f>
        <v>#N/A</v>
      </c>
      <c r="D85" t="e">
        <f>IF(84&lt;=COUNTIF(Data_Monitoring!$A$2:$A$2920, Dashboard_Visual!$B$4), INDEX(Data_Monitoring!$K$2:$K$2920, MATCH(Dashboard_Visual!$B$4, Data_Monitoring!$A$2:$A$2920, 0) + 84 - 1), NA())</f>
        <v>#N/A</v>
      </c>
      <c r="E85">
        <f>IF(84&lt;=COUNTIF(Data_Monitoring!$A$2:$A$2920, Dashboard_Visual!$B$4), INDEX(Data_Monitoring!$H$2:$H$2920, MATCH(Dashboard_Visual!$B$4, Data_Monitoring!$A$2:$A$2920, 0) + 84 - 1), 0)</f>
        <v>0</v>
      </c>
      <c r="F85">
        <f>IF(84&lt;=COUNTIF(Data_Monitoring!$A$2:$A$2920, Dashboard_Visual!$B$4), INDEX(Data_Monitoring!$O$2:$O$2920, MATCH(Dashboard_Visual!$B$4, Data_Monitoring!$A$2:$A$2920, 0) + 84 - 1), 0)</f>
        <v>0</v>
      </c>
      <c r="G85">
        <f>IF(84&lt;=COUNTIF(Data_Monitoring!$A$2:$A$2920, Dashboard_Visual!$B$4), INDEX(Data_Monitoring!$Q$2:$Q$2920, MATCH(Dashboard_Visual!$B$4, Data_Monitoring!$A$2:$A$2920, 0) + 84 - 1), 0)</f>
        <v>0</v>
      </c>
      <c r="H85" t="str">
        <f>IF(84&lt;=COUNTIF(Data_Monitoring!$A$2:$A$2920, Dashboard_Visual!$B$4), INDEX(Data_Monitoring!$L$2:$L$2920, MATCH(Dashboard_Visual!$B$4, Data_Monitoring!$A$2:$A$2920, 0) + 84 - 1), "")</f>
        <v/>
      </c>
      <c r="I85" t="str">
        <f>IF(AND(84&lt;=$P$2, ISNUMBER(D85), OR(H85="Warning", H85="Overgrade")), TEXT(ABS(D85)/100, "0.00%"), "")</f>
        <v/>
      </c>
      <c r="J85" t="e">
        <f t="shared" si="1"/>
        <v>#N/A</v>
      </c>
      <c r="K85" t="e">
        <f>IF(AND(84&lt;=$P$2, H85="Warning"), C85, NA())</f>
        <v>#N/A</v>
      </c>
      <c r="L85" t="e">
        <f>IF(AND(84&lt;=$P$2, H85="Overgrade"), C85, NA())</f>
        <v>#N/A</v>
      </c>
      <c r="M85">
        <f>IF(84&lt;=COUNTIF(Data_Monitoring!$A$2:$A$2920, Dashboard_Visual!$B$4), INDEX(Data_Monitoring!$S$2:$S$2920, MATCH(Dashboard_Visual!$B$4, Data_Monitoring!$A$2:$A$2920, 0) + 84 - 1), 1)</f>
        <v>1</v>
      </c>
    </row>
    <row r="86" spans="1:13" x14ac:dyDescent="0.25">
      <c r="A86" t="str">
        <f>IF(85&lt;=COUNTIF(Data_Monitoring!$A$2:$A$2920, Dashboard_Visual!$B$4), INDEX(Data_Monitoring!$B$2:$B$2920, MATCH(Dashboard_Visual!$B$4, Data_Monitoring!$A$2:$A$2920, 0) + 85 - 1), "")</f>
        <v/>
      </c>
      <c r="B86" t="str">
        <f>IF(85&lt;=COUNTIF(Data_Monitoring!$A$2:$A$2920, Dashboard_Visual!$B$4), INDEX(Data_Monitoring!$C$2:$C$2920, MATCH(Dashboard_Visual!$B$4, Data_Monitoring!$A$2:$A$2920, 0) + 85 - 1), "")</f>
        <v/>
      </c>
      <c r="C86" t="e">
        <f>IF(85&lt;=COUNTIF(Data_Monitoring!$A$2:$A$2920, Dashboard_Visual!$B$4), INDEX(Data_Monitoring!$J$2:$J$2920, MATCH(Dashboard_Visual!$B$4, Data_Monitoring!$A$2:$A$2920, 0) + 85 - 1), NA())</f>
        <v>#N/A</v>
      </c>
      <c r="D86" t="e">
        <f>IF(85&lt;=COUNTIF(Data_Monitoring!$A$2:$A$2920, Dashboard_Visual!$B$4), INDEX(Data_Monitoring!$K$2:$K$2920, MATCH(Dashboard_Visual!$B$4, Data_Monitoring!$A$2:$A$2920, 0) + 85 - 1), NA())</f>
        <v>#N/A</v>
      </c>
      <c r="E86">
        <f>IF(85&lt;=COUNTIF(Data_Monitoring!$A$2:$A$2920, Dashboard_Visual!$B$4), INDEX(Data_Monitoring!$H$2:$H$2920, MATCH(Dashboard_Visual!$B$4, Data_Monitoring!$A$2:$A$2920, 0) + 85 - 1), 0)</f>
        <v>0</v>
      </c>
      <c r="F86">
        <f>IF(85&lt;=COUNTIF(Data_Monitoring!$A$2:$A$2920, Dashboard_Visual!$B$4), INDEX(Data_Monitoring!$O$2:$O$2920, MATCH(Dashboard_Visual!$B$4, Data_Monitoring!$A$2:$A$2920, 0) + 85 - 1), 0)</f>
        <v>0</v>
      </c>
      <c r="G86">
        <f>IF(85&lt;=COUNTIF(Data_Monitoring!$A$2:$A$2920, Dashboard_Visual!$B$4), INDEX(Data_Monitoring!$Q$2:$Q$2920, MATCH(Dashboard_Visual!$B$4, Data_Monitoring!$A$2:$A$2920, 0) + 85 - 1), 0)</f>
        <v>0</v>
      </c>
      <c r="H86" t="str">
        <f>IF(85&lt;=COUNTIF(Data_Monitoring!$A$2:$A$2920, Dashboard_Visual!$B$4), INDEX(Data_Monitoring!$L$2:$L$2920, MATCH(Dashboard_Visual!$B$4, Data_Monitoring!$A$2:$A$2920, 0) + 85 - 1), "")</f>
        <v/>
      </c>
      <c r="I86" t="str">
        <f>IF(AND(85&lt;=$P$2, ISNUMBER(D86), OR(H86="Warning", H86="Overgrade")), TEXT(ABS(D86)/100, "0.00%"), "")</f>
        <v/>
      </c>
      <c r="J86" t="e">
        <f t="shared" si="1"/>
        <v>#N/A</v>
      </c>
      <c r="K86" t="e">
        <f>IF(AND(85&lt;=$P$2, H86="Warning"), C86, NA())</f>
        <v>#N/A</v>
      </c>
      <c r="L86" t="e">
        <f>IF(AND(85&lt;=$P$2, H86="Overgrade"), C86, NA())</f>
        <v>#N/A</v>
      </c>
      <c r="M86">
        <f>IF(85&lt;=COUNTIF(Data_Monitoring!$A$2:$A$2920, Dashboard_Visual!$B$4), INDEX(Data_Monitoring!$S$2:$S$2920, MATCH(Dashboard_Visual!$B$4, Data_Monitoring!$A$2:$A$2920, 0) + 85 - 1), 1)</f>
        <v>1</v>
      </c>
    </row>
    <row r="87" spans="1:13" x14ac:dyDescent="0.25">
      <c r="A87" t="str">
        <f>IF(86&lt;=COUNTIF(Data_Monitoring!$A$2:$A$2920, Dashboard_Visual!$B$4), INDEX(Data_Monitoring!$B$2:$B$2920, MATCH(Dashboard_Visual!$B$4, Data_Monitoring!$A$2:$A$2920, 0) + 86 - 1), "")</f>
        <v/>
      </c>
      <c r="B87" t="str">
        <f>IF(86&lt;=COUNTIF(Data_Monitoring!$A$2:$A$2920, Dashboard_Visual!$B$4), INDEX(Data_Monitoring!$C$2:$C$2920, MATCH(Dashboard_Visual!$B$4, Data_Monitoring!$A$2:$A$2920, 0) + 86 - 1), "")</f>
        <v/>
      </c>
      <c r="C87" t="e">
        <f>IF(86&lt;=COUNTIF(Data_Monitoring!$A$2:$A$2920, Dashboard_Visual!$B$4), INDEX(Data_Monitoring!$J$2:$J$2920, MATCH(Dashboard_Visual!$B$4, Data_Monitoring!$A$2:$A$2920, 0) + 86 - 1), NA())</f>
        <v>#N/A</v>
      </c>
      <c r="D87" t="e">
        <f>IF(86&lt;=COUNTIF(Data_Monitoring!$A$2:$A$2920, Dashboard_Visual!$B$4), INDEX(Data_Monitoring!$K$2:$K$2920, MATCH(Dashboard_Visual!$B$4, Data_Monitoring!$A$2:$A$2920, 0) + 86 - 1), NA())</f>
        <v>#N/A</v>
      </c>
      <c r="E87">
        <f>IF(86&lt;=COUNTIF(Data_Monitoring!$A$2:$A$2920, Dashboard_Visual!$B$4), INDEX(Data_Monitoring!$H$2:$H$2920, MATCH(Dashboard_Visual!$B$4, Data_Monitoring!$A$2:$A$2920, 0) + 86 - 1), 0)</f>
        <v>0</v>
      </c>
      <c r="F87">
        <f>IF(86&lt;=COUNTIF(Data_Monitoring!$A$2:$A$2920, Dashboard_Visual!$B$4), INDEX(Data_Monitoring!$O$2:$O$2920, MATCH(Dashboard_Visual!$B$4, Data_Monitoring!$A$2:$A$2920, 0) + 86 - 1), 0)</f>
        <v>0</v>
      </c>
      <c r="G87">
        <f>IF(86&lt;=COUNTIF(Data_Monitoring!$A$2:$A$2920, Dashboard_Visual!$B$4), INDEX(Data_Monitoring!$Q$2:$Q$2920, MATCH(Dashboard_Visual!$B$4, Data_Monitoring!$A$2:$A$2920, 0) + 86 - 1), 0)</f>
        <v>0</v>
      </c>
      <c r="H87" t="str">
        <f>IF(86&lt;=COUNTIF(Data_Monitoring!$A$2:$A$2920, Dashboard_Visual!$B$4), INDEX(Data_Monitoring!$L$2:$L$2920, MATCH(Dashboard_Visual!$B$4, Data_Monitoring!$A$2:$A$2920, 0) + 86 - 1), "")</f>
        <v/>
      </c>
      <c r="I87" t="str">
        <f>IF(AND(86&lt;=$P$2, ISNUMBER(D87), OR(H87="Warning", H87="Overgrade")), TEXT(ABS(D87)/100, "0.00%"), "")</f>
        <v/>
      </c>
      <c r="J87" t="e">
        <f t="shared" si="1"/>
        <v>#N/A</v>
      </c>
      <c r="K87" t="e">
        <f>IF(AND(86&lt;=$P$2, H87="Warning"), C87, NA())</f>
        <v>#N/A</v>
      </c>
      <c r="L87" t="e">
        <f>IF(AND(86&lt;=$P$2, H87="Overgrade"), C87, NA())</f>
        <v>#N/A</v>
      </c>
      <c r="M87">
        <f>IF(86&lt;=COUNTIF(Data_Monitoring!$A$2:$A$2920, Dashboard_Visual!$B$4), INDEX(Data_Monitoring!$S$2:$S$2920, MATCH(Dashboard_Visual!$B$4, Data_Monitoring!$A$2:$A$2920, 0) + 86 - 1), 1)</f>
        <v>1</v>
      </c>
    </row>
    <row r="88" spans="1:13" x14ac:dyDescent="0.25">
      <c r="A88" t="str">
        <f>IF(87&lt;=COUNTIF(Data_Monitoring!$A$2:$A$2920, Dashboard_Visual!$B$4), INDEX(Data_Monitoring!$B$2:$B$2920, MATCH(Dashboard_Visual!$B$4, Data_Monitoring!$A$2:$A$2920, 0) + 87 - 1), "")</f>
        <v/>
      </c>
      <c r="B88" t="str">
        <f>IF(87&lt;=COUNTIF(Data_Monitoring!$A$2:$A$2920, Dashboard_Visual!$B$4), INDEX(Data_Monitoring!$C$2:$C$2920, MATCH(Dashboard_Visual!$B$4, Data_Monitoring!$A$2:$A$2920, 0) + 87 - 1), "")</f>
        <v/>
      </c>
      <c r="C88" t="e">
        <f>IF(87&lt;=COUNTIF(Data_Monitoring!$A$2:$A$2920, Dashboard_Visual!$B$4), INDEX(Data_Monitoring!$J$2:$J$2920, MATCH(Dashboard_Visual!$B$4, Data_Monitoring!$A$2:$A$2920, 0) + 87 - 1), NA())</f>
        <v>#N/A</v>
      </c>
      <c r="D88" t="e">
        <f>IF(87&lt;=COUNTIF(Data_Monitoring!$A$2:$A$2920, Dashboard_Visual!$B$4), INDEX(Data_Monitoring!$K$2:$K$2920, MATCH(Dashboard_Visual!$B$4, Data_Monitoring!$A$2:$A$2920, 0) + 87 - 1), NA())</f>
        <v>#N/A</v>
      </c>
      <c r="E88">
        <f>IF(87&lt;=COUNTIF(Data_Monitoring!$A$2:$A$2920, Dashboard_Visual!$B$4), INDEX(Data_Monitoring!$H$2:$H$2920, MATCH(Dashboard_Visual!$B$4, Data_Monitoring!$A$2:$A$2920, 0) + 87 - 1), 0)</f>
        <v>0</v>
      </c>
      <c r="F88">
        <f>IF(87&lt;=COUNTIF(Data_Monitoring!$A$2:$A$2920, Dashboard_Visual!$B$4), INDEX(Data_Monitoring!$O$2:$O$2920, MATCH(Dashboard_Visual!$B$4, Data_Monitoring!$A$2:$A$2920, 0) + 87 - 1), 0)</f>
        <v>0</v>
      </c>
      <c r="G88">
        <f>IF(87&lt;=COUNTIF(Data_Monitoring!$A$2:$A$2920, Dashboard_Visual!$B$4), INDEX(Data_Monitoring!$Q$2:$Q$2920, MATCH(Dashboard_Visual!$B$4, Data_Monitoring!$A$2:$A$2920, 0) + 87 - 1), 0)</f>
        <v>0</v>
      </c>
      <c r="H88" t="str">
        <f>IF(87&lt;=COUNTIF(Data_Monitoring!$A$2:$A$2920, Dashboard_Visual!$B$4), INDEX(Data_Monitoring!$L$2:$L$2920, MATCH(Dashboard_Visual!$B$4, Data_Monitoring!$A$2:$A$2920, 0) + 87 - 1), "")</f>
        <v/>
      </c>
      <c r="I88" t="str">
        <f>IF(AND(87&lt;=$P$2, ISNUMBER(D88), OR(H88="Warning", H88="Overgrade")), TEXT(ABS(D88)/100, "0.00%"), "")</f>
        <v/>
      </c>
      <c r="J88" t="e">
        <f t="shared" si="1"/>
        <v>#N/A</v>
      </c>
      <c r="K88" t="e">
        <f>IF(AND(87&lt;=$P$2, H88="Warning"), C88, NA())</f>
        <v>#N/A</v>
      </c>
      <c r="L88" t="e">
        <f>IF(AND(87&lt;=$P$2, H88="Overgrade"), C88, NA())</f>
        <v>#N/A</v>
      </c>
      <c r="M88">
        <f>IF(87&lt;=COUNTIF(Data_Monitoring!$A$2:$A$2920, Dashboard_Visual!$B$4), INDEX(Data_Monitoring!$S$2:$S$2920, MATCH(Dashboard_Visual!$B$4, Data_Monitoring!$A$2:$A$2920, 0) + 87 - 1), 1)</f>
        <v>1</v>
      </c>
    </row>
    <row r="89" spans="1:13" x14ac:dyDescent="0.25">
      <c r="A89" t="str">
        <f>IF(88&lt;=COUNTIF(Data_Monitoring!$A$2:$A$2920, Dashboard_Visual!$B$4), INDEX(Data_Monitoring!$B$2:$B$2920, MATCH(Dashboard_Visual!$B$4, Data_Monitoring!$A$2:$A$2920, 0) + 88 - 1), "")</f>
        <v/>
      </c>
      <c r="B89" t="str">
        <f>IF(88&lt;=COUNTIF(Data_Monitoring!$A$2:$A$2920, Dashboard_Visual!$B$4), INDEX(Data_Monitoring!$C$2:$C$2920, MATCH(Dashboard_Visual!$B$4, Data_Monitoring!$A$2:$A$2920, 0) + 88 - 1), "")</f>
        <v/>
      </c>
      <c r="C89" t="e">
        <f>IF(88&lt;=COUNTIF(Data_Monitoring!$A$2:$A$2920, Dashboard_Visual!$B$4), INDEX(Data_Monitoring!$J$2:$J$2920, MATCH(Dashboard_Visual!$B$4, Data_Monitoring!$A$2:$A$2920, 0) + 88 - 1), NA())</f>
        <v>#N/A</v>
      </c>
      <c r="D89" t="e">
        <f>IF(88&lt;=COUNTIF(Data_Monitoring!$A$2:$A$2920, Dashboard_Visual!$B$4), INDEX(Data_Monitoring!$K$2:$K$2920, MATCH(Dashboard_Visual!$B$4, Data_Monitoring!$A$2:$A$2920, 0) + 88 - 1), NA())</f>
        <v>#N/A</v>
      </c>
      <c r="E89">
        <f>IF(88&lt;=COUNTIF(Data_Monitoring!$A$2:$A$2920, Dashboard_Visual!$B$4), INDEX(Data_Monitoring!$H$2:$H$2920, MATCH(Dashboard_Visual!$B$4, Data_Monitoring!$A$2:$A$2920, 0) + 88 - 1), 0)</f>
        <v>0</v>
      </c>
      <c r="F89">
        <f>IF(88&lt;=COUNTIF(Data_Monitoring!$A$2:$A$2920, Dashboard_Visual!$B$4), INDEX(Data_Monitoring!$O$2:$O$2920, MATCH(Dashboard_Visual!$B$4, Data_Monitoring!$A$2:$A$2920, 0) + 88 - 1), 0)</f>
        <v>0</v>
      </c>
      <c r="G89">
        <f>IF(88&lt;=COUNTIF(Data_Monitoring!$A$2:$A$2920, Dashboard_Visual!$B$4), INDEX(Data_Monitoring!$Q$2:$Q$2920, MATCH(Dashboard_Visual!$B$4, Data_Monitoring!$A$2:$A$2920, 0) + 88 - 1), 0)</f>
        <v>0</v>
      </c>
      <c r="H89" t="str">
        <f>IF(88&lt;=COUNTIF(Data_Monitoring!$A$2:$A$2920, Dashboard_Visual!$B$4), INDEX(Data_Monitoring!$L$2:$L$2920, MATCH(Dashboard_Visual!$B$4, Data_Monitoring!$A$2:$A$2920, 0) + 88 - 1), "")</f>
        <v/>
      </c>
      <c r="I89" t="str">
        <f>IF(AND(88&lt;=$P$2, ISNUMBER(D89), OR(H89="Warning", H89="Overgrade")), TEXT(ABS(D89)/100, "0.00%"), "")</f>
        <v/>
      </c>
      <c r="J89" t="e">
        <f t="shared" si="1"/>
        <v>#N/A</v>
      </c>
      <c r="K89" t="e">
        <f>IF(AND(88&lt;=$P$2, H89="Warning"), C89, NA())</f>
        <v>#N/A</v>
      </c>
      <c r="L89" t="e">
        <f>IF(AND(88&lt;=$P$2, H89="Overgrade"), C89, NA())</f>
        <v>#N/A</v>
      </c>
      <c r="M89">
        <f>IF(88&lt;=COUNTIF(Data_Monitoring!$A$2:$A$2920, Dashboard_Visual!$B$4), INDEX(Data_Monitoring!$S$2:$S$2920, MATCH(Dashboard_Visual!$B$4, Data_Monitoring!$A$2:$A$2920, 0) + 88 - 1), 1)</f>
        <v>1</v>
      </c>
    </row>
    <row r="90" spans="1:13" x14ac:dyDescent="0.25">
      <c r="A90" t="str">
        <f>IF(89&lt;=COUNTIF(Data_Monitoring!$A$2:$A$2920, Dashboard_Visual!$B$4), INDEX(Data_Monitoring!$B$2:$B$2920, MATCH(Dashboard_Visual!$B$4, Data_Monitoring!$A$2:$A$2920, 0) + 89 - 1), "")</f>
        <v/>
      </c>
      <c r="B90" t="str">
        <f>IF(89&lt;=COUNTIF(Data_Monitoring!$A$2:$A$2920, Dashboard_Visual!$B$4), INDEX(Data_Monitoring!$C$2:$C$2920, MATCH(Dashboard_Visual!$B$4, Data_Monitoring!$A$2:$A$2920, 0) + 89 - 1), "")</f>
        <v/>
      </c>
      <c r="C90" t="e">
        <f>IF(89&lt;=COUNTIF(Data_Monitoring!$A$2:$A$2920, Dashboard_Visual!$B$4), INDEX(Data_Monitoring!$J$2:$J$2920, MATCH(Dashboard_Visual!$B$4, Data_Monitoring!$A$2:$A$2920, 0) + 89 - 1), NA())</f>
        <v>#N/A</v>
      </c>
      <c r="D90" t="e">
        <f>IF(89&lt;=COUNTIF(Data_Monitoring!$A$2:$A$2920, Dashboard_Visual!$B$4), INDEX(Data_Monitoring!$K$2:$K$2920, MATCH(Dashboard_Visual!$B$4, Data_Monitoring!$A$2:$A$2920, 0) + 89 - 1), NA())</f>
        <v>#N/A</v>
      </c>
      <c r="E90">
        <f>IF(89&lt;=COUNTIF(Data_Monitoring!$A$2:$A$2920, Dashboard_Visual!$B$4), INDEX(Data_Monitoring!$H$2:$H$2920, MATCH(Dashboard_Visual!$B$4, Data_Monitoring!$A$2:$A$2920, 0) + 89 - 1), 0)</f>
        <v>0</v>
      </c>
      <c r="F90">
        <f>IF(89&lt;=COUNTIF(Data_Monitoring!$A$2:$A$2920, Dashboard_Visual!$B$4), INDEX(Data_Monitoring!$O$2:$O$2920, MATCH(Dashboard_Visual!$B$4, Data_Monitoring!$A$2:$A$2920, 0) + 89 - 1), 0)</f>
        <v>0</v>
      </c>
      <c r="G90">
        <f>IF(89&lt;=COUNTIF(Data_Monitoring!$A$2:$A$2920, Dashboard_Visual!$B$4), INDEX(Data_Monitoring!$Q$2:$Q$2920, MATCH(Dashboard_Visual!$B$4, Data_Monitoring!$A$2:$A$2920, 0) + 89 - 1), 0)</f>
        <v>0</v>
      </c>
      <c r="H90" t="str">
        <f>IF(89&lt;=COUNTIF(Data_Monitoring!$A$2:$A$2920, Dashboard_Visual!$B$4), INDEX(Data_Monitoring!$L$2:$L$2920, MATCH(Dashboard_Visual!$B$4, Data_Monitoring!$A$2:$A$2920, 0) + 89 - 1), "")</f>
        <v/>
      </c>
      <c r="I90" t="str">
        <f>IF(AND(89&lt;=$P$2, ISNUMBER(D90), OR(H90="Warning", H90="Overgrade")), TEXT(ABS(D90)/100, "0.00%"), "")</f>
        <v/>
      </c>
      <c r="J90" t="e">
        <f t="shared" si="1"/>
        <v>#N/A</v>
      </c>
      <c r="K90" t="e">
        <f>IF(AND(89&lt;=$P$2, H90="Warning"), C90, NA())</f>
        <v>#N/A</v>
      </c>
      <c r="L90" t="e">
        <f>IF(AND(89&lt;=$P$2, H90="Overgrade"), C90, NA())</f>
        <v>#N/A</v>
      </c>
      <c r="M90">
        <f>IF(89&lt;=COUNTIF(Data_Monitoring!$A$2:$A$2920, Dashboard_Visual!$B$4), INDEX(Data_Monitoring!$S$2:$S$2920, MATCH(Dashboard_Visual!$B$4, Data_Monitoring!$A$2:$A$2920, 0) + 89 - 1), 1)</f>
        <v>1</v>
      </c>
    </row>
    <row r="91" spans="1:13" x14ac:dyDescent="0.25">
      <c r="A91" t="str">
        <f>IF(90&lt;=COUNTIF(Data_Monitoring!$A$2:$A$2920, Dashboard_Visual!$B$4), INDEX(Data_Monitoring!$B$2:$B$2920, MATCH(Dashboard_Visual!$B$4, Data_Monitoring!$A$2:$A$2920, 0) + 90 - 1), "")</f>
        <v/>
      </c>
      <c r="B91" t="str">
        <f>IF(90&lt;=COUNTIF(Data_Monitoring!$A$2:$A$2920, Dashboard_Visual!$B$4), INDEX(Data_Monitoring!$C$2:$C$2920, MATCH(Dashboard_Visual!$B$4, Data_Monitoring!$A$2:$A$2920, 0) + 90 - 1), "")</f>
        <v/>
      </c>
      <c r="C91" t="e">
        <f>IF(90&lt;=COUNTIF(Data_Monitoring!$A$2:$A$2920, Dashboard_Visual!$B$4), INDEX(Data_Monitoring!$J$2:$J$2920, MATCH(Dashboard_Visual!$B$4, Data_Monitoring!$A$2:$A$2920, 0) + 90 - 1), NA())</f>
        <v>#N/A</v>
      </c>
      <c r="D91" t="e">
        <f>IF(90&lt;=COUNTIF(Data_Monitoring!$A$2:$A$2920, Dashboard_Visual!$B$4), INDEX(Data_Monitoring!$K$2:$K$2920, MATCH(Dashboard_Visual!$B$4, Data_Monitoring!$A$2:$A$2920, 0) + 90 - 1), NA())</f>
        <v>#N/A</v>
      </c>
      <c r="E91">
        <f>IF(90&lt;=COUNTIF(Data_Monitoring!$A$2:$A$2920, Dashboard_Visual!$B$4), INDEX(Data_Monitoring!$H$2:$H$2920, MATCH(Dashboard_Visual!$B$4, Data_Monitoring!$A$2:$A$2920, 0) + 90 - 1), 0)</f>
        <v>0</v>
      </c>
      <c r="F91">
        <f>IF(90&lt;=COUNTIF(Data_Monitoring!$A$2:$A$2920, Dashboard_Visual!$B$4), INDEX(Data_Monitoring!$O$2:$O$2920, MATCH(Dashboard_Visual!$B$4, Data_Monitoring!$A$2:$A$2920, 0) + 90 - 1), 0)</f>
        <v>0</v>
      </c>
      <c r="G91">
        <f>IF(90&lt;=COUNTIF(Data_Monitoring!$A$2:$A$2920, Dashboard_Visual!$B$4), INDEX(Data_Monitoring!$Q$2:$Q$2920, MATCH(Dashboard_Visual!$B$4, Data_Monitoring!$A$2:$A$2920, 0) + 90 - 1), 0)</f>
        <v>0</v>
      </c>
      <c r="H91" t="str">
        <f>IF(90&lt;=COUNTIF(Data_Monitoring!$A$2:$A$2920, Dashboard_Visual!$B$4), INDEX(Data_Monitoring!$L$2:$L$2920, MATCH(Dashboard_Visual!$B$4, Data_Monitoring!$A$2:$A$2920, 0) + 90 - 1), "")</f>
        <v/>
      </c>
      <c r="I91" t="str">
        <f>IF(AND(90&lt;=$P$2, ISNUMBER(D91), OR(H91="Warning", H91="Overgrade")), TEXT(ABS(D91)/100, "0.00%"), "")</f>
        <v/>
      </c>
      <c r="J91" t="e">
        <f t="shared" si="1"/>
        <v>#N/A</v>
      </c>
      <c r="K91" t="e">
        <f>IF(AND(90&lt;=$P$2, H91="Warning"), C91, NA())</f>
        <v>#N/A</v>
      </c>
      <c r="L91" t="e">
        <f>IF(AND(90&lt;=$P$2, H91="Overgrade"), C91, NA())</f>
        <v>#N/A</v>
      </c>
      <c r="M91">
        <f>IF(90&lt;=COUNTIF(Data_Monitoring!$A$2:$A$2920, Dashboard_Visual!$B$4), INDEX(Data_Monitoring!$S$2:$S$2920, MATCH(Dashboard_Visual!$B$4, Data_Monitoring!$A$2:$A$2920, 0) + 90 - 1), 1)</f>
        <v>1</v>
      </c>
    </row>
    <row r="92" spans="1:13" x14ac:dyDescent="0.25">
      <c r="A92" t="str">
        <f>IF(91&lt;=COUNTIF(Data_Monitoring!$A$2:$A$2920, Dashboard_Visual!$B$4), INDEX(Data_Monitoring!$B$2:$B$2920, MATCH(Dashboard_Visual!$B$4, Data_Monitoring!$A$2:$A$2920, 0) + 91 - 1), "")</f>
        <v/>
      </c>
      <c r="B92" t="str">
        <f>IF(91&lt;=COUNTIF(Data_Monitoring!$A$2:$A$2920, Dashboard_Visual!$B$4), INDEX(Data_Monitoring!$C$2:$C$2920, MATCH(Dashboard_Visual!$B$4, Data_Monitoring!$A$2:$A$2920, 0) + 91 - 1), "")</f>
        <v/>
      </c>
      <c r="C92" t="e">
        <f>IF(91&lt;=COUNTIF(Data_Monitoring!$A$2:$A$2920, Dashboard_Visual!$B$4), INDEX(Data_Monitoring!$J$2:$J$2920, MATCH(Dashboard_Visual!$B$4, Data_Monitoring!$A$2:$A$2920, 0) + 91 - 1), NA())</f>
        <v>#N/A</v>
      </c>
      <c r="D92" t="e">
        <f>IF(91&lt;=COUNTIF(Data_Monitoring!$A$2:$A$2920, Dashboard_Visual!$B$4), INDEX(Data_Monitoring!$K$2:$K$2920, MATCH(Dashboard_Visual!$B$4, Data_Monitoring!$A$2:$A$2920, 0) + 91 - 1), NA())</f>
        <v>#N/A</v>
      </c>
      <c r="E92">
        <f>IF(91&lt;=COUNTIF(Data_Monitoring!$A$2:$A$2920, Dashboard_Visual!$B$4), INDEX(Data_Monitoring!$H$2:$H$2920, MATCH(Dashboard_Visual!$B$4, Data_Monitoring!$A$2:$A$2920, 0) + 91 - 1), 0)</f>
        <v>0</v>
      </c>
      <c r="F92">
        <f>IF(91&lt;=COUNTIF(Data_Monitoring!$A$2:$A$2920, Dashboard_Visual!$B$4), INDEX(Data_Monitoring!$O$2:$O$2920, MATCH(Dashboard_Visual!$B$4, Data_Monitoring!$A$2:$A$2920, 0) + 91 - 1), 0)</f>
        <v>0</v>
      </c>
      <c r="G92">
        <f>IF(91&lt;=COUNTIF(Data_Monitoring!$A$2:$A$2920, Dashboard_Visual!$B$4), INDEX(Data_Monitoring!$Q$2:$Q$2920, MATCH(Dashboard_Visual!$B$4, Data_Monitoring!$A$2:$A$2920, 0) + 91 - 1), 0)</f>
        <v>0</v>
      </c>
      <c r="H92" t="str">
        <f>IF(91&lt;=COUNTIF(Data_Monitoring!$A$2:$A$2920, Dashboard_Visual!$B$4), INDEX(Data_Monitoring!$L$2:$L$2920, MATCH(Dashboard_Visual!$B$4, Data_Monitoring!$A$2:$A$2920, 0) + 91 - 1), "")</f>
        <v/>
      </c>
      <c r="I92" t="str">
        <f>IF(AND(91&lt;=$P$2, ISNUMBER(D92), OR(H92="Warning", H92="Overgrade")), TEXT(ABS(D92)/100, "0.00%"), "")</f>
        <v/>
      </c>
      <c r="J92" t="e">
        <f t="shared" si="1"/>
        <v>#N/A</v>
      </c>
      <c r="K92" t="e">
        <f>IF(AND(91&lt;=$P$2, H92="Warning"), C92, NA())</f>
        <v>#N/A</v>
      </c>
      <c r="L92" t="e">
        <f>IF(AND(91&lt;=$P$2, H92="Overgrade"), C92, NA())</f>
        <v>#N/A</v>
      </c>
      <c r="M92">
        <f>IF(91&lt;=COUNTIF(Data_Monitoring!$A$2:$A$2920, Dashboard_Visual!$B$4), INDEX(Data_Monitoring!$S$2:$S$2920, MATCH(Dashboard_Visual!$B$4, Data_Monitoring!$A$2:$A$2920, 0) + 91 - 1), 1)</f>
        <v>1</v>
      </c>
    </row>
    <row r="93" spans="1:13" x14ac:dyDescent="0.25">
      <c r="A93" t="str">
        <f>IF(92&lt;=COUNTIF(Data_Monitoring!$A$2:$A$2920, Dashboard_Visual!$B$4), INDEX(Data_Monitoring!$B$2:$B$2920, MATCH(Dashboard_Visual!$B$4, Data_Monitoring!$A$2:$A$2920, 0) + 92 - 1), "")</f>
        <v/>
      </c>
      <c r="B93" t="str">
        <f>IF(92&lt;=COUNTIF(Data_Monitoring!$A$2:$A$2920, Dashboard_Visual!$B$4), INDEX(Data_Monitoring!$C$2:$C$2920, MATCH(Dashboard_Visual!$B$4, Data_Monitoring!$A$2:$A$2920, 0) + 92 - 1), "")</f>
        <v/>
      </c>
      <c r="C93" t="e">
        <f>IF(92&lt;=COUNTIF(Data_Monitoring!$A$2:$A$2920, Dashboard_Visual!$B$4), INDEX(Data_Monitoring!$J$2:$J$2920, MATCH(Dashboard_Visual!$B$4, Data_Monitoring!$A$2:$A$2920, 0) + 92 - 1), NA())</f>
        <v>#N/A</v>
      </c>
      <c r="D93" t="e">
        <f>IF(92&lt;=COUNTIF(Data_Monitoring!$A$2:$A$2920, Dashboard_Visual!$B$4), INDEX(Data_Monitoring!$K$2:$K$2920, MATCH(Dashboard_Visual!$B$4, Data_Monitoring!$A$2:$A$2920, 0) + 92 - 1), NA())</f>
        <v>#N/A</v>
      </c>
      <c r="E93">
        <f>IF(92&lt;=COUNTIF(Data_Monitoring!$A$2:$A$2920, Dashboard_Visual!$B$4), INDEX(Data_Monitoring!$H$2:$H$2920, MATCH(Dashboard_Visual!$B$4, Data_Monitoring!$A$2:$A$2920, 0) + 92 - 1), 0)</f>
        <v>0</v>
      </c>
      <c r="F93">
        <f>IF(92&lt;=COUNTIF(Data_Monitoring!$A$2:$A$2920, Dashboard_Visual!$B$4), INDEX(Data_Monitoring!$O$2:$O$2920, MATCH(Dashboard_Visual!$B$4, Data_Monitoring!$A$2:$A$2920, 0) + 92 - 1), 0)</f>
        <v>0</v>
      </c>
      <c r="G93">
        <f>IF(92&lt;=COUNTIF(Data_Monitoring!$A$2:$A$2920, Dashboard_Visual!$B$4), INDEX(Data_Monitoring!$Q$2:$Q$2920, MATCH(Dashboard_Visual!$B$4, Data_Monitoring!$A$2:$A$2920, 0) + 92 - 1), 0)</f>
        <v>0</v>
      </c>
      <c r="H93" t="str">
        <f>IF(92&lt;=COUNTIF(Data_Monitoring!$A$2:$A$2920, Dashboard_Visual!$B$4), INDEX(Data_Monitoring!$L$2:$L$2920, MATCH(Dashboard_Visual!$B$4, Data_Monitoring!$A$2:$A$2920, 0) + 92 - 1), "")</f>
        <v/>
      </c>
      <c r="I93" t="str">
        <f>IF(AND(92&lt;=$P$2, ISNUMBER(D93), OR(H93="Warning", H93="Overgrade")), TEXT(ABS(D93)/100, "0.00%"), "")</f>
        <v/>
      </c>
      <c r="J93" t="e">
        <f t="shared" si="1"/>
        <v>#N/A</v>
      </c>
      <c r="K93" t="e">
        <f>IF(AND(92&lt;=$P$2, H93="Warning"), C93, NA())</f>
        <v>#N/A</v>
      </c>
      <c r="L93" t="e">
        <f>IF(AND(92&lt;=$P$2, H93="Overgrade"), C93, NA())</f>
        <v>#N/A</v>
      </c>
      <c r="M93">
        <f>IF(92&lt;=COUNTIF(Data_Monitoring!$A$2:$A$2920, Dashboard_Visual!$B$4), INDEX(Data_Monitoring!$S$2:$S$2920, MATCH(Dashboard_Visual!$B$4, Data_Monitoring!$A$2:$A$2920, 0) + 92 - 1), 1)</f>
        <v>1</v>
      </c>
    </row>
    <row r="94" spans="1:13" x14ac:dyDescent="0.25">
      <c r="A94" t="str">
        <f>IF(93&lt;=COUNTIF(Data_Monitoring!$A$2:$A$2920, Dashboard_Visual!$B$4), INDEX(Data_Monitoring!$B$2:$B$2920, MATCH(Dashboard_Visual!$B$4, Data_Monitoring!$A$2:$A$2920, 0) + 93 - 1), "")</f>
        <v/>
      </c>
      <c r="B94" t="str">
        <f>IF(93&lt;=COUNTIF(Data_Monitoring!$A$2:$A$2920, Dashboard_Visual!$B$4), INDEX(Data_Monitoring!$C$2:$C$2920, MATCH(Dashboard_Visual!$B$4, Data_Monitoring!$A$2:$A$2920, 0) + 93 - 1), "")</f>
        <v/>
      </c>
      <c r="C94" t="e">
        <f>IF(93&lt;=COUNTIF(Data_Monitoring!$A$2:$A$2920, Dashboard_Visual!$B$4), INDEX(Data_Monitoring!$J$2:$J$2920, MATCH(Dashboard_Visual!$B$4, Data_Monitoring!$A$2:$A$2920, 0) + 93 - 1), NA())</f>
        <v>#N/A</v>
      </c>
      <c r="D94" t="e">
        <f>IF(93&lt;=COUNTIF(Data_Monitoring!$A$2:$A$2920, Dashboard_Visual!$B$4), INDEX(Data_Monitoring!$K$2:$K$2920, MATCH(Dashboard_Visual!$B$4, Data_Monitoring!$A$2:$A$2920, 0) + 93 - 1), NA())</f>
        <v>#N/A</v>
      </c>
      <c r="E94">
        <f>IF(93&lt;=COUNTIF(Data_Monitoring!$A$2:$A$2920, Dashboard_Visual!$B$4), INDEX(Data_Monitoring!$H$2:$H$2920, MATCH(Dashboard_Visual!$B$4, Data_Monitoring!$A$2:$A$2920, 0) + 93 - 1), 0)</f>
        <v>0</v>
      </c>
      <c r="F94">
        <f>IF(93&lt;=COUNTIF(Data_Monitoring!$A$2:$A$2920, Dashboard_Visual!$B$4), INDEX(Data_Monitoring!$O$2:$O$2920, MATCH(Dashboard_Visual!$B$4, Data_Monitoring!$A$2:$A$2920, 0) + 93 - 1), 0)</f>
        <v>0</v>
      </c>
      <c r="G94">
        <f>IF(93&lt;=COUNTIF(Data_Monitoring!$A$2:$A$2920, Dashboard_Visual!$B$4), INDEX(Data_Monitoring!$Q$2:$Q$2920, MATCH(Dashboard_Visual!$B$4, Data_Monitoring!$A$2:$A$2920, 0) + 93 - 1), 0)</f>
        <v>0</v>
      </c>
      <c r="H94" t="str">
        <f>IF(93&lt;=COUNTIF(Data_Monitoring!$A$2:$A$2920, Dashboard_Visual!$B$4), INDEX(Data_Monitoring!$L$2:$L$2920, MATCH(Dashboard_Visual!$B$4, Data_Monitoring!$A$2:$A$2920, 0) + 93 - 1), "")</f>
        <v/>
      </c>
      <c r="I94" t="str">
        <f>IF(AND(93&lt;=$P$2, ISNUMBER(D94), OR(H94="Warning", H94="Overgrade")), TEXT(ABS(D94)/100, "0.00%"), "")</f>
        <v/>
      </c>
      <c r="J94" t="e">
        <f t="shared" si="1"/>
        <v>#N/A</v>
      </c>
      <c r="K94" t="e">
        <f>IF(AND(93&lt;=$P$2, H94="Warning"), C94, NA())</f>
        <v>#N/A</v>
      </c>
      <c r="L94" t="e">
        <f>IF(AND(93&lt;=$P$2, H94="Overgrade"), C94, NA())</f>
        <v>#N/A</v>
      </c>
      <c r="M94">
        <f>IF(93&lt;=COUNTIF(Data_Monitoring!$A$2:$A$2920, Dashboard_Visual!$B$4), INDEX(Data_Monitoring!$S$2:$S$2920, MATCH(Dashboard_Visual!$B$4, Data_Monitoring!$A$2:$A$2920, 0) + 93 - 1), 1)</f>
        <v>1</v>
      </c>
    </row>
    <row r="95" spans="1:13" x14ac:dyDescent="0.25">
      <c r="A95" t="str">
        <f>IF(94&lt;=COUNTIF(Data_Monitoring!$A$2:$A$2920, Dashboard_Visual!$B$4), INDEX(Data_Monitoring!$B$2:$B$2920, MATCH(Dashboard_Visual!$B$4, Data_Monitoring!$A$2:$A$2920, 0) + 94 - 1), "")</f>
        <v/>
      </c>
      <c r="B95" t="str">
        <f>IF(94&lt;=COUNTIF(Data_Monitoring!$A$2:$A$2920, Dashboard_Visual!$B$4), INDEX(Data_Monitoring!$C$2:$C$2920, MATCH(Dashboard_Visual!$B$4, Data_Monitoring!$A$2:$A$2920, 0) + 94 - 1), "")</f>
        <v/>
      </c>
      <c r="C95" t="e">
        <f>IF(94&lt;=COUNTIF(Data_Monitoring!$A$2:$A$2920, Dashboard_Visual!$B$4), INDEX(Data_Monitoring!$J$2:$J$2920, MATCH(Dashboard_Visual!$B$4, Data_Monitoring!$A$2:$A$2920, 0) + 94 - 1), NA())</f>
        <v>#N/A</v>
      </c>
      <c r="D95" t="e">
        <f>IF(94&lt;=COUNTIF(Data_Monitoring!$A$2:$A$2920, Dashboard_Visual!$B$4), INDEX(Data_Monitoring!$K$2:$K$2920, MATCH(Dashboard_Visual!$B$4, Data_Monitoring!$A$2:$A$2920, 0) + 94 - 1), NA())</f>
        <v>#N/A</v>
      </c>
      <c r="E95">
        <f>IF(94&lt;=COUNTIF(Data_Monitoring!$A$2:$A$2920, Dashboard_Visual!$B$4), INDEX(Data_Monitoring!$H$2:$H$2920, MATCH(Dashboard_Visual!$B$4, Data_Monitoring!$A$2:$A$2920, 0) + 94 - 1), 0)</f>
        <v>0</v>
      </c>
      <c r="F95">
        <f>IF(94&lt;=COUNTIF(Data_Monitoring!$A$2:$A$2920, Dashboard_Visual!$B$4), INDEX(Data_Monitoring!$O$2:$O$2920, MATCH(Dashboard_Visual!$B$4, Data_Monitoring!$A$2:$A$2920, 0) + 94 - 1), 0)</f>
        <v>0</v>
      </c>
      <c r="G95">
        <f>IF(94&lt;=COUNTIF(Data_Monitoring!$A$2:$A$2920, Dashboard_Visual!$B$4), INDEX(Data_Monitoring!$Q$2:$Q$2920, MATCH(Dashboard_Visual!$B$4, Data_Monitoring!$A$2:$A$2920, 0) + 94 - 1), 0)</f>
        <v>0</v>
      </c>
      <c r="H95" t="str">
        <f>IF(94&lt;=COUNTIF(Data_Monitoring!$A$2:$A$2920, Dashboard_Visual!$B$4), INDEX(Data_Monitoring!$L$2:$L$2920, MATCH(Dashboard_Visual!$B$4, Data_Monitoring!$A$2:$A$2920, 0) + 94 - 1), "")</f>
        <v/>
      </c>
      <c r="I95" t="str">
        <f>IF(AND(94&lt;=$P$2, ISNUMBER(D95), OR(H95="Warning", H95="Overgrade")), TEXT(ABS(D95)/100, "0.00%"), "")</f>
        <v/>
      </c>
      <c r="J95" t="e">
        <f t="shared" si="1"/>
        <v>#N/A</v>
      </c>
      <c r="K95" t="e">
        <f>IF(AND(94&lt;=$P$2, H95="Warning"), C95, NA())</f>
        <v>#N/A</v>
      </c>
      <c r="L95" t="e">
        <f>IF(AND(94&lt;=$P$2, H95="Overgrade"), C95, NA())</f>
        <v>#N/A</v>
      </c>
      <c r="M95">
        <f>IF(94&lt;=COUNTIF(Data_Monitoring!$A$2:$A$2920, Dashboard_Visual!$B$4), INDEX(Data_Monitoring!$S$2:$S$2920, MATCH(Dashboard_Visual!$B$4, Data_Monitoring!$A$2:$A$2920, 0) + 94 - 1), 1)</f>
        <v>1</v>
      </c>
    </row>
    <row r="96" spans="1:13" x14ac:dyDescent="0.25">
      <c r="A96" t="str">
        <f>IF(95&lt;=COUNTIF(Data_Monitoring!$A$2:$A$2920, Dashboard_Visual!$B$4), INDEX(Data_Monitoring!$B$2:$B$2920, MATCH(Dashboard_Visual!$B$4, Data_Monitoring!$A$2:$A$2920, 0) + 95 - 1), "")</f>
        <v/>
      </c>
      <c r="B96" t="str">
        <f>IF(95&lt;=COUNTIF(Data_Monitoring!$A$2:$A$2920, Dashboard_Visual!$B$4), INDEX(Data_Monitoring!$C$2:$C$2920, MATCH(Dashboard_Visual!$B$4, Data_Monitoring!$A$2:$A$2920, 0) + 95 - 1), "")</f>
        <v/>
      </c>
      <c r="C96" t="e">
        <f>IF(95&lt;=COUNTIF(Data_Monitoring!$A$2:$A$2920, Dashboard_Visual!$B$4), INDEX(Data_Monitoring!$J$2:$J$2920, MATCH(Dashboard_Visual!$B$4, Data_Monitoring!$A$2:$A$2920, 0) + 95 - 1), NA())</f>
        <v>#N/A</v>
      </c>
      <c r="D96" t="e">
        <f>IF(95&lt;=COUNTIF(Data_Monitoring!$A$2:$A$2920, Dashboard_Visual!$B$4), INDEX(Data_Monitoring!$K$2:$K$2920, MATCH(Dashboard_Visual!$B$4, Data_Monitoring!$A$2:$A$2920, 0) + 95 - 1), NA())</f>
        <v>#N/A</v>
      </c>
      <c r="E96">
        <f>IF(95&lt;=COUNTIF(Data_Monitoring!$A$2:$A$2920, Dashboard_Visual!$B$4), INDEX(Data_Monitoring!$H$2:$H$2920, MATCH(Dashboard_Visual!$B$4, Data_Monitoring!$A$2:$A$2920, 0) + 95 - 1), 0)</f>
        <v>0</v>
      </c>
      <c r="F96">
        <f>IF(95&lt;=COUNTIF(Data_Monitoring!$A$2:$A$2920, Dashboard_Visual!$B$4), INDEX(Data_Monitoring!$O$2:$O$2920, MATCH(Dashboard_Visual!$B$4, Data_Monitoring!$A$2:$A$2920, 0) + 95 - 1), 0)</f>
        <v>0</v>
      </c>
      <c r="G96">
        <f>IF(95&lt;=COUNTIF(Data_Monitoring!$A$2:$A$2920, Dashboard_Visual!$B$4), INDEX(Data_Monitoring!$Q$2:$Q$2920, MATCH(Dashboard_Visual!$B$4, Data_Monitoring!$A$2:$A$2920, 0) + 95 - 1), 0)</f>
        <v>0</v>
      </c>
      <c r="H96" t="str">
        <f>IF(95&lt;=COUNTIF(Data_Monitoring!$A$2:$A$2920, Dashboard_Visual!$B$4), INDEX(Data_Monitoring!$L$2:$L$2920, MATCH(Dashboard_Visual!$B$4, Data_Monitoring!$A$2:$A$2920, 0) + 95 - 1), "")</f>
        <v/>
      </c>
      <c r="I96" t="str">
        <f>IF(AND(95&lt;=$P$2, ISNUMBER(D96), OR(H96="Warning", H96="Overgrade")), TEXT(ABS(D96)/100, "0.00%"), "")</f>
        <v/>
      </c>
      <c r="J96" t="e">
        <f t="shared" si="1"/>
        <v>#N/A</v>
      </c>
      <c r="K96" t="e">
        <f>IF(AND(95&lt;=$P$2, H96="Warning"), C96, NA())</f>
        <v>#N/A</v>
      </c>
      <c r="L96" t="e">
        <f>IF(AND(95&lt;=$P$2, H96="Overgrade"), C96, NA())</f>
        <v>#N/A</v>
      </c>
      <c r="M96">
        <f>IF(95&lt;=COUNTIF(Data_Monitoring!$A$2:$A$2920, Dashboard_Visual!$B$4), INDEX(Data_Monitoring!$S$2:$S$2920, MATCH(Dashboard_Visual!$B$4, Data_Monitoring!$A$2:$A$2920, 0) + 95 - 1), 1)</f>
        <v>1</v>
      </c>
    </row>
    <row r="97" spans="1:13" x14ac:dyDescent="0.25">
      <c r="A97" t="str">
        <f>IF(96&lt;=COUNTIF(Data_Monitoring!$A$2:$A$2920, Dashboard_Visual!$B$4), INDEX(Data_Monitoring!$B$2:$B$2920, MATCH(Dashboard_Visual!$B$4, Data_Monitoring!$A$2:$A$2920, 0) + 96 - 1), "")</f>
        <v/>
      </c>
      <c r="B97" t="str">
        <f>IF(96&lt;=COUNTIF(Data_Monitoring!$A$2:$A$2920, Dashboard_Visual!$B$4), INDEX(Data_Monitoring!$C$2:$C$2920, MATCH(Dashboard_Visual!$B$4, Data_Monitoring!$A$2:$A$2920, 0) + 96 - 1), "")</f>
        <v/>
      </c>
      <c r="C97" t="e">
        <f>IF(96&lt;=COUNTIF(Data_Monitoring!$A$2:$A$2920, Dashboard_Visual!$B$4), INDEX(Data_Monitoring!$J$2:$J$2920, MATCH(Dashboard_Visual!$B$4, Data_Monitoring!$A$2:$A$2920, 0) + 96 - 1), NA())</f>
        <v>#N/A</v>
      </c>
      <c r="D97" t="e">
        <f>IF(96&lt;=COUNTIF(Data_Monitoring!$A$2:$A$2920, Dashboard_Visual!$B$4), INDEX(Data_Monitoring!$K$2:$K$2920, MATCH(Dashboard_Visual!$B$4, Data_Monitoring!$A$2:$A$2920, 0) + 96 - 1), NA())</f>
        <v>#N/A</v>
      </c>
      <c r="E97">
        <f>IF(96&lt;=COUNTIF(Data_Monitoring!$A$2:$A$2920, Dashboard_Visual!$B$4), INDEX(Data_Monitoring!$H$2:$H$2920, MATCH(Dashboard_Visual!$B$4, Data_Monitoring!$A$2:$A$2920, 0) + 96 - 1), 0)</f>
        <v>0</v>
      </c>
      <c r="F97">
        <f>IF(96&lt;=COUNTIF(Data_Monitoring!$A$2:$A$2920, Dashboard_Visual!$B$4), INDEX(Data_Monitoring!$O$2:$O$2920, MATCH(Dashboard_Visual!$B$4, Data_Monitoring!$A$2:$A$2920, 0) + 96 - 1), 0)</f>
        <v>0</v>
      </c>
      <c r="G97">
        <f>IF(96&lt;=COUNTIF(Data_Monitoring!$A$2:$A$2920, Dashboard_Visual!$B$4), INDEX(Data_Monitoring!$Q$2:$Q$2920, MATCH(Dashboard_Visual!$B$4, Data_Monitoring!$A$2:$A$2920, 0) + 96 - 1), 0)</f>
        <v>0</v>
      </c>
      <c r="H97" t="str">
        <f>IF(96&lt;=COUNTIF(Data_Monitoring!$A$2:$A$2920, Dashboard_Visual!$B$4), INDEX(Data_Monitoring!$L$2:$L$2920, MATCH(Dashboard_Visual!$B$4, Data_Monitoring!$A$2:$A$2920, 0) + 96 - 1), "")</f>
        <v/>
      </c>
      <c r="I97" t="str">
        <f>IF(AND(96&lt;=$P$2, ISNUMBER(D97), OR(H97="Warning", H97="Overgrade")), TEXT(ABS(D97)/100, "0.00%"), "")</f>
        <v/>
      </c>
      <c r="J97" t="e">
        <f t="shared" si="1"/>
        <v>#N/A</v>
      </c>
      <c r="K97" t="e">
        <f>IF(AND(96&lt;=$P$2, H97="Warning"), C97, NA())</f>
        <v>#N/A</v>
      </c>
      <c r="L97" t="e">
        <f>IF(AND(96&lt;=$P$2, H97="Overgrade"), C97, NA())</f>
        <v>#N/A</v>
      </c>
      <c r="M97">
        <f>IF(96&lt;=COUNTIF(Data_Monitoring!$A$2:$A$2920, Dashboard_Visual!$B$4), INDEX(Data_Monitoring!$S$2:$S$2920, MATCH(Dashboard_Visual!$B$4, Data_Monitoring!$A$2:$A$2920, 0) + 96 - 1), 1)</f>
        <v>1</v>
      </c>
    </row>
    <row r="98" spans="1:13" x14ac:dyDescent="0.25">
      <c r="A98" t="str">
        <f>IF(97&lt;=COUNTIF(Data_Monitoring!$A$2:$A$2920, Dashboard_Visual!$B$4), INDEX(Data_Monitoring!$B$2:$B$2920, MATCH(Dashboard_Visual!$B$4, Data_Monitoring!$A$2:$A$2920, 0) + 97 - 1), "")</f>
        <v/>
      </c>
      <c r="B98" t="str">
        <f>IF(97&lt;=COUNTIF(Data_Monitoring!$A$2:$A$2920, Dashboard_Visual!$B$4), INDEX(Data_Monitoring!$C$2:$C$2920, MATCH(Dashboard_Visual!$B$4, Data_Monitoring!$A$2:$A$2920, 0) + 97 - 1), "")</f>
        <v/>
      </c>
      <c r="C98" t="e">
        <f>IF(97&lt;=COUNTIF(Data_Monitoring!$A$2:$A$2920, Dashboard_Visual!$B$4), INDEX(Data_Monitoring!$J$2:$J$2920, MATCH(Dashboard_Visual!$B$4, Data_Monitoring!$A$2:$A$2920, 0) + 97 - 1), NA())</f>
        <v>#N/A</v>
      </c>
      <c r="D98" t="e">
        <f>IF(97&lt;=COUNTIF(Data_Monitoring!$A$2:$A$2920, Dashboard_Visual!$B$4), INDEX(Data_Monitoring!$K$2:$K$2920, MATCH(Dashboard_Visual!$B$4, Data_Monitoring!$A$2:$A$2920, 0) + 97 - 1), NA())</f>
        <v>#N/A</v>
      </c>
      <c r="E98">
        <f>IF(97&lt;=COUNTIF(Data_Monitoring!$A$2:$A$2920, Dashboard_Visual!$B$4), INDEX(Data_Monitoring!$H$2:$H$2920, MATCH(Dashboard_Visual!$B$4, Data_Monitoring!$A$2:$A$2920, 0) + 97 - 1), 0)</f>
        <v>0</v>
      </c>
      <c r="F98">
        <f>IF(97&lt;=COUNTIF(Data_Monitoring!$A$2:$A$2920, Dashboard_Visual!$B$4), INDEX(Data_Monitoring!$O$2:$O$2920, MATCH(Dashboard_Visual!$B$4, Data_Monitoring!$A$2:$A$2920, 0) + 97 - 1), 0)</f>
        <v>0</v>
      </c>
      <c r="G98">
        <f>IF(97&lt;=COUNTIF(Data_Monitoring!$A$2:$A$2920, Dashboard_Visual!$B$4), INDEX(Data_Monitoring!$Q$2:$Q$2920, MATCH(Dashboard_Visual!$B$4, Data_Monitoring!$A$2:$A$2920, 0) + 97 - 1), 0)</f>
        <v>0</v>
      </c>
      <c r="H98" t="str">
        <f>IF(97&lt;=COUNTIF(Data_Monitoring!$A$2:$A$2920, Dashboard_Visual!$B$4), INDEX(Data_Monitoring!$L$2:$L$2920, MATCH(Dashboard_Visual!$B$4, Data_Monitoring!$A$2:$A$2920, 0) + 97 - 1), "")</f>
        <v/>
      </c>
      <c r="I98" t="str">
        <f>IF(AND(97&lt;=$P$2, ISNUMBER(D98), OR(H98="Warning", H98="Overgrade")), TEXT(ABS(D98)/100, "0.00%"), "")</f>
        <v/>
      </c>
      <c r="J98" t="e">
        <f t="shared" si="1"/>
        <v>#N/A</v>
      </c>
      <c r="K98" t="e">
        <f>IF(AND(97&lt;=$P$2, H98="Warning"), C98, NA())</f>
        <v>#N/A</v>
      </c>
      <c r="L98" t="e">
        <f>IF(AND(97&lt;=$P$2, H98="Overgrade"), C98, NA())</f>
        <v>#N/A</v>
      </c>
      <c r="M98">
        <f>IF(97&lt;=COUNTIF(Data_Monitoring!$A$2:$A$2920, Dashboard_Visual!$B$4), INDEX(Data_Monitoring!$S$2:$S$2920, MATCH(Dashboard_Visual!$B$4, Data_Monitoring!$A$2:$A$2920, 0) + 97 - 1), 1)</f>
        <v>1</v>
      </c>
    </row>
    <row r="99" spans="1:13" x14ac:dyDescent="0.25">
      <c r="A99" t="str">
        <f>IF(98&lt;=COUNTIF(Data_Monitoring!$A$2:$A$2920, Dashboard_Visual!$B$4), INDEX(Data_Monitoring!$B$2:$B$2920, MATCH(Dashboard_Visual!$B$4, Data_Monitoring!$A$2:$A$2920, 0) + 98 - 1), "")</f>
        <v/>
      </c>
      <c r="B99" t="str">
        <f>IF(98&lt;=COUNTIF(Data_Monitoring!$A$2:$A$2920, Dashboard_Visual!$B$4), INDEX(Data_Monitoring!$C$2:$C$2920, MATCH(Dashboard_Visual!$B$4, Data_Monitoring!$A$2:$A$2920, 0) + 98 - 1), "")</f>
        <v/>
      </c>
      <c r="C99" t="e">
        <f>IF(98&lt;=COUNTIF(Data_Monitoring!$A$2:$A$2920, Dashboard_Visual!$B$4), INDEX(Data_Monitoring!$J$2:$J$2920, MATCH(Dashboard_Visual!$B$4, Data_Monitoring!$A$2:$A$2920, 0) + 98 - 1), NA())</f>
        <v>#N/A</v>
      </c>
      <c r="D99" t="e">
        <f>IF(98&lt;=COUNTIF(Data_Monitoring!$A$2:$A$2920, Dashboard_Visual!$B$4), INDEX(Data_Monitoring!$K$2:$K$2920, MATCH(Dashboard_Visual!$B$4, Data_Monitoring!$A$2:$A$2920, 0) + 98 - 1), NA())</f>
        <v>#N/A</v>
      </c>
      <c r="E99">
        <f>IF(98&lt;=COUNTIF(Data_Monitoring!$A$2:$A$2920, Dashboard_Visual!$B$4), INDEX(Data_Monitoring!$H$2:$H$2920, MATCH(Dashboard_Visual!$B$4, Data_Monitoring!$A$2:$A$2920, 0) + 98 - 1), 0)</f>
        <v>0</v>
      </c>
      <c r="F99">
        <f>IF(98&lt;=COUNTIF(Data_Monitoring!$A$2:$A$2920, Dashboard_Visual!$B$4), INDEX(Data_Monitoring!$O$2:$O$2920, MATCH(Dashboard_Visual!$B$4, Data_Monitoring!$A$2:$A$2920, 0) + 98 - 1), 0)</f>
        <v>0</v>
      </c>
      <c r="G99">
        <f>IF(98&lt;=COUNTIF(Data_Monitoring!$A$2:$A$2920, Dashboard_Visual!$B$4), INDEX(Data_Monitoring!$Q$2:$Q$2920, MATCH(Dashboard_Visual!$B$4, Data_Monitoring!$A$2:$A$2920, 0) + 98 - 1), 0)</f>
        <v>0</v>
      </c>
      <c r="H99" t="str">
        <f>IF(98&lt;=COUNTIF(Data_Monitoring!$A$2:$A$2920, Dashboard_Visual!$B$4), INDEX(Data_Monitoring!$L$2:$L$2920, MATCH(Dashboard_Visual!$B$4, Data_Monitoring!$A$2:$A$2920, 0) + 98 - 1), "")</f>
        <v/>
      </c>
      <c r="I99" t="str">
        <f>IF(AND(98&lt;=$P$2, ISNUMBER(D99), OR(H99="Warning", H99="Overgrade")), TEXT(ABS(D99)/100, "0.00%"), "")</f>
        <v/>
      </c>
      <c r="J99" t="e">
        <f t="shared" si="1"/>
        <v>#N/A</v>
      </c>
      <c r="K99" t="e">
        <f>IF(AND(98&lt;=$P$2, H99="Warning"), C99, NA())</f>
        <v>#N/A</v>
      </c>
      <c r="L99" t="e">
        <f>IF(AND(98&lt;=$P$2, H99="Overgrade"), C99, NA())</f>
        <v>#N/A</v>
      </c>
      <c r="M99">
        <f>IF(98&lt;=COUNTIF(Data_Monitoring!$A$2:$A$2920, Dashboard_Visual!$B$4), INDEX(Data_Monitoring!$S$2:$S$2920, MATCH(Dashboard_Visual!$B$4, Data_Monitoring!$A$2:$A$2920, 0) + 98 - 1), 1)</f>
        <v>1</v>
      </c>
    </row>
    <row r="100" spans="1:13" x14ac:dyDescent="0.25">
      <c r="A100" t="str">
        <f>IF(99&lt;=COUNTIF(Data_Monitoring!$A$2:$A$2920, Dashboard_Visual!$B$4), INDEX(Data_Monitoring!$B$2:$B$2920, MATCH(Dashboard_Visual!$B$4, Data_Monitoring!$A$2:$A$2920, 0) + 99 - 1), "")</f>
        <v/>
      </c>
      <c r="B100" t="str">
        <f>IF(99&lt;=COUNTIF(Data_Monitoring!$A$2:$A$2920, Dashboard_Visual!$B$4), INDEX(Data_Monitoring!$C$2:$C$2920, MATCH(Dashboard_Visual!$B$4, Data_Monitoring!$A$2:$A$2920, 0) + 99 - 1), "")</f>
        <v/>
      </c>
      <c r="C100" t="e">
        <f>IF(99&lt;=COUNTIF(Data_Monitoring!$A$2:$A$2920, Dashboard_Visual!$B$4), INDEX(Data_Monitoring!$J$2:$J$2920, MATCH(Dashboard_Visual!$B$4, Data_Monitoring!$A$2:$A$2920, 0) + 99 - 1), NA())</f>
        <v>#N/A</v>
      </c>
      <c r="D100" t="e">
        <f>IF(99&lt;=COUNTIF(Data_Monitoring!$A$2:$A$2920, Dashboard_Visual!$B$4), INDEX(Data_Monitoring!$K$2:$K$2920, MATCH(Dashboard_Visual!$B$4, Data_Monitoring!$A$2:$A$2920, 0) + 99 - 1), NA())</f>
        <v>#N/A</v>
      </c>
      <c r="E100">
        <f>IF(99&lt;=COUNTIF(Data_Monitoring!$A$2:$A$2920, Dashboard_Visual!$B$4), INDEX(Data_Monitoring!$H$2:$H$2920, MATCH(Dashboard_Visual!$B$4, Data_Monitoring!$A$2:$A$2920, 0) + 99 - 1), 0)</f>
        <v>0</v>
      </c>
      <c r="F100">
        <f>IF(99&lt;=COUNTIF(Data_Monitoring!$A$2:$A$2920, Dashboard_Visual!$B$4), INDEX(Data_Monitoring!$O$2:$O$2920, MATCH(Dashboard_Visual!$B$4, Data_Monitoring!$A$2:$A$2920, 0) + 99 - 1), 0)</f>
        <v>0</v>
      </c>
      <c r="G100">
        <f>IF(99&lt;=COUNTIF(Data_Monitoring!$A$2:$A$2920, Dashboard_Visual!$B$4), INDEX(Data_Monitoring!$Q$2:$Q$2920, MATCH(Dashboard_Visual!$B$4, Data_Monitoring!$A$2:$A$2920, 0) + 99 - 1), 0)</f>
        <v>0</v>
      </c>
      <c r="H100" t="str">
        <f>IF(99&lt;=COUNTIF(Data_Monitoring!$A$2:$A$2920, Dashboard_Visual!$B$4), INDEX(Data_Monitoring!$L$2:$L$2920, MATCH(Dashboard_Visual!$B$4, Data_Monitoring!$A$2:$A$2920, 0) + 99 - 1), "")</f>
        <v/>
      </c>
      <c r="I100" t="str">
        <f>IF(AND(99&lt;=$P$2, ISNUMBER(D100), OR(H100="Warning", H100="Overgrade")), TEXT(ABS(D100)/100, "0.00%"), "")</f>
        <v/>
      </c>
      <c r="J100" t="e">
        <f t="shared" si="1"/>
        <v>#N/A</v>
      </c>
      <c r="K100" t="e">
        <f>IF(AND(99&lt;=$P$2, H100="Warning"), C100, NA())</f>
        <v>#N/A</v>
      </c>
      <c r="L100" t="e">
        <f>IF(AND(99&lt;=$P$2, H100="Overgrade"), C100, NA())</f>
        <v>#N/A</v>
      </c>
      <c r="M100">
        <f>IF(99&lt;=COUNTIF(Data_Monitoring!$A$2:$A$2920, Dashboard_Visual!$B$4), INDEX(Data_Monitoring!$S$2:$S$2920, MATCH(Dashboard_Visual!$B$4, Data_Monitoring!$A$2:$A$2920, 0) + 99 - 1), 1)</f>
        <v>1</v>
      </c>
    </row>
    <row r="101" spans="1:13" x14ac:dyDescent="0.25">
      <c r="A101" t="str">
        <f>IF(100&lt;=COUNTIF(Data_Monitoring!$A$2:$A$2920, Dashboard_Visual!$B$4), INDEX(Data_Monitoring!$B$2:$B$2920, MATCH(Dashboard_Visual!$B$4, Data_Monitoring!$A$2:$A$2920, 0) + 100 - 1), "")</f>
        <v/>
      </c>
      <c r="B101" t="str">
        <f>IF(100&lt;=COUNTIF(Data_Monitoring!$A$2:$A$2920, Dashboard_Visual!$B$4), INDEX(Data_Monitoring!$C$2:$C$2920, MATCH(Dashboard_Visual!$B$4, Data_Monitoring!$A$2:$A$2920, 0) + 100 - 1), "")</f>
        <v/>
      </c>
      <c r="C101" t="e">
        <f>IF(100&lt;=COUNTIF(Data_Monitoring!$A$2:$A$2920, Dashboard_Visual!$B$4), INDEX(Data_Monitoring!$J$2:$J$2920, MATCH(Dashboard_Visual!$B$4, Data_Monitoring!$A$2:$A$2920, 0) + 100 - 1), NA())</f>
        <v>#N/A</v>
      </c>
      <c r="D101" t="e">
        <f>IF(100&lt;=COUNTIF(Data_Monitoring!$A$2:$A$2920, Dashboard_Visual!$B$4), INDEX(Data_Monitoring!$K$2:$K$2920, MATCH(Dashboard_Visual!$B$4, Data_Monitoring!$A$2:$A$2920, 0) + 100 - 1), NA())</f>
        <v>#N/A</v>
      </c>
      <c r="E101">
        <f>IF(100&lt;=COUNTIF(Data_Monitoring!$A$2:$A$2920, Dashboard_Visual!$B$4), INDEX(Data_Monitoring!$H$2:$H$2920, MATCH(Dashboard_Visual!$B$4, Data_Monitoring!$A$2:$A$2920, 0) + 100 - 1), 0)</f>
        <v>0</v>
      </c>
      <c r="F101">
        <f>IF(100&lt;=COUNTIF(Data_Monitoring!$A$2:$A$2920, Dashboard_Visual!$B$4), INDEX(Data_Monitoring!$O$2:$O$2920, MATCH(Dashboard_Visual!$B$4, Data_Monitoring!$A$2:$A$2920, 0) + 100 - 1), 0)</f>
        <v>0</v>
      </c>
      <c r="G101">
        <f>IF(100&lt;=COUNTIF(Data_Monitoring!$A$2:$A$2920, Dashboard_Visual!$B$4), INDEX(Data_Monitoring!$Q$2:$Q$2920, MATCH(Dashboard_Visual!$B$4, Data_Monitoring!$A$2:$A$2920, 0) + 100 - 1), 0)</f>
        <v>0</v>
      </c>
      <c r="H101" t="str">
        <f>IF(100&lt;=COUNTIF(Data_Monitoring!$A$2:$A$2920, Dashboard_Visual!$B$4), INDEX(Data_Monitoring!$L$2:$L$2920, MATCH(Dashboard_Visual!$B$4, Data_Monitoring!$A$2:$A$2920, 0) + 100 - 1), "")</f>
        <v/>
      </c>
      <c r="I101" t="str">
        <f>IF(AND(100&lt;=$P$2, ISNUMBER(D101), OR(H101="Warning", H101="Overgrade")), TEXT(ABS(D101)/100, "0.00%"), "")</f>
        <v/>
      </c>
      <c r="J101" t="e">
        <f t="shared" si="1"/>
        <v>#N/A</v>
      </c>
      <c r="K101" t="e">
        <f>IF(AND(100&lt;=$P$2, H101="Warning"), C101, NA())</f>
        <v>#N/A</v>
      </c>
      <c r="L101" t="e">
        <f>IF(AND(100&lt;=$P$2, H101="Overgrade"), C101, NA())</f>
        <v>#N/A</v>
      </c>
      <c r="M101">
        <f>IF(100&lt;=COUNTIF(Data_Monitoring!$A$2:$A$2920, Dashboard_Visual!$B$4), INDEX(Data_Monitoring!$S$2:$S$2920, MATCH(Dashboard_Visual!$B$4, Data_Monitoring!$A$2:$A$2920, 0) + 100 - 1), 1)</f>
        <v>1</v>
      </c>
    </row>
    <row r="102" spans="1:13" x14ac:dyDescent="0.25">
      <c r="A102" t="str">
        <f>IF(101&lt;=COUNTIF(Data_Monitoring!$A$2:$A$2920, Dashboard_Visual!$B$4), INDEX(Data_Monitoring!$B$2:$B$2920, MATCH(Dashboard_Visual!$B$4, Data_Monitoring!$A$2:$A$2920, 0) + 101 - 1), "")</f>
        <v/>
      </c>
      <c r="B102" t="str">
        <f>IF(101&lt;=COUNTIF(Data_Monitoring!$A$2:$A$2920, Dashboard_Visual!$B$4), INDEX(Data_Monitoring!$C$2:$C$2920, MATCH(Dashboard_Visual!$B$4, Data_Monitoring!$A$2:$A$2920, 0) + 101 - 1), "")</f>
        <v/>
      </c>
      <c r="C102" t="e">
        <f>IF(101&lt;=COUNTIF(Data_Monitoring!$A$2:$A$2920, Dashboard_Visual!$B$4), INDEX(Data_Monitoring!$J$2:$J$2920, MATCH(Dashboard_Visual!$B$4, Data_Monitoring!$A$2:$A$2920, 0) + 101 - 1), NA())</f>
        <v>#N/A</v>
      </c>
      <c r="D102" t="e">
        <f>IF(101&lt;=COUNTIF(Data_Monitoring!$A$2:$A$2920, Dashboard_Visual!$B$4), INDEX(Data_Monitoring!$K$2:$K$2920, MATCH(Dashboard_Visual!$B$4, Data_Monitoring!$A$2:$A$2920, 0) + 101 - 1), NA())</f>
        <v>#N/A</v>
      </c>
      <c r="E102">
        <f>IF(101&lt;=COUNTIF(Data_Monitoring!$A$2:$A$2920, Dashboard_Visual!$B$4), INDEX(Data_Monitoring!$H$2:$H$2920, MATCH(Dashboard_Visual!$B$4, Data_Monitoring!$A$2:$A$2920, 0) + 101 - 1), 0)</f>
        <v>0</v>
      </c>
      <c r="F102">
        <f>IF(101&lt;=COUNTIF(Data_Monitoring!$A$2:$A$2920, Dashboard_Visual!$B$4), INDEX(Data_Monitoring!$O$2:$O$2920, MATCH(Dashboard_Visual!$B$4, Data_Monitoring!$A$2:$A$2920, 0) + 101 - 1), 0)</f>
        <v>0</v>
      </c>
      <c r="G102">
        <f>IF(101&lt;=COUNTIF(Data_Monitoring!$A$2:$A$2920, Dashboard_Visual!$B$4), INDEX(Data_Monitoring!$Q$2:$Q$2920, MATCH(Dashboard_Visual!$B$4, Data_Monitoring!$A$2:$A$2920, 0) + 101 - 1), 0)</f>
        <v>0</v>
      </c>
      <c r="H102" t="str">
        <f>IF(101&lt;=COUNTIF(Data_Monitoring!$A$2:$A$2920, Dashboard_Visual!$B$4), INDEX(Data_Monitoring!$L$2:$L$2920, MATCH(Dashboard_Visual!$B$4, Data_Monitoring!$A$2:$A$2920, 0) + 101 - 1), "")</f>
        <v/>
      </c>
      <c r="I102" t="str">
        <f>IF(AND(101&lt;=$P$2, ISNUMBER(D102), OR(H102="Warning", H102="Overgrade")), TEXT(ABS(D102)/100, "0.00%"), "")</f>
        <v/>
      </c>
      <c r="J102" t="e">
        <f t="shared" si="1"/>
        <v>#N/A</v>
      </c>
      <c r="K102" t="e">
        <f>IF(AND(101&lt;=$P$2, H102="Warning"), C102, NA())</f>
        <v>#N/A</v>
      </c>
      <c r="L102" t="e">
        <f>IF(AND(101&lt;=$P$2, H102="Overgrade"), C102, NA())</f>
        <v>#N/A</v>
      </c>
      <c r="M102">
        <f>IF(101&lt;=COUNTIF(Data_Monitoring!$A$2:$A$2920, Dashboard_Visual!$B$4), INDEX(Data_Monitoring!$S$2:$S$2920, MATCH(Dashboard_Visual!$B$4, Data_Monitoring!$A$2:$A$2920, 0) + 101 - 1), 1)</f>
        <v>1</v>
      </c>
    </row>
    <row r="103" spans="1:13" x14ac:dyDescent="0.25">
      <c r="A103" t="str">
        <f>IF(102&lt;=COUNTIF(Data_Monitoring!$A$2:$A$2920, Dashboard_Visual!$B$4), INDEX(Data_Monitoring!$B$2:$B$2920, MATCH(Dashboard_Visual!$B$4, Data_Monitoring!$A$2:$A$2920, 0) + 102 - 1), "")</f>
        <v/>
      </c>
      <c r="B103" t="str">
        <f>IF(102&lt;=COUNTIF(Data_Monitoring!$A$2:$A$2920, Dashboard_Visual!$B$4), INDEX(Data_Monitoring!$C$2:$C$2920, MATCH(Dashboard_Visual!$B$4, Data_Monitoring!$A$2:$A$2920, 0) + 102 - 1), "")</f>
        <v/>
      </c>
      <c r="C103" t="e">
        <f>IF(102&lt;=COUNTIF(Data_Monitoring!$A$2:$A$2920, Dashboard_Visual!$B$4), INDEX(Data_Monitoring!$J$2:$J$2920, MATCH(Dashboard_Visual!$B$4, Data_Monitoring!$A$2:$A$2920, 0) + 102 - 1), NA())</f>
        <v>#N/A</v>
      </c>
      <c r="D103" t="e">
        <f>IF(102&lt;=COUNTIF(Data_Monitoring!$A$2:$A$2920, Dashboard_Visual!$B$4), INDEX(Data_Monitoring!$K$2:$K$2920, MATCH(Dashboard_Visual!$B$4, Data_Monitoring!$A$2:$A$2920, 0) + 102 - 1), NA())</f>
        <v>#N/A</v>
      </c>
      <c r="E103">
        <f>IF(102&lt;=COUNTIF(Data_Monitoring!$A$2:$A$2920, Dashboard_Visual!$B$4), INDEX(Data_Monitoring!$H$2:$H$2920, MATCH(Dashboard_Visual!$B$4, Data_Monitoring!$A$2:$A$2920, 0) + 102 - 1), 0)</f>
        <v>0</v>
      </c>
      <c r="F103">
        <f>IF(102&lt;=COUNTIF(Data_Monitoring!$A$2:$A$2920, Dashboard_Visual!$B$4), INDEX(Data_Monitoring!$O$2:$O$2920, MATCH(Dashboard_Visual!$B$4, Data_Monitoring!$A$2:$A$2920, 0) + 102 - 1), 0)</f>
        <v>0</v>
      </c>
      <c r="G103">
        <f>IF(102&lt;=COUNTIF(Data_Monitoring!$A$2:$A$2920, Dashboard_Visual!$B$4), INDEX(Data_Monitoring!$Q$2:$Q$2920, MATCH(Dashboard_Visual!$B$4, Data_Monitoring!$A$2:$A$2920, 0) + 102 - 1), 0)</f>
        <v>0</v>
      </c>
      <c r="H103" t="str">
        <f>IF(102&lt;=COUNTIF(Data_Monitoring!$A$2:$A$2920, Dashboard_Visual!$B$4), INDEX(Data_Monitoring!$L$2:$L$2920, MATCH(Dashboard_Visual!$B$4, Data_Monitoring!$A$2:$A$2920, 0) + 102 - 1), "")</f>
        <v/>
      </c>
      <c r="I103" t="str">
        <f>IF(AND(102&lt;=$P$2, ISNUMBER(D103), OR(H103="Warning", H103="Overgrade")), TEXT(ABS(D103)/100, "0.00%"), "")</f>
        <v/>
      </c>
      <c r="J103" t="e">
        <f t="shared" si="1"/>
        <v>#N/A</v>
      </c>
      <c r="K103" t="e">
        <f>IF(AND(102&lt;=$P$2, H103="Warning"), C103, NA())</f>
        <v>#N/A</v>
      </c>
      <c r="L103" t="e">
        <f>IF(AND(102&lt;=$P$2, H103="Overgrade"), C103, NA())</f>
        <v>#N/A</v>
      </c>
      <c r="M103">
        <f>IF(102&lt;=COUNTIF(Data_Monitoring!$A$2:$A$2920, Dashboard_Visual!$B$4), INDEX(Data_Monitoring!$S$2:$S$2920, MATCH(Dashboard_Visual!$B$4, Data_Monitoring!$A$2:$A$2920, 0) + 102 - 1), 1)</f>
        <v>1</v>
      </c>
    </row>
    <row r="104" spans="1:13" x14ac:dyDescent="0.25">
      <c r="A104" t="str">
        <f>IF(103&lt;=COUNTIF(Data_Monitoring!$A$2:$A$2920, Dashboard_Visual!$B$4), INDEX(Data_Monitoring!$B$2:$B$2920, MATCH(Dashboard_Visual!$B$4, Data_Monitoring!$A$2:$A$2920, 0) + 103 - 1), "")</f>
        <v/>
      </c>
      <c r="B104" t="str">
        <f>IF(103&lt;=COUNTIF(Data_Monitoring!$A$2:$A$2920, Dashboard_Visual!$B$4), INDEX(Data_Monitoring!$C$2:$C$2920, MATCH(Dashboard_Visual!$B$4, Data_Monitoring!$A$2:$A$2920, 0) + 103 - 1), "")</f>
        <v/>
      </c>
      <c r="C104" t="e">
        <f>IF(103&lt;=COUNTIF(Data_Monitoring!$A$2:$A$2920, Dashboard_Visual!$B$4), INDEX(Data_Monitoring!$J$2:$J$2920, MATCH(Dashboard_Visual!$B$4, Data_Monitoring!$A$2:$A$2920, 0) + 103 - 1), NA())</f>
        <v>#N/A</v>
      </c>
      <c r="D104" t="e">
        <f>IF(103&lt;=COUNTIF(Data_Monitoring!$A$2:$A$2920, Dashboard_Visual!$B$4), INDEX(Data_Monitoring!$K$2:$K$2920, MATCH(Dashboard_Visual!$B$4, Data_Monitoring!$A$2:$A$2920, 0) + 103 - 1), NA())</f>
        <v>#N/A</v>
      </c>
      <c r="E104">
        <f>IF(103&lt;=COUNTIF(Data_Monitoring!$A$2:$A$2920, Dashboard_Visual!$B$4), INDEX(Data_Monitoring!$H$2:$H$2920, MATCH(Dashboard_Visual!$B$4, Data_Monitoring!$A$2:$A$2920, 0) + 103 - 1), 0)</f>
        <v>0</v>
      </c>
      <c r="F104">
        <f>IF(103&lt;=COUNTIF(Data_Monitoring!$A$2:$A$2920, Dashboard_Visual!$B$4), INDEX(Data_Monitoring!$O$2:$O$2920, MATCH(Dashboard_Visual!$B$4, Data_Monitoring!$A$2:$A$2920, 0) + 103 - 1), 0)</f>
        <v>0</v>
      </c>
      <c r="G104">
        <f>IF(103&lt;=COUNTIF(Data_Monitoring!$A$2:$A$2920, Dashboard_Visual!$B$4), INDEX(Data_Monitoring!$Q$2:$Q$2920, MATCH(Dashboard_Visual!$B$4, Data_Monitoring!$A$2:$A$2920, 0) + 103 - 1), 0)</f>
        <v>0</v>
      </c>
      <c r="H104" t="str">
        <f>IF(103&lt;=COUNTIF(Data_Monitoring!$A$2:$A$2920, Dashboard_Visual!$B$4), INDEX(Data_Monitoring!$L$2:$L$2920, MATCH(Dashboard_Visual!$B$4, Data_Monitoring!$A$2:$A$2920, 0) + 103 - 1), "")</f>
        <v/>
      </c>
      <c r="I104" t="str">
        <f>IF(AND(103&lt;=$P$2, ISNUMBER(D104), OR(H104="Warning", H104="Overgrade")), TEXT(ABS(D104)/100, "0.00%"), "")</f>
        <v/>
      </c>
      <c r="J104" t="e">
        <f t="shared" si="1"/>
        <v>#N/A</v>
      </c>
      <c r="K104" t="e">
        <f>IF(AND(103&lt;=$P$2, H104="Warning"), C104, NA())</f>
        <v>#N/A</v>
      </c>
      <c r="L104" t="e">
        <f>IF(AND(103&lt;=$P$2, H104="Overgrade"), C104, NA())</f>
        <v>#N/A</v>
      </c>
      <c r="M104">
        <f>IF(103&lt;=COUNTIF(Data_Monitoring!$A$2:$A$2920, Dashboard_Visual!$B$4), INDEX(Data_Monitoring!$S$2:$S$2920, MATCH(Dashboard_Visual!$B$4, Data_Monitoring!$A$2:$A$2920, 0) + 103 - 1), 1)</f>
        <v>1</v>
      </c>
    </row>
    <row r="105" spans="1:13" x14ac:dyDescent="0.25">
      <c r="A105" t="str">
        <f>IF(104&lt;=COUNTIF(Data_Monitoring!$A$2:$A$2920, Dashboard_Visual!$B$4), INDEX(Data_Monitoring!$B$2:$B$2920, MATCH(Dashboard_Visual!$B$4, Data_Monitoring!$A$2:$A$2920, 0) + 104 - 1), "")</f>
        <v/>
      </c>
      <c r="B105" t="str">
        <f>IF(104&lt;=COUNTIF(Data_Monitoring!$A$2:$A$2920, Dashboard_Visual!$B$4), INDEX(Data_Monitoring!$C$2:$C$2920, MATCH(Dashboard_Visual!$B$4, Data_Monitoring!$A$2:$A$2920, 0) + 104 - 1), "")</f>
        <v/>
      </c>
      <c r="C105" t="e">
        <f>IF(104&lt;=COUNTIF(Data_Monitoring!$A$2:$A$2920, Dashboard_Visual!$B$4), INDEX(Data_Monitoring!$J$2:$J$2920, MATCH(Dashboard_Visual!$B$4, Data_Monitoring!$A$2:$A$2920, 0) + 104 - 1), NA())</f>
        <v>#N/A</v>
      </c>
      <c r="D105" t="e">
        <f>IF(104&lt;=COUNTIF(Data_Monitoring!$A$2:$A$2920, Dashboard_Visual!$B$4), INDEX(Data_Monitoring!$K$2:$K$2920, MATCH(Dashboard_Visual!$B$4, Data_Monitoring!$A$2:$A$2920, 0) + 104 - 1), NA())</f>
        <v>#N/A</v>
      </c>
      <c r="E105">
        <f>IF(104&lt;=COUNTIF(Data_Monitoring!$A$2:$A$2920, Dashboard_Visual!$B$4), INDEX(Data_Monitoring!$H$2:$H$2920, MATCH(Dashboard_Visual!$B$4, Data_Monitoring!$A$2:$A$2920, 0) + 104 - 1), 0)</f>
        <v>0</v>
      </c>
      <c r="F105">
        <f>IF(104&lt;=COUNTIF(Data_Monitoring!$A$2:$A$2920, Dashboard_Visual!$B$4), INDEX(Data_Monitoring!$O$2:$O$2920, MATCH(Dashboard_Visual!$B$4, Data_Monitoring!$A$2:$A$2920, 0) + 104 - 1), 0)</f>
        <v>0</v>
      </c>
      <c r="G105">
        <f>IF(104&lt;=COUNTIF(Data_Monitoring!$A$2:$A$2920, Dashboard_Visual!$B$4), INDEX(Data_Monitoring!$Q$2:$Q$2920, MATCH(Dashboard_Visual!$B$4, Data_Monitoring!$A$2:$A$2920, 0) + 104 - 1), 0)</f>
        <v>0</v>
      </c>
      <c r="H105" t="str">
        <f>IF(104&lt;=COUNTIF(Data_Monitoring!$A$2:$A$2920, Dashboard_Visual!$B$4), INDEX(Data_Monitoring!$L$2:$L$2920, MATCH(Dashboard_Visual!$B$4, Data_Monitoring!$A$2:$A$2920, 0) + 104 - 1), "")</f>
        <v/>
      </c>
      <c r="I105" t="str">
        <f>IF(AND(104&lt;=$P$2, ISNUMBER(D105), OR(H105="Warning", H105="Overgrade")), TEXT(ABS(D105)/100, "0.00%"), "")</f>
        <v/>
      </c>
      <c r="J105" t="e">
        <f t="shared" si="1"/>
        <v>#N/A</v>
      </c>
      <c r="K105" t="e">
        <f>IF(AND(104&lt;=$P$2, H105="Warning"), C105, NA())</f>
        <v>#N/A</v>
      </c>
      <c r="L105" t="e">
        <f>IF(AND(104&lt;=$P$2, H105="Overgrade"), C105, NA())</f>
        <v>#N/A</v>
      </c>
      <c r="M105">
        <f>IF(104&lt;=COUNTIF(Data_Monitoring!$A$2:$A$2920, Dashboard_Visual!$B$4), INDEX(Data_Monitoring!$S$2:$S$2920, MATCH(Dashboard_Visual!$B$4, Data_Monitoring!$A$2:$A$2920, 0) + 104 - 1), 1)</f>
        <v>1</v>
      </c>
    </row>
    <row r="106" spans="1:13" x14ac:dyDescent="0.25">
      <c r="A106" t="str">
        <f>IF(105&lt;=COUNTIF(Data_Monitoring!$A$2:$A$2920, Dashboard_Visual!$B$4), INDEX(Data_Monitoring!$B$2:$B$2920, MATCH(Dashboard_Visual!$B$4, Data_Monitoring!$A$2:$A$2920, 0) + 105 - 1), "")</f>
        <v/>
      </c>
      <c r="B106" t="str">
        <f>IF(105&lt;=COUNTIF(Data_Monitoring!$A$2:$A$2920, Dashboard_Visual!$B$4), INDEX(Data_Monitoring!$C$2:$C$2920, MATCH(Dashboard_Visual!$B$4, Data_Monitoring!$A$2:$A$2920, 0) + 105 - 1), "")</f>
        <v/>
      </c>
      <c r="C106" t="e">
        <f>IF(105&lt;=COUNTIF(Data_Monitoring!$A$2:$A$2920, Dashboard_Visual!$B$4), INDEX(Data_Monitoring!$J$2:$J$2920, MATCH(Dashboard_Visual!$B$4, Data_Monitoring!$A$2:$A$2920, 0) + 105 - 1), NA())</f>
        <v>#N/A</v>
      </c>
      <c r="D106" t="e">
        <f>IF(105&lt;=COUNTIF(Data_Monitoring!$A$2:$A$2920, Dashboard_Visual!$B$4), INDEX(Data_Monitoring!$K$2:$K$2920, MATCH(Dashboard_Visual!$B$4, Data_Monitoring!$A$2:$A$2920, 0) + 105 - 1), NA())</f>
        <v>#N/A</v>
      </c>
      <c r="E106">
        <f>IF(105&lt;=COUNTIF(Data_Monitoring!$A$2:$A$2920, Dashboard_Visual!$B$4), INDEX(Data_Monitoring!$H$2:$H$2920, MATCH(Dashboard_Visual!$B$4, Data_Monitoring!$A$2:$A$2920, 0) + 105 - 1), 0)</f>
        <v>0</v>
      </c>
      <c r="F106">
        <f>IF(105&lt;=COUNTIF(Data_Monitoring!$A$2:$A$2920, Dashboard_Visual!$B$4), INDEX(Data_Monitoring!$O$2:$O$2920, MATCH(Dashboard_Visual!$B$4, Data_Monitoring!$A$2:$A$2920, 0) + 105 - 1), 0)</f>
        <v>0</v>
      </c>
      <c r="G106">
        <f>IF(105&lt;=COUNTIF(Data_Monitoring!$A$2:$A$2920, Dashboard_Visual!$B$4), INDEX(Data_Monitoring!$Q$2:$Q$2920, MATCH(Dashboard_Visual!$B$4, Data_Monitoring!$A$2:$A$2920, 0) + 105 - 1), 0)</f>
        <v>0</v>
      </c>
      <c r="H106" t="str">
        <f>IF(105&lt;=COUNTIF(Data_Monitoring!$A$2:$A$2920, Dashboard_Visual!$B$4), INDEX(Data_Monitoring!$L$2:$L$2920, MATCH(Dashboard_Visual!$B$4, Data_Monitoring!$A$2:$A$2920, 0) + 105 - 1), "")</f>
        <v/>
      </c>
      <c r="I106" t="str">
        <f>IF(AND(105&lt;=$P$2, ISNUMBER(D106), OR(H106="Warning", H106="Overgrade")), TEXT(ABS(D106)/100, "0.00%"), "")</f>
        <v/>
      </c>
      <c r="J106" t="e">
        <f t="shared" si="1"/>
        <v>#N/A</v>
      </c>
      <c r="K106" t="e">
        <f>IF(AND(105&lt;=$P$2, H106="Warning"), C106, NA())</f>
        <v>#N/A</v>
      </c>
      <c r="L106" t="e">
        <f>IF(AND(105&lt;=$P$2, H106="Overgrade"), C106, NA())</f>
        <v>#N/A</v>
      </c>
      <c r="M106">
        <f>IF(105&lt;=COUNTIF(Data_Monitoring!$A$2:$A$2920, Dashboard_Visual!$B$4), INDEX(Data_Monitoring!$S$2:$S$2920, MATCH(Dashboard_Visual!$B$4, Data_Monitoring!$A$2:$A$2920, 0) + 105 - 1), 1)</f>
        <v>1</v>
      </c>
    </row>
    <row r="107" spans="1:13" x14ac:dyDescent="0.25">
      <c r="A107" t="str">
        <f>IF(106&lt;=COUNTIF(Data_Monitoring!$A$2:$A$2920, Dashboard_Visual!$B$4), INDEX(Data_Monitoring!$B$2:$B$2920, MATCH(Dashboard_Visual!$B$4, Data_Monitoring!$A$2:$A$2920, 0) + 106 - 1), "")</f>
        <v/>
      </c>
      <c r="B107" t="str">
        <f>IF(106&lt;=COUNTIF(Data_Monitoring!$A$2:$A$2920, Dashboard_Visual!$B$4), INDEX(Data_Monitoring!$C$2:$C$2920, MATCH(Dashboard_Visual!$B$4, Data_Monitoring!$A$2:$A$2920, 0) + 106 - 1), "")</f>
        <v/>
      </c>
      <c r="C107" t="e">
        <f>IF(106&lt;=COUNTIF(Data_Monitoring!$A$2:$A$2920, Dashboard_Visual!$B$4), INDEX(Data_Monitoring!$J$2:$J$2920, MATCH(Dashboard_Visual!$B$4, Data_Monitoring!$A$2:$A$2920, 0) + 106 - 1), NA())</f>
        <v>#N/A</v>
      </c>
      <c r="D107" t="e">
        <f>IF(106&lt;=COUNTIF(Data_Monitoring!$A$2:$A$2920, Dashboard_Visual!$B$4), INDEX(Data_Monitoring!$K$2:$K$2920, MATCH(Dashboard_Visual!$B$4, Data_Monitoring!$A$2:$A$2920, 0) + 106 - 1), NA())</f>
        <v>#N/A</v>
      </c>
      <c r="E107">
        <f>IF(106&lt;=COUNTIF(Data_Monitoring!$A$2:$A$2920, Dashboard_Visual!$B$4), INDEX(Data_Monitoring!$H$2:$H$2920, MATCH(Dashboard_Visual!$B$4, Data_Monitoring!$A$2:$A$2920, 0) + 106 - 1), 0)</f>
        <v>0</v>
      </c>
      <c r="F107">
        <f>IF(106&lt;=COUNTIF(Data_Monitoring!$A$2:$A$2920, Dashboard_Visual!$B$4), INDEX(Data_Monitoring!$O$2:$O$2920, MATCH(Dashboard_Visual!$B$4, Data_Monitoring!$A$2:$A$2920, 0) + 106 - 1), 0)</f>
        <v>0</v>
      </c>
      <c r="G107">
        <f>IF(106&lt;=COUNTIF(Data_Monitoring!$A$2:$A$2920, Dashboard_Visual!$B$4), INDEX(Data_Monitoring!$Q$2:$Q$2920, MATCH(Dashboard_Visual!$B$4, Data_Monitoring!$A$2:$A$2920, 0) + 106 - 1), 0)</f>
        <v>0</v>
      </c>
      <c r="H107" t="str">
        <f>IF(106&lt;=COUNTIF(Data_Monitoring!$A$2:$A$2920, Dashboard_Visual!$B$4), INDEX(Data_Monitoring!$L$2:$L$2920, MATCH(Dashboard_Visual!$B$4, Data_Monitoring!$A$2:$A$2920, 0) + 106 - 1), "")</f>
        <v/>
      </c>
      <c r="I107" t="str">
        <f>IF(AND(106&lt;=$P$2, ISNUMBER(D107), OR(H107="Warning", H107="Overgrade")), TEXT(ABS(D107)/100, "0.00%"), "")</f>
        <v/>
      </c>
      <c r="J107" t="e">
        <f t="shared" si="1"/>
        <v>#N/A</v>
      </c>
      <c r="K107" t="e">
        <f>IF(AND(106&lt;=$P$2, H107="Warning"), C107, NA())</f>
        <v>#N/A</v>
      </c>
      <c r="L107" t="e">
        <f>IF(AND(106&lt;=$P$2, H107="Overgrade"), C107, NA())</f>
        <v>#N/A</v>
      </c>
      <c r="M107">
        <f>IF(106&lt;=COUNTIF(Data_Monitoring!$A$2:$A$2920, Dashboard_Visual!$B$4), INDEX(Data_Monitoring!$S$2:$S$2920, MATCH(Dashboard_Visual!$B$4, Data_Monitoring!$A$2:$A$2920, 0) + 106 - 1), 1)</f>
        <v>1</v>
      </c>
    </row>
    <row r="108" spans="1:13" x14ac:dyDescent="0.25">
      <c r="A108" t="str">
        <f>IF(107&lt;=COUNTIF(Data_Monitoring!$A$2:$A$2920, Dashboard_Visual!$B$4), INDEX(Data_Monitoring!$B$2:$B$2920, MATCH(Dashboard_Visual!$B$4, Data_Monitoring!$A$2:$A$2920, 0) + 107 - 1), "")</f>
        <v/>
      </c>
      <c r="B108" t="str">
        <f>IF(107&lt;=COUNTIF(Data_Monitoring!$A$2:$A$2920, Dashboard_Visual!$B$4), INDEX(Data_Monitoring!$C$2:$C$2920, MATCH(Dashboard_Visual!$B$4, Data_Monitoring!$A$2:$A$2920, 0) + 107 - 1), "")</f>
        <v/>
      </c>
      <c r="C108" t="e">
        <f>IF(107&lt;=COUNTIF(Data_Monitoring!$A$2:$A$2920, Dashboard_Visual!$B$4), INDEX(Data_Monitoring!$J$2:$J$2920, MATCH(Dashboard_Visual!$B$4, Data_Monitoring!$A$2:$A$2920, 0) + 107 - 1), NA())</f>
        <v>#N/A</v>
      </c>
      <c r="D108" t="e">
        <f>IF(107&lt;=COUNTIF(Data_Monitoring!$A$2:$A$2920, Dashboard_Visual!$B$4), INDEX(Data_Monitoring!$K$2:$K$2920, MATCH(Dashboard_Visual!$B$4, Data_Monitoring!$A$2:$A$2920, 0) + 107 - 1), NA())</f>
        <v>#N/A</v>
      </c>
      <c r="E108">
        <f>IF(107&lt;=COUNTIF(Data_Monitoring!$A$2:$A$2920, Dashboard_Visual!$B$4), INDEX(Data_Monitoring!$H$2:$H$2920, MATCH(Dashboard_Visual!$B$4, Data_Monitoring!$A$2:$A$2920, 0) + 107 - 1), 0)</f>
        <v>0</v>
      </c>
      <c r="F108">
        <f>IF(107&lt;=COUNTIF(Data_Monitoring!$A$2:$A$2920, Dashboard_Visual!$B$4), INDEX(Data_Monitoring!$O$2:$O$2920, MATCH(Dashboard_Visual!$B$4, Data_Monitoring!$A$2:$A$2920, 0) + 107 - 1), 0)</f>
        <v>0</v>
      </c>
      <c r="G108">
        <f>IF(107&lt;=COUNTIF(Data_Monitoring!$A$2:$A$2920, Dashboard_Visual!$B$4), INDEX(Data_Monitoring!$Q$2:$Q$2920, MATCH(Dashboard_Visual!$B$4, Data_Monitoring!$A$2:$A$2920, 0) + 107 - 1), 0)</f>
        <v>0</v>
      </c>
      <c r="H108" t="str">
        <f>IF(107&lt;=COUNTIF(Data_Monitoring!$A$2:$A$2920, Dashboard_Visual!$B$4), INDEX(Data_Monitoring!$L$2:$L$2920, MATCH(Dashboard_Visual!$B$4, Data_Monitoring!$A$2:$A$2920, 0) + 107 - 1), "")</f>
        <v/>
      </c>
      <c r="I108" t="str">
        <f>IF(AND(107&lt;=$P$2, ISNUMBER(D108), OR(H108="Warning", H108="Overgrade")), TEXT(ABS(D108)/100, "0.00%"), "")</f>
        <v/>
      </c>
      <c r="J108" t="e">
        <f t="shared" si="1"/>
        <v>#N/A</v>
      </c>
      <c r="K108" t="e">
        <f>IF(AND(107&lt;=$P$2, H108="Warning"), C108, NA())</f>
        <v>#N/A</v>
      </c>
      <c r="L108" t="e">
        <f>IF(AND(107&lt;=$P$2, H108="Overgrade"), C108, NA())</f>
        <v>#N/A</v>
      </c>
      <c r="M108">
        <f>IF(107&lt;=COUNTIF(Data_Monitoring!$A$2:$A$2920, Dashboard_Visual!$B$4), INDEX(Data_Monitoring!$S$2:$S$2920, MATCH(Dashboard_Visual!$B$4, Data_Monitoring!$A$2:$A$2920, 0) + 107 - 1), 1)</f>
        <v>1</v>
      </c>
    </row>
    <row r="109" spans="1:13" x14ac:dyDescent="0.25">
      <c r="A109" t="str">
        <f>IF(108&lt;=COUNTIF(Data_Monitoring!$A$2:$A$2920, Dashboard_Visual!$B$4), INDEX(Data_Monitoring!$B$2:$B$2920, MATCH(Dashboard_Visual!$B$4, Data_Monitoring!$A$2:$A$2920, 0) + 108 - 1), "")</f>
        <v/>
      </c>
      <c r="B109" t="str">
        <f>IF(108&lt;=COUNTIF(Data_Monitoring!$A$2:$A$2920, Dashboard_Visual!$B$4), INDEX(Data_Monitoring!$C$2:$C$2920, MATCH(Dashboard_Visual!$B$4, Data_Monitoring!$A$2:$A$2920, 0) + 108 - 1), "")</f>
        <v/>
      </c>
      <c r="C109" t="e">
        <f>IF(108&lt;=COUNTIF(Data_Monitoring!$A$2:$A$2920, Dashboard_Visual!$B$4), INDEX(Data_Monitoring!$J$2:$J$2920, MATCH(Dashboard_Visual!$B$4, Data_Monitoring!$A$2:$A$2920, 0) + 108 - 1), NA())</f>
        <v>#N/A</v>
      </c>
      <c r="D109" t="e">
        <f>IF(108&lt;=COUNTIF(Data_Monitoring!$A$2:$A$2920, Dashboard_Visual!$B$4), INDEX(Data_Monitoring!$K$2:$K$2920, MATCH(Dashboard_Visual!$B$4, Data_Monitoring!$A$2:$A$2920, 0) + 108 - 1), NA())</f>
        <v>#N/A</v>
      </c>
      <c r="E109">
        <f>IF(108&lt;=COUNTIF(Data_Monitoring!$A$2:$A$2920, Dashboard_Visual!$B$4), INDEX(Data_Monitoring!$H$2:$H$2920, MATCH(Dashboard_Visual!$B$4, Data_Monitoring!$A$2:$A$2920, 0) + 108 - 1), 0)</f>
        <v>0</v>
      </c>
      <c r="F109">
        <f>IF(108&lt;=COUNTIF(Data_Monitoring!$A$2:$A$2920, Dashboard_Visual!$B$4), INDEX(Data_Monitoring!$O$2:$O$2920, MATCH(Dashboard_Visual!$B$4, Data_Monitoring!$A$2:$A$2920, 0) + 108 - 1), 0)</f>
        <v>0</v>
      </c>
      <c r="G109">
        <f>IF(108&lt;=COUNTIF(Data_Monitoring!$A$2:$A$2920, Dashboard_Visual!$B$4), INDEX(Data_Monitoring!$Q$2:$Q$2920, MATCH(Dashboard_Visual!$B$4, Data_Monitoring!$A$2:$A$2920, 0) + 108 - 1), 0)</f>
        <v>0</v>
      </c>
      <c r="H109" t="str">
        <f>IF(108&lt;=COUNTIF(Data_Monitoring!$A$2:$A$2920, Dashboard_Visual!$B$4), INDEX(Data_Monitoring!$L$2:$L$2920, MATCH(Dashboard_Visual!$B$4, Data_Monitoring!$A$2:$A$2920, 0) + 108 - 1), "")</f>
        <v/>
      </c>
      <c r="I109" t="str">
        <f>IF(AND(108&lt;=$P$2, ISNUMBER(D109), OR(H109="Warning", H109="Overgrade")), TEXT(ABS(D109)/100, "0.00%"), "")</f>
        <v/>
      </c>
      <c r="J109" t="e">
        <f t="shared" si="1"/>
        <v>#N/A</v>
      </c>
      <c r="K109" t="e">
        <f>IF(AND(108&lt;=$P$2, H109="Warning"), C109, NA())</f>
        <v>#N/A</v>
      </c>
      <c r="L109" t="e">
        <f>IF(AND(108&lt;=$P$2, H109="Overgrade"), C109, NA())</f>
        <v>#N/A</v>
      </c>
      <c r="M109">
        <f>IF(108&lt;=COUNTIF(Data_Monitoring!$A$2:$A$2920, Dashboard_Visual!$B$4), INDEX(Data_Monitoring!$S$2:$S$2920, MATCH(Dashboard_Visual!$B$4, Data_Monitoring!$A$2:$A$2920, 0) + 108 - 1), 1)</f>
        <v>1</v>
      </c>
    </row>
    <row r="110" spans="1:13" x14ac:dyDescent="0.25">
      <c r="A110" t="str">
        <f>IF(109&lt;=COUNTIF(Data_Monitoring!$A$2:$A$2920, Dashboard_Visual!$B$4), INDEX(Data_Monitoring!$B$2:$B$2920, MATCH(Dashboard_Visual!$B$4, Data_Monitoring!$A$2:$A$2920, 0) + 109 - 1), "")</f>
        <v/>
      </c>
      <c r="B110" t="str">
        <f>IF(109&lt;=COUNTIF(Data_Monitoring!$A$2:$A$2920, Dashboard_Visual!$B$4), INDEX(Data_Monitoring!$C$2:$C$2920, MATCH(Dashboard_Visual!$B$4, Data_Monitoring!$A$2:$A$2920, 0) + 109 - 1), "")</f>
        <v/>
      </c>
      <c r="C110" t="e">
        <f>IF(109&lt;=COUNTIF(Data_Monitoring!$A$2:$A$2920, Dashboard_Visual!$B$4), INDEX(Data_Monitoring!$J$2:$J$2920, MATCH(Dashboard_Visual!$B$4, Data_Monitoring!$A$2:$A$2920, 0) + 109 - 1), NA())</f>
        <v>#N/A</v>
      </c>
      <c r="D110" t="e">
        <f>IF(109&lt;=COUNTIF(Data_Monitoring!$A$2:$A$2920, Dashboard_Visual!$B$4), INDEX(Data_Monitoring!$K$2:$K$2920, MATCH(Dashboard_Visual!$B$4, Data_Monitoring!$A$2:$A$2920, 0) + 109 - 1), NA())</f>
        <v>#N/A</v>
      </c>
      <c r="E110">
        <f>IF(109&lt;=COUNTIF(Data_Monitoring!$A$2:$A$2920, Dashboard_Visual!$B$4), INDEX(Data_Monitoring!$H$2:$H$2920, MATCH(Dashboard_Visual!$B$4, Data_Monitoring!$A$2:$A$2920, 0) + 109 - 1), 0)</f>
        <v>0</v>
      </c>
      <c r="F110">
        <f>IF(109&lt;=COUNTIF(Data_Monitoring!$A$2:$A$2920, Dashboard_Visual!$B$4), INDEX(Data_Monitoring!$O$2:$O$2920, MATCH(Dashboard_Visual!$B$4, Data_Monitoring!$A$2:$A$2920, 0) + 109 - 1), 0)</f>
        <v>0</v>
      </c>
      <c r="G110">
        <f>IF(109&lt;=COUNTIF(Data_Monitoring!$A$2:$A$2920, Dashboard_Visual!$B$4), INDEX(Data_Monitoring!$Q$2:$Q$2920, MATCH(Dashboard_Visual!$B$4, Data_Monitoring!$A$2:$A$2920, 0) + 109 - 1), 0)</f>
        <v>0</v>
      </c>
      <c r="H110" t="str">
        <f>IF(109&lt;=COUNTIF(Data_Monitoring!$A$2:$A$2920, Dashboard_Visual!$B$4), INDEX(Data_Monitoring!$L$2:$L$2920, MATCH(Dashboard_Visual!$B$4, Data_Monitoring!$A$2:$A$2920, 0) + 109 - 1), "")</f>
        <v/>
      </c>
      <c r="I110" t="str">
        <f>IF(AND(109&lt;=$P$2, ISNUMBER(D110), OR(H110="Warning", H110="Overgrade")), TEXT(ABS(D110)/100, "0.00%"), "")</f>
        <v/>
      </c>
      <c r="J110" t="e">
        <f t="shared" si="1"/>
        <v>#N/A</v>
      </c>
      <c r="K110" t="e">
        <f>IF(AND(109&lt;=$P$2, H110="Warning"), C110, NA())</f>
        <v>#N/A</v>
      </c>
      <c r="L110" t="e">
        <f>IF(AND(109&lt;=$P$2, H110="Overgrade"), C110, NA())</f>
        <v>#N/A</v>
      </c>
      <c r="M110">
        <f>IF(109&lt;=COUNTIF(Data_Monitoring!$A$2:$A$2920, Dashboard_Visual!$B$4), INDEX(Data_Monitoring!$S$2:$S$2920, MATCH(Dashboard_Visual!$B$4, Data_Monitoring!$A$2:$A$2920, 0) + 109 - 1), 1)</f>
        <v>1</v>
      </c>
    </row>
    <row r="111" spans="1:13" x14ac:dyDescent="0.25">
      <c r="A111" t="str">
        <f>IF(110&lt;=COUNTIF(Data_Monitoring!$A$2:$A$2920, Dashboard_Visual!$B$4), INDEX(Data_Monitoring!$B$2:$B$2920, MATCH(Dashboard_Visual!$B$4, Data_Monitoring!$A$2:$A$2920, 0) + 110 - 1), "")</f>
        <v/>
      </c>
      <c r="B111" t="str">
        <f>IF(110&lt;=COUNTIF(Data_Monitoring!$A$2:$A$2920, Dashboard_Visual!$B$4), INDEX(Data_Monitoring!$C$2:$C$2920, MATCH(Dashboard_Visual!$B$4, Data_Monitoring!$A$2:$A$2920, 0) + 110 - 1), "")</f>
        <v/>
      </c>
      <c r="C111" t="e">
        <f>IF(110&lt;=COUNTIF(Data_Monitoring!$A$2:$A$2920, Dashboard_Visual!$B$4), INDEX(Data_Monitoring!$J$2:$J$2920, MATCH(Dashboard_Visual!$B$4, Data_Monitoring!$A$2:$A$2920, 0) + 110 - 1), NA())</f>
        <v>#N/A</v>
      </c>
      <c r="D111" t="e">
        <f>IF(110&lt;=COUNTIF(Data_Monitoring!$A$2:$A$2920, Dashboard_Visual!$B$4), INDEX(Data_Monitoring!$K$2:$K$2920, MATCH(Dashboard_Visual!$B$4, Data_Monitoring!$A$2:$A$2920, 0) + 110 - 1), NA())</f>
        <v>#N/A</v>
      </c>
      <c r="E111">
        <f>IF(110&lt;=COUNTIF(Data_Monitoring!$A$2:$A$2920, Dashboard_Visual!$B$4), INDEX(Data_Monitoring!$H$2:$H$2920, MATCH(Dashboard_Visual!$B$4, Data_Monitoring!$A$2:$A$2920, 0) + 110 - 1), 0)</f>
        <v>0</v>
      </c>
      <c r="F111">
        <f>IF(110&lt;=COUNTIF(Data_Monitoring!$A$2:$A$2920, Dashboard_Visual!$B$4), INDEX(Data_Monitoring!$O$2:$O$2920, MATCH(Dashboard_Visual!$B$4, Data_Monitoring!$A$2:$A$2920, 0) + 110 - 1), 0)</f>
        <v>0</v>
      </c>
      <c r="G111">
        <f>IF(110&lt;=COUNTIF(Data_Monitoring!$A$2:$A$2920, Dashboard_Visual!$B$4), INDEX(Data_Monitoring!$Q$2:$Q$2920, MATCH(Dashboard_Visual!$B$4, Data_Monitoring!$A$2:$A$2920, 0) + 110 - 1), 0)</f>
        <v>0</v>
      </c>
      <c r="H111" t="str">
        <f>IF(110&lt;=COUNTIF(Data_Monitoring!$A$2:$A$2920, Dashboard_Visual!$B$4), INDEX(Data_Monitoring!$L$2:$L$2920, MATCH(Dashboard_Visual!$B$4, Data_Monitoring!$A$2:$A$2920, 0) + 110 - 1), "")</f>
        <v/>
      </c>
      <c r="I111" t="str">
        <f>IF(AND(110&lt;=$P$2, ISNUMBER(D111), OR(H111="Warning", H111="Overgrade")), TEXT(ABS(D111)/100, "0.00%"), "")</f>
        <v/>
      </c>
      <c r="J111" t="e">
        <f t="shared" si="1"/>
        <v>#N/A</v>
      </c>
      <c r="K111" t="e">
        <f>IF(AND(110&lt;=$P$2, H111="Warning"), C111, NA())</f>
        <v>#N/A</v>
      </c>
      <c r="L111" t="e">
        <f>IF(AND(110&lt;=$P$2, H111="Overgrade"), C111, NA())</f>
        <v>#N/A</v>
      </c>
      <c r="M111">
        <f>IF(110&lt;=COUNTIF(Data_Monitoring!$A$2:$A$2920, Dashboard_Visual!$B$4), INDEX(Data_Monitoring!$S$2:$S$2920, MATCH(Dashboard_Visual!$B$4, Data_Monitoring!$A$2:$A$2920, 0) + 110 - 1), 1)</f>
        <v>1</v>
      </c>
    </row>
    <row r="112" spans="1:13" x14ac:dyDescent="0.25">
      <c r="A112" t="str">
        <f>IF(111&lt;=COUNTIF(Data_Monitoring!$A$2:$A$2920, Dashboard_Visual!$B$4), INDEX(Data_Monitoring!$B$2:$B$2920, MATCH(Dashboard_Visual!$B$4, Data_Monitoring!$A$2:$A$2920, 0) + 111 - 1), "")</f>
        <v/>
      </c>
      <c r="B112" t="str">
        <f>IF(111&lt;=COUNTIF(Data_Monitoring!$A$2:$A$2920, Dashboard_Visual!$B$4), INDEX(Data_Monitoring!$C$2:$C$2920, MATCH(Dashboard_Visual!$B$4, Data_Monitoring!$A$2:$A$2920, 0) + 111 - 1), "")</f>
        <v/>
      </c>
      <c r="C112" t="e">
        <f>IF(111&lt;=COUNTIF(Data_Monitoring!$A$2:$A$2920, Dashboard_Visual!$B$4), INDEX(Data_Monitoring!$J$2:$J$2920, MATCH(Dashboard_Visual!$B$4, Data_Monitoring!$A$2:$A$2920, 0) + 111 - 1), NA())</f>
        <v>#N/A</v>
      </c>
      <c r="D112" t="e">
        <f>IF(111&lt;=COUNTIF(Data_Monitoring!$A$2:$A$2920, Dashboard_Visual!$B$4), INDEX(Data_Monitoring!$K$2:$K$2920, MATCH(Dashboard_Visual!$B$4, Data_Monitoring!$A$2:$A$2920, 0) + 111 - 1), NA())</f>
        <v>#N/A</v>
      </c>
      <c r="E112">
        <f>IF(111&lt;=COUNTIF(Data_Monitoring!$A$2:$A$2920, Dashboard_Visual!$B$4), INDEX(Data_Monitoring!$H$2:$H$2920, MATCH(Dashboard_Visual!$B$4, Data_Monitoring!$A$2:$A$2920, 0) + 111 - 1), 0)</f>
        <v>0</v>
      </c>
      <c r="F112">
        <f>IF(111&lt;=COUNTIF(Data_Monitoring!$A$2:$A$2920, Dashboard_Visual!$B$4), INDEX(Data_Monitoring!$O$2:$O$2920, MATCH(Dashboard_Visual!$B$4, Data_Monitoring!$A$2:$A$2920, 0) + 111 - 1), 0)</f>
        <v>0</v>
      </c>
      <c r="G112">
        <f>IF(111&lt;=COUNTIF(Data_Monitoring!$A$2:$A$2920, Dashboard_Visual!$B$4), INDEX(Data_Monitoring!$Q$2:$Q$2920, MATCH(Dashboard_Visual!$B$4, Data_Monitoring!$A$2:$A$2920, 0) + 111 - 1), 0)</f>
        <v>0</v>
      </c>
      <c r="H112" t="str">
        <f>IF(111&lt;=COUNTIF(Data_Monitoring!$A$2:$A$2920, Dashboard_Visual!$B$4), INDEX(Data_Monitoring!$L$2:$L$2920, MATCH(Dashboard_Visual!$B$4, Data_Monitoring!$A$2:$A$2920, 0) + 111 - 1), "")</f>
        <v/>
      </c>
      <c r="I112" t="str">
        <f>IF(AND(111&lt;=$P$2, ISNUMBER(D112), OR(H112="Warning", H112="Overgrade")), TEXT(ABS(D112)/100, "0.00%"), "")</f>
        <v/>
      </c>
      <c r="J112" t="e">
        <f t="shared" si="1"/>
        <v>#N/A</v>
      </c>
      <c r="K112" t="e">
        <f>IF(AND(111&lt;=$P$2, H112="Warning"), C112, NA())</f>
        <v>#N/A</v>
      </c>
      <c r="L112" t="e">
        <f>IF(AND(111&lt;=$P$2, H112="Overgrade"), C112, NA())</f>
        <v>#N/A</v>
      </c>
      <c r="M112">
        <f>IF(111&lt;=COUNTIF(Data_Monitoring!$A$2:$A$2920, Dashboard_Visual!$B$4), INDEX(Data_Monitoring!$S$2:$S$2920, MATCH(Dashboard_Visual!$B$4, Data_Monitoring!$A$2:$A$2920, 0) + 111 - 1), 1)</f>
        <v>1</v>
      </c>
    </row>
    <row r="113" spans="1:13" x14ac:dyDescent="0.25">
      <c r="A113" t="str">
        <f>IF(112&lt;=COUNTIF(Data_Monitoring!$A$2:$A$2920, Dashboard_Visual!$B$4), INDEX(Data_Monitoring!$B$2:$B$2920, MATCH(Dashboard_Visual!$B$4, Data_Monitoring!$A$2:$A$2920, 0) + 112 - 1), "")</f>
        <v/>
      </c>
      <c r="B113" t="str">
        <f>IF(112&lt;=COUNTIF(Data_Monitoring!$A$2:$A$2920, Dashboard_Visual!$B$4), INDEX(Data_Monitoring!$C$2:$C$2920, MATCH(Dashboard_Visual!$B$4, Data_Monitoring!$A$2:$A$2920, 0) + 112 - 1), "")</f>
        <v/>
      </c>
      <c r="C113" t="e">
        <f>IF(112&lt;=COUNTIF(Data_Monitoring!$A$2:$A$2920, Dashboard_Visual!$B$4), INDEX(Data_Monitoring!$J$2:$J$2920, MATCH(Dashboard_Visual!$B$4, Data_Monitoring!$A$2:$A$2920, 0) + 112 - 1), NA())</f>
        <v>#N/A</v>
      </c>
      <c r="D113" t="e">
        <f>IF(112&lt;=COUNTIF(Data_Monitoring!$A$2:$A$2920, Dashboard_Visual!$B$4), INDEX(Data_Monitoring!$K$2:$K$2920, MATCH(Dashboard_Visual!$B$4, Data_Monitoring!$A$2:$A$2920, 0) + 112 - 1), NA())</f>
        <v>#N/A</v>
      </c>
      <c r="E113">
        <f>IF(112&lt;=COUNTIF(Data_Monitoring!$A$2:$A$2920, Dashboard_Visual!$B$4), INDEX(Data_Monitoring!$H$2:$H$2920, MATCH(Dashboard_Visual!$B$4, Data_Monitoring!$A$2:$A$2920, 0) + 112 - 1), 0)</f>
        <v>0</v>
      </c>
      <c r="F113">
        <f>IF(112&lt;=COUNTIF(Data_Monitoring!$A$2:$A$2920, Dashboard_Visual!$B$4), INDEX(Data_Monitoring!$O$2:$O$2920, MATCH(Dashboard_Visual!$B$4, Data_Monitoring!$A$2:$A$2920, 0) + 112 - 1), 0)</f>
        <v>0</v>
      </c>
      <c r="G113">
        <f>IF(112&lt;=COUNTIF(Data_Monitoring!$A$2:$A$2920, Dashboard_Visual!$B$4), INDEX(Data_Monitoring!$Q$2:$Q$2920, MATCH(Dashboard_Visual!$B$4, Data_Monitoring!$A$2:$A$2920, 0) + 112 - 1), 0)</f>
        <v>0</v>
      </c>
      <c r="H113" t="str">
        <f>IF(112&lt;=COUNTIF(Data_Monitoring!$A$2:$A$2920, Dashboard_Visual!$B$4), INDEX(Data_Monitoring!$L$2:$L$2920, MATCH(Dashboard_Visual!$B$4, Data_Monitoring!$A$2:$A$2920, 0) + 112 - 1), "")</f>
        <v/>
      </c>
      <c r="I113" t="str">
        <f>IF(AND(112&lt;=$P$2, ISNUMBER(D113), OR(H113="Warning", H113="Overgrade")), TEXT(ABS(D113)/100, "0.00%"), "")</f>
        <v/>
      </c>
      <c r="J113" t="e">
        <f t="shared" si="1"/>
        <v>#N/A</v>
      </c>
      <c r="K113" t="e">
        <f>IF(AND(112&lt;=$P$2, H113="Warning"), C113, NA())</f>
        <v>#N/A</v>
      </c>
      <c r="L113" t="e">
        <f>IF(AND(112&lt;=$P$2, H113="Overgrade"), C113, NA())</f>
        <v>#N/A</v>
      </c>
      <c r="M113">
        <f>IF(112&lt;=COUNTIF(Data_Monitoring!$A$2:$A$2920, Dashboard_Visual!$B$4), INDEX(Data_Monitoring!$S$2:$S$2920, MATCH(Dashboard_Visual!$B$4, Data_Monitoring!$A$2:$A$2920, 0) + 112 - 1), 1)</f>
        <v>1</v>
      </c>
    </row>
    <row r="114" spans="1:13" x14ac:dyDescent="0.25">
      <c r="A114" t="str">
        <f>IF(113&lt;=COUNTIF(Data_Monitoring!$A$2:$A$2920, Dashboard_Visual!$B$4), INDEX(Data_Monitoring!$B$2:$B$2920, MATCH(Dashboard_Visual!$B$4, Data_Monitoring!$A$2:$A$2920, 0) + 113 - 1), "")</f>
        <v/>
      </c>
      <c r="B114" t="str">
        <f>IF(113&lt;=COUNTIF(Data_Monitoring!$A$2:$A$2920, Dashboard_Visual!$B$4), INDEX(Data_Monitoring!$C$2:$C$2920, MATCH(Dashboard_Visual!$B$4, Data_Monitoring!$A$2:$A$2920, 0) + 113 - 1), "")</f>
        <v/>
      </c>
      <c r="C114" t="e">
        <f>IF(113&lt;=COUNTIF(Data_Monitoring!$A$2:$A$2920, Dashboard_Visual!$B$4), INDEX(Data_Monitoring!$J$2:$J$2920, MATCH(Dashboard_Visual!$B$4, Data_Monitoring!$A$2:$A$2920, 0) + 113 - 1), NA())</f>
        <v>#N/A</v>
      </c>
      <c r="D114" t="e">
        <f>IF(113&lt;=COUNTIF(Data_Monitoring!$A$2:$A$2920, Dashboard_Visual!$B$4), INDEX(Data_Monitoring!$K$2:$K$2920, MATCH(Dashboard_Visual!$B$4, Data_Monitoring!$A$2:$A$2920, 0) + 113 - 1), NA())</f>
        <v>#N/A</v>
      </c>
      <c r="E114">
        <f>IF(113&lt;=COUNTIF(Data_Monitoring!$A$2:$A$2920, Dashboard_Visual!$B$4), INDEX(Data_Monitoring!$H$2:$H$2920, MATCH(Dashboard_Visual!$B$4, Data_Monitoring!$A$2:$A$2920, 0) + 113 - 1), 0)</f>
        <v>0</v>
      </c>
      <c r="F114">
        <f>IF(113&lt;=COUNTIF(Data_Monitoring!$A$2:$A$2920, Dashboard_Visual!$B$4), INDEX(Data_Monitoring!$O$2:$O$2920, MATCH(Dashboard_Visual!$B$4, Data_Monitoring!$A$2:$A$2920, 0) + 113 - 1), 0)</f>
        <v>0</v>
      </c>
      <c r="G114">
        <f>IF(113&lt;=COUNTIF(Data_Monitoring!$A$2:$A$2920, Dashboard_Visual!$B$4), INDEX(Data_Monitoring!$Q$2:$Q$2920, MATCH(Dashboard_Visual!$B$4, Data_Monitoring!$A$2:$A$2920, 0) + 113 - 1), 0)</f>
        <v>0</v>
      </c>
      <c r="H114" t="str">
        <f>IF(113&lt;=COUNTIF(Data_Monitoring!$A$2:$A$2920, Dashboard_Visual!$B$4), INDEX(Data_Monitoring!$L$2:$L$2920, MATCH(Dashboard_Visual!$B$4, Data_Monitoring!$A$2:$A$2920, 0) + 113 - 1), "")</f>
        <v/>
      </c>
      <c r="I114" t="str">
        <f>IF(AND(113&lt;=$P$2, ISNUMBER(D114), OR(H114="Warning", H114="Overgrade")), TEXT(ABS(D114)/100, "0.00%"), "")</f>
        <v/>
      </c>
      <c r="J114" t="e">
        <f t="shared" si="1"/>
        <v>#N/A</v>
      </c>
      <c r="K114" t="e">
        <f>IF(AND(113&lt;=$P$2, H114="Warning"), C114, NA())</f>
        <v>#N/A</v>
      </c>
      <c r="L114" t="e">
        <f>IF(AND(113&lt;=$P$2, H114="Overgrade"), C114, NA())</f>
        <v>#N/A</v>
      </c>
      <c r="M114">
        <f>IF(113&lt;=COUNTIF(Data_Monitoring!$A$2:$A$2920, Dashboard_Visual!$B$4), INDEX(Data_Monitoring!$S$2:$S$2920, MATCH(Dashboard_Visual!$B$4, Data_Monitoring!$A$2:$A$2920, 0) + 113 - 1), 1)</f>
        <v>1</v>
      </c>
    </row>
    <row r="115" spans="1:13" x14ac:dyDescent="0.25">
      <c r="A115" t="str">
        <f>IF(114&lt;=COUNTIF(Data_Monitoring!$A$2:$A$2920, Dashboard_Visual!$B$4), INDEX(Data_Monitoring!$B$2:$B$2920, MATCH(Dashboard_Visual!$B$4, Data_Monitoring!$A$2:$A$2920, 0) + 114 - 1), "")</f>
        <v/>
      </c>
      <c r="B115" t="str">
        <f>IF(114&lt;=COUNTIF(Data_Monitoring!$A$2:$A$2920, Dashboard_Visual!$B$4), INDEX(Data_Monitoring!$C$2:$C$2920, MATCH(Dashboard_Visual!$B$4, Data_Monitoring!$A$2:$A$2920, 0) + 114 - 1), "")</f>
        <v/>
      </c>
      <c r="C115" t="e">
        <f>IF(114&lt;=COUNTIF(Data_Monitoring!$A$2:$A$2920, Dashboard_Visual!$B$4), INDEX(Data_Monitoring!$J$2:$J$2920, MATCH(Dashboard_Visual!$B$4, Data_Monitoring!$A$2:$A$2920, 0) + 114 - 1), NA())</f>
        <v>#N/A</v>
      </c>
      <c r="D115" t="e">
        <f>IF(114&lt;=COUNTIF(Data_Monitoring!$A$2:$A$2920, Dashboard_Visual!$B$4), INDEX(Data_Monitoring!$K$2:$K$2920, MATCH(Dashboard_Visual!$B$4, Data_Monitoring!$A$2:$A$2920, 0) + 114 - 1), NA())</f>
        <v>#N/A</v>
      </c>
      <c r="E115">
        <f>IF(114&lt;=COUNTIF(Data_Monitoring!$A$2:$A$2920, Dashboard_Visual!$B$4), INDEX(Data_Monitoring!$H$2:$H$2920, MATCH(Dashboard_Visual!$B$4, Data_Monitoring!$A$2:$A$2920, 0) + 114 - 1), 0)</f>
        <v>0</v>
      </c>
      <c r="F115">
        <f>IF(114&lt;=COUNTIF(Data_Monitoring!$A$2:$A$2920, Dashboard_Visual!$B$4), INDEX(Data_Monitoring!$O$2:$O$2920, MATCH(Dashboard_Visual!$B$4, Data_Monitoring!$A$2:$A$2920, 0) + 114 - 1), 0)</f>
        <v>0</v>
      </c>
      <c r="G115">
        <f>IF(114&lt;=COUNTIF(Data_Monitoring!$A$2:$A$2920, Dashboard_Visual!$B$4), INDEX(Data_Monitoring!$Q$2:$Q$2920, MATCH(Dashboard_Visual!$B$4, Data_Monitoring!$A$2:$A$2920, 0) + 114 - 1), 0)</f>
        <v>0</v>
      </c>
      <c r="H115" t="str">
        <f>IF(114&lt;=COUNTIF(Data_Monitoring!$A$2:$A$2920, Dashboard_Visual!$B$4), INDEX(Data_Monitoring!$L$2:$L$2920, MATCH(Dashboard_Visual!$B$4, Data_Monitoring!$A$2:$A$2920, 0) + 114 - 1), "")</f>
        <v/>
      </c>
      <c r="I115" t="str">
        <f>IF(AND(114&lt;=$P$2, ISNUMBER(D115), OR(H115="Warning", H115="Overgrade")), TEXT(ABS(D115)/100, "0.00%"), "")</f>
        <v/>
      </c>
      <c r="J115" t="e">
        <f t="shared" si="1"/>
        <v>#N/A</v>
      </c>
      <c r="K115" t="e">
        <f>IF(AND(114&lt;=$P$2, H115="Warning"), C115, NA())</f>
        <v>#N/A</v>
      </c>
      <c r="L115" t="e">
        <f>IF(AND(114&lt;=$P$2, H115="Overgrade"), C115, NA())</f>
        <v>#N/A</v>
      </c>
      <c r="M115">
        <f>IF(114&lt;=COUNTIF(Data_Monitoring!$A$2:$A$2920, Dashboard_Visual!$B$4), INDEX(Data_Monitoring!$S$2:$S$2920, MATCH(Dashboard_Visual!$B$4, Data_Monitoring!$A$2:$A$2920, 0) + 114 - 1), 1)</f>
        <v>1</v>
      </c>
    </row>
    <row r="116" spans="1:13" x14ac:dyDescent="0.25">
      <c r="A116" t="str">
        <f>IF(115&lt;=COUNTIF(Data_Monitoring!$A$2:$A$2920, Dashboard_Visual!$B$4), INDEX(Data_Monitoring!$B$2:$B$2920, MATCH(Dashboard_Visual!$B$4, Data_Monitoring!$A$2:$A$2920, 0) + 115 - 1), "")</f>
        <v/>
      </c>
      <c r="B116" t="str">
        <f>IF(115&lt;=COUNTIF(Data_Monitoring!$A$2:$A$2920, Dashboard_Visual!$B$4), INDEX(Data_Monitoring!$C$2:$C$2920, MATCH(Dashboard_Visual!$B$4, Data_Monitoring!$A$2:$A$2920, 0) + 115 - 1), "")</f>
        <v/>
      </c>
      <c r="C116" t="e">
        <f>IF(115&lt;=COUNTIF(Data_Monitoring!$A$2:$A$2920, Dashboard_Visual!$B$4), INDEX(Data_Monitoring!$J$2:$J$2920, MATCH(Dashboard_Visual!$B$4, Data_Monitoring!$A$2:$A$2920, 0) + 115 - 1), NA())</f>
        <v>#N/A</v>
      </c>
      <c r="D116" t="e">
        <f>IF(115&lt;=COUNTIF(Data_Monitoring!$A$2:$A$2920, Dashboard_Visual!$B$4), INDEX(Data_Monitoring!$K$2:$K$2920, MATCH(Dashboard_Visual!$B$4, Data_Monitoring!$A$2:$A$2920, 0) + 115 - 1), NA())</f>
        <v>#N/A</v>
      </c>
      <c r="E116">
        <f>IF(115&lt;=COUNTIF(Data_Monitoring!$A$2:$A$2920, Dashboard_Visual!$B$4), INDEX(Data_Monitoring!$H$2:$H$2920, MATCH(Dashboard_Visual!$B$4, Data_Monitoring!$A$2:$A$2920, 0) + 115 - 1), 0)</f>
        <v>0</v>
      </c>
      <c r="F116">
        <f>IF(115&lt;=COUNTIF(Data_Monitoring!$A$2:$A$2920, Dashboard_Visual!$B$4), INDEX(Data_Monitoring!$O$2:$O$2920, MATCH(Dashboard_Visual!$B$4, Data_Monitoring!$A$2:$A$2920, 0) + 115 - 1), 0)</f>
        <v>0</v>
      </c>
      <c r="G116">
        <f>IF(115&lt;=COUNTIF(Data_Monitoring!$A$2:$A$2920, Dashboard_Visual!$B$4), INDEX(Data_Monitoring!$Q$2:$Q$2920, MATCH(Dashboard_Visual!$B$4, Data_Monitoring!$A$2:$A$2920, 0) + 115 - 1), 0)</f>
        <v>0</v>
      </c>
      <c r="H116" t="str">
        <f>IF(115&lt;=COUNTIF(Data_Monitoring!$A$2:$A$2920, Dashboard_Visual!$B$4), INDEX(Data_Monitoring!$L$2:$L$2920, MATCH(Dashboard_Visual!$B$4, Data_Monitoring!$A$2:$A$2920, 0) + 115 - 1), "")</f>
        <v/>
      </c>
      <c r="I116" t="str">
        <f>IF(AND(115&lt;=$P$2, ISNUMBER(D116), OR(H116="Warning", H116="Overgrade")), TEXT(ABS(D116)/100, "0.00%"), "")</f>
        <v/>
      </c>
      <c r="J116" t="e">
        <f t="shared" si="1"/>
        <v>#N/A</v>
      </c>
      <c r="K116" t="e">
        <f>IF(AND(115&lt;=$P$2, H116="Warning"), C116, NA())</f>
        <v>#N/A</v>
      </c>
      <c r="L116" t="e">
        <f>IF(AND(115&lt;=$P$2, H116="Overgrade"), C116, NA())</f>
        <v>#N/A</v>
      </c>
      <c r="M116">
        <f>IF(115&lt;=COUNTIF(Data_Monitoring!$A$2:$A$2920, Dashboard_Visual!$B$4), INDEX(Data_Monitoring!$S$2:$S$2920, MATCH(Dashboard_Visual!$B$4, Data_Monitoring!$A$2:$A$2920, 0) + 115 - 1), 1)</f>
        <v>1</v>
      </c>
    </row>
    <row r="117" spans="1:13" x14ac:dyDescent="0.25">
      <c r="A117" t="str">
        <f>IF(116&lt;=COUNTIF(Data_Monitoring!$A$2:$A$2920, Dashboard_Visual!$B$4), INDEX(Data_Monitoring!$B$2:$B$2920, MATCH(Dashboard_Visual!$B$4, Data_Monitoring!$A$2:$A$2920, 0) + 116 - 1), "")</f>
        <v/>
      </c>
      <c r="B117" t="str">
        <f>IF(116&lt;=COUNTIF(Data_Monitoring!$A$2:$A$2920, Dashboard_Visual!$B$4), INDEX(Data_Monitoring!$C$2:$C$2920, MATCH(Dashboard_Visual!$B$4, Data_Monitoring!$A$2:$A$2920, 0) + 116 - 1), "")</f>
        <v/>
      </c>
      <c r="C117" t="e">
        <f>IF(116&lt;=COUNTIF(Data_Monitoring!$A$2:$A$2920, Dashboard_Visual!$B$4), INDEX(Data_Monitoring!$J$2:$J$2920, MATCH(Dashboard_Visual!$B$4, Data_Monitoring!$A$2:$A$2920, 0) + 116 - 1), NA())</f>
        <v>#N/A</v>
      </c>
      <c r="D117" t="e">
        <f>IF(116&lt;=COUNTIF(Data_Monitoring!$A$2:$A$2920, Dashboard_Visual!$B$4), INDEX(Data_Monitoring!$K$2:$K$2920, MATCH(Dashboard_Visual!$B$4, Data_Monitoring!$A$2:$A$2920, 0) + 116 - 1), NA())</f>
        <v>#N/A</v>
      </c>
      <c r="E117">
        <f>IF(116&lt;=COUNTIF(Data_Monitoring!$A$2:$A$2920, Dashboard_Visual!$B$4), INDEX(Data_Monitoring!$H$2:$H$2920, MATCH(Dashboard_Visual!$B$4, Data_Monitoring!$A$2:$A$2920, 0) + 116 - 1), 0)</f>
        <v>0</v>
      </c>
      <c r="F117">
        <f>IF(116&lt;=COUNTIF(Data_Monitoring!$A$2:$A$2920, Dashboard_Visual!$B$4), INDEX(Data_Monitoring!$O$2:$O$2920, MATCH(Dashboard_Visual!$B$4, Data_Monitoring!$A$2:$A$2920, 0) + 116 - 1), 0)</f>
        <v>0</v>
      </c>
      <c r="G117">
        <f>IF(116&lt;=COUNTIF(Data_Monitoring!$A$2:$A$2920, Dashboard_Visual!$B$4), INDEX(Data_Monitoring!$Q$2:$Q$2920, MATCH(Dashboard_Visual!$B$4, Data_Monitoring!$A$2:$A$2920, 0) + 116 - 1), 0)</f>
        <v>0</v>
      </c>
      <c r="H117" t="str">
        <f>IF(116&lt;=COUNTIF(Data_Monitoring!$A$2:$A$2920, Dashboard_Visual!$B$4), INDEX(Data_Monitoring!$L$2:$L$2920, MATCH(Dashboard_Visual!$B$4, Data_Monitoring!$A$2:$A$2920, 0) + 116 - 1), "")</f>
        <v/>
      </c>
      <c r="I117" t="str">
        <f>IF(AND(116&lt;=$P$2, ISNUMBER(D117), OR(H117="Warning", H117="Overgrade")), TEXT(ABS(D117)/100, "0.00%"), "")</f>
        <v/>
      </c>
      <c r="J117" t="e">
        <f t="shared" si="1"/>
        <v>#N/A</v>
      </c>
      <c r="K117" t="e">
        <f>IF(AND(116&lt;=$P$2, H117="Warning"), C117, NA())</f>
        <v>#N/A</v>
      </c>
      <c r="L117" t="e">
        <f>IF(AND(116&lt;=$P$2, H117="Overgrade"), C117, NA())</f>
        <v>#N/A</v>
      </c>
      <c r="M117">
        <f>IF(116&lt;=COUNTIF(Data_Monitoring!$A$2:$A$2920, Dashboard_Visual!$B$4), INDEX(Data_Monitoring!$S$2:$S$2920, MATCH(Dashboard_Visual!$B$4, Data_Monitoring!$A$2:$A$2920, 0) + 116 - 1), 1)</f>
        <v>1</v>
      </c>
    </row>
    <row r="118" spans="1:13" x14ac:dyDescent="0.25">
      <c r="A118" t="str">
        <f>IF(117&lt;=COUNTIF(Data_Monitoring!$A$2:$A$2920, Dashboard_Visual!$B$4), INDEX(Data_Monitoring!$B$2:$B$2920, MATCH(Dashboard_Visual!$B$4, Data_Monitoring!$A$2:$A$2920, 0) + 117 - 1), "")</f>
        <v/>
      </c>
      <c r="B118" t="str">
        <f>IF(117&lt;=COUNTIF(Data_Monitoring!$A$2:$A$2920, Dashboard_Visual!$B$4), INDEX(Data_Monitoring!$C$2:$C$2920, MATCH(Dashboard_Visual!$B$4, Data_Monitoring!$A$2:$A$2920, 0) + 117 - 1), "")</f>
        <v/>
      </c>
      <c r="C118" t="e">
        <f>IF(117&lt;=COUNTIF(Data_Monitoring!$A$2:$A$2920, Dashboard_Visual!$B$4), INDEX(Data_Monitoring!$J$2:$J$2920, MATCH(Dashboard_Visual!$B$4, Data_Monitoring!$A$2:$A$2920, 0) + 117 - 1), NA())</f>
        <v>#N/A</v>
      </c>
      <c r="D118" t="e">
        <f>IF(117&lt;=COUNTIF(Data_Monitoring!$A$2:$A$2920, Dashboard_Visual!$B$4), INDEX(Data_Monitoring!$K$2:$K$2920, MATCH(Dashboard_Visual!$B$4, Data_Monitoring!$A$2:$A$2920, 0) + 117 - 1), NA())</f>
        <v>#N/A</v>
      </c>
      <c r="E118">
        <f>IF(117&lt;=COUNTIF(Data_Monitoring!$A$2:$A$2920, Dashboard_Visual!$B$4), INDEX(Data_Monitoring!$H$2:$H$2920, MATCH(Dashboard_Visual!$B$4, Data_Monitoring!$A$2:$A$2920, 0) + 117 - 1), 0)</f>
        <v>0</v>
      </c>
      <c r="F118">
        <f>IF(117&lt;=COUNTIF(Data_Monitoring!$A$2:$A$2920, Dashboard_Visual!$B$4), INDEX(Data_Monitoring!$O$2:$O$2920, MATCH(Dashboard_Visual!$B$4, Data_Monitoring!$A$2:$A$2920, 0) + 117 - 1), 0)</f>
        <v>0</v>
      </c>
      <c r="G118">
        <f>IF(117&lt;=COUNTIF(Data_Monitoring!$A$2:$A$2920, Dashboard_Visual!$B$4), INDEX(Data_Monitoring!$Q$2:$Q$2920, MATCH(Dashboard_Visual!$B$4, Data_Monitoring!$A$2:$A$2920, 0) + 117 - 1), 0)</f>
        <v>0</v>
      </c>
      <c r="H118" t="str">
        <f>IF(117&lt;=COUNTIF(Data_Monitoring!$A$2:$A$2920, Dashboard_Visual!$B$4), INDEX(Data_Monitoring!$L$2:$L$2920, MATCH(Dashboard_Visual!$B$4, Data_Monitoring!$A$2:$A$2920, 0) + 117 - 1), "")</f>
        <v/>
      </c>
      <c r="I118" t="str">
        <f>IF(AND(117&lt;=$P$2, ISNUMBER(D118), OR(H118="Warning", H118="Overgrade")), TEXT(ABS(D118)/100, "0.00%"), "")</f>
        <v/>
      </c>
      <c r="J118" t="e">
        <f t="shared" si="1"/>
        <v>#N/A</v>
      </c>
      <c r="K118" t="e">
        <f>IF(AND(117&lt;=$P$2, H118="Warning"), C118, NA())</f>
        <v>#N/A</v>
      </c>
      <c r="L118" t="e">
        <f>IF(AND(117&lt;=$P$2, H118="Overgrade"), C118, NA())</f>
        <v>#N/A</v>
      </c>
      <c r="M118">
        <f>IF(117&lt;=COUNTIF(Data_Monitoring!$A$2:$A$2920, Dashboard_Visual!$B$4), INDEX(Data_Monitoring!$S$2:$S$2920, MATCH(Dashboard_Visual!$B$4, Data_Monitoring!$A$2:$A$2920, 0) + 117 - 1), 1)</f>
        <v>1</v>
      </c>
    </row>
    <row r="119" spans="1:13" x14ac:dyDescent="0.25">
      <c r="A119" t="str">
        <f>IF(118&lt;=COUNTIF(Data_Monitoring!$A$2:$A$2920, Dashboard_Visual!$B$4), INDEX(Data_Monitoring!$B$2:$B$2920, MATCH(Dashboard_Visual!$B$4, Data_Monitoring!$A$2:$A$2920, 0) + 118 - 1), "")</f>
        <v/>
      </c>
      <c r="B119" t="str">
        <f>IF(118&lt;=COUNTIF(Data_Monitoring!$A$2:$A$2920, Dashboard_Visual!$B$4), INDEX(Data_Monitoring!$C$2:$C$2920, MATCH(Dashboard_Visual!$B$4, Data_Monitoring!$A$2:$A$2920, 0) + 118 - 1), "")</f>
        <v/>
      </c>
      <c r="C119" t="e">
        <f>IF(118&lt;=COUNTIF(Data_Monitoring!$A$2:$A$2920, Dashboard_Visual!$B$4), INDEX(Data_Monitoring!$J$2:$J$2920, MATCH(Dashboard_Visual!$B$4, Data_Monitoring!$A$2:$A$2920, 0) + 118 - 1), NA())</f>
        <v>#N/A</v>
      </c>
      <c r="D119" t="e">
        <f>IF(118&lt;=COUNTIF(Data_Monitoring!$A$2:$A$2920, Dashboard_Visual!$B$4), INDEX(Data_Monitoring!$K$2:$K$2920, MATCH(Dashboard_Visual!$B$4, Data_Monitoring!$A$2:$A$2920, 0) + 118 - 1), NA())</f>
        <v>#N/A</v>
      </c>
      <c r="E119">
        <f>IF(118&lt;=COUNTIF(Data_Monitoring!$A$2:$A$2920, Dashboard_Visual!$B$4), INDEX(Data_Monitoring!$H$2:$H$2920, MATCH(Dashboard_Visual!$B$4, Data_Monitoring!$A$2:$A$2920, 0) + 118 - 1), 0)</f>
        <v>0</v>
      </c>
      <c r="F119">
        <f>IF(118&lt;=COUNTIF(Data_Monitoring!$A$2:$A$2920, Dashboard_Visual!$B$4), INDEX(Data_Monitoring!$O$2:$O$2920, MATCH(Dashboard_Visual!$B$4, Data_Monitoring!$A$2:$A$2920, 0) + 118 - 1), 0)</f>
        <v>0</v>
      </c>
      <c r="G119">
        <f>IF(118&lt;=COUNTIF(Data_Monitoring!$A$2:$A$2920, Dashboard_Visual!$B$4), INDEX(Data_Monitoring!$Q$2:$Q$2920, MATCH(Dashboard_Visual!$B$4, Data_Monitoring!$A$2:$A$2920, 0) + 118 - 1), 0)</f>
        <v>0</v>
      </c>
      <c r="H119" t="str">
        <f>IF(118&lt;=COUNTIF(Data_Monitoring!$A$2:$A$2920, Dashboard_Visual!$B$4), INDEX(Data_Monitoring!$L$2:$L$2920, MATCH(Dashboard_Visual!$B$4, Data_Monitoring!$A$2:$A$2920, 0) + 118 - 1), "")</f>
        <v/>
      </c>
      <c r="I119" t="str">
        <f>IF(AND(118&lt;=$P$2, ISNUMBER(D119), OR(H119="Warning", H119="Overgrade")), TEXT(ABS(D119)/100, "0.00%"), "")</f>
        <v/>
      </c>
      <c r="J119" t="e">
        <f t="shared" si="1"/>
        <v>#N/A</v>
      </c>
      <c r="K119" t="e">
        <f>IF(AND(118&lt;=$P$2, H119="Warning"), C119, NA())</f>
        <v>#N/A</v>
      </c>
      <c r="L119" t="e">
        <f>IF(AND(118&lt;=$P$2, H119="Overgrade"), C119, NA())</f>
        <v>#N/A</v>
      </c>
      <c r="M119">
        <f>IF(118&lt;=COUNTIF(Data_Monitoring!$A$2:$A$2920, Dashboard_Visual!$B$4), INDEX(Data_Monitoring!$S$2:$S$2920, MATCH(Dashboard_Visual!$B$4, Data_Monitoring!$A$2:$A$2920, 0) + 118 - 1), 1)</f>
        <v>1</v>
      </c>
    </row>
    <row r="120" spans="1:13" x14ac:dyDescent="0.25">
      <c r="A120" t="str">
        <f>IF(119&lt;=COUNTIF(Data_Monitoring!$A$2:$A$2920, Dashboard_Visual!$B$4), INDEX(Data_Monitoring!$B$2:$B$2920, MATCH(Dashboard_Visual!$B$4, Data_Monitoring!$A$2:$A$2920, 0) + 119 - 1), "")</f>
        <v/>
      </c>
      <c r="B120" t="str">
        <f>IF(119&lt;=COUNTIF(Data_Monitoring!$A$2:$A$2920, Dashboard_Visual!$B$4), INDEX(Data_Monitoring!$C$2:$C$2920, MATCH(Dashboard_Visual!$B$4, Data_Monitoring!$A$2:$A$2920, 0) + 119 - 1), "")</f>
        <v/>
      </c>
      <c r="C120" t="e">
        <f>IF(119&lt;=COUNTIF(Data_Monitoring!$A$2:$A$2920, Dashboard_Visual!$B$4), INDEX(Data_Monitoring!$J$2:$J$2920, MATCH(Dashboard_Visual!$B$4, Data_Monitoring!$A$2:$A$2920, 0) + 119 - 1), NA())</f>
        <v>#N/A</v>
      </c>
      <c r="D120" t="e">
        <f>IF(119&lt;=COUNTIF(Data_Monitoring!$A$2:$A$2920, Dashboard_Visual!$B$4), INDEX(Data_Monitoring!$K$2:$K$2920, MATCH(Dashboard_Visual!$B$4, Data_Monitoring!$A$2:$A$2920, 0) + 119 - 1), NA())</f>
        <v>#N/A</v>
      </c>
      <c r="E120">
        <f>IF(119&lt;=COUNTIF(Data_Monitoring!$A$2:$A$2920, Dashboard_Visual!$B$4), INDEX(Data_Monitoring!$H$2:$H$2920, MATCH(Dashboard_Visual!$B$4, Data_Monitoring!$A$2:$A$2920, 0) + 119 - 1), 0)</f>
        <v>0</v>
      </c>
      <c r="F120">
        <f>IF(119&lt;=COUNTIF(Data_Monitoring!$A$2:$A$2920, Dashboard_Visual!$B$4), INDEX(Data_Monitoring!$O$2:$O$2920, MATCH(Dashboard_Visual!$B$4, Data_Monitoring!$A$2:$A$2920, 0) + 119 - 1), 0)</f>
        <v>0</v>
      </c>
      <c r="G120">
        <f>IF(119&lt;=COUNTIF(Data_Monitoring!$A$2:$A$2920, Dashboard_Visual!$B$4), INDEX(Data_Monitoring!$Q$2:$Q$2920, MATCH(Dashboard_Visual!$B$4, Data_Monitoring!$A$2:$A$2920, 0) + 119 - 1), 0)</f>
        <v>0</v>
      </c>
      <c r="H120" t="str">
        <f>IF(119&lt;=COUNTIF(Data_Monitoring!$A$2:$A$2920, Dashboard_Visual!$B$4), INDEX(Data_Monitoring!$L$2:$L$2920, MATCH(Dashboard_Visual!$B$4, Data_Monitoring!$A$2:$A$2920, 0) + 119 - 1), "")</f>
        <v/>
      </c>
      <c r="I120" t="str">
        <f>IF(AND(119&lt;=$P$2, ISNUMBER(D120), OR(H120="Warning", H120="Overgrade")), TEXT(ABS(D120)/100, "0.00%"), "")</f>
        <v/>
      </c>
      <c r="J120" t="e">
        <f t="shared" si="1"/>
        <v>#N/A</v>
      </c>
      <c r="K120" t="e">
        <f>IF(AND(119&lt;=$P$2, H120="Warning"), C120, NA())</f>
        <v>#N/A</v>
      </c>
      <c r="L120" t="e">
        <f>IF(AND(119&lt;=$P$2, H120="Overgrade"), C120, NA())</f>
        <v>#N/A</v>
      </c>
      <c r="M120">
        <f>IF(119&lt;=COUNTIF(Data_Monitoring!$A$2:$A$2920, Dashboard_Visual!$B$4), INDEX(Data_Monitoring!$S$2:$S$2920, MATCH(Dashboard_Visual!$B$4, Data_Monitoring!$A$2:$A$2920, 0) + 119 - 1), 1)</f>
        <v>1</v>
      </c>
    </row>
    <row r="121" spans="1:13" x14ac:dyDescent="0.25">
      <c r="A121" t="str">
        <f>IF(120&lt;=COUNTIF(Data_Monitoring!$A$2:$A$2920, Dashboard_Visual!$B$4), INDEX(Data_Monitoring!$B$2:$B$2920, MATCH(Dashboard_Visual!$B$4, Data_Monitoring!$A$2:$A$2920, 0) + 120 - 1), "")</f>
        <v/>
      </c>
      <c r="B121" t="str">
        <f>IF(120&lt;=COUNTIF(Data_Monitoring!$A$2:$A$2920, Dashboard_Visual!$B$4), INDEX(Data_Monitoring!$C$2:$C$2920, MATCH(Dashboard_Visual!$B$4, Data_Monitoring!$A$2:$A$2920, 0) + 120 - 1), "")</f>
        <v/>
      </c>
      <c r="C121" t="e">
        <f>IF(120&lt;=COUNTIF(Data_Monitoring!$A$2:$A$2920, Dashboard_Visual!$B$4), INDEX(Data_Monitoring!$J$2:$J$2920, MATCH(Dashboard_Visual!$B$4, Data_Monitoring!$A$2:$A$2920, 0) + 120 - 1), NA())</f>
        <v>#N/A</v>
      </c>
      <c r="D121" t="e">
        <f>IF(120&lt;=COUNTIF(Data_Monitoring!$A$2:$A$2920, Dashboard_Visual!$B$4), INDEX(Data_Monitoring!$K$2:$K$2920, MATCH(Dashboard_Visual!$B$4, Data_Monitoring!$A$2:$A$2920, 0) + 120 - 1), NA())</f>
        <v>#N/A</v>
      </c>
      <c r="E121">
        <f>IF(120&lt;=COUNTIF(Data_Monitoring!$A$2:$A$2920, Dashboard_Visual!$B$4), INDEX(Data_Monitoring!$H$2:$H$2920, MATCH(Dashboard_Visual!$B$4, Data_Monitoring!$A$2:$A$2920, 0) + 120 - 1), 0)</f>
        <v>0</v>
      </c>
      <c r="F121">
        <f>IF(120&lt;=COUNTIF(Data_Monitoring!$A$2:$A$2920, Dashboard_Visual!$B$4), INDEX(Data_Monitoring!$O$2:$O$2920, MATCH(Dashboard_Visual!$B$4, Data_Monitoring!$A$2:$A$2920, 0) + 120 - 1), 0)</f>
        <v>0</v>
      </c>
      <c r="G121">
        <f>IF(120&lt;=COUNTIF(Data_Monitoring!$A$2:$A$2920, Dashboard_Visual!$B$4), INDEX(Data_Monitoring!$Q$2:$Q$2920, MATCH(Dashboard_Visual!$B$4, Data_Monitoring!$A$2:$A$2920, 0) + 120 - 1), 0)</f>
        <v>0</v>
      </c>
      <c r="H121" t="str">
        <f>IF(120&lt;=COUNTIF(Data_Monitoring!$A$2:$A$2920, Dashboard_Visual!$B$4), INDEX(Data_Monitoring!$L$2:$L$2920, MATCH(Dashboard_Visual!$B$4, Data_Monitoring!$A$2:$A$2920, 0) + 120 - 1), "")</f>
        <v/>
      </c>
      <c r="I121" t="str">
        <f>IF(AND(120&lt;=$P$2, ISNUMBER(D121), OR(H121="Warning", H121="Overgrade")), TEXT(ABS(D121)/100, "0.00%"), "")</f>
        <v/>
      </c>
      <c r="J121" t="e">
        <f t="shared" si="1"/>
        <v>#N/A</v>
      </c>
      <c r="K121" t="e">
        <f>IF(AND(120&lt;=$P$2, H121="Warning"), C121, NA())</f>
        <v>#N/A</v>
      </c>
      <c r="L121" t="e">
        <f>IF(AND(120&lt;=$P$2, H121="Overgrade"), C121, NA())</f>
        <v>#N/A</v>
      </c>
      <c r="M121">
        <f>IF(120&lt;=COUNTIF(Data_Monitoring!$A$2:$A$2920, Dashboard_Visual!$B$4), INDEX(Data_Monitoring!$S$2:$S$2920, MATCH(Dashboard_Visual!$B$4, Data_Monitoring!$A$2:$A$2920, 0) + 120 - 1), 1)</f>
        <v>1</v>
      </c>
    </row>
    <row r="122" spans="1:13" x14ac:dyDescent="0.25">
      <c r="A122" t="str">
        <f>IF(121&lt;=COUNTIF(Data_Monitoring!$A$2:$A$2920, Dashboard_Visual!$B$4), INDEX(Data_Monitoring!$B$2:$B$2920, MATCH(Dashboard_Visual!$B$4, Data_Monitoring!$A$2:$A$2920, 0) + 121 - 1), "")</f>
        <v/>
      </c>
      <c r="B122" t="str">
        <f>IF(121&lt;=COUNTIF(Data_Monitoring!$A$2:$A$2920, Dashboard_Visual!$B$4), INDEX(Data_Monitoring!$C$2:$C$2920, MATCH(Dashboard_Visual!$B$4, Data_Monitoring!$A$2:$A$2920, 0) + 121 - 1), "")</f>
        <v/>
      </c>
      <c r="C122" t="e">
        <f>IF(121&lt;=COUNTIF(Data_Monitoring!$A$2:$A$2920, Dashboard_Visual!$B$4), INDEX(Data_Monitoring!$J$2:$J$2920, MATCH(Dashboard_Visual!$B$4, Data_Monitoring!$A$2:$A$2920, 0) + 121 - 1), NA())</f>
        <v>#N/A</v>
      </c>
      <c r="D122" t="e">
        <f>IF(121&lt;=COUNTIF(Data_Monitoring!$A$2:$A$2920, Dashboard_Visual!$B$4), INDEX(Data_Monitoring!$K$2:$K$2920, MATCH(Dashboard_Visual!$B$4, Data_Monitoring!$A$2:$A$2920, 0) + 121 - 1), NA())</f>
        <v>#N/A</v>
      </c>
      <c r="E122">
        <f>IF(121&lt;=COUNTIF(Data_Monitoring!$A$2:$A$2920, Dashboard_Visual!$B$4), INDEX(Data_Monitoring!$H$2:$H$2920, MATCH(Dashboard_Visual!$B$4, Data_Monitoring!$A$2:$A$2920, 0) + 121 - 1), 0)</f>
        <v>0</v>
      </c>
      <c r="F122">
        <f>IF(121&lt;=COUNTIF(Data_Monitoring!$A$2:$A$2920, Dashboard_Visual!$B$4), INDEX(Data_Monitoring!$O$2:$O$2920, MATCH(Dashboard_Visual!$B$4, Data_Monitoring!$A$2:$A$2920, 0) + 121 - 1), 0)</f>
        <v>0</v>
      </c>
      <c r="G122">
        <f>IF(121&lt;=COUNTIF(Data_Monitoring!$A$2:$A$2920, Dashboard_Visual!$B$4), INDEX(Data_Monitoring!$Q$2:$Q$2920, MATCH(Dashboard_Visual!$B$4, Data_Monitoring!$A$2:$A$2920, 0) + 121 - 1), 0)</f>
        <v>0</v>
      </c>
      <c r="H122" t="str">
        <f>IF(121&lt;=COUNTIF(Data_Monitoring!$A$2:$A$2920, Dashboard_Visual!$B$4), INDEX(Data_Monitoring!$L$2:$L$2920, MATCH(Dashboard_Visual!$B$4, Data_Monitoring!$A$2:$A$2920, 0) + 121 - 1), "")</f>
        <v/>
      </c>
      <c r="I122" t="str">
        <f>IF(AND(121&lt;=$P$2, ISNUMBER(D122), OR(H122="Warning", H122="Overgrade")), TEXT(ABS(D122)/100, "0.00%"), "")</f>
        <v/>
      </c>
      <c r="J122" t="e">
        <f t="shared" si="1"/>
        <v>#N/A</v>
      </c>
      <c r="K122" t="e">
        <f>IF(AND(121&lt;=$P$2, H122="Warning"), C122, NA())</f>
        <v>#N/A</v>
      </c>
      <c r="L122" t="e">
        <f>IF(AND(121&lt;=$P$2, H122="Overgrade"), C122, NA())</f>
        <v>#N/A</v>
      </c>
      <c r="M122">
        <f>IF(121&lt;=COUNTIF(Data_Monitoring!$A$2:$A$2920, Dashboard_Visual!$B$4), INDEX(Data_Monitoring!$S$2:$S$2920, MATCH(Dashboard_Visual!$B$4, Data_Monitoring!$A$2:$A$2920, 0) + 121 - 1), 1)</f>
        <v>1</v>
      </c>
    </row>
    <row r="123" spans="1:13" x14ac:dyDescent="0.25">
      <c r="A123" t="str">
        <f>IF(122&lt;=COUNTIF(Data_Monitoring!$A$2:$A$2920, Dashboard_Visual!$B$4), INDEX(Data_Monitoring!$B$2:$B$2920, MATCH(Dashboard_Visual!$B$4, Data_Monitoring!$A$2:$A$2920, 0) + 122 - 1), "")</f>
        <v/>
      </c>
      <c r="B123" t="str">
        <f>IF(122&lt;=COUNTIF(Data_Monitoring!$A$2:$A$2920, Dashboard_Visual!$B$4), INDEX(Data_Monitoring!$C$2:$C$2920, MATCH(Dashboard_Visual!$B$4, Data_Monitoring!$A$2:$A$2920, 0) + 122 - 1), "")</f>
        <v/>
      </c>
      <c r="C123" t="e">
        <f>IF(122&lt;=COUNTIF(Data_Monitoring!$A$2:$A$2920, Dashboard_Visual!$B$4), INDEX(Data_Monitoring!$J$2:$J$2920, MATCH(Dashboard_Visual!$B$4, Data_Monitoring!$A$2:$A$2920, 0) + 122 - 1), NA())</f>
        <v>#N/A</v>
      </c>
      <c r="D123" t="e">
        <f>IF(122&lt;=COUNTIF(Data_Monitoring!$A$2:$A$2920, Dashboard_Visual!$B$4), INDEX(Data_Monitoring!$K$2:$K$2920, MATCH(Dashboard_Visual!$B$4, Data_Monitoring!$A$2:$A$2920, 0) + 122 - 1), NA())</f>
        <v>#N/A</v>
      </c>
      <c r="E123">
        <f>IF(122&lt;=COUNTIF(Data_Monitoring!$A$2:$A$2920, Dashboard_Visual!$B$4), INDEX(Data_Monitoring!$H$2:$H$2920, MATCH(Dashboard_Visual!$B$4, Data_Monitoring!$A$2:$A$2920, 0) + 122 - 1), 0)</f>
        <v>0</v>
      </c>
      <c r="F123">
        <f>IF(122&lt;=COUNTIF(Data_Monitoring!$A$2:$A$2920, Dashboard_Visual!$B$4), INDEX(Data_Monitoring!$O$2:$O$2920, MATCH(Dashboard_Visual!$B$4, Data_Monitoring!$A$2:$A$2920, 0) + 122 - 1), 0)</f>
        <v>0</v>
      </c>
      <c r="G123">
        <f>IF(122&lt;=COUNTIF(Data_Monitoring!$A$2:$A$2920, Dashboard_Visual!$B$4), INDEX(Data_Monitoring!$Q$2:$Q$2920, MATCH(Dashboard_Visual!$B$4, Data_Monitoring!$A$2:$A$2920, 0) + 122 - 1), 0)</f>
        <v>0</v>
      </c>
      <c r="H123" t="str">
        <f>IF(122&lt;=COUNTIF(Data_Monitoring!$A$2:$A$2920, Dashboard_Visual!$B$4), INDEX(Data_Monitoring!$L$2:$L$2920, MATCH(Dashboard_Visual!$B$4, Data_Monitoring!$A$2:$A$2920, 0) + 122 - 1), "")</f>
        <v/>
      </c>
      <c r="I123" t="str">
        <f>IF(AND(122&lt;=$P$2, ISNUMBER(D123), OR(H123="Warning", H123="Overgrade")), TEXT(ABS(D123)/100, "0.00%"), "")</f>
        <v/>
      </c>
      <c r="J123" t="e">
        <f t="shared" si="1"/>
        <v>#N/A</v>
      </c>
      <c r="K123" t="e">
        <f>IF(AND(122&lt;=$P$2, H123="Warning"), C123, NA())</f>
        <v>#N/A</v>
      </c>
      <c r="L123" t="e">
        <f>IF(AND(122&lt;=$P$2, H123="Overgrade"), C123, NA())</f>
        <v>#N/A</v>
      </c>
      <c r="M123">
        <f>IF(122&lt;=COUNTIF(Data_Monitoring!$A$2:$A$2920, Dashboard_Visual!$B$4), INDEX(Data_Monitoring!$S$2:$S$2920, MATCH(Dashboard_Visual!$B$4, Data_Monitoring!$A$2:$A$2920, 0) + 122 - 1), 1)</f>
        <v>1</v>
      </c>
    </row>
    <row r="124" spans="1:13" x14ac:dyDescent="0.25">
      <c r="A124" t="str">
        <f>IF(123&lt;=COUNTIF(Data_Monitoring!$A$2:$A$2920, Dashboard_Visual!$B$4), INDEX(Data_Monitoring!$B$2:$B$2920, MATCH(Dashboard_Visual!$B$4, Data_Monitoring!$A$2:$A$2920, 0) + 123 - 1), "")</f>
        <v/>
      </c>
      <c r="B124" t="str">
        <f>IF(123&lt;=COUNTIF(Data_Monitoring!$A$2:$A$2920, Dashboard_Visual!$B$4), INDEX(Data_Monitoring!$C$2:$C$2920, MATCH(Dashboard_Visual!$B$4, Data_Monitoring!$A$2:$A$2920, 0) + 123 - 1), "")</f>
        <v/>
      </c>
      <c r="C124" t="e">
        <f>IF(123&lt;=COUNTIF(Data_Monitoring!$A$2:$A$2920, Dashboard_Visual!$B$4), INDEX(Data_Monitoring!$J$2:$J$2920, MATCH(Dashboard_Visual!$B$4, Data_Monitoring!$A$2:$A$2920, 0) + 123 - 1), NA())</f>
        <v>#N/A</v>
      </c>
      <c r="D124" t="e">
        <f>IF(123&lt;=COUNTIF(Data_Monitoring!$A$2:$A$2920, Dashboard_Visual!$B$4), INDEX(Data_Monitoring!$K$2:$K$2920, MATCH(Dashboard_Visual!$B$4, Data_Monitoring!$A$2:$A$2920, 0) + 123 - 1), NA())</f>
        <v>#N/A</v>
      </c>
      <c r="E124">
        <f>IF(123&lt;=COUNTIF(Data_Monitoring!$A$2:$A$2920, Dashboard_Visual!$B$4), INDEX(Data_Monitoring!$H$2:$H$2920, MATCH(Dashboard_Visual!$B$4, Data_Monitoring!$A$2:$A$2920, 0) + 123 - 1), 0)</f>
        <v>0</v>
      </c>
      <c r="F124">
        <f>IF(123&lt;=COUNTIF(Data_Monitoring!$A$2:$A$2920, Dashboard_Visual!$B$4), INDEX(Data_Monitoring!$O$2:$O$2920, MATCH(Dashboard_Visual!$B$4, Data_Monitoring!$A$2:$A$2920, 0) + 123 - 1), 0)</f>
        <v>0</v>
      </c>
      <c r="G124">
        <f>IF(123&lt;=COUNTIF(Data_Monitoring!$A$2:$A$2920, Dashboard_Visual!$B$4), INDEX(Data_Monitoring!$Q$2:$Q$2920, MATCH(Dashboard_Visual!$B$4, Data_Monitoring!$A$2:$A$2920, 0) + 123 - 1), 0)</f>
        <v>0</v>
      </c>
      <c r="H124" t="str">
        <f>IF(123&lt;=COUNTIF(Data_Monitoring!$A$2:$A$2920, Dashboard_Visual!$B$4), INDEX(Data_Monitoring!$L$2:$L$2920, MATCH(Dashboard_Visual!$B$4, Data_Monitoring!$A$2:$A$2920, 0) + 123 - 1), "")</f>
        <v/>
      </c>
      <c r="I124" t="str">
        <f>IF(AND(123&lt;=$P$2, ISNUMBER(D124), OR(H124="Warning", H124="Overgrade")), TEXT(ABS(D124)/100, "0.00%"), "")</f>
        <v/>
      </c>
      <c r="J124" t="e">
        <f t="shared" si="1"/>
        <v>#N/A</v>
      </c>
      <c r="K124" t="e">
        <f>IF(AND(123&lt;=$P$2, H124="Warning"), C124, NA())</f>
        <v>#N/A</v>
      </c>
      <c r="L124" t="e">
        <f>IF(AND(123&lt;=$P$2, H124="Overgrade"), C124, NA())</f>
        <v>#N/A</v>
      </c>
      <c r="M124">
        <f>IF(123&lt;=COUNTIF(Data_Monitoring!$A$2:$A$2920, Dashboard_Visual!$B$4), INDEX(Data_Monitoring!$S$2:$S$2920, MATCH(Dashboard_Visual!$B$4, Data_Monitoring!$A$2:$A$2920, 0) + 123 - 1), 1)</f>
        <v>1</v>
      </c>
    </row>
    <row r="125" spans="1:13" x14ac:dyDescent="0.25">
      <c r="A125" t="str">
        <f>IF(124&lt;=COUNTIF(Data_Monitoring!$A$2:$A$2920, Dashboard_Visual!$B$4), INDEX(Data_Monitoring!$B$2:$B$2920, MATCH(Dashboard_Visual!$B$4, Data_Monitoring!$A$2:$A$2920, 0) + 124 - 1), "")</f>
        <v/>
      </c>
      <c r="B125" t="str">
        <f>IF(124&lt;=COUNTIF(Data_Monitoring!$A$2:$A$2920, Dashboard_Visual!$B$4), INDEX(Data_Monitoring!$C$2:$C$2920, MATCH(Dashboard_Visual!$B$4, Data_Monitoring!$A$2:$A$2920, 0) + 124 - 1), "")</f>
        <v/>
      </c>
      <c r="C125" t="e">
        <f>IF(124&lt;=COUNTIF(Data_Monitoring!$A$2:$A$2920, Dashboard_Visual!$B$4), INDEX(Data_Monitoring!$J$2:$J$2920, MATCH(Dashboard_Visual!$B$4, Data_Monitoring!$A$2:$A$2920, 0) + 124 - 1), NA())</f>
        <v>#N/A</v>
      </c>
      <c r="D125" t="e">
        <f>IF(124&lt;=COUNTIF(Data_Monitoring!$A$2:$A$2920, Dashboard_Visual!$B$4), INDEX(Data_Monitoring!$K$2:$K$2920, MATCH(Dashboard_Visual!$B$4, Data_Monitoring!$A$2:$A$2920, 0) + 124 - 1), NA())</f>
        <v>#N/A</v>
      </c>
      <c r="E125">
        <f>IF(124&lt;=COUNTIF(Data_Monitoring!$A$2:$A$2920, Dashboard_Visual!$B$4), INDEX(Data_Monitoring!$H$2:$H$2920, MATCH(Dashboard_Visual!$B$4, Data_Monitoring!$A$2:$A$2920, 0) + 124 - 1), 0)</f>
        <v>0</v>
      </c>
      <c r="F125">
        <f>IF(124&lt;=COUNTIF(Data_Monitoring!$A$2:$A$2920, Dashboard_Visual!$B$4), INDEX(Data_Monitoring!$O$2:$O$2920, MATCH(Dashboard_Visual!$B$4, Data_Monitoring!$A$2:$A$2920, 0) + 124 - 1), 0)</f>
        <v>0</v>
      </c>
      <c r="G125">
        <f>IF(124&lt;=COUNTIF(Data_Monitoring!$A$2:$A$2920, Dashboard_Visual!$B$4), INDEX(Data_Monitoring!$Q$2:$Q$2920, MATCH(Dashboard_Visual!$B$4, Data_Monitoring!$A$2:$A$2920, 0) + 124 - 1), 0)</f>
        <v>0</v>
      </c>
      <c r="H125" t="str">
        <f>IF(124&lt;=COUNTIF(Data_Monitoring!$A$2:$A$2920, Dashboard_Visual!$B$4), INDEX(Data_Monitoring!$L$2:$L$2920, MATCH(Dashboard_Visual!$B$4, Data_Monitoring!$A$2:$A$2920, 0) + 124 - 1), "")</f>
        <v/>
      </c>
      <c r="I125" t="str">
        <f>IF(AND(124&lt;=$P$2, ISNUMBER(D125), OR(H125="Warning", H125="Overgrade")), TEXT(ABS(D125)/100, "0.00%"), "")</f>
        <v/>
      </c>
      <c r="J125" t="e">
        <f t="shared" si="1"/>
        <v>#N/A</v>
      </c>
      <c r="K125" t="e">
        <f>IF(AND(124&lt;=$P$2, H125="Warning"), C125, NA())</f>
        <v>#N/A</v>
      </c>
      <c r="L125" t="e">
        <f>IF(AND(124&lt;=$P$2, H125="Overgrade"), C125, NA())</f>
        <v>#N/A</v>
      </c>
      <c r="M125">
        <f>IF(124&lt;=COUNTIF(Data_Monitoring!$A$2:$A$2920, Dashboard_Visual!$B$4), INDEX(Data_Monitoring!$S$2:$S$2920, MATCH(Dashboard_Visual!$B$4, Data_Monitoring!$A$2:$A$2920, 0) + 124 - 1), 1)</f>
        <v>1</v>
      </c>
    </row>
    <row r="126" spans="1:13" x14ac:dyDescent="0.25">
      <c r="A126" t="str">
        <f>IF(125&lt;=COUNTIF(Data_Monitoring!$A$2:$A$2920, Dashboard_Visual!$B$4), INDEX(Data_Monitoring!$B$2:$B$2920, MATCH(Dashboard_Visual!$B$4, Data_Monitoring!$A$2:$A$2920, 0) + 125 - 1), "")</f>
        <v/>
      </c>
      <c r="B126" t="str">
        <f>IF(125&lt;=COUNTIF(Data_Monitoring!$A$2:$A$2920, Dashboard_Visual!$B$4), INDEX(Data_Monitoring!$C$2:$C$2920, MATCH(Dashboard_Visual!$B$4, Data_Monitoring!$A$2:$A$2920, 0) + 125 - 1), "")</f>
        <v/>
      </c>
      <c r="C126" t="e">
        <f>IF(125&lt;=COUNTIF(Data_Monitoring!$A$2:$A$2920, Dashboard_Visual!$B$4), INDEX(Data_Monitoring!$J$2:$J$2920, MATCH(Dashboard_Visual!$B$4, Data_Monitoring!$A$2:$A$2920, 0) + 125 - 1), NA())</f>
        <v>#N/A</v>
      </c>
      <c r="D126" t="e">
        <f>IF(125&lt;=COUNTIF(Data_Monitoring!$A$2:$A$2920, Dashboard_Visual!$B$4), INDEX(Data_Monitoring!$K$2:$K$2920, MATCH(Dashboard_Visual!$B$4, Data_Monitoring!$A$2:$A$2920, 0) + 125 - 1), NA())</f>
        <v>#N/A</v>
      </c>
      <c r="E126">
        <f>IF(125&lt;=COUNTIF(Data_Monitoring!$A$2:$A$2920, Dashboard_Visual!$B$4), INDEX(Data_Monitoring!$H$2:$H$2920, MATCH(Dashboard_Visual!$B$4, Data_Monitoring!$A$2:$A$2920, 0) + 125 - 1), 0)</f>
        <v>0</v>
      </c>
      <c r="F126">
        <f>IF(125&lt;=COUNTIF(Data_Monitoring!$A$2:$A$2920, Dashboard_Visual!$B$4), INDEX(Data_Monitoring!$O$2:$O$2920, MATCH(Dashboard_Visual!$B$4, Data_Monitoring!$A$2:$A$2920, 0) + 125 - 1), 0)</f>
        <v>0</v>
      </c>
      <c r="G126">
        <f>IF(125&lt;=COUNTIF(Data_Monitoring!$A$2:$A$2920, Dashboard_Visual!$B$4), INDEX(Data_Monitoring!$Q$2:$Q$2920, MATCH(Dashboard_Visual!$B$4, Data_Monitoring!$A$2:$A$2920, 0) + 125 - 1), 0)</f>
        <v>0</v>
      </c>
      <c r="H126" t="str">
        <f>IF(125&lt;=COUNTIF(Data_Monitoring!$A$2:$A$2920, Dashboard_Visual!$B$4), INDEX(Data_Monitoring!$L$2:$L$2920, MATCH(Dashboard_Visual!$B$4, Data_Monitoring!$A$2:$A$2920, 0) + 125 - 1), "")</f>
        <v/>
      </c>
      <c r="I126" t="str">
        <f>IF(AND(125&lt;=$P$2, ISNUMBER(D126), OR(H126="Warning", H126="Overgrade")), TEXT(ABS(D126)/100, "0.00%"), "")</f>
        <v/>
      </c>
      <c r="J126" t="e">
        <f t="shared" si="1"/>
        <v>#N/A</v>
      </c>
      <c r="K126" t="e">
        <f>IF(AND(125&lt;=$P$2, H126="Warning"), C126, NA())</f>
        <v>#N/A</v>
      </c>
      <c r="L126" t="e">
        <f>IF(AND(125&lt;=$P$2, H126="Overgrade"), C126, NA())</f>
        <v>#N/A</v>
      </c>
      <c r="M126">
        <f>IF(125&lt;=COUNTIF(Data_Monitoring!$A$2:$A$2920, Dashboard_Visual!$B$4), INDEX(Data_Monitoring!$S$2:$S$2920, MATCH(Dashboard_Visual!$B$4, Data_Monitoring!$A$2:$A$2920, 0) + 125 - 1), 1)</f>
        <v>1</v>
      </c>
    </row>
    <row r="127" spans="1:13" x14ac:dyDescent="0.25">
      <c r="A127" t="str">
        <f>IF(126&lt;=COUNTIF(Data_Monitoring!$A$2:$A$2920, Dashboard_Visual!$B$4), INDEX(Data_Monitoring!$B$2:$B$2920, MATCH(Dashboard_Visual!$B$4, Data_Monitoring!$A$2:$A$2920, 0) + 126 - 1), "")</f>
        <v/>
      </c>
      <c r="B127" t="str">
        <f>IF(126&lt;=COUNTIF(Data_Monitoring!$A$2:$A$2920, Dashboard_Visual!$B$4), INDEX(Data_Monitoring!$C$2:$C$2920, MATCH(Dashboard_Visual!$B$4, Data_Monitoring!$A$2:$A$2920, 0) + 126 - 1), "")</f>
        <v/>
      </c>
      <c r="C127" t="e">
        <f>IF(126&lt;=COUNTIF(Data_Monitoring!$A$2:$A$2920, Dashboard_Visual!$B$4), INDEX(Data_Monitoring!$J$2:$J$2920, MATCH(Dashboard_Visual!$B$4, Data_Monitoring!$A$2:$A$2920, 0) + 126 - 1), NA())</f>
        <v>#N/A</v>
      </c>
      <c r="D127" t="e">
        <f>IF(126&lt;=COUNTIF(Data_Monitoring!$A$2:$A$2920, Dashboard_Visual!$B$4), INDEX(Data_Monitoring!$K$2:$K$2920, MATCH(Dashboard_Visual!$B$4, Data_Monitoring!$A$2:$A$2920, 0) + 126 - 1), NA())</f>
        <v>#N/A</v>
      </c>
      <c r="E127">
        <f>IF(126&lt;=COUNTIF(Data_Monitoring!$A$2:$A$2920, Dashboard_Visual!$B$4), INDEX(Data_Monitoring!$H$2:$H$2920, MATCH(Dashboard_Visual!$B$4, Data_Monitoring!$A$2:$A$2920, 0) + 126 - 1), 0)</f>
        <v>0</v>
      </c>
      <c r="F127">
        <f>IF(126&lt;=COUNTIF(Data_Monitoring!$A$2:$A$2920, Dashboard_Visual!$B$4), INDEX(Data_Monitoring!$O$2:$O$2920, MATCH(Dashboard_Visual!$B$4, Data_Monitoring!$A$2:$A$2920, 0) + 126 - 1), 0)</f>
        <v>0</v>
      </c>
      <c r="G127">
        <f>IF(126&lt;=COUNTIF(Data_Monitoring!$A$2:$A$2920, Dashboard_Visual!$B$4), INDEX(Data_Monitoring!$Q$2:$Q$2920, MATCH(Dashboard_Visual!$B$4, Data_Monitoring!$A$2:$A$2920, 0) + 126 - 1), 0)</f>
        <v>0</v>
      </c>
      <c r="H127" t="str">
        <f>IF(126&lt;=COUNTIF(Data_Monitoring!$A$2:$A$2920, Dashboard_Visual!$B$4), INDEX(Data_Monitoring!$L$2:$L$2920, MATCH(Dashboard_Visual!$B$4, Data_Monitoring!$A$2:$A$2920, 0) + 126 - 1), "")</f>
        <v/>
      </c>
      <c r="I127" t="str">
        <f>IF(AND(126&lt;=$P$2, ISNUMBER(D127), OR(H127="Warning", H127="Overgrade")), TEXT(ABS(D127)/100, "0.00%"), "")</f>
        <v/>
      </c>
      <c r="J127" t="e">
        <f t="shared" si="1"/>
        <v>#N/A</v>
      </c>
      <c r="K127" t="e">
        <f>IF(AND(126&lt;=$P$2, H127="Warning"), C127, NA())</f>
        <v>#N/A</v>
      </c>
      <c r="L127" t="e">
        <f>IF(AND(126&lt;=$P$2, H127="Overgrade"), C127, NA())</f>
        <v>#N/A</v>
      </c>
      <c r="M127">
        <f>IF(126&lt;=COUNTIF(Data_Monitoring!$A$2:$A$2920, Dashboard_Visual!$B$4), INDEX(Data_Monitoring!$S$2:$S$2920, MATCH(Dashboard_Visual!$B$4, Data_Monitoring!$A$2:$A$2920, 0) + 126 - 1), 1)</f>
        <v>1</v>
      </c>
    </row>
    <row r="128" spans="1:13" x14ac:dyDescent="0.25">
      <c r="A128" t="str">
        <f>IF(127&lt;=COUNTIF(Data_Monitoring!$A$2:$A$2920, Dashboard_Visual!$B$4), INDEX(Data_Monitoring!$B$2:$B$2920, MATCH(Dashboard_Visual!$B$4, Data_Monitoring!$A$2:$A$2920, 0) + 127 - 1), "")</f>
        <v/>
      </c>
      <c r="B128" t="str">
        <f>IF(127&lt;=COUNTIF(Data_Monitoring!$A$2:$A$2920, Dashboard_Visual!$B$4), INDEX(Data_Monitoring!$C$2:$C$2920, MATCH(Dashboard_Visual!$B$4, Data_Monitoring!$A$2:$A$2920, 0) + 127 - 1), "")</f>
        <v/>
      </c>
      <c r="C128" t="e">
        <f>IF(127&lt;=COUNTIF(Data_Monitoring!$A$2:$A$2920, Dashboard_Visual!$B$4), INDEX(Data_Monitoring!$J$2:$J$2920, MATCH(Dashboard_Visual!$B$4, Data_Monitoring!$A$2:$A$2920, 0) + 127 - 1), NA())</f>
        <v>#N/A</v>
      </c>
      <c r="D128" t="e">
        <f>IF(127&lt;=COUNTIF(Data_Monitoring!$A$2:$A$2920, Dashboard_Visual!$B$4), INDEX(Data_Monitoring!$K$2:$K$2920, MATCH(Dashboard_Visual!$B$4, Data_Monitoring!$A$2:$A$2920, 0) + 127 - 1), NA())</f>
        <v>#N/A</v>
      </c>
      <c r="E128">
        <f>IF(127&lt;=COUNTIF(Data_Monitoring!$A$2:$A$2920, Dashboard_Visual!$B$4), INDEX(Data_Monitoring!$H$2:$H$2920, MATCH(Dashboard_Visual!$B$4, Data_Monitoring!$A$2:$A$2920, 0) + 127 - 1), 0)</f>
        <v>0</v>
      </c>
      <c r="F128">
        <f>IF(127&lt;=COUNTIF(Data_Monitoring!$A$2:$A$2920, Dashboard_Visual!$B$4), INDEX(Data_Monitoring!$O$2:$O$2920, MATCH(Dashboard_Visual!$B$4, Data_Monitoring!$A$2:$A$2920, 0) + 127 - 1), 0)</f>
        <v>0</v>
      </c>
      <c r="G128">
        <f>IF(127&lt;=COUNTIF(Data_Monitoring!$A$2:$A$2920, Dashboard_Visual!$B$4), INDEX(Data_Monitoring!$Q$2:$Q$2920, MATCH(Dashboard_Visual!$B$4, Data_Monitoring!$A$2:$A$2920, 0) + 127 - 1), 0)</f>
        <v>0</v>
      </c>
      <c r="H128" t="str">
        <f>IF(127&lt;=COUNTIF(Data_Monitoring!$A$2:$A$2920, Dashboard_Visual!$B$4), INDEX(Data_Monitoring!$L$2:$L$2920, MATCH(Dashboard_Visual!$B$4, Data_Monitoring!$A$2:$A$2920, 0) + 127 - 1), "")</f>
        <v/>
      </c>
      <c r="I128" t="str">
        <f>IF(AND(127&lt;=$P$2, ISNUMBER(D128), OR(H128="Warning", H128="Overgrade")), TEXT(ABS(D128)/100, "0.00%"), "")</f>
        <v/>
      </c>
      <c r="J128" t="e">
        <f t="shared" si="1"/>
        <v>#N/A</v>
      </c>
      <c r="K128" t="e">
        <f>IF(AND(127&lt;=$P$2, H128="Warning"), C128, NA())</f>
        <v>#N/A</v>
      </c>
      <c r="L128" t="e">
        <f>IF(AND(127&lt;=$P$2, H128="Overgrade"), C128, NA())</f>
        <v>#N/A</v>
      </c>
      <c r="M128">
        <f>IF(127&lt;=COUNTIF(Data_Monitoring!$A$2:$A$2920, Dashboard_Visual!$B$4), INDEX(Data_Monitoring!$S$2:$S$2920, MATCH(Dashboard_Visual!$B$4, Data_Monitoring!$A$2:$A$2920, 0) + 127 - 1), 1)</f>
        <v>1</v>
      </c>
    </row>
    <row r="129" spans="1:13" x14ac:dyDescent="0.25">
      <c r="A129" t="str">
        <f>IF(128&lt;=COUNTIF(Data_Monitoring!$A$2:$A$2920, Dashboard_Visual!$B$4), INDEX(Data_Monitoring!$B$2:$B$2920, MATCH(Dashboard_Visual!$B$4, Data_Monitoring!$A$2:$A$2920, 0) + 128 - 1), "")</f>
        <v/>
      </c>
      <c r="B129" t="str">
        <f>IF(128&lt;=COUNTIF(Data_Monitoring!$A$2:$A$2920, Dashboard_Visual!$B$4), INDEX(Data_Monitoring!$C$2:$C$2920, MATCH(Dashboard_Visual!$B$4, Data_Monitoring!$A$2:$A$2920, 0) + 128 - 1), "")</f>
        <v/>
      </c>
      <c r="C129" t="e">
        <f>IF(128&lt;=COUNTIF(Data_Monitoring!$A$2:$A$2920, Dashboard_Visual!$B$4), INDEX(Data_Monitoring!$J$2:$J$2920, MATCH(Dashboard_Visual!$B$4, Data_Monitoring!$A$2:$A$2920, 0) + 128 - 1), NA())</f>
        <v>#N/A</v>
      </c>
      <c r="D129" t="e">
        <f>IF(128&lt;=COUNTIF(Data_Monitoring!$A$2:$A$2920, Dashboard_Visual!$B$4), INDEX(Data_Monitoring!$K$2:$K$2920, MATCH(Dashboard_Visual!$B$4, Data_Monitoring!$A$2:$A$2920, 0) + 128 - 1), NA())</f>
        <v>#N/A</v>
      </c>
      <c r="E129">
        <f>IF(128&lt;=COUNTIF(Data_Monitoring!$A$2:$A$2920, Dashboard_Visual!$B$4), INDEX(Data_Monitoring!$H$2:$H$2920, MATCH(Dashboard_Visual!$B$4, Data_Monitoring!$A$2:$A$2920, 0) + 128 - 1), 0)</f>
        <v>0</v>
      </c>
      <c r="F129">
        <f>IF(128&lt;=COUNTIF(Data_Monitoring!$A$2:$A$2920, Dashboard_Visual!$B$4), INDEX(Data_Monitoring!$O$2:$O$2920, MATCH(Dashboard_Visual!$B$4, Data_Monitoring!$A$2:$A$2920, 0) + 128 - 1), 0)</f>
        <v>0</v>
      </c>
      <c r="G129">
        <f>IF(128&lt;=COUNTIF(Data_Monitoring!$A$2:$A$2920, Dashboard_Visual!$B$4), INDEX(Data_Monitoring!$Q$2:$Q$2920, MATCH(Dashboard_Visual!$B$4, Data_Monitoring!$A$2:$A$2920, 0) + 128 - 1), 0)</f>
        <v>0</v>
      </c>
      <c r="H129" t="str">
        <f>IF(128&lt;=COUNTIF(Data_Monitoring!$A$2:$A$2920, Dashboard_Visual!$B$4), INDEX(Data_Monitoring!$L$2:$L$2920, MATCH(Dashboard_Visual!$B$4, Data_Monitoring!$A$2:$A$2920, 0) + 128 - 1), "")</f>
        <v/>
      </c>
      <c r="I129" t="str">
        <f>IF(AND(128&lt;=$P$2, ISNUMBER(D129), OR(H129="Warning", H129="Overgrade")), TEXT(ABS(D129)/100, "0.00%"), "")</f>
        <v/>
      </c>
      <c r="J129" t="e">
        <f t="shared" si="1"/>
        <v>#N/A</v>
      </c>
      <c r="K129" t="e">
        <f>IF(AND(128&lt;=$P$2, H129="Warning"), C129, NA())</f>
        <v>#N/A</v>
      </c>
      <c r="L129" t="e">
        <f>IF(AND(128&lt;=$P$2, H129="Overgrade"), C129, NA())</f>
        <v>#N/A</v>
      </c>
      <c r="M129">
        <f>IF(128&lt;=COUNTIF(Data_Monitoring!$A$2:$A$2920, Dashboard_Visual!$B$4), INDEX(Data_Monitoring!$S$2:$S$2920, MATCH(Dashboard_Visual!$B$4, Data_Monitoring!$A$2:$A$2920, 0) + 128 - 1), 1)</f>
        <v>1</v>
      </c>
    </row>
    <row r="130" spans="1:13" x14ac:dyDescent="0.25">
      <c r="A130" t="str">
        <f>IF(129&lt;=COUNTIF(Data_Monitoring!$A$2:$A$2920, Dashboard_Visual!$B$4), INDEX(Data_Monitoring!$B$2:$B$2920, MATCH(Dashboard_Visual!$B$4, Data_Monitoring!$A$2:$A$2920, 0) + 129 - 1), "")</f>
        <v/>
      </c>
      <c r="B130" t="str">
        <f>IF(129&lt;=COUNTIF(Data_Monitoring!$A$2:$A$2920, Dashboard_Visual!$B$4), INDEX(Data_Monitoring!$C$2:$C$2920, MATCH(Dashboard_Visual!$B$4, Data_Monitoring!$A$2:$A$2920, 0) + 129 - 1), "")</f>
        <v/>
      </c>
      <c r="C130" t="e">
        <f>IF(129&lt;=COUNTIF(Data_Monitoring!$A$2:$A$2920, Dashboard_Visual!$B$4), INDEX(Data_Monitoring!$J$2:$J$2920, MATCH(Dashboard_Visual!$B$4, Data_Monitoring!$A$2:$A$2920, 0) + 129 - 1), NA())</f>
        <v>#N/A</v>
      </c>
      <c r="D130" t="e">
        <f>IF(129&lt;=COUNTIF(Data_Monitoring!$A$2:$A$2920, Dashboard_Visual!$B$4), INDEX(Data_Monitoring!$K$2:$K$2920, MATCH(Dashboard_Visual!$B$4, Data_Monitoring!$A$2:$A$2920, 0) + 129 - 1), NA())</f>
        <v>#N/A</v>
      </c>
      <c r="E130">
        <f>IF(129&lt;=COUNTIF(Data_Monitoring!$A$2:$A$2920, Dashboard_Visual!$B$4), INDEX(Data_Monitoring!$H$2:$H$2920, MATCH(Dashboard_Visual!$B$4, Data_Monitoring!$A$2:$A$2920, 0) + 129 - 1), 0)</f>
        <v>0</v>
      </c>
      <c r="F130">
        <f>IF(129&lt;=COUNTIF(Data_Monitoring!$A$2:$A$2920, Dashboard_Visual!$B$4), INDEX(Data_Monitoring!$O$2:$O$2920, MATCH(Dashboard_Visual!$B$4, Data_Monitoring!$A$2:$A$2920, 0) + 129 - 1), 0)</f>
        <v>0</v>
      </c>
      <c r="G130">
        <f>IF(129&lt;=COUNTIF(Data_Monitoring!$A$2:$A$2920, Dashboard_Visual!$B$4), INDEX(Data_Monitoring!$Q$2:$Q$2920, MATCH(Dashboard_Visual!$B$4, Data_Monitoring!$A$2:$A$2920, 0) + 129 - 1), 0)</f>
        <v>0</v>
      </c>
      <c r="H130" t="str">
        <f>IF(129&lt;=COUNTIF(Data_Monitoring!$A$2:$A$2920, Dashboard_Visual!$B$4), INDEX(Data_Monitoring!$L$2:$L$2920, MATCH(Dashboard_Visual!$B$4, Data_Monitoring!$A$2:$A$2920, 0) + 129 - 1), "")</f>
        <v/>
      </c>
      <c r="I130" t="str">
        <f>IF(AND(129&lt;=$P$2, ISNUMBER(D130), OR(H130="Warning", H130="Overgrade")), TEXT(ABS(D130)/100, "0.00%"), "")</f>
        <v/>
      </c>
      <c r="J130" t="e">
        <f t="shared" ref="J130:J193" si="2">IF(H130="Aman", C130, NA())</f>
        <v>#N/A</v>
      </c>
      <c r="K130" t="e">
        <f>IF(AND(129&lt;=$P$2, H130="Warning"), C130, NA())</f>
        <v>#N/A</v>
      </c>
      <c r="L130" t="e">
        <f>IF(AND(129&lt;=$P$2, H130="Overgrade"), C130, NA())</f>
        <v>#N/A</v>
      </c>
      <c r="M130">
        <f>IF(129&lt;=COUNTIF(Data_Monitoring!$A$2:$A$2920, Dashboard_Visual!$B$4), INDEX(Data_Monitoring!$S$2:$S$2920, MATCH(Dashboard_Visual!$B$4, Data_Monitoring!$A$2:$A$2920, 0) + 129 - 1), 1)</f>
        <v>1</v>
      </c>
    </row>
    <row r="131" spans="1:13" x14ac:dyDescent="0.25">
      <c r="A131" t="str">
        <f>IF(130&lt;=COUNTIF(Data_Monitoring!$A$2:$A$2920, Dashboard_Visual!$B$4), INDEX(Data_Monitoring!$B$2:$B$2920, MATCH(Dashboard_Visual!$B$4, Data_Monitoring!$A$2:$A$2920, 0) + 130 - 1), "")</f>
        <v/>
      </c>
      <c r="B131" t="str">
        <f>IF(130&lt;=COUNTIF(Data_Monitoring!$A$2:$A$2920, Dashboard_Visual!$B$4), INDEX(Data_Monitoring!$C$2:$C$2920, MATCH(Dashboard_Visual!$B$4, Data_Monitoring!$A$2:$A$2920, 0) + 130 - 1), "")</f>
        <v/>
      </c>
      <c r="C131" t="e">
        <f>IF(130&lt;=COUNTIF(Data_Monitoring!$A$2:$A$2920, Dashboard_Visual!$B$4), INDEX(Data_Monitoring!$J$2:$J$2920, MATCH(Dashboard_Visual!$B$4, Data_Monitoring!$A$2:$A$2920, 0) + 130 - 1), NA())</f>
        <v>#N/A</v>
      </c>
      <c r="D131" t="e">
        <f>IF(130&lt;=COUNTIF(Data_Monitoring!$A$2:$A$2920, Dashboard_Visual!$B$4), INDEX(Data_Monitoring!$K$2:$K$2920, MATCH(Dashboard_Visual!$B$4, Data_Monitoring!$A$2:$A$2920, 0) + 130 - 1), NA())</f>
        <v>#N/A</v>
      </c>
      <c r="E131">
        <f>IF(130&lt;=COUNTIF(Data_Monitoring!$A$2:$A$2920, Dashboard_Visual!$B$4), INDEX(Data_Monitoring!$H$2:$H$2920, MATCH(Dashboard_Visual!$B$4, Data_Monitoring!$A$2:$A$2920, 0) + 130 - 1), 0)</f>
        <v>0</v>
      </c>
      <c r="F131">
        <f>IF(130&lt;=COUNTIF(Data_Monitoring!$A$2:$A$2920, Dashboard_Visual!$B$4), INDEX(Data_Monitoring!$O$2:$O$2920, MATCH(Dashboard_Visual!$B$4, Data_Monitoring!$A$2:$A$2920, 0) + 130 - 1), 0)</f>
        <v>0</v>
      </c>
      <c r="G131">
        <f>IF(130&lt;=COUNTIF(Data_Monitoring!$A$2:$A$2920, Dashboard_Visual!$B$4), INDEX(Data_Monitoring!$Q$2:$Q$2920, MATCH(Dashboard_Visual!$B$4, Data_Monitoring!$A$2:$A$2920, 0) + 130 - 1), 0)</f>
        <v>0</v>
      </c>
      <c r="H131" t="str">
        <f>IF(130&lt;=COUNTIF(Data_Monitoring!$A$2:$A$2920, Dashboard_Visual!$B$4), INDEX(Data_Monitoring!$L$2:$L$2920, MATCH(Dashboard_Visual!$B$4, Data_Monitoring!$A$2:$A$2920, 0) + 130 - 1), "")</f>
        <v/>
      </c>
      <c r="I131" t="str">
        <f>IF(AND(130&lt;=$P$2, ISNUMBER(D131), OR(H131="Warning", H131="Overgrade")), TEXT(ABS(D131)/100, "0.00%"), "")</f>
        <v/>
      </c>
      <c r="J131" t="e">
        <f t="shared" si="2"/>
        <v>#N/A</v>
      </c>
      <c r="K131" t="e">
        <f>IF(AND(130&lt;=$P$2, H131="Warning"), C131, NA())</f>
        <v>#N/A</v>
      </c>
      <c r="L131" t="e">
        <f>IF(AND(130&lt;=$P$2, H131="Overgrade"), C131, NA())</f>
        <v>#N/A</v>
      </c>
      <c r="M131">
        <f>IF(130&lt;=COUNTIF(Data_Monitoring!$A$2:$A$2920, Dashboard_Visual!$B$4), INDEX(Data_Monitoring!$S$2:$S$2920, MATCH(Dashboard_Visual!$B$4, Data_Monitoring!$A$2:$A$2920, 0) + 130 - 1), 1)</f>
        <v>1</v>
      </c>
    </row>
    <row r="132" spans="1:13" x14ac:dyDescent="0.25">
      <c r="A132" t="str">
        <f>IF(131&lt;=COUNTIF(Data_Monitoring!$A$2:$A$2920, Dashboard_Visual!$B$4), INDEX(Data_Monitoring!$B$2:$B$2920, MATCH(Dashboard_Visual!$B$4, Data_Monitoring!$A$2:$A$2920, 0) + 131 - 1), "")</f>
        <v/>
      </c>
      <c r="B132" t="str">
        <f>IF(131&lt;=COUNTIF(Data_Monitoring!$A$2:$A$2920, Dashboard_Visual!$B$4), INDEX(Data_Monitoring!$C$2:$C$2920, MATCH(Dashboard_Visual!$B$4, Data_Monitoring!$A$2:$A$2920, 0) + 131 - 1), "")</f>
        <v/>
      </c>
      <c r="C132" t="e">
        <f>IF(131&lt;=COUNTIF(Data_Monitoring!$A$2:$A$2920, Dashboard_Visual!$B$4), INDEX(Data_Monitoring!$J$2:$J$2920, MATCH(Dashboard_Visual!$B$4, Data_Monitoring!$A$2:$A$2920, 0) + 131 - 1), NA())</f>
        <v>#N/A</v>
      </c>
      <c r="D132" t="e">
        <f>IF(131&lt;=COUNTIF(Data_Monitoring!$A$2:$A$2920, Dashboard_Visual!$B$4), INDEX(Data_Monitoring!$K$2:$K$2920, MATCH(Dashboard_Visual!$B$4, Data_Monitoring!$A$2:$A$2920, 0) + 131 - 1), NA())</f>
        <v>#N/A</v>
      </c>
      <c r="E132">
        <f>IF(131&lt;=COUNTIF(Data_Monitoring!$A$2:$A$2920, Dashboard_Visual!$B$4), INDEX(Data_Monitoring!$H$2:$H$2920, MATCH(Dashboard_Visual!$B$4, Data_Monitoring!$A$2:$A$2920, 0) + 131 - 1), 0)</f>
        <v>0</v>
      </c>
      <c r="F132">
        <f>IF(131&lt;=COUNTIF(Data_Monitoring!$A$2:$A$2920, Dashboard_Visual!$B$4), INDEX(Data_Monitoring!$O$2:$O$2920, MATCH(Dashboard_Visual!$B$4, Data_Monitoring!$A$2:$A$2920, 0) + 131 - 1), 0)</f>
        <v>0</v>
      </c>
      <c r="G132">
        <f>IF(131&lt;=COUNTIF(Data_Monitoring!$A$2:$A$2920, Dashboard_Visual!$B$4), INDEX(Data_Monitoring!$Q$2:$Q$2920, MATCH(Dashboard_Visual!$B$4, Data_Monitoring!$A$2:$A$2920, 0) + 131 - 1), 0)</f>
        <v>0</v>
      </c>
      <c r="H132" t="str">
        <f>IF(131&lt;=COUNTIF(Data_Monitoring!$A$2:$A$2920, Dashboard_Visual!$B$4), INDEX(Data_Monitoring!$L$2:$L$2920, MATCH(Dashboard_Visual!$B$4, Data_Monitoring!$A$2:$A$2920, 0) + 131 - 1), "")</f>
        <v/>
      </c>
      <c r="I132" t="str">
        <f>IF(AND(131&lt;=$P$2, ISNUMBER(D132), OR(H132="Warning", H132="Overgrade")), TEXT(ABS(D132)/100, "0.00%"), "")</f>
        <v/>
      </c>
      <c r="J132" t="e">
        <f t="shared" si="2"/>
        <v>#N/A</v>
      </c>
      <c r="K132" t="e">
        <f>IF(AND(131&lt;=$P$2, H132="Warning"), C132, NA())</f>
        <v>#N/A</v>
      </c>
      <c r="L132" t="e">
        <f>IF(AND(131&lt;=$P$2, H132="Overgrade"), C132, NA())</f>
        <v>#N/A</v>
      </c>
      <c r="M132">
        <f>IF(131&lt;=COUNTIF(Data_Monitoring!$A$2:$A$2920, Dashboard_Visual!$B$4), INDEX(Data_Monitoring!$S$2:$S$2920, MATCH(Dashboard_Visual!$B$4, Data_Monitoring!$A$2:$A$2920, 0) + 131 - 1), 1)</f>
        <v>1</v>
      </c>
    </row>
    <row r="133" spans="1:13" x14ac:dyDescent="0.25">
      <c r="A133" t="str">
        <f>IF(132&lt;=COUNTIF(Data_Monitoring!$A$2:$A$2920, Dashboard_Visual!$B$4), INDEX(Data_Monitoring!$B$2:$B$2920, MATCH(Dashboard_Visual!$B$4, Data_Monitoring!$A$2:$A$2920, 0) + 132 - 1), "")</f>
        <v/>
      </c>
      <c r="B133" t="str">
        <f>IF(132&lt;=COUNTIF(Data_Monitoring!$A$2:$A$2920, Dashboard_Visual!$B$4), INDEX(Data_Monitoring!$C$2:$C$2920, MATCH(Dashboard_Visual!$B$4, Data_Monitoring!$A$2:$A$2920, 0) + 132 - 1), "")</f>
        <v/>
      </c>
      <c r="C133" t="e">
        <f>IF(132&lt;=COUNTIF(Data_Monitoring!$A$2:$A$2920, Dashboard_Visual!$B$4), INDEX(Data_Monitoring!$J$2:$J$2920, MATCH(Dashboard_Visual!$B$4, Data_Monitoring!$A$2:$A$2920, 0) + 132 - 1), NA())</f>
        <v>#N/A</v>
      </c>
      <c r="D133" t="e">
        <f>IF(132&lt;=COUNTIF(Data_Monitoring!$A$2:$A$2920, Dashboard_Visual!$B$4), INDEX(Data_Monitoring!$K$2:$K$2920, MATCH(Dashboard_Visual!$B$4, Data_Monitoring!$A$2:$A$2920, 0) + 132 - 1), NA())</f>
        <v>#N/A</v>
      </c>
      <c r="E133">
        <f>IF(132&lt;=COUNTIF(Data_Monitoring!$A$2:$A$2920, Dashboard_Visual!$B$4), INDEX(Data_Monitoring!$H$2:$H$2920, MATCH(Dashboard_Visual!$B$4, Data_Monitoring!$A$2:$A$2920, 0) + 132 - 1), 0)</f>
        <v>0</v>
      </c>
      <c r="F133">
        <f>IF(132&lt;=COUNTIF(Data_Monitoring!$A$2:$A$2920, Dashboard_Visual!$B$4), INDEX(Data_Monitoring!$O$2:$O$2920, MATCH(Dashboard_Visual!$B$4, Data_Monitoring!$A$2:$A$2920, 0) + 132 - 1), 0)</f>
        <v>0</v>
      </c>
      <c r="G133">
        <f>IF(132&lt;=COUNTIF(Data_Monitoring!$A$2:$A$2920, Dashboard_Visual!$B$4), INDEX(Data_Monitoring!$Q$2:$Q$2920, MATCH(Dashboard_Visual!$B$4, Data_Monitoring!$A$2:$A$2920, 0) + 132 - 1), 0)</f>
        <v>0</v>
      </c>
      <c r="H133" t="str">
        <f>IF(132&lt;=COUNTIF(Data_Monitoring!$A$2:$A$2920, Dashboard_Visual!$B$4), INDEX(Data_Monitoring!$L$2:$L$2920, MATCH(Dashboard_Visual!$B$4, Data_Monitoring!$A$2:$A$2920, 0) + 132 - 1), "")</f>
        <v/>
      </c>
      <c r="I133" t="str">
        <f>IF(AND(132&lt;=$P$2, ISNUMBER(D133), OR(H133="Warning", H133="Overgrade")), TEXT(ABS(D133)/100, "0.00%"), "")</f>
        <v/>
      </c>
      <c r="J133" t="e">
        <f t="shared" si="2"/>
        <v>#N/A</v>
      </c>
      <c r="K133" t="e">
        <f>IF(AND(132&lt;=$P$2, H133="Warning"), C133, NA())</f>
        <v>#N/A</v>
      </c>
      <c r="L133" t="e">
        <f>IF(AND(132&lt;=$P$2, H133="Overgrade"), C133, NA())</f>
        <v>#N/A</v>
      </c>
      <c r="M133">
        <f>IF(132&lt;=COUNTIF(Data_Monitoring!$A$2:$A$2920, Dashboard_Visual!$B$4), INDEX(Data_Monitoring!$S$2:$S$2920, MATCH(Dashboard_Visual!$B$4, Data_Monitoring!$A$2:$A$2920, 0) + 132 - 1), 1)</f>
        <v>1</v>
      </c>
    </row>
    <row r="134" spans="1:13" x14ac:dyDescent="0.25">
      <c r="A134" t="str">
        <f>IF(133&lt;=COUNTIF(Data_Monitoring!$A$2:$A$2920, Dashboard_Visual!$B$4), INDEX(Data_Monitoring!$B$2:$B$2920, MATCH(Dashboard_Visual!$B$4, Data_Monitoring!$A$2:$A$2920, 0) + 133 - 1), "")</f>
        <v/>
      </c>
      <c r="B134" t="str">
        <f>IF(133&lt;=COUNTIF(Data_Monitoring!$A$2:$A$2920, Dashboard_Visual!$B$4), INDEX(Data_Monitoring!$C$2:$C$2920, MATCH(Dashboard_Visual!$B$4, Data_Monitoring!$A$2:$A$2920, 0) + 133 - 1), "")</f>
        <v/>
      </c>
      <c r="C134" t="e">
        <f>IF(133&lt;=COUNTIF(Data_Monitoring!$A$2:$A$2920, Dashboard_Visual!$B$4), INDEX(Data_Monitoring!$J$2:$J$2920, MATCH(Dashboard_Visual!$B$4, Data_Monitoring!$A$2:$A$2920, 0) + 133 - 1), NA())</f>
        <v>#N/A</v>
      </c>
      <c r="D134" t="e">
        <f>IF(133&lt;=COUNTIF(Data_Monitoring!$A$2:$A$2920, Dashboard_Visual!$B$4), INDEX(Data_Monitoring!$K$2:$K$2920, MATCH(Dashboard_Visual!$B$4, Data_Monitoring!$A$2:$A$2920, 0) + 133 - 1), NA())</f>
        <v>#N/A</v>
      </c>
      <c r="E134">
        <f>IF(133&lt;=COUNTIF(Data_Monitoring!$A$2:$A$2920, Dashboard_Visual!$B$4), INDEX(Data_Monitoring!$H$2:$H$2920, MATCH(Dashboard_Visual!$B$4, Data_Monitoring!$A$2:$A$2920, 0) + 133 - 1), 0)</f>
        <v>0</v>
      </c>
      <c r="F134">
        <f>IF(133&lt;=COUNTIF(Data_Monitoring!$A$2:$A$2920, Dashboard_Visual!$B$4), INDEX(Data_Monitoring!$O$2:$O$2920, MATCH(Dashboard_Visual!$B$4, Data_Monitoring!$A$2:$A$2920, 0) + 133 - 1), 0)</f>
        <v>0</v>
      </c>
      <c r="G134">
        <f>IF(133&lt;=COUNTIF(Data_Monitoring!$A$2:$A$2920, Dashboard_Visual!$B$4), INDEX(Data_Monitoring!$Q$2:$Q$2920, MATCH(Dashboard_Visual!$B$4, Data_Monitoring!$A$2:$A$2920, 0) + 133 - 1), 0)</f>
        <v>0</v>
      </c>
      <c r="H134" t="str">
        <f>IF(133&lt;=COUNTIF(Data_Monitoring!$A$2:$A$2920, Dashboard_Visual!$B$4), INDEX(Data_Monitoring!$L$2:$L$2920, MATCH(Dashboard_Visual!$B$4, Data_Monitoring!$A$2:$A$2920, 0) + 133 - 1), "")</f>
        <v/>
      </c>
      <c r="I134" t="str">
        <f>IF(AND(133&lt;=$P$2, ISNUMBER(D134), OR(H134="Warning", H134="Overgrade")), TEXT(ABS(D134)/100, "0.00%"), "")</f>
        <v/>
      </c>
      <c r="J134" t="e">
        <f t="shared" si="2"/>
        <v>#N/A</v>
      </c>
      <c r="K134" t="e">
        <f>IF(AND(133&lt;=$P$2, H134="Warning"), C134, NA())</f>
        <v>#N/A</v>
      </c>
      <c r="L134" t="e">
        <f>IF(AND(133&lt;=$P$2, H134="Overgrade"), C134, NA())</f>
        <v>#N/A</v>
      </c>
      <c r="M134">
        <f>IF(133&lt;=COUNTIF(Data_Monitoring!$A$2:$A$2920, Dashboard_Visual!$B$4), INDEX(Data_Monitoring!$S$2:$S$2920, MATCH(Dashboard_Visual!$B$4, Data_Monitoring!$A$2:$A$2920, 0) + 133 - 1), 1)</f>
        <v>1</v>
      </c>
    </row>
    <row r="135" spans="1:13" x14ac:dyDescent="0.25">
      <c r="A135" t="str">
        <f>IF(134&lt;=COUNTIF(Data_Monitoring!$A$2:$A$2920, Dashboard_Visual!$B$4), INDEX(Data_Monitoring!$B$2:$B$2920, MATCH(Dashboard_Visual!$B$4, Data_Monitoring!$A$2:$A$2920, 0) + 134 - 1), "")</f>
        <v/>
      </c>
      <c r="B135" t="str">
        <f>IF(134&lt;=COUNTIF(Data_Monitoring!$A$2:$A$2920, Dashboard_Visual!$B$4), INDEX(Data_Monitoring!$C$2:$C$2920, MATCH(Dashboard_Visual!$B$4, Data_Monitoring!$A$2:$A$2920, 0) + 134 - 1), "")</f>
        <v/>
      </c>
      <c r="C135" t="e">
        <f>IF(134&lt;=COUNTIF(Data_Monitoring!$A$2:$A$2920, Dashboard_Visual!$B$4), INDEX(Data_Monitoring!$J$2:$J$2920, MATCH(Dashboard_Visual!$B$4, Data_Monitoring!$A$2:$A$2920, 0) + 134 - 1), NA())</f>
        <v>#N/A</v>
      </c>
      <c r="D135" t="e">
        <f>IF(134&lt;=COUNTIF(Data_Monitoring!$A$2:$A$2920, Dashboard_Visual!$B$4), INDEX(Data_Monitoring!$K$2:$K$2920, MATCH(Dashboard_Visual!$B$4, Data_Monitoring!$A$2:$A$2920, 0) + 134 - 1), NA())</f>
        <v>#N/A</v>
      </c>
      <c r="E135">
        <f>IF(134&lt;=COUNTIF(Data_Monitoring!$A$2:$A$2920, Dashboard_Visual!$B$4), INDEX(Data_Monitoring!$H$2:$H$2920, MATCH(Dashboard_Visual!$B$4, Data_Monitoring!$A$2:$A$2920, 0) + 134 - 1), 0)</f>
        <v>0</v>
      </c>
      <c r="F135">
        <f>IF(134&lt;=COUNTIF(Data_Monitoring!$A$2:$A$2920, Dashboard_Visual!$B$4), INDEX(Data_Monitoring!$O$2:$O$2920, MATCH(Dashboard_Visual!$B$4, Data_Monitoring!$A$2:$A$2920, 0) + 134 - 1), 0)</f>
        <v>0</v>
      </c>
      <c r="G135">
        <f>IF(134&lt;=COUNTIF(Data_Monitoring!$A$2:$A$2920, Dashboard_Visual!$B$4), INDEX(Data_Monitoring!$Q$2:$Q$2920, MATCH(Dashboard_Visual!$B$4, Data_Monitoring!$A$2:$A$2920, 0) + 134 - 1), 0)</f>
        <v>0</v>
      </c>
      <c r="H135" t="str">
        <f>IF(134&lt;=COUNTIF(Data_Monitoring!$A$2:$A$2920, Dashboard_Visual!$B$4), INDEX(Data_Monitoring!$L$2:$L$2920, MATCH(Dashboard_Visual!$B$4, Data_Monitoring!$A$2:$A$2920, 0) + 134 - 1), "")</f>
        <v/>
      </c>
      <c r="I135" t="str">
        <f>IF(AND(134&lt;=$P$2, ISNUMBER(D135), OR(H135="Warning", H135="Overgrade")), TEXT(ABS(D135)/100, "0.00%"), "")</f>
        <v/>
      </c>
      <c r="J135" t="e">
        <f t="shared" si="2"/>
        <v>#N/A</v>
      </c>
      <c r="K135" t="e">
        <f>IF(AND(134&lt;=$P$2, H135="Warning"), C135, NA())</f>
        <v>#N/A</v>
      </c>
      <c r="L135" t="e">
        <f>IF(AND(134&lt;=$P$2, H135="Overgrade"), C135, NA())</f>
        <v>#N/A</v>
      </c>
      <c r="M135">
        <f>IF(134&lt;=COUNTIF(Data_Monitoring!$A$2:$A$2920, Dashboard_Visual!$B$4), INDEX(Data_Monitoring!$S$2:$S$2920, MATCH(Dashboard_Visual!$B$4, Data_Monitoring!$A$2:$A$2920, 0) + 134 - 1), 1)</f>
        <v>1</v>
      </c>
    </row>
    <row r="136" spans="1:13" x14ac:dyDescent="0.25">
      <c r="A136" t="str">
        <f>IF(135&lt;=COUNTIF(Data_Monitoring!$A$2:$A$2920, Dashboard_Visual!$B$4), INDEX(Data_Monitoring!$B$2:$B$2920, MATCH(Dashboard_Visual!$B$4, Data_Monitoring!$A$2:$A$2920, 0) + 135 - 1), "")</f>
        <v/>
      </c>
      <c r="B136" t="str">
        <f>IF(135&lt;=COUNTIF(Data_Monitoring!$A$2:$A$2920, Dashboard_Visual!$B$4), INDEX(Data_Monitoring!$C$2:$C$2920, MATCH(Dashboard_Visual!$B$4, Data_Monitoring!$A$2:$A$2920, 0) + 135 - 1), "")</f>
        <v/>
      </c>
      <c r="C136" t="e">
        <f>IF(135&lt;=COUNTIF(Data_Monitoring!$A$2:$A$2920, Dashboard_Visual!$B$4), INDEX(Data_Monitoring!$J$2:$J$2920, MATCH(Dashboard_Visual!$B$4, Data_Monitoring!$A$2:$A$2920, 0) + 135 - 1), NA())</f>
        <v>#N/A</v>
      </c>
      <c r="D136" t="e">
        <f>IF(135&lt;=COUNTIF(Data_Monitoring!$A$2:$A$2920, Dashboard_Visual!$B$4), INDEX(Data_Monitoring!$K$2:$K$2920, MATCH(Dashboard_Visual!$B$4, Data_Monitoring!$A$2:$A$2920, 0) + 135 - 1), NA())</f>
        <v>#N/A</v>
      </c>
      <c r="E136">
        <f>IF(135&lt;=COUNTIF(Data_Monitoring!$A$2:$A$2920, Dashboard_Visual!$B$4), INDEX(Data_Monitoring!$H$2:$H$2920, MATCH(Dashboard_Visual!$B$4, Data_Monitoring!$A$2:$A$2920, 0) + 135 - 1), 0)</f>
        <v>0</v>
      </c>
      <c r="F136">
        <f>IF(135&lt;=COUNTIF(Data_Monitoring!$A$2:$A$2920, Dashboard_Visual!$B$4), INDEX(Data_Monitoring!$O$2:$O$2920, MATCH(Dashboard_Visual!$B$4, Data_Monitoring!$A$2:$A$2920, 0) + 135 - 1), 0)</f>
        <v>0</v>
      </c>
      <c r="G136">
        <f>IF(135&lt;=COUNTIF(Data_Monitoring!$A$2:$A$2920, Dashboard_Visual!$B$4), INDEX(Data_Monitoring!$Q$2:$Q$2920, MATCH(Dashboard_Visual!$B$4, Data_Monitoring!$A$2:$A$2920, 0) + 135 - 1), 0)</f>
        <v>0</v>
      </c>
      <c r="H136" t="str">
        <f>IF(135&lt;=COUNTIF(Data_Monitoring!$A$2:$A$2920, Dashboard_Visual!$B$4), INDEX(Data_Monitoring!$L$2:$L$2920, MATCH(Dashboard_Visual!$B$4, Data_Monitoring!$A$2:$A$2920, 0) + 135 - 1), "")</f>
        <v/>
      </c>
      <c r="I136" t="str">
        <f>IF(AND(135&lt;=$P$2, ISNUMBER(D136), OR(H136="Warning", H136="Overgrade")), TEXT(ABS(D136)/100, "0.00%"), "")</f>
        <v/>
      </c>
      <c r="J136" t="e">
        <f t="shared" si="2"/>
        <v>#N/A</v>
      </c>
      <c r="K136" t="e">
        <f>IF(AND(135&lt;=$P$2, H136="Warning"), C136, NA())</f>
        <v>#N/A</v>
      </c>
      <c r="L136" t="e">
        <f>IF(AND(135&lt;=$P$2, H136="Overgrade"), C136, NA())</f>
        <v>#N/A</v>
      </c>
      <c r="M136">
        <f>IF(135&lt;=COUNTIF(Data_Monitoring!$A$2:$A$2920, Dashboard_Visual!$B$4), INDEX(Data_Monitoring!$S$2:$S$2920, MATCH(Dashboard_Visual!$B$4, Data_Monitoring!$A$2:$A$2920, 0) + 135 - 1), 1)</f>
        <v>1</v>
      </c>
    </row>
    <row r="137" spans="1:13" x14ac:dyDescent="0.25">
      <c r="A137" t="str">
        <f>IF(136&lt;=COUNTIF(Data_Monitoring!$A$2:$A$2920, Dashboard_Visual!$B$4), INDEX(Data_Monitoring!$B$2:$B$2920, MATCH(Dashboard_Visual!$B$4, Data_Monitoring!$A$2:$A$2920, 0) + 136 - 1), "")</f>
        <v/>
      </c>
      <c r="B137" t="str">
        <f>IF(136&lt;=COUNTIF(Data_Monitoring!$A$2:$A$2920, Dashboard_Visual!$B$4), INDEX(Data_Monitoring!$C$2:$C$2920, MATCH(Dashboard_Visual!$B$4, Data_Monitoring!$A$2:$A$2920, 0) + 136 - 1), "")</f>
        <v/>
      </c>
      <c r="C137" t="e">
        <f>IF(136&lt;=COUNTIF(Data_Monitoring!$A$2:$A$2920, Dashboard_Visual!$B$4), INDEX(Data_Monitoring!$J$2:$J$2920, MATCH(Dashboard_Visual!$B$4, Data_Monitoring!$A$2:$A$2920, 0) + 136 - 1), NA())</f>
        <v>#N/A</v>
      </c>
      <c r="D137" t="e">
        <f>IF(136&lt;=COUNTIF(Data_Monitoring!$A$2:$A$2920, Dashboard_Visual!$B$4), INDEX(Data_Monitoring!$K$2:$K$2920, MATCH(Dashboard_Visual!$B$4, Data_Monitoring!$A$2:$A$2920, 0) + 136 - 1), NA())</f>
        <v>#N/A</v>
      </c>
      <c r="E137">
        <f>IF(136&lt;=COUNTIF(Data_Monitoring!$A$2:$A$2920, Dashboard_Visual!$B$4), INDEX(Data_Monitoring!$H$2:$H$2920, MATCH(Dashboard_Visual!$B$4, Data_Monitoring!$A$2:$A$2920, 0) + 136 - 1), 0)</f>
        <v>0</v>
      </c>
      <c r="F137">
        <f>IF(136&lt;=COUNTIF(Data_Monitoring!$A$2:$A$2920, Dashboard_Visual!$B$4), INDEX(Data_Monitoring!$O$2:$O$2920, MATCH(Dashboard_Visual!$B$4, Data_Monitoring!$A$2:$A$2920, 0) + 136 - 1), 0)</f>
        <v>0</v>
      </c>
      <c r="G137">
        <f>IF(136&lt;=COUNTIF(Data_Monitoring!$A$2:$A$2920, Dashboard_Visual!$B$4), INDEX(Data_Monitoring!$Q$2:$Q$2920, MATCH(Dashboard_Visual!$B$4, Data_Monitoring!$A$2:$A$2920, 0) + 136 - 1), 0)</f>
        <v>0</v>
      </c>
      <c r="H137" t="str">
        <f>IF(136&lt;=COUNTIF(Data_Monitoring!$A$2:$A$2920, Dashboard_Visual!$B$4), INDEX(Data_Monitoring!$L$2:$L$2920, MATCH(Dashboard_Visual!$B$4, Data_Monitoring!$A$2:$A$2920, 0) + 136 - 1), "")</f>
        <v/>
      </c>
      <c r="I137" t="str">
        <f>IF(AND(136&lt;=$P$2, ISNUMBER(D137), OR(H137="Warning", H137="Overgrade")), TEXT(ABS(D137)/100, "0.00%"), "")</f>
        <v/>
      </c>
      <c r="J137" t="e">
        <f t="shared" si="2"/>
        <v>#N/A</v>
      </c>
      <c r="K137" t="e">
        <f>IF(AND(136&lt;=$P$2, H137="Warning"), C137, NA())</f>
        <v>#N/A</v>
      </c>
      <c r="L137" t="e">
        <f>IF(AND(136&lt;=$P$2, H137="Overgrade"), C137, NA())</f>
        <v>#N/A</v>
      </c>
      <c r="M137">
        <f>IF(136&lt;=COUNTIF(Data_Monitoring!$A$2:$A$2920, Dashboard_Visual!$B$4), INDEX(Data_Monitoring!$S$2:$S$2920, MATCH(Dashboard_Visual!$B$4, Data_Monitoring!$A$2:$A$2920, 0) + 136 - 1), 1)</f>
        <v>1</v>
      </c>
    </row>
    <row r="138" spans="1:13" x14ac:dyDescent="0.25">
      <c r="A138" t="str">
        <f>IF(137&lt;=COUNTIF(Data_Monitoring!$A$2:$A$2920, Dashboard_Visual!$B$4), INDEX(Data_Monitoring!$B$2:$B$2920, MATCH(Dashboard_Visual!$B$4, Data_Monitoring!$A$2:$A$2920, 0) + 137 - 1), "")</f>
        <v/>
      </c>
      <c r="B138" t="str">
        <f>IF(137&lt;=COUNTIF(Data_Monitoring!$A$2:$A$2920, Dashboard_Visual!$B$4), INDEX(Data_Monitoring!$C$2:$C$2920, MATCH(Dashboard_Visual!$B$4, Data_Monitoring!$A$2:$A$2920, 0) + 137 - 1), "")</f>
        <v/>
      </c>
      <c r="C138" t="e">
        <f>IF(137&lt;=COUNTIF(Data_Monitoring!$A$2:$A$2920, Dashboard_Visual!$B$4), INDEX(Data_Monitoring!$J$2:$J$2920, MATCH(Dashboard_Visual!$B$4, Data_Monitoring!$A$2:$A$2920, 0) + 137 - 1), NA())</f>
        <v>#N/A</v>
      </c>
      <c r="D138" t="e">
        <f>IF(137&lt;=COUNTIF(Data_Monitoring!$A$2:$A$2920, Dashboard_Visual!$B$4), INDEX(Data_Monitoring!$K$2:$K$2920, MATCH(Dashboard_Visual!$B$4, Data_Monitoring!$A$2:$A$2920, 0) + 137 - 1), NA())</f>
        <v>#N/A</v>
      </c>
      <c r="E138">
        <f>IF(137&lt;=COUNTIF(Data_Monitoring!$A$2:$A$2920, Dashboard_Visual!$B$4), INDEX(Data_Monitoring!$H$2:$H$2920, MATCH(Dashboard_Visual!$B$4, Data_Monitoring!$A$2:$A$2920, 0) + 137 - 1), 0)</f>
        <v>0</v>
      </c>
      <c r="F138">
        <f>IF(137&lt;=COUNTIF(Data_Monitoring!$A$2:$A$2920, Dashboard_Visual!$B$4), INDEX(Data_Monitoring!$O$2:$O$2920, MATCH(Dashboard_Visual!$B$4, Data_Monitoring!$A$2:$A$2920, 0) + 137 - 1), 0)</f>
        <v>0</v>
      </c>
      <c r="G138">
        <f>IF(137&lt;=COUNTIF(Data_Monitoring!$A$2:$A$2920, Dashboard_Visual!$B$4), INDEX(Data_Monitoring!$Q$2:$Q$2920, MATCH(Dashboard_Visual!$B$4, Data_Monitoring!$A$2:$A$2920, 0) + 137 - 1), 0)</f>
        <v>0</v>
      </c>
      <c r="H138" t="str">
        <f>IF(137&lt;=COUNTIF(Data_Monitoring!$A$2:$A$2920, Dashboard_Visual!$B$4), INDEX(Data_Monitoring!$L$2:$L$2920, MATCH(Dashboard_Visual!$B$4, Data_Monitoring!$A$2:$A$2920, 0) + 137 - 1), "")</f>
        <v/>
      </c>
      <c r="I138" t="str">
        <f>IF(AND(137&lt;=$P$2, ISNUMBER(D138), OR(H138="Warning", H138="Overgrade")), TEXT(ABS(D138)/100, "0.00%"), "")</f>
        <v/>
      </c>
      <c r="J138" t="e">
        <f t="shared" si="2"/>
        <v>#N/A</v>
      </c>
      <c r="K138" t="e">
        <f>IF(AND(137&lt;=$P$2, H138="Warning"), C138, NA())</f>
        <v>#N/A</v>
      </c>
      <c r="L138" t="e">
        <f>IF(AND(137&lt;=$P$2, H138="Overgrade"), C138, NA())</f>
        <v>#N/A</v>
      </c>
      <c r="M138">
        <f>IF(137&lt;=COUNTIF(Data_Monitoring!$A$2:$A$2920, Dashboard_Visual!$B$4), INDEX(Data_Monitoring!$S$2:$S$2920, MATCH(Dashboard_Visual!$B$4, Data_Monitoring!$A$2:$A$2920, 0) + 137 - 1), 1)</f>
        <v>1</v>
      </c>
    </row>
    <row r="139" spans="1:13" x14ac:dyDescent="0.25">
      <c r="A139" t="str">
        <f>IF(138&lt;=COUNTIF(Data_Monitoring!$A$2:$A$2920, Dashboard_Visual!$B$4), INDEX(Data_Monitoring!$B$2:$B$2920, MATCH(Dashboard_Visual!$B$4, Data_Monitoring!$A$2:$A$2920, 0) + 138 - 1), "")</f>
        <v/>
      </c>
      <c r="B139" t="str">
        <f>IF(138&lt;=COUNTIF(Data_Monitoring!$A$2:$A$2920, Dashboard_Visual!$B$4), INDEX(Data_Monitoring!$C$2:$C$2920, MATCH(Dashboard_Visual!$B$4, Data_Monitoring!$A$2:$A$2920, 0) + 138 - 1), "")</f>
        <v/>
      </c>
      <c r="C139" t="e">
        <f>IF(138&lt;=COUNTIF(Data_Monitoring!$A$2:$A$2920, Dashboard_Visual!$B$4), INDEX(Data_Monitoring!$J$2:$J$2920, MATCH(Dashboard_Visual!$B$4, Data_Monitoring!$A$2:$A$2920, 0) + 138 - 1), NA())</f>
        <v>#N/A</v>
      </c>
      <c r="D139" t="e">
        <f>IF(138&lt;=COUNTIF(Data_Monitoring!$A$2:$A$2920, Dashboard_Visual!$B$4), INDEX(Data_Monitoring!$K$2:$K$2920, MATCH(Dashboard_Visual!$B$4, Data_Monitoring!$A$2:$A$2920, 0) + 138 - 1), NA())</f>
        <v>#N/A</v>
      </c>
      <c r="E139">
        <f>IF(138&lt;=COUNTIF(Data_Monitoring!$A$2:$A$2920, Dashboard_Visual!$B$4), INDEX(Data_Monitoring!$H$2:$H$2920, MATCH(Dashboard_Visual!$B$4, Data_Monitoring!$A$2:$A$2920, 0) + 138 - 1), 0)</f>
        <v>0</v>
      </c>
      <c r="F139">
        <f>IF(138&lt;=COUNTIF(Data_Monitoring!$A$2:$A$2920, Dashboard_Visual!$B$4), INDEX(Data_Monitoring!$O$2:$O$2920, MATCH(Dashboard_Visual!$B$4, Data_Monitoring!$A$2:$A$2920, 0) + 138 - 1), 0)</f>
        <v>0</v>
      </c>
      <c r="G139">
        <f>IF(138&lt;=COUNTIF(Data_Monitoring!$A$2:$A$2920, Dashboard_Visual!$B$4), INDEX(Data_Monitoring!$Q$2:$Q$2920, MATCH(Dashboard_Visual!$B$4, Data_Monitoring!$A$2:$A$2920, 0) + 138 - 1), 0)</f>
        <v>0</v>
      </c>
      <c r="H139" t="str">
        <f>IF(138&lt;=COUNTIF(Data_Monitoring!$A$2:$A$2920, Dashboard_Visual!$B$4), INDEX(Data_Monitoring!$L$2:$L$2920, MATCH(Dashboard_Visual!$B$4, Data_Monitoring!$A$2:$A$2920, 0) + 138 - 1), "")</f>
        <v/>
      </c>
      <c r="I139" t="str">
        <f>IF(AND(138&lt;=$P$2, ISNUMBER(D139), OR(H139="Warning", H139="Overgrade")), TEXT(ABS(D139)/100, "0.00%"), "")</f>
        <v/>
      </c>
      <c r="J139" t="e">
        <f t="shared" si="2"/>
        <v>#N/A</v>
      </c>
      <c r="K139" t="e">
        <f>IF(AND(138&lt;=$P$2, H139="Warning"), C139, NA())</f>
        <v>#N/A</v>
      </c>
      <c r="L139" t="e">
        <f>IF(AND(138&lt;=$P$2, H139="Overgrade"), C139, NA())</f>
        <v>#N/A</v>
      </c>
      <c r="M139">
        <f>IF(138&lt;=COUNTIF(Data_Monitoring!$A$2:$A$2920, Dashboard_Visual!$B$4), INDEX(Data_Monitoring!$S$2:$S$2920, MATCH(Dashboard_Visual!$B$4, Data_Monitoring!$A$2:$A$2920, 0) + 138 - 1), 1)</f>
        <v>1</v>
      </c>
    </row>
    <row r="140" spans="1:13" x14ac:dyDescent="0.25">
      <c r="A140" t="str">
        <f>IF(139&lt;=COUNTIF(Data_Monitoring!$A$2:$A$2920, Dashboard_Visual!$B$4), INDEX(Data_Monitoring!$B$2:$B$2920, MATCH(Dashboard_Visual!$B$4, Data_Monitoring!$A$2:$A$2920, 0) + 139 - 1), "")</f>
        <v/>
      </c>
      <c r="B140" t="str">
        <f>IF(139&lt;=COUNTIF(Data_Monitoring!$A$2:$A$2920, Dashboard_Visual!$B$4), INDEX(Data_Monitoring!$C$2:$C$2920, MATCH(Dashboard_Visual!$B$4, Data_Monitoring!$A$2:$A$2920, 0) + 139 - 1), "")</f>
        <v/>
      </c>
      <c r="C140" t="e">
        <f>IF(139&lt;=COUNTIF(Data_Monitoring!$A$2:$A$2920, Dashboard_Visual!$B$4), INDEX(Data_Monitoring!$J$2:$J$2920, MATCH(Dashboard_Visual!$B$4, Data_Monitoring!$A$2:$A$2920, 0) + 139 - 1), NA())</f>
        <v>#N/A</v>
      </c>
      <c r="D140" t="e">
        <f>IF(139&lt;=COUNTIF(Data_Monitoring!$A$2:$A$2920, Dashboard_Visual!$B$4), INDEX(Data_Monitoring!$K$2:$K$2920, MATCH(Dashboard_Visual!$B$4, Data_Monitoring!$A$2:$A$2920, 0) + 139 - 1), NA())</f>
        <v>#N/A</v>
      </c>
      <c r="E140">
        <f>IF(139&lt;=COUNTIF(Data_Monitoring!$A$2:$A$2920, Dashboard_Visual!$B$4), INDEX(Data_Monitoring!$H$2:$H$2920, MATCH(Dashboard_Visual!$B$4, Data_Monitoring!$A$2:$A$2920, 0) + 139 - 1), 0)</f>
        <v>0</v>
      </c>
      <c r="F140">
        <f>IF(139&lt;=COUNTIF(Data_Monitoring!$A$2:$A$2920, Dashboard_Visual!$B$4), INDEX(Data_Monitoring!$O$2:$O$2920, MATCH(Dashboard_Visual!$B$4, Data_Monitoring!$A$2:$A$2920, 0) + 139 - 1), 0)</f>
        <v>0</v>
      </c>
      <c r="G140">
        <f>IF(139&lt;=COUNTIF(Data_Monitoring!$A$2:$A$2920, Dashboard_Visual!$B$4), INDEX(Data_Monitoring!$Q$2:$Q$2920, MATCH(Dashboard_Visual!$B$4, Data_Monitoring!$A$2:$A$2920, 0) + 139 - 1), 0)</f>
        <v>0</v>
      </c>
      <c r="H140" t="str">
        <f>IF(139&lt;=COUNTIF(Data_Monitoring!$A$2:$A$2920, Dashboard_Visual!$B$4), INDEX(Data_Monitoring!$L$2:$L$2920, MATCH(Dashboard_Visual!$B$4, Data_Monitoring!$A$2:$A$2920, 0) + 139 - 1), "")</f>
        <v/>
      </c>
      <c r="I140" t="str">
        <f>IF(AND(139&lt;=$P$2, ISNUMBER(D140), OR(H140="Warning", H140="Overgrade")), TEXT(ABS(D140)/100, "0.00%"), "")</f>
        <v/>
      </c>
      <c r="J140" t="e">
        <f t="shared" si="2"/>
        <v>#N/A</v>
      </c>
      <c r="K140" t="e">
        <f>IF(AND(139&lt;=$P$2, H140="Warning"), C140, NA())</f>
        <v>#N/A</v>
      </c>
      <c r="L140" t="e">
        <f>IF(AND(139&lt;=$P$2, H140="Overgrade"), C140, NA())</f>
        <v>#N/A</v>
      </c>
      <c r="M140">
        <f>IF(139&lt;=COUNTIF(Data_Monitoring!$A$2:$A$2920, Dashboard_Visual!$B$4), INDEX(Data_Monitoring!$S$2:$S$2920, MATCH(Dashboard_Visual!$B$4, Data_Monitoring!$A$2:$A$2920, 0) + 139 - 1), 1)</f>
        <v>1</v>
      </c>
    </row>
    <row r="141" spans="1:13" x14ac:dyDescent="0.25">
      <c r="A141" t="str">
        <f>IF(140&lt;=COUNTIF(Data_Monitoring!$A$2:$A$2920, Dashboard_Visual!$B$4), INDEX(Data_Monitoring!$B$2:$B$2920, MATCH(Dashboard_Visual!$B$4, Data_Monitoring!$A$2:$A$2920, 0) + 140 - 1), "")</f>
        <v/>
      </c>
      <c r="B141" t="str">
        <f>IF(140&lt;=COUNTIF(Data_Monitoring!$A$2:$A$2920, Dashboard_Visual!$B$4), INDEX(Data_Monitoring!$C$2:$C$2920, MATCH(Dashboard_Visual!$B$4, Data_Monitoring!$A$2:$A$2920, 0) + 140 - 1), "")</f>
        <v/>
      </c>
      <c r="C141" t="e">
        <f>IF(140&lt;=COUNTIF(Data_Monitoring!$A$2:$A$2920, Dashboard_Visual!$B$4), INDEX(Data_Monitoring!$J$2:$J$2920, MATCH(Dashboard_Visual!$B$4, Data_Monitoring!$A$2:$A$2920, 0) + 140 - 1), NA())</f>
        <v>#N/A</v>
      </c>
      <c r="D141" t="e">
        <f>IF(140&lt;=COUNTIF(Data_Monitoring!$A$2:$A$2920, Dashboard_Visual!$B$4), INDEX(Data_Monitoring!$K$2:$K$2920, MATCH(Dashboard_Visual!$B$4, Data_Monitoring!$A$2:$A$2920, 0) + 140 - 1), NA())</f>
        <v>#N/A</v>
      </c>
      <c r="E141">
        <f>IF(140&lt;=COUNTIF(Data_Monitoring!$A$2:$A$2920, Dashboard_Visual!$B$4), INDEX(Data_Monitoring!$H$2:$H$2920, MATCH(Dashboard_Visual!$B$4, Data_Monitoring!$A$2:$A$2920, 0) + 140 - 1), 0)</f>
        <v>0</v>
      </c>
      <c r="F141">
        <f>IF(140&lt;=COUNTIF(Data_Monitoring!$A$2:$A$2920, Dashboard_Visual!$B$4), INDEX(Data_Monitoring!$O$2:$O$2920, MATCH(Dashboard_Visual!$B$4, Data_Monitoring!$A$2:$A$2920, 0) + 140 - 1), 0)</f>
        <v>0</v>
      </c>
      <c r="G141">
        <f>IF(140&lt;=COUNTIF(Data_Monitoring!$A$2:$A$2920, Dashboard_Visual!$B$4), INDEX(Data_Monitoring!$Q$2:$Q$2920, MATCH(Dashboard_Visual!$B$4, Data_Monitoring!$A$2:$A$2920, 0) + 140 - 1), 0)</f>
        <v>0</v>
      </c>
      <c r="H141" t="str">
        <f>IF(140&lt;=COUNTIF(Data_Monitoring!$A$2:$A$2920, Dashboard_Visual!$B$4), INDEX(Data_Monitoring!$L$2:$L$2920, MATCH(Dashboard_Visual!$B$4, Data_Monitoring!$A$2:$A$2920, 0) + 140 - 1), "")</f>
        <v/>
      </c>
      <c r="I141" t="str">
        <f>IF(AND(140&lt;=$P$2, ISNUMBER(D141), OR(H141="Warning", H141="Overgrade")), TEXT(ABS(D141)/100, "0.00%"), "")</f>
        <v/>
      </c>
      <c r="J141" t="e">
        <f t="shared" si="2"/>
        <v>#N/A</v>
      </c>
      <c r="K141" t="e">
        <f>IF(AND(140&lt;=$P$2, H141="Warning"), C141, NA())</f>
        <v>#N/A</v>
      </c>
      <c r="L141" t="e">
        <f>IF(AND(140&lt;=$P$2, H141="Overgrade"), C141, NA())</f>
        <v>#N/A</v>
      </c>
      <c r="M141">
        <f>IF(140&lt;=COUNTIF(Data_Monitoring!$A$2:$A$2920, Dashboard_Visual!$B$4), INDEX(Data_Monitoring!$S$2:$S$2920, MATCH(Dashboard_Visual!$B$4, Data_Monitoring!$A$2:$A$2920, 0) + 140 - 1), 1)</f>
        <v>1</v>
      </c>
    </row>
    <row r="142" spans="1:13" x14ac:dyDescent="0.25">
      <c r="A142" t="str">
        <f>IF(141&lt;=COUNTIF(Data_Monitoring!$A$2:$A$2920, Dashboard_Visual!$B$4), INDEX(Data_Monitoring!$B$2:$B$2920, MATCH(Dashboard_Visual!$B$4, Data_Monitoring!$A$2:$A$2920, 0) + 141 - 1), "")</f>
        <v/>
      </c>
      <c r="B142" t="str">
        <f>IF(141&lt;=COUNTIF(Data_Monitoring!$A$2:$A$2920, Dashboard_Visual!$B$4), INDEX(Data_Monitoring!$C$2:$C$2920, MATCH(Dashboard_Visual!$B$4, Data_Monitoring!$A$2:$A$2920, 0) + 141 - 1), "")</f>
        <v/>
      </c>
      <c r="C142" t="e">
        <f>IF(141&lt;=COUNTIF(Data_Monitoring!$A$2:$A$2920, Dashboard_Visual!$B$4), INDEX(Data_Monitoring!$J$2:$J$2920, MATCH(Dashboard_Visual!$B$4, Data_Monitoring!$A$2:$A$2920, 0) + 141 - 1), NA())</f>
        <v>#N/A</v>
      </c>
      <c r="D142" t="e">
        <f>IF(141&lt;=COUNTIF(Data_Monitoring!$A$2:$A$2920, Dashboard_Visual!$B$4), INDEX(Data_Monitoring!$K$2:$K$2920, MATCH(Dashboard_Visual!$B$4, Data_Monitoring!$A$2:$A$2920, 0) + 141 - 1), NA())</f>
        <v>#N/A</v>
      </c>
      <c r="E142">
        <f>IF(141&lt;=COUNTIF(Data_Monitoring!$A$2:$A$2920, Dashboard_Visual!$B$4), INDEX(Data_Monitoring!$H$2:$H$2920, MATCH(Dashboard_Visual!$B$4, Data_Monitoring!$A$2:$A$2920, 0) + 141 - 1), 0)</f>
        <v>0</v>
      </c>
      <c r="F142">
        <f>IF(141&lt;=COUNTIF(Data_Monitoring!$A$2:$A$2920, Dashboard_Visual!$B$4), INDEX(Data_Monitoring!$O$2:$O$2920, MATCH(Dashboard_Visual!$B$4, Data_Monitoring!$A$2:$A$2920, 0) + 141 - 1), 0)</f>
        <v>0</v>
      </c>
      <c r="G142">
        <f>IF(141&lt;=COUNTIF(Data_Monitoring!$A$2:$A$2920, Dashboard_Visual!$B$4), INDEX(Data_Monitoring!$Q$2:$Q$2920, MATCH(Dashboard_Visual!$B$4, Data_Monitoring!$A$2:$A$2920, 0) + 141 - 1), 0)</f>
        <v>0</v>
      </c>
      <c r="H142" t="str">
        <f>IF(141&lt;=COUNTIF(Data_Monitoring!$A$2:$A$2920, Dashboard_Visual!$B$4), INDEX(Data_Monitoring!$L$2:$L$2920, MATCH(Dashboard_Visual!$B$4, Data_Monitoring!$A$2:$A$2920, 0) + 141 - 1), "")</f>
        <v/>
      </c>
      <c r="I142" t="str">
        <f>IF(AND(141&lt;=$P$2, ISNUMBER(D142), OR(H142="Warning", H142="Overgrade")), TEXT(ABS(D142)/100, "0.00%"), "")</f>
        <v/>
      </c>
      <c r="J142" t="e">
        <f t="shared" si="2"/>
        <v>#N/A</v>
      </c>
      <c r="K142" t="e">
        <f>IF(AND(141&lt;=$P$2, H142="Warning"), C142, NA())</f>
        <v>#N/A</v>
      </c>
      <c r="L142" t="e">
        <f>IF(AND(141&lt;=$P$2, H142="Overgrade"), C142, NA())</f>
        <v>#N/A</v>
      </c>
      <c r="M142">
        <f>IF(141&lt;=COUNTIF(Data_Monitoring!$A$2:$A$2920, Dashboard_Visual!$B$4), INDEX(Data_Monitoring!$S$2:$S$2920, MATCH(Dashboard_Visual!$B$4, Data_Monitoring!$A$2:$A$2920, 0) + 141 - 1), 1)</f>
        <v>1</v>
      </c>
    </row>
    <row r="143" spans="1:13" x14ac:dyDescent="0.25">
      <c r="A143" t="str">
        <f>IF(142&lt;=COUNTIF(Data_Monitoring!$A$2:$A$2920, Dashboard_Visual!$B$4), INDEX(Data_Monitoring!$B$2:$B$2920, MATCH(Dashboard_Visual!$B$4, Data_Monitoring!$A$2:$A$2920, 0) + 142 - 1), "")</f>
        <v/>
      </c>
      <c r="B143" t="str">
        <f>IF(142&lt;=COUNTIF(Data_Monitoring!$A$2:$A$2920, Dashboard_Visual!$B$4), INDEX(Data_Monitoring!$C$2:$C$2920, MATCH(Dashboard_Visual!$B$4, Data_Monitoring!$A$2:$A$2920, 0) + 142 - 1), "")</f>
        <v/>
      </c>
      <c r="C143" t="e">
        <f>IF(142&lt;=COUNTIF(Data_Monitoring!$A$2:$A$2920, Dashboard_Visual!$B$4), INDEX(Data_Monitoring!$J$2:$J$2920, MATCH(Dashboard_Visual!$B$4, Data_Monitoring!$A$2:$A$2920, 0) + 142 - 1), NA())</f>
        <v>#N/A</v>
      </c>
      <c r="D143" t="e">
        <f>IF(142&lt;=COUNTIF(Data_Monitoring!$A$2:$A$2920, Dashboard_Visual!$B$4), INDEX(Data_Monitoring!$K$2:$K$2920, MATCH(Dashboard_Visual!$B$4, Data_Monitoring!$A$2:$A$2920, 0) + 142 - 1), NA())</f>
        <v>#N/A</v>
      </c>
      <c r="E143">
        <f>IF(142&lt;=COUNTIF(Data_Monitoring!$A$2:$A$2920, Dashboard_Visual!$B$4), INDEX(Data_Monitoring!$H$2:$H$2920, MATCH(Dashboard_Visual!$B$4, Data_Monitoring!$A$2:$A$2920, 0) + 142 - 1), 0)</f>
        <v>0</v>
      </c>
      <c r="F143">
        <f>IF(142&lt;=COUNTIF(Data_Monitoring!$A$2:$A$2920, Dashboard_Visual!$B$4), INDEX(Data_Monitoring!$O$2:$O$2920, MATCH(Dashboard_Visual!$B$4, Data_Monitoring!$A$2:$A$2920, 0) + 142 - 1), 0)</f>
        <v>0</v>
      </c>
      <c r="G143">
        <f>IF(142&lt;=COUNTIF(Data_Monitoring!$A$2:$A$2920, Dashboard_Visual!$B$4), INDEX(Data_Monitoring!$Q$2:$Q$2920, MATCH(Dashboard_Visual!$B$4, Data_Monitoring!$A$2:$A$2920, 0) + 142 - 1), 0)</f>
        <v>0</v>
      </c>
      <c r="H143" t="str">
        <f>IF(142&lt;=COUNTIF(Data_Monitoring!$A$2:$A$2920, Dashboard_Visual!$B$4), INDEX(Data_Monitoring!$L$2:$L$2920, MATCH(Dashboard_Visual!$B$4, Data_Monitoring!$A$2:$A$2920, 0) + 142 - 1), "")</f>
        <v/>
      </c>
      <c r="I143" t="str">
        <f>IF(AND(142&lt;=$P$2, ISNUMBER(D143), OR(H143="Warning", H143="Overgrade")), TEXT(ABS(D143)/100, "0.00%"), "")</f>
        <v/>
      </c>
      <c r="J143" t="e">
        <f t="shared" si="2"/>
        <v>#N/A</v>
      </c>
      <c r="K143" t="e">
        <f>IF(AND(142&lt;=$P$2, H143="Warning"), C143, NA())</f>
        <v>#N/A</v>
      </c>
      <c r="L143" t="e">
        <f>IF(AND(142&lt;=$P$2, H143="Overgrade"), C143, NA())</f>
        <v>#N/A</v>
      </c>
      <c r="M143">
        <f>IF(142&lt;=COUNTIF(Data_Monitoring!$A$2:$A$2920, Dashboard_Visual!$B$4), INDEX(Data_Monitoring!$S$2:$S$2920, MATCH(Dashboard_Visual!$B$4, Data_Monitoring!$A$2:$A$2920, 0) + 142 - 1), 1)</f>
        <v>1</v>
      </c>
    </row>
    <row r="144" spans="1:13" x14ac:dyDescent="0.25">
      <c r="A144" t="str">
        <f>IF(143&lt;=COUNTIF(Data_Monitoring!$A$2:$A$2920, Dashboard_Visual!$B$4), INDEX(Data_Monitoring!$B$2:$B$2920, MATCH(Dashboard_Visual!$B$4, Data_Monitoring!$A$2:$A$2920, 0) + 143 - 1), "")</f>
        <v/>
      </c>
      <c r="B144" t="str">
        <f>IF(143&lt;=COUNTIF(Data_Monitoring!$A$2:$A$2920, Dashboard_Visual!$B$4), INDEX(Data_Monitoring!$C$2:$C$2920, MATCH(Dashboard_Visual!$B$4, Data_Monitoring!$A$2:$A$2920, 0) + 143 - 1), "")</f>
        <v/>
      </c>
      <c r="C144" t="e">
        <f>IF(143&lt;=COUNTIF(Data_Monitoring!$A$2:$A$2920, Dashboard_Visual!$B$4), INDEX(Data_Monitoring!$J$2:$J$2920, MATCH(Dashboard_Visual!$B$4, Data_Monitoring!$A$2:$A$2920, 0) + 143 - 1), NA())</f>
        <v>#N/A</v>
      </c>
      <c r="D144" t="e">
        <f>IF(143&lt;=COUNTIF(Data_Monitoring!$A$2:$A$2920, Dashboard_Visual!$B$4), INDEX(Data_Monitoring!$K$2:$K$2920, MATCH(Dashboard_Visual!$B$4, Data_Monitoring!$A$2:$A$2920, 0) + 143 - 1), NA())</f>
        <v>#N/A</v>
      </c>
      <c r="E144">
        <f>IF(143&lt;=COUNTIF(Data_Monitoring!$A$2:$A$2920, Dashboard_Visual!$B$4), INDEX(Data_Monitoring!$H$2:$H$2920, MATCH(Dashboard_Visual!$B$4, Data_Monitoring!$A$2:$A$2920, 0) + 143 - 1), 0)</f>
        <v>0</v>
      </c>
      <c r="F144">
        <f>IF(143&lt;=COUNTIF(Data_Monitoring!$A$2:$A$2920, Dashboard_Visual!$B$4), INDEX(Data_Monitoring!$O$2:$O$2920, MATCH(Dashboard_Visual!$B$4, Data_Monitoring!$A$2:$A$2920, 0) + 143 - 1), 0)</f>
        <v>0</v>
      </c>
      <c r="G144">
        <f>IF(143&lt;=COUNTIF(Data_Monitoring!$A$2:$A$2920, Dashboard_Visual!$B$4), INDEX(Data_Monitoring!$Q$2:$Q$2920, MATCH(Dashboard_Visual!$B$4, Data_Monitoring!$A$2:$A$2920, 0) + 143 - 1), 0)</f>
        <v>0</v>
      </c>
      <c r="H144" t="str">
        <f>IF(143&lt;=COUNTIF(Data_Monitoring!$A$2:$A$2920, Dashboard_Visual!$B$4), INDEX(Data_Monitoring!$L$2:$L$2920, MATCH(Dashboard_Visual!$B$4, Data_Monitoring!$A$2:$A$2920, 0) + 143 - 1), "")</f>
        <v/>
      </c>
      <c r="I144" t="str">
        <f>IF(AND(143&lt;=$P$2, ISNUMBER(D144), OR(H144="Warning", H144="Overgrade")), TEXT(ABS(D144)/100, "0.00%"), "")</f>
        <v/>
      </c>
      <c r="J144" t="e">
        <f t="shared" si="2"/>
        <v>#N/A</v>
      </c>
      <c r="K144" t="e">
        <f>IF(AND(143&lt;=$P$2, H144="Warning"), C144, NA())</f>
        <v>#N/A</v>
      </c>
      <c r="L144" t="e">
        <f>IF(AND(143&lt;=$P$2, H144="Overgrade"), C144, NA())</f>
        <v>#N/A</v>
      </c>
      <c r="M144">
        <f>IF(143&lt;=COUNTIF(Data_Monitoring!$A$2:$A$2920, Dashboard_Visual!$B$4), INDEX(Data_Monitoring!$S$2:$S$2920, MATCH(Dashboard_Visual!$B$4, Data_Monitoring!$A$2:$A$2920, 0) + 143 - 1), 1)</f>
        <v>1</v>
      </c>
    </row>
    <row r="145" spans="1:13" x14ac:dyDescent="0.25">
      <c r="A145" t="str">
        <f>IF(144&lt;=COUNTIF(Data_Monitoring!$A$2:$A$2920, Dashboard_Visual!$B$4), INDEX(Data_Monitoring!$B$2:$B$2920, MATCH(Dashboard_Visual!$B$4, Data_Monitoring!$A$2:$A$2920, 0) + 144 - 1), "")</f>
        <v/>
      </c>
      <c r="B145" t="str">
        <f>IF(144&lt;=COUNTIF(Data_Monitoring!$A$2:$A$2920, Dashboard_Visual!$B$4), INDEX(Data_Monitoring!$C$2:$C$2920, MATCH(Dashboard_Visual!$B$4, Data_Monitoring!$A$2:$A$2920, 0) + 144 - 1), "")</f>
        <v/>
      </c>
      <c r="C145" t="e">
        <f>IF(144&lt;=COUNTIF(Data_Monitoring!$A$2:$A$2920, Dashboard_Visual!$B$4), INDEX(Data_Monitoring!$J$2:$J$2920, MATCH(Dashboard_Visual!$B$4, Data_Monitoring!$A$2:$A$2920, 0) + 144 - 1), NA())</f>
        <v>#N/A</v>
      </c>
      <c r="D145" t="e">
        <f>IF(144&lt;=COUNTIF(Data_Monitoring!$A$2:$A$2920, Dashboard_Visual!$B$4), INDEX(Data_Monitoring!$K$2:$K$2920, MATCH(Dashboard_Visual!$B$4, Data_Monitoring!$A$2:$A$2920, 0) + 144 - 1), NA())</f>
        <v>#N/A</v>
      </c>
      <c r="E145">
        <f>IF(144&lt;=COUNTIF(Data_Monitoring!$A$2:$A$2920, Dashboard_Visual!$B$4), INDEX(Data_Monitoring!$H$2:$H$2920, MATCH(Dashboard_Visual!$B$4, Data_Monitoring!$A$2:$A$2920, 0) + 144 - 1), 0)</f>
        <v>0</v>
      </c>
      <c r="F145">
        <f>IF(144&lt;=COUNTIF(Data_Monitoring!$A$2:$A$2920, Dashboard_Visual!$B$4), INDEX(Data_Monitoring!$O$2:$O$2920, MATCH(Dashboard_Visual!$B$4, Data_Monitoring!$A$2:$A$2920, 0) + 144 - 1), 0)</f>
        <v>0</v>
      </c>
      <c r="G145">
        <f>IF(144&lt;=COUNTIF(Data_Monitoring!$A$2:$A$2920, Dashboard_Visual!$B$4), INDEX(Data_Monitoring!$Q$2:$Q$2920, MATCH(Dashboard_Visual!$B$4, Data_Monitoring!$A$2:$A$2920, 0) + 144 - 1), 0)</f>
        <v>0</v>
      </c>
      <c r="H145" t="str">
        <f>IF(144&lt;=COUNTIF(Data_Monitoring!$A$2:$A$2920, Dashboard_Visual!$B$4), INDEX(Data_Monitoring!$L$2:$L$2920, MATCH(Dashboard_Visual!$B$4, Data_Monitoring!$A$2:$A$2920, 0) + 144 - 1), "")</f>
        <v/>
      </c>
      <c r="I145" t="str">
        <f>IF(AND(144&lt;=$P$2, ISNUMBER(D145), OR(H145="Warning", H145="Overgrade")), TEXT(ABS(D145)/100, "0.00%"), "")</f>
        <v/>
      </c>
      <c r="J145" t="e">
        <f t="shared" si="2"/>
        <v>#N/A</v>
      </c>
      <c r="K145" t="e">
        <f>IF(AND(144&lt;=$P$2, H145="Warning"), C145, NA())</f>
        <v>#N/A</v>
      </c>
      <c r="L145" t="e">
        <f>IF(AND(144&lt;=$P$2, H145="Overgrade"), C145, NA())</f>
        <v>#N/A</v>
      </c>
      <c r="M145">
        <f>IF(144&lt;=COUNTIF(Data_Monitoring!$A$2:$A$2920, Dashboard_Visual!$B$4), INDEX(Data_Monitoring!$S$2:$S$2920, MATCH(Dashboard_Visual!$B$4, Data_Monitoring!$A$2:$A$2920, 0) + 144 - 1), 1)</f>
        <v>1</v>
      </c>
    </row>
    <row r="146" spans="1:13" x14ac:dyDescent="0.25">
      <c r="A146" t="str">
        <f>IF(145&lt;=COUNTIF(Data_Monitoring!$A$2:$A$2920, Dashboard_Visual!$B$4), INDEX(Data_Monitoring!$B$2:$B$2920, MATCH(Dashboard_Visual!$B$4, Data_Monitoring!$A$2:$A$2920, 0) + 145 - 1), "")</f>
        <v/>
      </c>
      <c r="B146" t="str">
        <f>IF(145&lt;=COUNTIF(Data_Monitoring!$A$2:$A$2920, Dashboard_Visual!$B$4), INDEX(Data_Monitoring!$C$2:$C$2920, MATCH(Dashboard_Visual!$B$4, Data_Monitoring!$A$2:$A$2920, 0) + 145 - 1), "")</f>
        <v/>
      </c>
      <c r="C146" t="e">
        <f>IF(145&lt;=COUNTIF(Data_Monitoring!$A$2:$A$2920, Dashboard_Visual!$B$4), INDEX(Data_Monitoring!$J$2:$J$2920, MATCH(Dashboard_Visual!$B$4, Data_Monitoring!$A$2:$A$2920, 0) + 145 - 1), NA())</f>
        <v>#N/A</v>
      </c>
      <c r="D146" t="e">
        <f>IF(145&lt;=COUNTIF(Data_Monitoring!$A$2:$A$2920, Dashboard_Visual!$B$4), INDEX(Data_Monitoring!$K$2:$K$2920, MATCH(Dashboard_Visual!$B$4, Data_Monitoring!$A$2:$A$2920, 0) + 145 - 1), NA())</f>
        <v>#N/A</v>
      </c>
      <c r="E146">
        <f>IF(145&lt;=COUNTIF(Data_Monitoring!$A$2:$A$2920, Dashboard_Visual!$B$4), INDEX(Data_Monitoring!$H$2:$H$2920, MATCH(Dashboard_Visual!$B$4, Data_Monitoring!$A$2:$A$2920, 0) + 145 - 1), 0)</f>
        <v>0</v>
      </c>
      <c r="F146">
        <f>IF(145&lt;=COUNTIF(Data_Monitoring!$A$2:$A$2920, Dashboard_Visual!$B$4), INDEX(Data_Monitoring!$O$2:$O$2920, MATCH(Dashboard_Visual!$B$4, Data_Monitoring!$A$2:$A$2920, 0) + 145 - 1), 0)</f>
        <v>0</v>
      </c>
      <c r="G146">
        <f>IF(145&lt;=COUNTIF(Data_Monitoring!$A$2:$A$2920, Dashboard_Visual!$B$4), INDEX(Data_Monitoring!$Q$2:$Q$2920, MATCH(Dashboard_Visual!$B$4, Data_Monitoring!$A$2:$A$2920, 0) + 145 - 1), 0)</f>
        <v>0</v>
      </c>
      <c r="H146" t="str">
        <f>IF(145&lt;=COUNTIF(Data_Monitoring!$A$2:$A$2920, Dashboard_Visual!$B$4), INDEX(Data_Monitoring!$L$2:$L$2920, MATCH(Dashboard_Visual!$B$4, Data_Monitoring!$A$2:$A$2920, 0) + 145 - 1), "")</f>
        <v/>
      </c>
      <c r="I146" t="str">
        <f>IF(AND(145&lt;=$P$2, ISNUMBER(D146), OR(H146="Warning", H146="Overgrade")), TEXT(ABS(D146)/100, "0.00%"), "")</f>
        <v/>
      </c>
      <c r="J146" t="e">
        <f t="shared" si="2"/>
        <v>#N/A</v>
      </c>
      <c r="K146" t="e">
        <f>IF(AND(145&lt;=$P$2, H146="Warning"), C146, NA())</f>
        <v>#N/A</v>
      </c>
      <c r="L146" t="e">
        <f>IF(AND(145&lt;=$P$2, H146="Overgrade"), C146, NA())</f>
        <v>#N/A</v>
      </c>
      <c r="M146">
        <f>IF(145&lt;=COUNTIF(Data_Monitoring!$A$2:$A$2920, Dashboard_Visual!$B$4), INDEX(Data_Monitoring!$S$2:$S$2920, MATCH(Dashboard_Visual!$B$4, Data_Monitoring!$A$2:$A$2920, 0) + 145 - 1), 1)</f>
        <v>1</v>
      </c>
    </row>
    <row r="147" spans="1:13" x14ac:dyDescent="0.25">
      <c r="A147" t="str">
        <f>IF(146&lt;=COUNTIF(Data_Monitoring!$A$2:$A$2920, Dashboard_Visual!$B$4), INDEX(Data_Monitoring!$B$2:$B$2920, MATCH(Dashboard_Visual!$B$4, Data_Monitoring!$A$2:$A$2920, 0) + 146 - 1), "")</f>
        <v/>
      </c>
      <c r="B147" t="str">
        <f>IF(146&lt;=COUNTIF(Data_Monitoring!$A$2:$A$2920, Dashboard_Visual!$B$4), INDEX(Data_Monitoring!$C$2:$C$2920, MATCH(Dashboard_Visual!$B$4, Data_Monitoring!$A$2:$A$2920, 0) + 146 - 1), "")</f>
        <v/>
      </c>
      <c r="C147" t="e">
        <f>IF(146&lt;=COUNTIF(Data_Monitoring!$A$2:$A$2920, Dashboard_Visual!$B$4), INDEX(Data_Monitoring!$J$2:$J$2920, MATCH(Dashboard_Visual!$B$4, Data_Monitoring!$A$2:$A$2920, 0) + 146 - 1), NA())</f>
        <v>#N/A</v>
      </c>
      <c r="D147" t="e">
        <f>IF(146&lt;=COUNTIF(Data_Monitoring!$A$2:$A$2920, Dashboard_Visual!$B$4), INDEX(Data_Monitoring!$K$2:$K$2920, MATCH(Dashboard_Visual!$B$4, Data_Monitoring!$A$2:$A$2920, 0) + 146 - 1), NA())</f>
        <v>#N/A</v>
      </c>
      <c r="E147">
        <f>IF(146&lt;=COUNTIF(Data_Monitoring!$A$2:$A$2920, Dashboard_Visual!$B$4), INDEX(Data_Monitoring!$H$2:$H$2920, MATCH(Dashboard_Visual!$B$4, Data_Monitoring!$A$2:$A$2920, 0) + 146 - 1), 0)</f>
        <v>0</v>
      </c>
      <c r="F147">
        <f>IF(146&lt;=COUNTIF(Data_Monitoring!$A$2:$A$2920, Dashboard_Visual!$B$4), INDEX(Data_Monitoring!$O$2:$O$2920, MATCH(Dashboard_Visual!$B$4, Data_Monitoring!$A$2:$A$2920, 0) + 146 - 1), 0)</f>
        <v>0</v>
      </c>
      <c r="G147">
        <f>IF(146&lt;=COUNTIF(Data_Monitoring!$A$2:$A$2920, Dashboard_Visual!$B$4), INDEX(Data_Monitoring!$Q$2:$Q$2920, MATCH(Dashboard_Visual!$B$4, Data_Monitoring!$A$2:$A$2920, 0) + 146 - 1), 0)</f>
        <v>0</v>
      </c>
      <c r="H147" t="str">
        <f>IF(146&lt;=COUNTIF(Data_Monitoring!$A$2:$A$2920, Dashboard_Visual!$B$4), INDEX(Data_Monitoring!$L$2:$L$2920, MATCH(Dashboard_Visual!$B$4, Data_Monitoring!$A$2:$A$2920, 0) + 146 - 1), "")</f>
        <v/>
      </c>
      <c r="I147" t="str">
        <f>IF(AND(146&lt;=$P$2, ISNUMBER(D147), OR(H147="Warning", H147="Overgrade")), TEXT(ABS(D147)/100, "0.00%"), "")</f>
        <v/>
      </c>
      <c r="J147" t="e">
        <f t="shared" si="2"/>
        <v>#N/A</v>
      </c>
      <c r="K147" t="e">
        <f>IF(AND(146&lt;=$P$2, H147="Warning"), C147, NA())</f>
        <v>#N/A</v>
      </c>
      <c r="L147" t="e">
        <f>IF(AND(146&lt;=$P$2, H147="Overgrade"), C147, NA())</f>
        <v>#N/A</v>
      </c>
      <c r="M147">
        <f>IF(146&lt;=COUNTIF(Data_Monitoring!$A$2:$A$2920, Dashboard_Visual!$B$4), INDEX(Data_Monitoring!$S$2:$S$2920, MATCH(Dashboard_Visual!$B$4, Data_Monitoring!$A$2:$A$2920, 0) + 146 - 1), 1)</f>
        <v>1</v>
      </c>
    </row>
    <row r="148" spans="1:13" x14ac:dyDescent="0.25">
      <c r="A148" t="str">
        <f>IF(147&lt;=COUNTIF(Data_Monitoring!$A$2:$A$2920, Dashboard_Visual!$B$4), INDEX(Data_Monitoring!$B$2:$B$2920, MATCH(Dashboard_Visual!$B$4, Data_Monitoring!$A$2:$A$2920, 0) + 147 - 1), "")</f>
        <v/>
      </c>
      <c r="B148" t="str">
        <f>IF(147&lt;=COUNTIF(Data_Monitoring!$A$2:$A$2920, Dashboard_Visual!$B$4), INDEX(Data_Monitoring!$C$2:$C$2920, MATCH(Dashboard_Visual!$B$4, Data_Monitoring!$A$2:$A$2920, 0) + 147 - 1), "")</f>
        <v/>
      </c>
      <c r="C148" t="e">
        <f>IF(147&lt;=COUNTIF(Data_Monitoring!$A$2:$A$2920, Dashboard_Visual!$B$4), INDEX(Data_Monitoring!$J$2:$J$2920, MATCH(Dashboard_Visual!$B$4, Data_Monitoring!$A$2:$A$2920, 0) + 147 - 1), NA())</f>
        <v>#N/A</v>
      </c>
      <c r="D148" t="e">
        <f>IF(147&lt;=COUNTIF(Data_Monitoring!$A$2:$A$2920, Dashboard_Visual!$B$4), INDEX(Data_Monitoring!$K$2:$K$2920, MATCH(Dashboard_Visual!$B$4, Data_Monitoring!$A$2:$A$2920, 0) + 147 - 1), NA())</f>
        <v>#N/A</v>
      </c>
      <c r="E148">
        <f>IF(147&lt;=COUNTIF(Data_Monitoring!$A$2:$A$2920, Dashboard_Visual!$B$4), INDEX(Data_Monitoring!$H$2:$H$2920, MATCH(Dashboard_Visual!$B$4, Data_Monitoring!$A$2:$A$2920, 0) + 147 - 1), 0)</f>
        <v>0</v>
      </c>
      <c r="F148">
        <f>IF(147&lt;=COUNTIF(Data_Monitoring!$A$2:$A$2920, Dashboard_Visual!$B$4), INDEX(Data_Monitoring!$O$2:$O$2920, MATCH(Dashboard_Visual!$B$4, Data_Monitoring!$A$2:$A$2920, 0) + 147 - 1), 0)</f>
        <v>0</v>
      </c>
      <c r="G148">
        <f>IF(147&lt;=COUNTIF(Data_Monitoring!$A$2:$A$2920, Dashboard_Visual!$B$4), INDEX(Data_Monitoring!$Q$2:$Q$2920, MATCH(Dashboard_Visual!$B$4, Data_Monitoring!$A$2:$A$2920, 0) + 147 - 1), 0)</f>
        <v>0</v>
      </c>
      <c r="H148" t="str">
        <f>IF(147&lt;=COUNTIF(Data_Monitoring!$A$2:$A$2920, Dashboard_Visual!$B$4), INDEX(Data_Monitoring!$L$2:$L$2920, MATCH(Dashboard_Visual!$B$4, Data_Monitoring!$A$2:$A$2920, 0) + 147 - 1), "")</f>
        <v/>
      </c>
      <c r="I148" t="str">
        <f>IF(AND(147&lt;=$P$2, ISNUMBER(D148), OR(H148="Warning", H148="Overgrade")), TEXT(ABS(D148)/100, "0.00%"), "")</f>
        <v/>
      </c>
      <c r="J148" t="e">
        <f t="shared" si="2"/>
        <v>#N/A</v>
      </c>
      <c r="K148" t="e">
        <f>IF(AND(147&lt;=$P$2, H148="Warning"), C148, NA())</f>
        <v>#N/A</v>
      </c>
      <c r="L148" t="e">
        <f>IF(AND(147&lt;=$P$2, H148="Overgrade"), C148, NA())</f>
        <v>#N/A</v>
      </c>
      <c r="M148">
        <f>IF(147&lt;=COUNTIF(Data_Monitoring!$A$2:$A$2920, Dashboard_Visual!$B$4), INDEX(Data_Monitoring!$S$2:$S$2920, MATCH(Dashboard_Visual!$B$4, Data_Monitoring!$A$2:$A$2920, 0) + 147 - 1), 1)</f>
        <v>1</v>
      </c>
    </row>
    <row r="149" spans="1:13" x14ac:dyDescent="0.25">
      <c r="A149" t="str">
        <f>IF(148&lt;=COUNTIF(Data_Monitoring!$A$2:$A$2920, Dashboard_Visual!$B$4), INDEX(Data_Monitoring!$B$2:$B$2920, MATCH(Dashboard_Visual!$B$4, Data_Monitoring!$A$2:$A$2920, 0) + 148 - 1), "")</f>
        <v/>
      </c>
      <c r="B149" t="str">
        <f>IF(148&lt;=COUNTIF(Data_Monitoring!$A$2:$A$2920, Dashboard_Visual!$B$4), INDEX(Data_Monitoring!$C$2:$C$2920, MATCH(Dashboard_Visual!$B$4, Data_Monitoring!$A$2:$A$2920, 0) + 148 - 1), "")</f>
        <v/>
      </c>
      <c r="C149" t="e">
        <f>IF(148&lt;=COUNTIF(Data_Monitoring!$A$2:$A$2920, Dashboard_Visual!$B$4), INDEX(Data_Monitoring!$J$2:$J$2920, MATCH(Dashboard_Visual!$B$4, Data_Monitoring!$A$2:$A$2920, 0) + 148 - 1), NA())</f>
        <v>#N/A</v>
      </c>
      <c r="D149" t="e">
        <f>IF(148&lt;=COUNTIF(Data_Monitoring!$A$2:$A$2920, Dashboard_Visual!$B$4), INDEX(Data_Monitoring!$K$2:$K$2920, MATCH(Dashboard_Visual!$B$4, Data_Monitoring!$A$2:$A$2920, 0) + 148 - 1), NA())</f>
        <v>#N/A</v>
      </c>
      <c r="E149">
        <f>IF(148&lt;=COUNTIF(Data_Monitoring!$A$2:$A$2920, Dashboard_Visual!$B$4), INDEX(Data_Monitoring!$H$2:$H$2920, MATCH(Dashboard_Visual!$B$4, Data_Monitoring!$A$2:$A$2920, 0) + 148 - 1), 0)</f>
        <v>0</v>
      </c>
      <c r="F149">
        <f>IF(148&lt;=COUNTIF(Data_Monitoring!$A$2:$A$2920, Dashboard_Visual!$B$4), INDEX(Data_Monitoring!$O$2:$O$2920, MATCH(Dashboard_Visual!$B$4, Data_Monitoring!$A$2:$A$2920, 0) + 148 - 1), 0)</f>
        <v>0</v>
      </c>
      <c r="G149">
        <f>IF(148&lt;=COUNTIF(Data_Monitoring!$A$2:$A$2920, Dashboard_Visual!$B$4), INDEX(Data_Monitoring!$Q$2:$Q$2920, MATCH(Dashboard_Visual!$B$4, Data_Monitoring!$A$2:$A$2920, 0) + 148 - 1), 0)</f>
        <v>0</v>
      </c>
      <c r="H149" t="str">
        <f>IF(148&lt;=COUNTIF(Data_Monitoring!$A$2:$A$2920, Dashboard_Visual!$B$4), INDEX(Data_Monitoring!$L$2:$L$2920, MATCH(Dashboard_Visual!$B$4, Data_Monitoring!$A$2:$A$2920, 0) + 148 - 1), "")</f>
        <v/>
      </c>
      <c r="I149" t="str">
        <f>IF(AND(148&lt;=$P$2, ISNUMBER(D149), OR(H149="Warning", H149="Overgrade")), TEXT(ABS(D149)/100, "0.00%"), "")</f>
        <v/>
      </c>
      <c r="J149" t="e">
        <f t="shared" si="2"/>
        <v>#N/A</v>
      </c>
      <c r="K149" t="e">
        <f>IF(AND(148&lt;=$P$2, H149="Warning"), C149, NA())</f>
        <v>#N/A</v>
      </c>
      <c r="L149" t="e">
        <f>IF(AND(148&lt;=$P$2, H149="Overgrade"), C149, NA())</f>
        <v>#N/A</v>
      </c>
      <c r="M149">
        <f>IF(148&lt;=COUNTIF(Data_Monitoring!$A$2:$A$2920, Dashboard_Visual!$B$4), INDEX(Data_Monitoring!$S$2:$S$2920, MATCH(Dashboard_Visual!$B$4, Data_Monitoring!$A$2:$A$2920, 0) + 148 - 1), 1)</f>
        <v>1</v>
      </c>
    </row>
    <row r="150" spans="1:13" x14ac:dyDescent="0.25">
      <c r="A150" t="str">
        <f>IF(149&lt;=COUNTIF(Data_Monitoring!$A$2:$A$2920, Dashboard_Visual!$B$4), INDEX(Data_Monitoring!$B$2:$B$2920, MATCH(Dashboard_Visual!$B$4, Data_Monitoring!$A$2:$A$2920, 0) + 149 - 1), "")</f>
        <v/>
      </c>
      <c r="B150" t="str">
        <f>IF(149&lt;=COUNTIF(Data_Monitoring!$A$2:$A$2920, Dashboard_Visual!$B$4), INDEX(Data_Monitoring!$C$2:$C$2920, MATCH(Dashboard_Visual!$B$4, Data_Monitoring!$A$2:$A$2920, 0) + 149 - 1), "")</f>
        <v/>
      </c>
      <c r="C150" t="e">
        <f>IF(149&lt;=COUNTIF(Data_Monitoring!$A$2:$A$2920, Dashboard_Visual!$B$4), INDEX(Data_Monitoring!$J$2:$J$2920, MATCH(Dashboard_Visual!$B$4, Data_Monitoring!$A$2:$A$2920, 0) + 149 - 1), NA())</f>
        <v>#N/A</v>
      </c>
      <c r="D150" t="e">
        <f>IF(149&lt;=COUNTIF(Data_Monitoring!$A$2:$A$2920, Dashboard_Visual!$B$4), INDEX(Data_Monitoring!$K$2:$K$2920, MATCH(Dashboard_Visual!$B$4, Data_Monitoring!$A$2:$A$2920, 0) + 149 - 1), NA())</f>
        <v>#N/A</v>
      </c>
      <c r="E150">
        <f>IF(149&lt;=COUNTIF(Data_Monitoring!$A$2:$A$2920, Dashboard_Visual!$B$4), INDEX(Data_Monitoring!$H$2:$H$2920, MATCH(Dashboard_Visual!$B$4, Data_Monitoring!$A$2:$A$2920, 0) + 149 - 1), 0)</f>
        <v>0</v>
      </c>
      <c r="F150">
        <f>IF(149&lt;=COUNTIF(Data_Monitoring!$A$2:$A$2920, Dashboard_Visual!$B$4), INDEX(Data_Monitoring!$O$2:$O$2920, MATCH(Dashboard_Visual!$B$4, Data_Monitoring!$A$2:$A$2920, 0) + 149 - 1), 0)</f>
        <v>0</v>
      </c>
      <c r="G150">
        <f>IF(149&lt;=COUNTIF(Data_Monitoring!$A$2:$A$2920, Dashboard_Visual!$B$4), INDEX(Data_Monitoring!$Q$2:$Q$2920, MATCH(Dashboard_Visual!$B$4, Data_Monitoring!$A$2:$A$2920, 0) + 149 - 1), 0)</f>
        <v>0</v>
      </c>
      <c r="H150" t="str">
        <f>IF(149&lt;=COUNTIF(Data_Monitoring!$A$2:$A$2920, Dashboard_Visual!$B$4), INDEX(Data_Monitoring!$L$2:$L$2920, MATCH(Dashboard_Visual!$B$4, Data_Monitoring!$A$2:$A$2920, 0) + 149 - 1), "")</f>
        <v/>
      </c>
      <c r="I150" t="str">
        <f>IF(AND(149&lt;=$P$2, ISNUMBER(D150), OR(H150="Warning", H150="Overgrade")), TEXT(ABS(D150)/100, "0.00%"), "")</f>
        <v/>
      </c>
      <c r="J150" t="e">
        <f t="shared" si="2"/>
        <v>#N/A</v>
      </c>
      <c r="K150" t="e">
        <f>IF(AND(149&lt;=$P$2, H150="Warning"), C150, NA())</f>
        <v>#N/A</v>
      </c>
      <c r="L150" t="e">
        <f>IF(AND(149&lt;=$P$2, H150="Overgrade"), C150, NA())</f>
        <v>#N/A</v>
      </c>
      <c r="M150">
        <f>IF(149&lt;=COUNTIF(Data_Monitoring!$A$2:$A$2920, Dashboard_Visual!$B$4), INDEX(Data_Monitoring!$S$2:$S$2920, MATCH(Dashboard_Visual!$B$4, Data_Monitoring!$A$2:$A$2920, 0) + 149 - 1), 1)</f>
        <v>1</v>
      </c>
    </row>
    <row r="151" spans="1:13" x14ac:dyDescent="0.25">
      <c r="A151" t="str">
        <f>IF(150&lt;=COUNTIF(Data_Monitoring!$A$2:$A$2920, Dashboard_Visual!$B$4), INDEX(Data_Monitoring!$B$2:$B$2920, MATCH(Dashboard_Visual!$B$4, Data_Monitoring!$A$2:$A$2920, 0) + 150 - 1), "")</f>
        <v/>
      </c>
      <c r="B151" t="str">
        <f>IF(150&lt;=COUNTIF(Data_Monitoring!$A$2:$A$2920, Dashboard_Visual!$B$4), INDEX(Data_Monitoring!$C$2:$C$2920, MATCH(Dashboard_Visual!$B$4, Data_Monitoring!$A$2:$A$2920, 0) + 150 - 1), "")</f>
        <v/>
      </c>
      <c r="C151" t="e">
        <f>IF(150&lt;=COUNTIF(Data_Monitoring!$A$2:$A$2920, Dashboard_Visual!$B$4), INDEX(Data_Monitoring!$J$2:$J$2920, MATCH(Dashboard_Visual!$B$4, Data_Monitoring!$A$2:$A$2920, 0) + 150 - 1), NA())</f>
        <v>#N/A</v>
      </c>
      <c r="D151" t="e">
        <f>IF(150&lt;=COUNTIF(Data_Monitoring!$A$2:$A$2920, Dashboard_Visual!$B$4), INDEX(Data_Monitoring!$K$2:$K$2920, MATCH(Dashboard_Visual!$B$4, Data_Monitoring!$A$2:$A$2920, 0) + 150 - 1), NA())</f>
        <v>#N/A</v>
      </c>
      <c r="E151">
        <f>IF(150&lt;=COUNTIF(Data_Monitoring!$A$2:$A$2920, Dashboard_Visual!$B$4), INDEX(Data_Monitoring!$H$2:$H$2920, MATCH(Dashboard_Visual!$B$4, Data_Monitoring!$A$2:$A$2920, 0) + 150 - 1), 0)</f>
        <v>0</v>
      </c>
      <c r="F151">
        <f>IF(150&lt;=COUNTIF(Data_Monitoring!$A$2:$A$2920, Dashboard_Visual!$B$4), INDEX(Data_Monitoring!$O$2:$O$2920, MATCH(Dashboard_Visual!$B$4, Data_Monitoring!$A$2:$A$2920, 0) + 150 - 1), 0)</f>
        <v>0</v>
      </c>
      <c r="G151">
        <f>IF(150&lt;=COUNTIF(Data_Monitoring!$A$2:$A$2920, Dashboard_Visual!$B$4), INDEX(Data_Monitoring!$Q$2:$Q$2920, MATCH(Dashboard_Visual!$B$4, Data_Monitoring!$A$2:$A$2920, 0) + 150 - 1), 0)</f>
        <v>0</v>
      </c>
      <c r="H151" t="str">
        <f>IF(150&lt;=COUNTIF(Data_Monitoring!$A$2:$A$2920, Dashboard_Visual!$B$4), INDEX(Data_Monitoring!$L$2:$L$2920, MATCH(Dashboard_Visual!$B$4, Data_Monitoring!$A$2:$A$2920, 0) + 150 - 1), "")</f>
        <v/>
      </c>
      <c r="I151" t="str">
        <f>IF(AND(150&lt;=$P$2, ISNUMBER(D151), OR(H151="Warning", H151="Overgrade")), TEXT(ABS(D151)/100, "0.00%"), "")</f>
        <v/>
      </c>
      <c r="J151" t="e">
        <f t="shared" si="2"/>
        <v>#N/A</v>
      </c>
      <c r="K151" t="e">
        <f>IF(AND(150&lt;=$P$2, H151="Warning"), C151, NA())</f>
        <v>#N/A</v>
      </c>
      <c r="L151" t="e">
        <f>IF(AND(150&lt;=$P$2, H151="Overgrade"), C151, NA())</f>
        <v>#N/A</v>
      </c>
      <c r="M151">
        <f>IF(150&lt;=COUNTIF(Data_Monitoring!$A$2:$A$2920, Dashboard_Visual!$B$4), INDEX(Data_Monitoring!$S$2:$S$2920, MATCH(Dashboard_Visual!$B$4, Data_Monitoring!$A$2:$A$2920, 0) + 150 - 1), 1)</f>
        <v>1</v>
      </c>
    </row>
    <row r="152" spans="1:13" x14ac:dyDescent="0.25">
      <c r="A152" t="str">
        <f>IF(151&lt;=COUNTIF(Data_Monitoring!$A$2:$A$2920, Dashboard_Visual!$B$4), INDEX(Data_Monitoring!$B$2:$B$2920, MATCH(Dashboard_Visual!$B$4, Data_Monitoring!$A$2:$A$2920, 0) + 151 - 1), "")</f>
        <v/>
      </c>
      <c r="B152" t="str">
        <f>IF(151&lt;=COUNTIF(Data_Monitoring!$A$2:$A$2920, Dashboard_Visual!$B$4), INDEX(Data_Monitoring!$C$2:$C$2920, MATCH(Dashboard_Visual!$B$4, Data_Monitoring!$A$2:$A$2920, 0) + 151 - 1), "")</f>
        <v/>
      </c>
      <c r="C152" t="e">
        <f>IF(151&lt;=COUNTIF(Data_Monitoring!$A$2:$A$2920, Dashboard_Visual!$B$4), INDEX(Data_Monitoring!$J$2:$J$2920, MATCH(Dashboard_Visual!$B$4, Data_Monitoring!$A$2:$A$2920, 0) + 151 - 1), NA())</f>
        <v>#N/A</v>
      </c>
      <c r="D152" t="e">
        <f>IF(151&lt;=COUNTIF(Data_Monitoring!$A$2:$A$2920, Dashboard_Visual!$B$4), INDEX(Data_Monitoring!$K$2:$K$2920, MATCH(Dashboard_Visual!$B$4, Data_Monitoring!$A$2:$A$2920, 0) + 151 - 1), NA())</f>
        <v>#N/A</v>
      </c>
      <c r="E152">
        <f>IF(151&lt;=COUNTIF(Data_Monitoring!$A$2:$A$2920, Dashboard_Visual!$B$4), INDEX(Data_Monitoring!$H$2:$H$2920, MATCH(Dashboard_Visual!$B$4, Data_Monitoring!$A$2:$A$2920, 0) + 151 - 1), 0)</f>
        <v>0</v>
      </c>
      <c r="F152">
        <f>IF(151&lt;=COUNTIF(Data_Monitoring!$A$2:$A$2920, Dashboard_Visual!$B$4), INDEX(Data_Monitoring!$O$2:$O$2920, MATCH(Dashboard_Visual!$B$4, Data_Monitoring!$A$2:$A$2920, 0) + 151 - 1), 0)</f>
        <v>0</v>
      </c>
      <c r="G152">
        <f>IF(151&lt;=COUNTIF(Data_Monitoring!$A$2:$A$2920, Dashboard_Visual!$B$4), INDEX(Data_Monitoring!$Q$2:$Q$2920, MATCH(Dashboard_Visual!$B$4, Data_Monitoring!$A$2:$A$2920, 0) + 151 - 1), 0)</f>
        <v>0</v>
      </c>
      <c r="H152" t="str">
        <f>IF(151&lt;=COUNTIF(Data_Monitoring!$A$2:$A$2920, Dashboard_Visual!$B$4), INDEX(Data_Monitoring!$L$2:$L$2920, MATCH(Dashboard_Visual!$B$4, Data_Monitoring!$A$2:$A$2920, 0) + 151 - 1), "")</f>
        <v/>
      </c>
      <c r="I152" t="str">
        <f>IF(AND(151&lt;=$P$2, ISNUMBER(D152), OR(H152="Warning", H152="Overgrade")), TEXT(ABS(D152)/100, "0.00%"), "")</f>
        <v/>
      </c>
      <c r="J152" t="e">
        <f t="shared" si="2"/>
        <v>#N/A</v>
      </c>
      <c r="K152" t="e">
        <f>IF(AND(151&lt;=$P$2, H152="Warning"), C152, NA())</f>
        <v>#N/A</v>
      </c>
      <c r="L152" t="e">
        <f>IF(AND(151&lt;=$P$2, H152="Overgrade"), C152, NA())</f>
        <v>#N/A</v>
      </c>
      <c r="M152">
        <f>IF(151&lt;=COUNTIF(Data_Monitoring!$A$2:$A$2920, Dashboard_Visual!$B$4), INDEX(Data_Monitoring!$S$2:$S$2920, MATCH(Dashboard_Visual!$B$4, Data_Monitoring!$A$2:$A$2920, 0) + 151 - 1), 1)</f>
        <v>1</v>
      </c>
    </row>
    <row r="153" spans="1:13" x14ac:dyDescent="0.25">
      <c r="A153" t="str">
        <f>IF(152&lt;=COUNTIF(Data_Monitoring!$A$2:$A$2920, Dashboard_Visual!$B$4), INDEX(Data_Monitoring!$B$2:$B$2920, MATCH(Dashboard_Visual!$B$4, Data_Monitoring!$A$2:$A$2920, 0) + 152 - 1), "")</f>
        <v/>
      </c>
      <c r="B153" t="str">
        <f>IF(152&lt;=COUNTIF(Data_Monitoring!$A$2:$A$2920, Dashboard_Visual!$B$4), INDEX(Data_Monitoring!$C$2:$C$2920, MATCH(Dashboard_Visual!$B$4, Data_Monitoring!$A$2:$A$2920, 0) + 152 - 1), "")</f>
        <v/>
      </c>
      <c r="C153" t="e">
        <f>IF(152&lt;=COUNTIF(Data_Monitoring!$A$2:$A$2920, Dashboard_Visual!$B$4), INDEX(Data_Monitoring!$J$2:$J$2920, MATCH(Dashboard_Visual!$B$4, Data_Monitoring!$A$2:$A$2920, 0) + 152 - 1), NA())</f>
        <v>#N/A</v>
      </c>
      <c r="D153" t="e">
        <f>IF(152&lt;=COUNTIF(Data_Monitoring!$A$2:$A$2920, Dashboard_Visual!$B$4), INDEX(Data_Monitoring!$K$2:$K$2920, MATCH(Dashboard_Visual!$B$4, Data_Monitoring!$A$2:$A$2920, 0) + 152 - 1), NA())</f>
        <v>#N/A</v>
      </c>
      <c r="E153">
        <f>IF(152&lt;=COUNTIF(Data_Monitoring!$A$2:$A$2920, Dashboard_Visual!$B$4), INDEX(Data_Monitoring!$H$2:$H$2920, MATCH(Dashboard_Visual!$B$4, Data_Monitoring!$A$2:$A$2920, 0) + 152 - 1), 0)</f>
        <v>0</v>
      </c>
      <c r="F153">
        <f>IF(152&lt;=COUNTIF(Data_Monitoring!$A$2:$A$2920, Dashboard_Visual!$B$4), INDEX(Data_Monitoring!$O$2:$O$2920, MATCH(Dashboard_Visual!$B$4, Data_Monitoring!$A$2:$A$2920, 0) + 152 - 1), 0)</f>
        <v>0</v>
      </c>
      <c r="G153">
        <f>IF(152&lt;=COUNTIF(Data_Monitoring!$A$2:$A$2920, Dashboard_Visual!$B$4), INDEX(Data_Monitoring!$Q$2:$Q$2920, MATCH(Dashboard_Visual!$B$4, Data_Monitoring!$A$2:$A$2920, 0) + 152 - 1), 0)</f>
        <v>0</v>
      </c>
      <c r="H153" t="str">
        <f>IF(152&lt;=COUNTIF(Data_Monitoring!$A$2:$A$2920, Dashboard_Visual!$B$4), INDEX(Data_Monitoring!$L$2:$L$2920, MATCH(Dashboard_Visual!$B$4, Data_Monitoring!$A$2:$A$2920, 0) + 152 - 1), "")</f>
        <v/>
      </c>
      <c r="I153" t="str">
        <f>IF(AND(152&lt;=$P$2, ISNUMBER(D153), OR(H153="Warning", H153="Overgrade")), TEXT(ABS(D153)/100, "0.00%"), "")</f>
        <v/>
      </c>
      <c r="J153" t="e">
        <f t="shared" si="2"/>
        <v>#N/A</v>
      </c>
      <c r="K153" t="e">
        <f>IF(AND(152&lt;=$P$2, H153="Warning"), C153, NA())</f>
        <v>#N/A</v>
      </c>
      <c r="L153" t="e">
        <f>IF(AND(152&lt;=$P$2, H153="Overgrade"), C153, NA())</f>
        <v>#N/A</v>
      </c>
      <c r="M153">
        <f>IF(152&lt;=COUNTIF(Data_Monitoring!$A$2:$A$2920, Dashboard_Visual!$B$4), INDEX(Data_Monitoring!$S$2:$S$2920, MATCH(Dashboard_Visual!$B$4, Data_Monitoring!$A$2:$A$2920, 0) + 152 - 1), 1)</f>
        <v>1</v>
      </c>
    </row>
    <row r="154" spans="1:13" x14ac:dyDescent="0.25">
      <c r="A154" t="str">
        <f>IF(153&lt;=COUNTIF(Data_Monitoring!$A$2:$A$2920, Dashboard_Visual!$B$4), INDEX(Data_Monitoring!$B$2:$B$2920, MATCH(Dashboard_Visual!$B$4, Data_Monitoring!$A$2:$A$2920, 0) + 153 - 1), "")</f>
        <v/>
      </c>
      <c r="B154" t="str">
        <f>IF(153&lt;=COUNTIF(Data_Monitoring!$A$2:$A$2920, Dashboard_Visual!$B$4), INDEX(Data_Monitoring!$C$2:$C$2920, MATCH(Dashboard_Visual!$B$4, Data_Monitoring!$A$2:$A$2920, 0) + 153 - 1), "")</f>
        <v/>
      </c>
      <c r="C154" t="e">
        <f>IF(153&lt;=COUNTIF(Data_Monitoring!$A$2:$A$2920, Dashboard_Visual!$B$4), INDEX(Data_Monitoring!$J$2:$J$2920, MATCH(Dashboard_Visual!$B$4, Data_Monitoring!$A$2:$A$2920, 0) + 153 - 1), NA())</f>
        <v>#N/A</v>
      </c>
      <c r="D154" t="e">
        <f>IF(153&lt;=COUNTIF(Data_Monitoring!$A$2:$A$2920, Dashboard_Visual!$B$4), INDEX(Data_Monitoring!$K$2:$K$2920, MATCH(Dashboard_Visual!$B$4, Data_Monitoring!$A$2:$A$2920, 0) + 153 - 1), NA())</f>
        <v>#N/A</v>
      </c>
      <c r="E154">
        <f>IF(153&lt;=COUNTIF(Data_Monitoring!$A$2:$A$2920, Dashboard_Visual!$B$4), INDEX(Data_Monitoring!$H$2:$H$2920, MATCH(Dashboard_Visual!$B$4, Data_Monitoring!$A$2:$A$2920, 0) + 153 - 1), 0)</f>
        <v>0</v>
      </c>
      <c r="F154">
        <f>IF(153&lt;=COUNTIF(Data_Monitoring!$A$2:$A$2920, Dashboard_Visual!$B$4), INDEX(Data_Monitoring!$O$2:$O$2920, MATCH(Dashboard_Visual!$B$4, Data_Monitoring!$A$2:$A$2920, 0) + 153 - 1), 0)</f>
        <v>0</v>
      </c>
      <c r="G154">
        <f>IF(153&lt;=COUNTIF(Data_Monitoring!$A$2:$A$2920, Dashboard_Visual!$B$4), INDEX(Data_Monitoring!$Q$2:$Q$2920, MATCH(Dashboard_Visual!$B$4, Data_Monitoring!$A$2:$A$2920, 0) + 153 - 1), 0)</f>
        <v>0</v>
      </c>
      <c r="H154" t="str">
        <f>IF(153&lt;=COUNTIF(Data_Monitoring!$A$2:$A$2920, Dashboard_Visual!$B$4), INDEX(Data_Monitoring!$L$2:$L$2920, MATCH(Dashboard_Visual!$B$4, Data_Monitoring!$A$2:$A$2920, 0) + 153 - 1), "")</f>
        <v/>
      </c>
      <c r="I154" t="str">
        <f>IF(AND(153&lt;=$P$2, ISNUMBER(D154), OR(H154="Warning", H154="Overgrade")), TEXT(ABS(D154)/100, "0.00%"), "")</f>
        <v/>
      </c>
      <c r="J154" t="e">
        <f t="shared" si="2"/>
        <v>#N/A</v>
      </c>
      <c r="K154" t="e">
        <f>IF(AND(153&lt;=$P$2, H154="Warning"), C154, NA())</f>
        <v>#N/A</v>
      </c>
      <c r="L154" t="e">
        <f>IF(AND(153&lt;=$P$2, H154="Overgrade"), C154, NA())</f>
        <v>#N/A</v>
      </c>
      <c r="M154">
        <f>IF(153&lt;=COUNTIF(Data_Monitoring!$A$2:$A$2920, Dashboard_Visual!$B$4), INDEX(Data_Monitoring!$S$2:$S$2920, MATCH(Dashboard_Visual!$B$4, Data_Monitoring!$A$2:$A$2920, 0) + 153 - 1), 1)</f>
        <v>1</v>
      </c>
    </row>
    <row r="155" spans="1:13" x14ac:dyDescent="0.25">
      <c r="A155" t="str">
        <f>IF(154&lt;=COUNTIF(Data_Monitoring!$A$2:$A$2920, Dashboard_Visual!$B$4), INDEX(Data_Monitoring!$B$2:$B$2920, MATCH(Dashboard_Visual!$B$4, Data_Monitoring!$A$2:$A$2920, 0) + 154 - 1), "")</f>
        <v/>
      </c>
      <c r="B155" t="str">
        <f>IF(154&lt;=COUNTIF(Data_Monitoring!$A$2:$A$2920, Dashboard_Visual!$B$4), INDEX(Data_Monitoring!$C$2:$C$2920, MATCH(Dashboard_Visual!$B$4, Data_Monitoring!$A$2:$A$2920, 0) + 154 - 1), "")</f>
        <v/>
      </c>
      <c r="C155" t="e">
        <f>IF(154&lt;=COUNTIF(Data_Monitoring!$A$2:$A$2920, Dashboard_Visual!$B$4), INDEX(Data_Monitoring!$J$2:$J$2920, MATCH(Dashboard_Visual!$B$4, Data_Monitoring!$A$2:$A$2920, 0) + 154 - 1), NA())</f>
        <v>#N/A</v>
      </c>
      <c r="D155" t="e">
        <f>IF(154&lt;=COUNTIF(Data_Monitoring!$A$2:$A$2920, Dashboard_Visual!$B$4), INDEX(Data_Monitoring!$K$2:$K$2920, MATCH(Dashboard_Visual!$B$4, Data_Monitoring!$A$2:$A$2920, 0) + 154 - 1), NA())</f>
        <v>#N/A</v>
      </c>
      <c r="E155">
        <f>IF(154&lt;=COUNTIF(Data_Monitoring!$A$2:$A$2920, Dashboard_Visual!$B$4), INDEX(Data_Monitoring!$H$2:$H$2920, MATCH(Dashboard_Visual!$B$4, Data_Monitoring!$A$2:$A$2920, 0) + 154 - 1), 0)</f>
        <v>0</v>
      </c>
      <c r="F155">
        <f>IF(154&lt;=COUNTIF(Data_Monitoring!$A$2:$A$2920, Dashboard_Visual!$B$4), INDEX(Data_Monitoring!$O$2:$O$2920, MATCH(Dashboard_Visual!$B$4, Data_Monitoring!$A$2:$A$2920, 0) + 154 - 1), 0)</f>
        <v>0</v>
      </c>
      <c r="G155">
        <f>IF(154&lt;=COUNTIF(Data_Monitoring!$A$2:$A$2920, Dashboard_Visual!$B$4), INDEX(Data_Monitoring!$Q$2:$Q$2920, MATCH(Dashboard_Visual!$B$4, Data_Monitoring!$A$2:$A$2920, 0) + 154 - 1), 0)</f>
        <v>0</v>
      </c>
      <c r="H155" t="str">
        <f>IF(154&lt;=COUNTIF(Data_Monitoring!$A$2:$A$2920, Dashboard_Visual!$B$4), INDEX(Data_Monitoring!$L$2:$L$2920, MATCH(Dashboard_Visual!$B$4, Data_Monitoring!$A$2:$A$2920, 0) + 154 - 1), "")</f>
        <v/>
      </c>
      <c r="I155" t="str">
        <f>IF(AND(154&lt;=$P$2, ISNUMBER(D155), OR(H155="Warning", H155="Overgrade")), TEXT(ABS(D155)/100, "0.00%"), "")</f>
        <v/>
      </c>
      <c r="J155" t="e">
        <f t="shared" si="2"/>
        <v>#N/A</v>
      </c>
      <c r="K155" t="e">
        <f>IF(AND(154&lt;=$P$2, H155="Warning"), C155, NA())</f>
        <v>#N/A</v>
      </c>
      <c r="L155" t="e">
        <f>IF(AND(154&lt;=$P$2, H155="Overgrade"), C155, NA())</f>
        <v>#N/A</v>
      </c>
      <c r="M155">
        <f>IF(154&lt;=COUNTIF(Data_Monitoring!$A$2:$A$2920, Dashboard_Visual!$B$4), INDEX(Data_Monitoring!$S$2:$S$2920, MATCH(Dashboard_Visual!$B$4, Data_Monitoring!$A$2:$A$2920, 0) + 154 - 1), 1)</f>
        <v>1</v>
      </c>
    </row>
    <row r="156" spans="1:13" x14ac:dyDescent="0.25">
      <c r="A156" t="str">
        <f>IF(155&lt;=COUNTIF(Data_Monitoring!$A$2:$A$2920, Dashboard_Visual!$B$4), INDEX(Data_Monitoring!$B$2:$B$2920, MATCH(Dashboard_Visual!$B$4, Data_Monitoring!$A$2:$A$2920, 0) + 155 - 1), "")</f>
        <v/>
      </c>
      <c r="B156" t="str">
        <f>IF(155&lt;=COUNTIF(Data_Monitoring!$A$2:$A$2920, Dashboard_Visual!$B$4), INDEX(Data_Monitoring!$C$2:$C$2920, MATCH(Dashboard_Visual!$B$4, Data_Monitoring!$A$2:$A$2920, 0) + 155 - 1), "")</f>
        <v/>
      </c>
      <c r="C156" t="e">
        <f>IF(155&lt;=COUNTIF(Data_Monitoring!$A$2:$A$2920, Dashboard_Visual!$B$4), INDEX(Data_Monitoring!$J$2:$J$2920, MATCH(Dashboard_Visual!$B$4, Data_Monitoring!$A$2:$A$2920, 0) + 155 - 1), NA())</f>
        <v>#N/A</v>
      </c>
      <c r="D156" t="e">
        <f>IF(155&lt;=COUNTIF(Data_Monitoring!$A$2:$A$2920, Dashboard_Visual!$B$4), INDEX(Data_Monitoring!$K$2:$K$2920, MATCH(Dashboard_Visual!$B$4, Data_Monitoring!$A$2:$A$2920, 0) + 155 - 1), NA())</f>
        <v>#N/A</v>
      </c>
      <c r="E156">
        <f>IF(155&lt;=COUNTIF(Data_Monitoring!$A$2:$A$2920, Dashboard_Visual!$B$4), INDEX(Data_Monitoring!$H$2:$H$2920, MATCH(Dashboard_Visual!$B$4, Data_Monitoring!$A$2:$A$2920, 0) + 155 - 1), 0)</f>
        <v>0</v>
      </c>
      <c r="F156">
        <f>IF(155&lt;=COUNTIF(Data_Monitoring!$A$2:$A$2920, Dashboard_Visual!$B$4), INDEX(Data_Monitoring!$O$2:$O$2920, MATCH(Dashboard_Visual!$B$4, Data_Monitoring!$A$2:$A$2920, 0) + 155 - 1), 0)</f>
        <v>0</v>
      </c>
      <c r="G156">
        <f>IF(155&lt;=COUNTIF(Data_Monitoring!$A$2:$A$2920, Dashboard_Visual!$B$4), INDEX(Data_Monitoring!$Q$2:$Q$2920, MATCH(Dashboard_Visual!$B$4, Data_Monitoring!$A$2:$A$2920, 0) + 155 - 1), 0)</f>
        <v>0</v>
      </c>
      <c r="H156" t="str">
        <f>IF(155&lt;=COUNTIF(Data_Monitoring!$A$2:$A$2920, Dashboard_Visual!$B$4), INDEX(Data_Monitoring!$L$2:$L$2920, MATCH(Dashboard_Visual!$B$4, Data_Monitoring!$A$2:$A$2920, 0) + 155 - 1), "")</f>
        <v/>
      </c>
      <c r="I156" t="str">
        <f>IF(AND(155&lt;=$P$2, ISNUMBER(D156), OR(H156="Warning", H156="Overgrade")), TEXT(ABS(D156)/100, "0.00%"), "")</f>
        <v/>
      </c>
      <c r="J156" t="e">
        <f t="shared" si="2"/>
        <v>#N/A</v>
      </c>
      <c r="K156" t="e">
        <f>IF(AND(155&lt;=$P$2, H156="Warning"), C156, NA())</f>
        <v>#N/A</v>
      </c>
      <c r="L156" t="e">
        <f>IF(AND(155&lt;=$P$2, H156="Overgrade"), C156, NA())</f>
        <v>#N/A</v>
      </c>
      <c r="M156">
        <f>IF(155&lt;=COUNTIF(Data_Monitoring!$A$2:$A$2920, Dashboard_Visual!$B$4), INDEX(Data_Monitoring!$S$2:$S$2920, MATCH(Dashboard_Visual!$B$4, Data_Monitoring!$A$2:$A$2920, 0) + 155 - 1), 1)</f>
        <v>1</v>
      </c>
    </row>
    <row r="157" spans="1:13" x14ac:dyDescent="0.25">
      <c r="A157" t="str">
        <f>IF(156&lt;=COUNTIF(Data_Monitoring!$A$2:$A$2920, Dashboard_Visual!$B$4), INDEX(Data_Monitoring!$B$2:$B$2920, MATCH(Dashboard_Visual!$B$4, Data_Monitoring!$A$2:$A$2920, 0) + 156 - 1), "")</f>
        <v/>
      </c>
      <c r="B157" t="str">
        <f>IF(156&lt;=COUNTIF(Data_Monitoring!$A$2:$A$2920, Dashboard_Visual!$B$4), INDEX(Data_Monitoring!$C$2:$C$2920, MATCH(Dashboard_Visual!$B$4, Data_Monitoring!$A$2:$A$2920, 0) + 156 - 1), "")</f>
        <v/>
      </c>
      <c r="C157" t="e">
        <f>IF(156&lt;=COUNTIF(Data_Monitoring!$A$2:$A$2920, Dashboard_Visual!$B$4), INDEX(Data_Monitoring!$J$2:$J$2920, MATCH(Dashboard_Visual!$B$4, Data_Monitoring!$A$2:$A$2920, 0) + 156 - 1), NA())</f>
        <v>#N/A</v>
      </c>
      <c r="D157" t="e">
        <f>IF(156&lt;=COUNTIF(Data_Monitoring!$A$2:$A$2920, Dashboard_Visual!$B$4), INDEX(Data_Monitoring!$K$2:$K$2920, MATCH(Dashboard_Visual!$B$4, Data_Monitoring!$A$2:$A$2920, 0) + 156 - 1), NA())</f>
        <v>#N/A</v>
      </c>
      <c r="E157">
        <f>IF(156&lt;=COUNTIF(Data_Monitoring!$A$2:$A$2920, Dashboard_Visual!$B$4), INDEX(Data_Monitoring!$H$2:$H$2920, MATCH(Dashboard_Visual!$B$4, Data_Monitoring!$A$2:$A$2920, 0) + 156 - 1), 0)</f>
        <v>0</v>
      </c>
      <c r="F157">
        <f>IF(156&lt;=COUNTIF(Data_Monitoring!$A$2:$A$2920, Dashboard_Visual!$B$4), INDEX(Data_Monitoring!$O$2:$O$2920, MATCH(Dashboard_Visual!$B$4, Data_Monitoring!$A$2:$A$2920, 0) + 156 - 1), 0)</f>
        <v>0</v>
      </c>
      <c r="G157">
        <f>IF(156&lt;=COUNTIF(Data_Monitoring!$A$2:$A$2920, Dashboard_Visual!$B$4), INDEX(Data_Monitoring!$Q$2:$Q$2920, MATCH(Dashboard_Visual!$B$4, Data_Monitoring!$A$2:$A$2920, 0) + 156 - 1), 0)</f>
        <v>0</v>
      </c>
      <c r="H157" t="str">
        <f>IF(156&lt;=COUNTIF(Data_Monitoring!$A$2:$A$2920, Dashboard_Visual!$B$4), INDEX(Data_Monitoring!$L$2:$L$2920, MATCH(Dashboard_Visual!$B$4, Data_Monitoring!$A$2:$A$2920, 0) + 156 - 1), "")</f>
        <v/>
      </c>
      <c r="I157" t="str">
        <f>IF(AND(156&lt;=$P$2, ISNUMBER(D157), OR(H157="Warning", H157="Overgrade")), TEXT(ABS(D157)/100, "0.00%"), "")</f>
        <v/>
      </c>
      <c r="J157" t="e">
        <f t="shared" si="2"/>
        <v>#N/A</v>
      </c>
      <c r="K157" t="e">
        <f>IF(AND(156&lt;=$P$2, H157="Warning"), C157, NA())</f>
        <v>#N/A</v>
      </c>
      <c r="L157" t="e">
        <f>IF(AND(156&lt;=$P$2, H157="Overgrade"), C157, NA())</f>
        <v>#N/A</v>
      </c>
      <c r="M157">
        <f>IF(156&lt;=COUNTIF(Data_Monitoring!$A$2:$A$2920, Dashboard_Visual!$B$4), INDEX(Data_Monitoring!$S$2:$S$2920, MATCH(Dashboard_Visual!$B$4, Data_Monitoring!$A$2:$A$2920, 0) + 156 - 1), 1)</f>
        <v>1</v>
      </c>
    </row>
    <row r="158" spans="1:13" x14ac:dyDescent="0.25">
      <c r="A158" t="str">
        <f>IF(157&lt;=COUNTIF(Data_Monitoring!$A$2:$A$2920, Dashboard_Visual!$B$4), INDEX(Data_Monitoring!$B$2:$B$2920, MATCH(Dashboard_Visual!$B$4, Data_Monitoring!$A$2:$A$2920, 0) + 157 - 1), "")</f>
        <v/>
      </c>
      <c r="B158" t="str">
        <f>IF(157&lt;=COUNTIF(Data_Monitoring!$A$2:$A$2920, Dashboard_Visual!$B$4), INDEX(Data_Monitoring!$C$2:$C$2920, MATCH(Dashboard_Visual!$B$4, Data_Monitoring!$A$2:$A$2920, 0) + 157 - 1), "")</f>
        <v/>
      </c>
      <c r="C158" t="e">
        <f>IF(157&lt;=COUNTIF(Data_Monitoring!$A$2:$A$2920, Dashboard_Visual!$B$4), INDEX(Data_Monitoring!$J$2:$J$2920, MATCH(Dashboard_Visual!$B$4, Data_Monitoring!$A$2:$A$2920, 0) + 157 - 1), NA())</f>
        <v>#N/A</v>
      </c>
      <c r="D158" t="e">
        <f>IF(157&lt;=COUNTIF(Data_Monitoring!$A$2:$A$2920, Dashboard_Visual!$B$4), INDEX(Data_Monitoring!$K$2:$K$2920, MATCH(Dashboard_Visual!$B$4, Data_Monitoring!$A$2:$A$2920, 0) + 157 - 1), NA())</f>
        <v>#N/A</v>
      </c>
      <c r="E158">
        <f>IF(157&lt;=COUNTIF(Data_Monitoring!$A$2:$A$2920, Dashboard_Visual!$B$4), INDEX(Data_Monitoring!$H$2:$H$2920, MATCH(Dashboard_Visual!$B$4, Data_Monitoring!$A$2:$A$2920, 0) + 157 - 1), 0)</f>
        <v>0</v>
      </c>
      <c r="F158">
        <f>IF(157&lt;=COUNTIF(Data_Monitoring!$A$2:$A$2920, Dashboard_Visual!$B$4), INDEX(Data_Monitoring!$O$2:$O$2920, MATCH(Dashboard_Visual!$B$4, Data_Monitoring!$A$2:$A$2920, 0) + 157 - 1), 0)</f>
        <v>0</v>
      </c>
      <c r="G158">
        <f>IF(157&lt;=COUNTIF(Data_Monitoring!$A$2:$A$2920, Dashboard_Visual!$B$4), INDEX(Data_Monitoring!$Q$2:$Q$2920, MATCH(Dashboard_Visual!$B$4, Data_Monitoring!$A$2:$A$2920, 0) + 157 - 1), 0)</f>
        <v>0</v>
      </c>
      <c r="H158" t="str">
        <f>IF(157&lt;=COUNTIF(Data_Monitoring!$A$2:$A$2920, Dashboard_Visual!$B$4), INDEX(Data_Monitoring!$L$2:$L$2920, MATCH(Dashboard_Visual!$B$4, Data_Monitoring!$A$2:$A$2920, 0) + 157 - 1), "")</f>
        <v/>
      </c>
      <c r="I158" t="str">
        <f>IF(AND(157&lt;=$P$2, ISNUMBER(D158), OR(H158="Warning", H158="Overgrade")), TEXT(ABS(D158)/100, "0.00%"), "")</f>
        <v/>
      </c>
      <c r="J158" t="e">
        <f t="shared" si="2"/>
        <v>#N/A</v>
      </c>
      <c r="K158" t="e">
        <f>IF(AND(157&lt;=$P$2, H158="Warning"), C158, NA())</f>
        <v>#N/A</v>
      </c>
      <c r="L158" t="e">
        <f>IF(AND(157&lt;=$P$2, H158="Overgrade"), C158, NA())</f>
        <v>#N/A</v>
      </c>
      <c r="M158">
        <f>IF(157&lt;=COUNTIF(Data_Monitoring!$A$2:$A$2920, Dashboard_Visual!$B$4), INDEX(Data_Monitoring!$S$2:$S$2920, MATCH(Dashboard_Visual!$B$4, Data_Monitoring!$A$2:$A$2920, 0) + 157 - 1), 1)</f>
        <v>1</v>
      </c>
    </row>
    <row r="159" spans="1:13" x14ac:dyDescent="0.25">
      <c r="A159" t="str">
        <f>IF(158&lt;=COUNTIF(Data_Monitoring!$A$2:$A$2920, Dashboard_Visual!$B$4), INDEX(Data_Monitoring!$B$2:$B$2920, MATCH(Dashboard_Visual!$B$4, Data_Monitoring!$A$2:$A$2920, 0) + 158 - 1), "")</f>
        <v/>
      </c>
      <c r="B159" t="str">
        <f>IF(158&lt;=COUNTIF(Data_Monitoring!$A$2:$A$2920, Dashboard_Visual!$B$4), INDEX(Data_Monitoring!$C$2:$C$2920, MATCH(Dashboard_Visual!$B$4, Data_Monitoring!$A$2:$A$2920, 0) + 158 - 1), "")</f>
        <v/>
      </c>
      <c r="C159" t="e">
        <f>IF(158&lt;=COUNTIF(Data_Monitoring!$A$2:$A$2920, Dashboard_Visual!$B$4), INDEX(Data_Monitoring!$J$2:$J$2920, MATCH(Dashboard_Visual!$B$4, Data_Monitoring!$A$2:$A$2920, 0) + 158 - 1), NA())</f>
        <v>#N/A</v>
      </c>
      <c r="D159" t="e">
        <f>IF(158&lt;=COUNTIF(Data_Monitoring!$A$2:$A$2920, Dashboard_Visual!$B$4), INDEX(Data_Monitoring!$K$2:$K$2920, MATCH(Dashboard_Visual!$B$4, Data_Monitoring!$A$2:$A$2920, 0) + 158 - 1), NA())</f>
        <v>#N/A</v>
      </c>
      <c r="E159">
        <f>IF(158&lt;=COUNTIF(Data_Monitoring!$A$2:$A$2920, Dashboard_Visual!$B$4), INDEX(Data_Monitoring!$H$2:$H$2920, MATCH(Dashboard_Visual!$B$4, Data_Monitoring!$A$2:$A$2920, 0) + 158 - 1), 0)</f>
        <v>0</v>
      </c>
      <c r="F159">
        <f>IF(158&lt;=COUNTIF(Data_Monitoring!$A$2:$A$2920, Dashboard_Visual!$B$4), INDEX(Data_Monitoring!$O$2:$O$2920, MATCH(Dashboard_Visual!$B$4, Data_Monitoring!$A$2:$A$2920, 0) + 158 - 1), 0)</f>
        <v>0</v>
      </c>
      <c r="G159">
        <f>IF(158&lt;=COUNTIF(Data_Monitoring!$A$2:$A$2920, Dashboard_Visual!$B$4), INDEX(Data_Monitoring!$Q$2:$Q$2920, MATCH(Dashboard_Visual!$B$4, Data_Monitoring!$A$2:$A$2920, 0) + 158 - 1), 0)</f>
        <v>0</v>
      </c>
      <c r="H159" t="str">
        <f>IF(158&lt;=COUNTIF(Data_Monitoring!$A$2:$A$2920, Dashboard_Visual!$B$4), INDEX(Data_Monitoring!$L$2:$L$2920, MATCH(Dashboard_Visual!$B$4, Data_Monitoring!$A$2:$A$2920, 0) + 158 - 1), "")</f>
        <v/>
      </c>
      <c r="I159" t="str">
        <f>IF(AND(158&lt;=$P$2, ISNUMBER(D159), OR(H159="Warning", H159="Overgrade")), TEXT(ABS(D159)/100, "0.00%"), "")</f>
        <v/>
      </c>
      <c r="J159" t="e">
        <f t="shared" si="2"/>
        <v>#N/A</v>
      </c>
      <c r="K159" t="e">
        <f>IF(AND(158&lt;=$P$2, H159="Warning"), C159, NA())</f>
        <v>#N/A</v>
      </c>
      <c r="L159" t="e">
        <f>IF(AND(158&lt;=$P$2, H159="Overgrade"), C159, NA())</f>
        <v>#N/A</v>
      </c>
      <c r="M159">
        <f>IF(158&lt;=COUNTIF(Data_Monitoring!$A$2:$A$2920, Dashboard_Visual!$B$4), INDEX(Data_Monitoring!$S$2:$S$2920, MATCH(Dashboard_Visual!$B$4, Data_Monitoring!$A$2:$A$2920, 0) + 158 - 1), 1)</f>
        <v>1</v>
      </c>
    </row>
    <row r="160" spans="1:13" x14ac:dyDescent="0.25">
      <c r="A160" t="str">
        <f>IF(159&lt;=COUNTIF(Data_Monitoring!$A$2:$A$2920, Dashboard_Visual!$B$4), INDEX(Data_Monitoring!$B$2:$B$2920, MATCH(Dashboard_Visual!$B$4, Data_Monitoring!$A$2:$A$2920, 0) + 159 - 1), "")</f>
        <v/>
      </c>
      <c r="B160" t="str">
        <f>IF(159&lt;=COUNTIF(Data_Monitoring!$A$2:$A$2920, Dashboard_Visual!$B$4), INDEX(Data_Monitoring!$C$2:$C$2920, MATCH(Dashboard_Visual!$B$4, Data_Monitoring!$A$2:$A$2920, 0) + 159 - 1), "")</f>
        <v/>
      </c>
      <c r="C160" t="e">
        <f>IF(159&lt;=COUNTIF(Data_Monitoring!$A$2:$A$2920, Dashboard_Visual!$B$4), INDEX(Data_Monitoring!$J$2:$J$2920, MATCH(Dashboard_Visual!$B$4, Data_Monitoring!$A$2:$A$2920, 0) + 159 - 1), NA())</f>
        <v>#N/A</v>
      </c>
      <c r="D160" t="e">
        <f>IF(159&lt;=COUNTIF(Data_Monitoring!$A$2:$A$2920, Dashboard_Visual!$B$4), INDEX(Data_Monitoring!$K$2:$K$2920, MATCH(Dashboard_Visual!$B$4, Data_Monitoring!$A$2:$A$2920, 0) + 159 - 1), NA())</f>
        <v>#N/A</v>
      </c>
      <c r="E160">
        <f>IF(159&lt;=COUNTIF(Data_Monitoring!$A$2:$A$2920, Dashboard_Visual!$B$4), INDEX(Data_Monitoring!$H$2:$H$2920, MATCH(Dashboard_Visual!$B$4, Data_Monitoring!$A$2:$A$2920, 0) + 159 - 1), 0)</f>
        <v>0</v>
      </c>
      <c r="F160">
        <f>IF(159&lt;=COUNTIF(Data_Monitoring!$A$2:$A$2920, Dashboard_Visual!$B$4), INDEX(Data_Monitoring!$O$2:$O$2920, MATCH(Dashboard_Visual!$B$4, Data_Monitoring!$A$2:$A$2920, 0) + 159 - 1), 0)</f>
        <v>0</v>
      </c>
      <c r="G160">
        <f>IF(159&lt;=COUNTIF(Data_Monitoring!$A$2:$A$2920, Dashboard_Visual!$B$4), INDEX(Data_Monitoring!$Q$2:$Q$2920, MATCH(Dashboard_Visual!$B$4, Data_Monitoring!$A$2:$A$2920, 0) + 159 - 1), 0)</f>
        <v>0</v>
      </c>
      <c r="H160" t="str">
        <f>IF(159&lt;=COUNTIF(Data_Monitoring!$A$2:$A$2920, Dashboard_Visual!$B$4), INDEX(Data_Monitoring!$L$2:$L$2920, MATCH(Dashboard_Visual!$B$4, Data_Monitoring!$A$2:$A$2920, 0) + 159 - 1), "")</f>
        <v/>
      </c>
      <c r="I160" t="str">
        <f>IF(AND(159&lt;=$P$2, ISNUMBER(D160), OR(H160="Warning", H160="Overgrade")), TEXT(ABS(D160)/100, "0.00%"), "")</f>
        <v/>
      </c>
      <c r="J160" t="e">
        <f t="shared" si="2"/>
        <v>#N/A</v>
      </c>
      <c r="K160" t="e">
        <f>IF(AND(159&lt;=$P$2, H160="Warning"), C160, NA())</f>
        <v>#N/A</v>
      </c>
      <c r="L160" t="e">
        <f>IF(AND(159&lt;=$P$2, H160="Overgrade"), C160, NA())</f>
        <v>#N/A</v>
      </c>
      <c r="M160">
        <f>IF(159&lt;=COUNTIF(Data_Monitoring!$A$2:$A$2920, Dashboard_Visual!$B$4), INDEX(Data_Monitoring!$S$2:$S$2920, MATCH(Dashboard_Visual!$B$4, Data_Monitoring!$A$2:$A$2920, 0) + 159 - 1), 1)</f>
        <v>1</v>
      </c>
    </row>
    <row r="161" spans="1:13" x14ac:dyDescent="0.25">
      <c r="A161" t="str">
        <f>IF(160&lt;=COUNTIF(Data_Monitoring!$A$2:$A$2920, Dashboard_Visual!$B$4), INDEX(Data_Monitoring!$B$2:$B$2920, MATCH(Dashboard_Visual!$B$4, Data_Monitoring!$A$2:$A$2920, 0) + 160 - 1), "")</f>
        <v/>
      </c>
      <c r="B161" t="str">
        <f>IF(160&lt;=COUNTIF(Data_Monitoring!$A$2:$A$2920, Dashboard_Visual!$B$4), INDEX(Data_Monitoring!$C$2:$C$2920, MATCH(Dashboard_Visual!$B$4, Data_Monitoring!$A$2:$A$2920, 0) + 160 - 1), "")</f>
        <v/>
      </c>
      <c r="C161" t="e">
        <f>IF(160&lt;=COUNTIF(Data_Monitoring!$A$2:$A$2920, Dashboard_Visual!$B$4), INDEX(Data_Monitoring!$J$2:$J$2920, MATCH(Dashboard_Visual!$B$4, Data_Monitoring!$A$2:$A$2920, 0) + 160 - 1), NA())</f>
        <v>#N/A</v>
      </c>
      <c r="D161" t="e">
        <f>IF(160&lt;=COUNTIF(Data_Monitoring!$A$2:$A$2920, Dashboard_Visual!$B$4), INDEX(Data_Monitoring!$K$2:$K$2920, MATCH(Dashboard_Visual!$B$4, Data_Monitoring!$A$2:$A$2920, 0) + 160 - 1), NA())</f>
        <v>#N/A</v>
      </c>
      <c r="E161">
        <f>IF(160&lt;=COUNTIF(Data_Monitoring!$A$2:$A$2920, Dashboard_Visual!$B$4), INDEX(Data_Monitoring!$H$2:$H$2920, MATCH(Dashboard_Visual!$B$4, Data_Monitoring!$A$2:$A$2920, 0) + 160 - 1), 0)</f>
        <v>0</v>
      </c>
      <c r="F161">
        <f>IF(160&lt;=COUNTIF(Data_Monitoring!$A$2:$A$2920, Dashboard_Visual!$B$4), INDEX(Data_Monitoring!$O$2:$O$2920, MATCH(Dashboard_Visual!$B$4, Data_Monitoring!$A$2:$A$2920, 0) + 160 - 1), 0)</f>
        <v>0</v>
      </c>
      <c r="G161">
        <f>IF(160&lt;=COUNTIF(Data_Monitoring!$A$2:$A$2920, Dashboard_Visual!$B$4), INDEX(Data_Monitoring!$Q$2:$Q$2920, MATCH(Dashboard_Visual!$B$4, Data_Monitoring!$A$2:$A$2920, 0) + 160 - 1), 0)</f>
        <v>0</v>
      </c>
      <c r="H161" t="str">
        <f>IF(160&lt;=COUNTIF(Data_Monitoring!$A$2:$A$2920, Dashboard_Visual!$B$4), INDEX(Data_Monitoring!$L$2:$L$2920, MATCH(Dashboard_Visual!$B$4, Data_Monitoring!$A$2:$A$2920, 0) + 160 - 1), "")</f>
        <v/>
      </c>
      <c r="I161" t="str">
        <f>IF(AND(160&lt;=$P$2, ISNUMBER(D161), OR(H161="Warning", H161="Overgrade")), TEXT(ABS(D161)/100, "0.00%"), "")</f>
        <v/>
      </c>
      <c r="J161" t="e">
        <f t="shared" si="2"/>
        <v>#N/A</v>
      </c>
      <c r="K161" t="e">
        <f>IF(AND(160&lt;=$P$2, H161="Warning"), C161, NA())</f>
        <v>#N/A</v>
      </c>
      <c r="L161" t="e">
        <f>IF(AND(160&lt;=$P$2, H161="Overgrade"), C161, NA())</f>
        <v>#N/A</v>
      </c>
      <c r="M161">
        <f>IF(160&lt;=COUNTIF(Data_Monitoring!$A$2:$A$2920, Dashboard_Visual!$B$4), INDEX(Data_Monitoring!$S$2:$S$2920, MATCH(Dashboard_Visual!$B$4, Data_Monitoring!$A$2:$A$2920, 0) + 160 - 1), 1)</f>
        <v>1</v>
      </c>
    </row>
    <row r="162" spans="1:13" x14ac:dyDescent="0.25">
      <c r="A162" t="str">
        <f>IF(161&lt;=COUNTIF(Data_Monitoring!$A$2:$A$2920, Dashboard_Visual!$B$4), INDEX(Data_Monitoring!$B$2:$B$2920, MATCH(Dashboard_Visual!$B$4, Data_Monitoring!$A$2:$A$2920, 0) + 161 - 1), "")</f>
        <v/>
      </c>
      <c r="B162" t="str">
        <f>IF(161&lt;=COUNTIF(Data_Monitoring!$A$2:$A$2920, Dashboard_Visual!$B$4), INDEX(Data_Monitoring!$C$2:$C$2920, MATCH(Dashboard_Visual!$B$4, Data_Monitoring!$A$2:$A$2920, 0) + 161 - 1), "")</f>
        <v/>
      </c>
      <c r="C162" t="e">
        <f>IF(161&lt;=COUNTIF(Data_Monitoring!$A$2:$A$2920, Dashboard_Visual!$B$4), INDEX(Data_Monitoring!$J$2:$J$2920, MATCH(Dashboard_Visual!$B$4, Data_Monitoring!$A$2:$A$2920, 0) + 161 - 1), NA())</f>
        <v>#N/A</v>
      </c>
      <c r="D162" t="e">
        <f>IF(161&lt;=COUNTIF(Data_Monitoring!$A$2:$A$2920, Dashboard_Visual!$B$4), INDEX(Data_Monitoring!$K$2:$K$2920, MATCH(Dashboard_Visual!$B$4, Data_Monitoring!$A$2:$A$2920, 0) + 161 - 1), NA())</f>
        <v>#N/A</v>
      </c>
      <c r="E162">
        <f>IF(161&lt;=COUNTIF(Data_Monitoring!$A$2:$A$2920, Dashboard_Visual!$B$4), INDEX(Data_Monitoring!$H$2:$H$2920, MATCH(Dashboard_Visual!$B$4, Data_Monitoring!$A$2:$A$2920, 0) + 161 - 1), 0)</f>
        <v>0</v>
      </c>
      <c r="F162">
        <f>IF(161&lt;=COUNTIF(Data_Monitoring!$A$2:$A$2920, Dashboard_Visual!$B$4), INDEX(Data_Monitoring!$O$2:$O$2920, MATCH(Dashboard_Visual!$B$4, Data_Monitoring!$A$2:$A$2920, 0) + 161 - 1), 0)</f>
        <v>0</v>
      </c>
      <c r="G162">
        <f>IF(161&lt;=COUNTIF(Data_Monitoring!$A$2:$A$2920, Dashboard_Visual!$B$4), INDEX(Data_Monitoring!$Q$2:$Q$2920, MATCH(Dashboard_Visual!$B$4, Data_Monitoring!$A$2:$A$2920, 0) + 161 - 1), 0)</f>
        <v>0</v>
      </c>
      <c r="H162" t="str">
        <f>IF(161&lt;=COUNTIF(Data_Monitoring!$A$2:$A$2920, Dashboard_Visual!$B$4), INDEX(Data_Monitoring!$L$2:$L$2920, MATCH(Dashboard_Visual!$B$4, Data_Monitoring!$A$2:$A$2920, 0) + 161 - 1), "")</f>
        <v/>
      </c>
      <c r="I162" t="str">
        <f>IF(AND(161&lt;=$P$2, ISNUMBER(D162), OR(H162="Warning", H162="Overgrade")), TEXT(ABS(D162)/100, "0.00%"), "")</f>
        <v/>
      </c>
      <c r="J162" t="e">
        <f t="shared" si="2"/>
        <v>#N/A</v>
      </c>
      <c r="K162" t="e">
        <f>IF(AND(161&lt;=$P$2, H162="Warning"), C162, NA())</f>
        <v>#N/A</v>
      </c>
      <c r="L162" t="e">
        <f>IF(AND(161&lt;=$P$2, H162="Overgrade"), C162, NA())</f>
        <v>#N/A</v>
      </c>
      <c r="M162">
        <f>IF(161&lt;=COUNTIF(Data_Monitoring!$A$2:$A$2920, Dashboard_Visual!$B$4), INDEX(Data_Monitoring!$S$2:$S$2920, MATCH(Dashboard_Visual!$B$4, Data_Monitoring!$A$2:$A$2920, 0) + 161 - 1), 1)</f>
        <v>1</v>
      </c>
    </row>
    <row r="163" spans="1:13" x14ac:dyDescent="0.25">
      <c r="A163" t="str">
        <f>IF(162&lt;=COUNTIF(Data_Monitoring!$A$2:$A$2920, Dashboard_Visual!$B$4), INDEX(Data_Monitoring!$B$2:$B$2920, MATCH(Dashboard_Visual!$B$4, Data_Monitoring!$A$2:$A$2920, 0) + 162 - 1), "")</f>
        <v/>
      </c>
      <c r="B163" t="str">
        <f>IF(162&lt;=COUNTIF(Data_Monitoring!$A$2:$A$2920, Dashboard_Visual!$B$4), INDEX(Data_Monitoring!$C$2:$C$2920, MATCH(Dashboard_Visual!$B$4, Data_Monitoring!$A$2:$A$2920, 0) + 162 - 1), "")</f>
        <v/>
      </c>
      <c r="C163" t="e">
        <f>IF(162&lt;=COUNTIF(Data_Monitoring!$A$2:$A$2920, Dashboard_Visual!$B$4), INDEX(Data_Monitoring!$J$2:$J$2920, MATCH(Dashboard_Visual!$B$4, Data_Monitoring!$A$2:$A$2920, 0) + 162 - 1), NA())</f>
        <v>#N/A</v>
      </c>
      <c r="D163" t="e">
        <f>IF(162&lt;=COUNTIF(Data_Monitoring!$A$2:$A$2920, Dashboard_Visual!$B$4), INDEX(Data_Monitoring!$K$2:$K$2920, MATCH(Dashboard_Visual!$B$4, Data_Monitoring!$A$2:$A$2920, 0) + 162 - 1), NA())</f>
        <v>#N/A</v>
      </c>
      <c r="E163">
        <f>IF(162&lt;=COUNTIF(Data_Monitoring!$A$2:$A$2920, Dashboard_Visual!$B$4), INDEX(Data_Monitoring!$H$2:$H$2920, MATCH(Dashboard_Visual!$B$4, Data_Monitoring!$A$2:$A$2920, 0) + 162 - 1), 0)</f>
        <v>0</v>
      </c>
      <c r="F163">
        <f>IF(162&lt;=COUNTIF(Data_Monitoring!$A$2:$A$2920, Dashboard_Visual!$B$4), INDEX(Data_Monitoring!$O$2:$O$2920, MATCH(Dashboard_Visual!$B$4, Data_Monitoring!$A$2:$A$2920, 0) + 162 - 1), 0)</f>
        <v>0</v>
      </c>
      <c r="G163">
        <f>IF(162&lt;=COUNTIF(Data_Monitoring!$A$2:$A$2920, Dashboard_Visual!$B$4), INDEX(Data_Monitoring!$Q$2:$Q$2920, MATCH(Dashboard_Visual!$B$4, Data_Monitoring!$A$2:$A$2920, 0) + 162 - 1), 0)</f>
        <v>0</v>
      </c>
      <c r="H163" t="str">
        <f>IF(162&lt;=COUNTIF(Data_Monitoring!$A$2:$A$2920, Dashboard_Visual!$B$4), INDEX(Data_Monitoring!$L$2:$L$2920, MATCH(Dashboard_Visual!$B$4, Data_Monitoring!$A$2:$A$2920, 0) + 162 - 1), "")</f>
        <v/>
      </c>
      <c r="I163" t="str">
        <f>IF(AND(162&lt;=$P$2, ISNUMBER(D163), OR(H163="Warning", H163="Overgrade")), TEXT(ABS(D163)/100, "0.00%"), "")</f>
        <v/>
      </c>
      <c r="J163" t="e">
        <f t="shared" si="2"/>
        <v>#N/A</v>
      </c>
      <c r="K163" t="e">
        <f>IF(AND(162&lt;=$P$2, H163="Warning"), C163, NA())</f>
        <v>#N/A</v>
      </c>
      <c r="L163" t="e">
        <f>IF(AND(162&lt;=$P$2, H163="Overgrade"), C163, NA())</f>
        <v>#N/A</v>
      </c>
      <c r="M163">
        <f>IF(162&lt;=COUNTIF(Data_Monitoring!$A$2:$A$2920, Dashboard_Visual!$B$4), INDEX(Data_Monitoring!$S$2:$S$2920, MATCH(Dashboard_Visual!$B$4, Data_Monitoring!$A$2:$A$2920, 0) + 162 - 1), 1)</f>
        <v>1</v>
      </c>
    </row>
    <row r="164" spans="1:13" x14ac:dyDescent="0.25">
      <c r="A164" t="str">
        <f>IF(163&lt;=COUNTIF(Data_Monitoring!$A$2:$A$2920, Dashboard_Visual!$B$4), INDEX(Data_Monitoring!$B$2:$B$2920, MATCH(Dashboard_Visual!$B$4, Data_Monitoring!$A$2:$A$2920, 0) + 163 - 1), "")</f>
        <v/>
      </c>
      <c r="B164" t="str">
        <f>IF(163&lt;=COUNTIF(Data_Monitoring!$A$2:$A$2920, Dashboard_Visual!$B$4), INDEX(Data_Monitoring!$C$2:$C$2920, MATCH(Dashboard_Visual!$B$4, Data_Monitoring!$A$2:$A$2920, 0) + 163 - 1), "")</f>
        <v/>
      </c>
      <c r="C164" t="e">
        <f>IF(163&lt;=COUNTIF(Data_Monitoring!$A$2:$A$2920, Dashboard_Visual!$B$4), INDEX(Data_Monitoring!$J$2:$J$2920, MATCH(Dashboard_Visual!$B$4, Data_Monitoring!$A$2:$A$2920, 0) + 163 - 1), NA())</f>
        <v>#N/A</v>
      </c>
      <c r="D164" t="e">
        <f>IF(163&lt;=COUNTIF(Data_Monitoring!$A$2:$A$2920, Dashboard_Visual!$B$4), INDEX(Data_Monitoring!$K$2:$K$2920, MATCH(Dashboard_Visual!$B$4, Data_Monitoring!$A$2:$A$2920, 0) + 163 - 1), NA())</f>
        <v>#N/A</v>
      </c>
      <c r="E164">
        <f>IF(163&lt;=COUNTIF(Data_Monitoring!$A$2:$A$2920, Dashboard_Visual!$B$4), INDEX(Data_Monitoring!$H$2:$H$2920, MATCH(Dashboard_Visual!$B$4, Data_Monitoring!$A$2:$A$2920, 0) + 163 - 1), 0)</f>
        <v>0</v>
      </c>
      <c r="F164">
        <f>IF(163&lt;=COUNTIF(Data_Monitoring!$A$2:$A$2920, Dashboard_Visual!$B$4), INDEX(Data_Monitoring!$O$2:$O$2920, MATCH(Dashboard_Visual!$B$4, Data_Monitoring!$A$2:$A$2920, 0) + 163 - 1), 0)</f>
        <v>0</v>
      </c>
      <c r="G164">
        <f>IF(163&lt;=COUNTIF(Data_Monitoring!$A$2:$A$2920, Dashboard_Visual!$B$4), INDEX(Data_Monitoring!$Q$2:$Q$2920, MATCH(Dashboard_Visual!$B$4, Data_Monitoring!$A$2:$A$2920, 0) + 163 - 1), 0)</f>
        <v>0</v>
      </c>
      <c r="H164" t="str">
        <f>IF(163&lt;=COUNTIF(Data_Monitoring!$A$2:$A$2920, Dashboard_Visual!$B$4), INDEX(Data_Monitoring!$L$2:$L$2920, MATCH(Dashboard_Visual!$B$4, Data_Monitoring!$A$2:$A$2920, 0) + 163 - 1), "")</f>
        <v/>
      </c>
      <c r="I164" t="str">
        <f>IF(AND(163&lt;=$P$2, ISNUMBER(D164), OR(H164="Warning", H164="Overgrade")), TEXT(ABS(D164)/100, "0.00%"), "")</f>
        <v/>
      </c>
      <c r="J164" t="e">
        <f t="shared" si="2"/>
        <v>#N/A</v>
      </c>
      <c r="K164" t="e">
        <f>IF(AND(163&lt;=$P$2, H164="Warning"), C164, NA())</f>
        <v>#N/A</v>
      </c>
      <c r="L164" t="e">
        <f>IF(AND(163&lt;=$P$2, H164="Overgrade"), C164, NA())</f>
        <v>#N/A</v>
      </c>
      <c r="M164">
        <f>IF(163&lt;=COUNTIF(Data_Monitoring!$A$2:$A$2920, Dashboard_Visual!$B$4), INDEX(Data_Monitoring!$S$2:$S$2920, MATCH(Dashboard_Visual!$B$4, Data_Monitoring!$A$2:$A$2920, 0) + 163 - 1), 1)</f>
        <v>1</v>
      </c>
    </row>
    <row r="165" spans="1:13" x14ac:dyDescent="0.25">
      <c r="A165" t="str">
        <f>IF(164&lt;=COUNTIF(Data_Monitoring!$A$2:$A$2920, Dashboard_Visual!$B$4), INDEX(Data_Monitoring!$B$2:$B$2920, MATCH(Dashboard_Visual!$B$4, Data_Monitoring!$A$2:$A$2920, 0) + 164 - 1), "")</f>
        <v/>
      </c>
      <c r="B165" t="str">
        <f>IF(164&lt;=COUNTIF(Data_Monitoring!$A$2:$A$2920, Dashboard_Visual!$B$4), INDEX(Data_Monitoring!$C$2:$C$2920, MATCH(Dashboard_Visual!$B$4, Data_Monitoring!$A$2:$A$2920, 0) + 164 - 1), "")</f>
        <v/>
      </c>
      <c r="C165" t="e">
        <f>IF(164&lt;=COUNTIF(Data_Monitoring!$A$2:$A$2920, Dashboard_Visual!$B$4), INDEX(Data_Monitoring!$J$2:$J$2920, MATCH(Dashboard_Visual!$B$4, Data_Monitoring!$A$2:$A$2920, 0) + 164 - 1), NA())</f>
        <v>#N/A</v>
      </c>
      <c r="D165" t="e">
        <f>IF(164&lt;=COUNTIF(Data_Monitoring!$A$2:$A$2920, Dashboard_Visual!$B$4), INDEX(Data_Monitoring!$K$2:$K$2920, MATCH(Dashboard_Visual!$B$4, Data_Monitoring!$A$2:$A$2920, 0) + 164 - 1), NA())</f>
        <v>#N/A</v>
      </c>
      <c r="E165">
        <f>IF(164&lt;=COUNTIF(Data_Monitoring!$A$2:$A$2920, Dashboard_Visual!$B$4), INDEX(Data_Monitoring!$H$2:$H$2920, MATCH(Dashboard_Visual!$B$4, Data_Monitoring!$A$2:$A$2920, 0) + 164 - 1), 0)</f>
        <v>0</v>
      </c>
      <c r="F165">
        <f>IF(164&lt;=COUNTIF(Data_Monitoring!$A$2:$A$2920, Dashboard_Visual!$B$4), INDEX(Data_Monitoring!$O$2:$O$2920, MATCH(Dashboard_Visual!$B$4, Data_Monitoring!$A$2:$A$2920, 0) + 164 - 1), 0)</f>
        <v>0</v>
      </c>
      <c r="G165">
        <f>IF(164&lt;=COUNTIF(Data_Monitoring!$A$2:$A$2920, Dashboard_Visual!$B$4), INDEX(Data_Monitoring!$Q$2:$Q$2920, MATCH(Dashboard_Visual!$B$4, Data_Monitoring!$A$2:$A$2920, 0) + 164 - 1), 0)</f>
        <v>0</v>
      </c>
      <c r="H165" t="str">
        <f>IF(164&lt;=COUNTIF(Data_Monitoring!$A$2:$A$2920, Dashboard_Visual!$B$4), INDEX(Data_Monitoring!$L$2:$L$2920, MATCH(Dashboard_Visual!$B$4, Data_Monitoring!$A$2:$A$2920, 0) + 164 - 1), "")</f>
        <v/>
      </c>
      <c r="I165" t="str">
        <f>IF(AND(164&lt;=$P$2, ISNUMBER(D165), OR(H165="Warning", H165="Overgrade")), TEXT(ABS(D165)/100, "0.00%"), "")</f>
        <v/>
      </c>
      <c r="J165" t="e">
        <f t="shared" si="2"/>
        <v>#N/A</v>
      </c>
      <c r="K165" t="e">
        <f>IF(AND(164&lt;=$P$2, H165="Warning"), C165, NA())</f>
        <v>#N/A</v>
      </c>
      <c r="L165" t="e">
        <f>IF(AND(164&lt;=$P$2, H165="Overgrade"), C165, NA())</f>
        <v>#N/A</v>
      </c>
      <c r="M165">
        <f>IF(164&lt;=COUNTIF(Data_Monitoring!$A$2:$A$2920, Dashboard_Visual!$B$4), INDEX(Data_Monitoring!$S$2:$S$2920, MATCH(Dashboard_Visual!$B$4, Data_Monitoring!$A$2:$A$2920, 0) + 164 - 1), 1)</f>
        <v>1</v>
      </c>
    </row>
    <row r="166" spans="1:13" x14ac:dyDescent="0.25">
      <c r="A166" t="str">
        <f>IF(165&lt;=COUNTIF(Data_Monitoring!$A$2:$A$2920, Dashboard_Visual!$B$4), INDEX(Data_Monitoring!$B$2:$B$2920, MATCH(Dashboard_Visual!$B$4, Data_Monitoring!$A$2:$A$2920, 0) + 165 - 1), "")</f>
        <v/>
      </c>
      <c r="B166" t="str">
        <f>IF(165&lt;=COUNTIF(Data_Monitoring!$A$2:$A$2920, Dashboard_Visual!$B$4), INDEX(Data_Monitoring!$C$2:$C$2920, MATCH(Dashboard_Visual!$B$4, Data_Monitoring!$A$2:$A$2920, 0) + 165 - 1), "")</f>
        <v/>
      </c>
      <c r="C166" t="e">
        <f>IF(165&lt;=COUNTIF(Data_Monitoring!$A$2:$A$2920, Dashboard_Visual!$B$4), INDEX(Data_Monitoring!$J$2:$J$2920, MATCH(Dashboard_Visual!$B$4, Data_Monitoring!$A$2:$A$2920, 0) + 165 - 1), NA())</f>
        <v>#N/A</v>
      </c>
      <c r="D166" t="e">
        <f>IF(165&lt;=COUNTIF(Data_Monitoring!$A$2:$A$2920, Dashboard_Visual!$B$4), INDEX(Data_Monitoring!$K$2:$K$2920, MATCH(Dashboard_Visual!$B$4, Data_Monitoring!$A$2:$A$2920, 0) + 165 - 1), NA())</f>
        <v>#N/A</v>
      </c>
      <c r="E166">
        <f>IF(165&lt;=COUNTIF(Data_Monitoring!$A$2:$A$2920, Dashboard_Visual!$B$4), INDEX(Data_Monitoring!$H$2:$H$2920, MATCH(Dashboard_Visual!$B$4, Data_Monitoring!$A$2:$A$2920, 0) + 165 - 1), 0)</f>
        <v>0</v>
      </c>
      <c r="F166">
        <f>IF(165&lt;=COUNTIF(Data_Monitoring!$A$2:$A$2920, Dashboard_Visual!$B$4), INDEX(Data_Monitoring!$O$2:$O$2920, MATCH(Dashboard_Visual!$B$4, Data_Monitoring!$A$2:$A$2920, 0) + 165 - 1), 0)</f>
        <v>0</v>
      </c>
      <c r="G166">
        <f>IF(165&lt;=COUNTIF(Data_Monitoring!$A$2:$A$2920, Dashboard_Visual!$B$4), INDEX(Data_Monitoring!$Q$2:$Q$2920, MATCH(Dashboard_Visual!$B$4, Data_Monitoring!$A$2:$A$2920, 0) + 165 - 1), 0)</f>
        <v>0</v>
      </c>
      <c r="H166" t="str">
        <f>IF(165&lt;=COUNTIF(Data_Monitoring!$A$2:$A$2920, Dashboard_Visual!$B$4), INDEX(Data_Monitoring!$L$2:$L$2920, MATCH(Dashboard_Visual!$B$4, Data_Monitoring!$A$2:$A$2920, 0) + 165 - 1), "")</f>
        <v/>
      </c>
      <c r="I166" t="str">
        <f>IF(AND(165&lt;=$P$2, ISNUMBER(D166), OR(H166="Warning", H166="Overgrade")), TEXT(ABS(D166)/100, "0.00%"), "")</f>
        <v/>
      </c>
      <c r="J166" t="e">
        <f t="shared" si="2"/>
        <v>#N/A</v>
      </c>
      <c r="K166" t="e">
        <f>IF(AND(165&lt;=$P$2, H166="Warning"), C166, NA())</f>
        <v>#N/A</v>
      </c>
      <c r="L166" t="e">
        <f>IF(AND(165&lt;=$P$2, H166="Overgrade"), C166, NA())</f>
        <v>#N/A</v>
      </c>
      <c r="M166">
        <f>IF(165&lt;=COUNTIF(Data_Monitoring!$A$2:$A$2920, Dashboard_Visual!$B$4), INDEX(Data_Monitoring!$S$2:$S$2920, MATCH(Dashboard_Visual!$B$4, Data_Monitoring!$A$2:$A$2920, 0) + 165 - 1), 1)</f>
        <v>1</v>
      </c>
    </row>
    <row r="167" spans="1:13" x14ac:dyDescent="0.25">
      <c r="A167" t="str">
        <f>IF(166&lt;=COUNTIF(Data_Monitoring!$A$2:$A$2920, Dashboard_Visual!$B$4), INDEX(Data_Monitoring!$B$2:$B$2920, MATCH(Dashboard_Visual!$B$4, Data_Monitoring!$A$2:$A$2920, 0) + 166 - 1), "")</f>
        <v/>
      </c>
      <c r="B167" t="str">
        <f>IF(166&lt;=COUNTIF(Data_Monitoring!$A$2:$A$2920, Dashboard_Visual!$B$4), INDEX(Data_Monitoring!$C$2:$C$2920, MATCH(Dashboard_Visual!$B$4, Data_Monitoring!$A$2:$A$2920, 0) + 166 - 1), "")</f>
        <v/>
      </c>
      <c r="C167" t="e">
        <f>IF(166&lt;=COUNTIF(Data_Monitoring!$A$2:$A$2920, Dashboard_Visual!$B$4), INDEX(Data_Monitoring!$J$2:$J$2920, MATCH(Dashboard_Visual!$B$4, Data_Monitoring!$A$2:$A$2920, 0) + 166 - 1), NA())</f>
        <v>#N/A</v>
      </c>
      <c r="D167" t="e">
        <f>IF(166&lt;=COUNTIF(Data_Monitoring!$A$2:$A$2920, Dashboard_Visual!$B$4), INDEX(Data_Monitoring!$K$2:$K$2920, MATCH(Dashboard_Visual!$B$4, Data_Monitoring!$A$2:$A$2920, 0) + 166 - 1), NA())</f>
        <v>#N/A</v>
      </c>
      <c r="E167">
        <f>IF(166&lt;=COUNTIF(Data_Monitoring!$A$2:$A$2920, Dashboard_Visual!$B$4), INDEX(Data_Monitoring!$H$2:$H$2920, MATCH(Dashboard_Visual!$B$4, Data_Monitoring!$A$2:$A$2920, 0) + 166 - 1), 0)</f>
        <v>0</v>
      </c>
      <c r="F167">
        <f>IF(166&lt;=COUNTIF(Data_Monitoring!$A$2:$A$2920, Dashboard_Visual!$B$4), INDEX(Data_Monitoring!$O$2:$O$2920, MATCH(Dashboard_Visual!$B$4, Data_Monitoring!$A$2:$A$2920, 0) + 166 - 1), 0)</f>
        <v>0</v>
      </c>
      <c r="G167">
        <f>IF(166&lt;=COUNTIF(Data_Monitoring!$A$2:$A$2920, Dashboard_Visual!$B$4), INDEX(Data_Monitoring!$Q$2:$Q$2920, MATCH(Dashboard_Visual!$B$4, Data_Monitoring!$A$2:$A$2920, 0) + 166 - 1), 0)</f>
        <v>0</v>
      </c>
      <c r="H167" t="str">
        <f>IF(166&lt;=COUNTIF(Data_Monitoring!$A$2:$A$2920, Dashboard_Visual!$B$4), INDEX(Data_Monitoring!$L$2:$L$2920, MATCH(Dashboard_Visual!$B$4, Data_Monitoring!$A$2:$A$2920, 0) + 166 - 1), "")</f>
        <v/>
      </c>
      <c r="I167" t="str">
        <f>IF(AND(166&lt;=$P$2, ISNUMBER(D167), OR(H167="Warning", H167="Overgrade")), TEXT(ABS(D167)/100, "0.00%"), "")</f>
        <v/>
      </c>
      <c r="J167" t="e">
        <f t="shared" si="2"/>
        <v>#N/A</v>
      </c>
      <c r="K167" t="e">
        <f>IF(AND(166&lt;=$P$2, H167="Warning"), C167, NA())</f>
        <v>#N/A</v>
      </c>
      <c r="L167" t="e">
        <f>IF(AND(166&lt;=$P$2, H167="Overgrade"), C167, NA())</f>
        <v>#N/A</v>
      </c>
      <c r="M167">
        <f>IF(166&lt;=COUNTIF(Data_Monitoring!$A$2:$A$2920, Dashboard_Visual!$B$4), INDEX(Data_Monitoring!$S$2:$S$2920, MATCH(Dashboard_Visual!$B$4, Data_Monitoring!$A$2:$A$2920, 0) + 166 - 1), 1)</f>
        <v>1</v>
      </c>
    </row>
    <row r="168" spans="1:13" x14ac:dyDescent="0.25">
      <c r="A168" t="str">
        <f>IF(167&lt;=COUNTIF(Data_Monitoring!$A$2:$A$2920, Dashboard_Visual!$B$4), INDEX(Data_Monitoring!$B$2:$B$2920, MATCH(Dashboard_Visual!$B$4, Data_Monitoring!$A$2:$A$2920, 0) + 167 - 1), "")</f>
        <v/>
      </c>
      <c r="B168" t="str">
        <f>IF(167&lt;=COUNTIF(Data_Monitoring!$A$2:$A$2920, Dashboard_Visual!$B$4), INDEX(Data_Monitoring!$C$2:$C$2920, MATCH(Dashboard_Visual!$B$4, Data_Monitoring!$A$2:$A$2920, 0) + 167 - 1), "")</f>
        <v/>
      </c>
      <c r="C168" t="e">
        <f>IF(167&lt;=COUNTIF(Data_Monitoring!$A$2:$A$2920, Dashboard_Visual!$B$4), INDEX(Data_Monitoring!$J$2:$J$2920, MATCH(Dashboard_Visual!$B$4, Data_Monitoring!$A$2:$A$2920, 0) + 167 - 1), NA())</f>
        <v>#N/A</v>
      </c>
      <c r="D168" t="e">
        <f>IF(167&lt;=COUNTIF(Data_Monitoring!$A$2:$A$2920, Dashboard_Visual!$B$4), INDEX(Data_Monitoring!$K$2:$K$2920, MATCH(Dashboard_Visual!$B$4, Data_Monitoring!$A$2:$A$2920, 0) + 167 - 1), NA())</f>
        <v>#N/A</v>
      </c>
      <c r="E168">
        <f>IF(167&lt;=COUNTIF(Data_Monitoring!$A$2:$A$2920, Dashboard_Visual!$B$4), INDEX(Data_Monitoring!$H$2:$H$2920, MATCH(Dashboard_Visual!$B$4, Data_Monitoring!$A$2:$A$2920, 0) + 167 - 1), 0)</f>
        <v>0</v>
      </c>
      <c r="F168">
        <f>IF(167&lt;=COUNTIF(Data_Monitoring!$A$2:$A$2920, Dashboard_Visual!$B$4), INDEX(Data_Monitoring!$O$2:$O$2920, MATCH(Dashboard_Visual!$B$4, Data_Monitoring!$A$2:$A$2920, 0) + 167 - 1), 0)</f>
        <v>0</v>
      </c>
      <c r="G168">
        <f>IF(167&lt;=COUNTIF(Data_Monitoring!$A$2:$A$2920, Dashboard_Visual!$B$4), INDEX(Data_Monitoring!$Q$2:$Q$2920, MATCH(Dashboard_Visual!$B$4, Data_Monitoring!$A$2:$A$2920, 0) + 167 - 1), 0)</f>
        <v>0</v>
      </c>
      <c r="H168" t="str">
        <f>IF(167&lt;=COUNTIF(Data_Monitoring!$A$2:$A$2920, Dashboard_Visual!$B$4), INDEX(Data_Monitoring!$L$2:$L$2920, MATCH(Dashboard_Visual!$B$4, Data_Monitoring!$A$2:$A$2920, 0) + 167 - 1), "")</f>
        <v/>
      </c>
      <c r="I168" t="str">
        <f>IF(AND(167&lt;=$P$2, ISNUMBER(D168), OR(H168="Warning", H168="Overgrade")), TEXT(ABS(D168)/100, "0.00%"), "")</f>
        <v/>
      </c>
      <c r="J168" t="e">
        <f t="shared" si="2"/>
        <v>#N/A</v>
      </c>
      <c r="K168" t="e">
        <f>IF(AND(167&lt;=$P$2, H168="Warning"), C168, NA())</f>
        <v>#N/A</v>
      </c>
      <c r="L168" t="e">
        <f>IF(AND(167&lt;=$P$2, H168="Overgrade"), C168, NA())</f>
        <v>#N/A</v>
      </c>
      <c r="M168">
        <f>IF(167&lt;=COUNTIF(Data_Monitoring!$A$2:$A$2920, Dashboard_Visual!$B$4), INDEX(Data_Monitoring!$S$2:$S$2920, MATCH(Dashboard_Visual!$B$4, Data_Monitoring!$A$2:$A$2920, 0) + 167 - 1), 1)</f>
        <v>1</v>
      </c>
    </row>
    <row r="169" spans="1:13" x14ac:dyDescent="0.25">
      <c r="A169" t="str">
        <f>IF(168&lt;=COUNTIF(Data_Monitoring!$A$2:$A$2920, Dashboard_Visual!$B$4), INDEX(Data_Monitoring!$B$2:$B$2920, MATCH(Dashboard_Visual!$B$4, Data_Monitoring!$A$2:$A$2920, 0) + 168 - 1), "")</f>
        <v/>
      </c>
      <c r="B169" t="str">
        <f>IF(168&lt;=COUNTIF(Data_Monitoring!$A$2:$A$2920, Dashboard_Visual!$B$4), INDEX(Data_Monitoring!$C$2:$C$2920, MATCH(Dashboard_Visual!$B$4, Data_Monitoring!$A$2:$A$2920, 0) + 168 - 1), "")</f>
        <v/>
      </c>
      <c r="C169" t="e">
        <f>IF(168&lt;=COUNTIF(Data_Monitoring!$A$2:$A$2920, Dashboard_Visual!$B$4), INDEX(Data_Monitoring!$J$2:$J$2920, MATCH(Dashboard_Visual!$B$4, Data_Monitoring!$A$2:$A$2920, 0) + 168 - 1), NA())</f>
        <v>#N/A</v>
      </c>
      <c r="D169" t="e">
        <f>IF(168&lt;=COUNTIF(Data_Monitoring!$A$2:$A$2920, Dashboard_Visual!$B$4), INDEX(Data_Monitoring!$K$2:$K$2920, MATCH(Dashboard_Visual!$B$4, Data_Monitoring!$A$2:$A$2920, 0) + 168 - 1), NA())</f>
        <v>#N/A</v>
      </c>
      <c r="E169">
        <f>IF(168&lt;=COUNTIF(Data_Monitoring!$A$2:$A$2920, Dashboard_Visual!$B$4), INDEX(Data_Monitoring!$H$2:$H$2920, MATCH(Dashboard_Visual!$B$4, Data_Monitoring!$A$2:$A$2920, 0) + 168 - 1), 0)</f>
        <v>0</v>
      </c>
      <c r="F169">
        <f>IF(168&lt;=COUNTIF(Data_Monitoring!$A$2:$A$2920, Dashboard_Visual!$B$4), INDEX(Data_Monitoring!$O$2:$O$2920, MATCH(Dashboard_Visual!$B$4, Data_Monitoring!$A$2:$A$2920, 0) + 168 - 1), 0)</f>
        <v>0</v>
      </c>
      <c r="G169">
        <f>IF(168&lt;=COUNTIF(Data_Monitoring!$A$2:$A$2920, Dashboard_Visual!$B$4), INDEX(Data_Monitoring!$Q$2:$Q$2920, MATCH(Dashboard_Visual!$B$4, Data_Monitoring!$A$2:$A$2920, 0) + 168 - 1), 0)</f>
        <v>0</v>
      </c>
      <c r="H169" t="str">
        <f>IF(168&lt;=COUNTIF(Data_Monitoring!$A$2:$A$2920, Dashboard_Visual!$B$4), INDEX(Data_Monitoring!$L$2:$L$2920, MATCH(Dashboard_Visual!$B$4, Data_Monitoring!$A$2:$A$2920, 0) + 168 - 1), "")</f>
        <v/>
      </c>
      <c r="I169" t="str">
        <f>IF(AND(168&lt;=$P$2, ISNUMBER(D169), OR(H169="Warning", H169="Overgrade")), TEXT(ABS(D169)/100, "0.00%"), "")</f>
        <v/>
      </c>
      <c r="J169" t="e">
        <f t="shared" si="2"/>
        <v>#N/A</v>
      </c>
      <c r="K169" t="e">
        <f>IF(AND(168&lt;=$P$2, H169="Warning"), C169, NA())</f>
        <v>#N/A</v>
      </c>
      <c r="L169" t="e">
        <f>IF(AND(168&lt;=$P$2, H169="Overgrade"), C169, NA())</f>
        <v>#N/A</v>
      </c>
      <c r="M169">
        <f>IF(168&lt;=COUNTIF(Data_Monitoring!$A$2:$A$2920, Dashboard_Visual!$B$4), INDEX(Data_Monitoring!$S$2:$S$2920, MATCH(Dashboard_Visual!$B$4, Data_Monitoring!$A$2:$A$2920, 0) + 168 - 1), 1)</f>
        <v>1</v>
      </c>
    </row>
    <row r="170" spans="1:13" x14ac:dyDescent="0.25">
      <c r="A170" t="str">
        <f>IF(169&lt;=COUNTIF(Data_Monitoring!$A$2:$A$2920, Dashboard_Visual!$B$4), INDEX(Data_Monitoring!$B$2:$B$2920, MATCH(Dashboard_Visual!$B$4, Data_Monitoring!$A$2:$A$2920, 0) + 169 - 1), "")</f>
        <v/>
      </c>
      <c r="B170" t="str">
        <f>IF(169&lt;=COUNTIF(Data_Monitoring!$A$2:$A$2920, Dashboard_Visual!$B$4), INDEX(Data_Monitoring!$C$2:$C$2920, MATCH(Dashboard_Visual!$B$4, Data_Monitoring!$A$2:$A$2920, 0) + 169 - 1), "")</f>
        <v/>
      </c>
      <c r="C170" t="e">
        <f>IF(169&lt;=COUNTIF(Data_Monitoring!$A$2:$A$2920, Dashboard_Visual!$B$4), INDEX(Data_Monitoring!$J$2:$J$2920, MATCH(Dashboard_Visual!$B$4, Data_Monitoring!$A$2:$A$2920, 0) + 169 - 1), NA())</f>
        <v>#N/A</v>
      </c>
      <c r="D170" t="e">
        <f>IF(169&lt;=COUNTIF(Data_Monitoring!$A$2:$A$2920, Dashboard_Visual!$B$4), INDEX(Data_Monitoring!$K$2:$K$2920, MATCH(Dashboard_Visual!$B$4, Data_Monitoring!$A$2:$A$2920, 0) + 169 - 1), NA())</f>
        <v>#N/A</v>
      </c>
      <c r="E170">
        <f>IF(169&lt;=COUNTIF(Data_Monitoring!$A$2:$A$2920, Dashboard_Visual!$B$4), INDEX(Data_Monitoring!$H$2:$H$2920, MATCH(Dashboard_Visual!$B$4, Data_Monitoring!$A$2:$A$2920, 0) + 169 - 1), 0)</f>
        <v>0</v>
      </c>
      <c r="F170">
        <f>IF(169&lt;=COUNTIF(Data_Monitoring!$A$2:$A$2920, Dashboard_Visual!$B$4), INDEX(Data_Monitoring!$O$2:$O$2920, MATCH(Dashboard_Visual!$B$4, Data_Monitoring!$A$2:$A$2920, 0) + 169 - 1), 0)</f>
        <v>0</v>
      </c>
      <c r="G170">
        <f>IF(169&lt;=COUNTIF(Data_Monitoring!$A$2:$A$2920, Dashboard_Visual!$B$4), INDEX(Data_Monitoring!$Q$2:$Q$2920, MATCH(Dashboard_Visual!$B$4, Data_Monitoring!$A$2:$A$2920, 0) + 169 - 1), 0)</f>
        <v>0</v>
      </c>
      <c r="H170" t="str">
        <f>IF(169&lt;=COUNTIF(Data_Monitoring!$A$2:$A$2920, Dashboard_Visual!$B$4), INDEX(Data_Monitoring!$L$2:$L$2920, MATCH(Dashboard_Visual!$B$4, Data_Monitoring!$A$2:$A$2920, 0) + 169 - 1), "")</f>
        <v/>
      </c>
      <c r="I170" t="str">
        <f>IF(AND(169&lt;=$P$2, ISNUMBER(D170), OR(H170="Warning", H170="Overgrade")), TEXT(ABS(D170)/100, "0.00%"), "")</f>
        <v/>
      </c>
      <c r="J170" t="e">
        <f t="shared" si="2"/>
        <v>#N/A</v>
      </c>
      <c r="K170" t="e">
        <f>IF(AND(169&lt;=$P$2, H170="Warning"), C170, NA())</f>
        <v>#N/A</v>
      </c>
      <c r="L170" t="e">
        <f>IF(AND(169&lt;=$P$2, H170="Overgrade"), C170, NA())</f>
        <v>#N/A</v>
      </c>
      <c r="M170">
        <f>IF(169&lt;=COUNTIF(Data_Monitoring!$A$2:$A$2920, Dashboard_Visual!$B$4), INDEX(Data_Monitoring!$S$2:$S$2920, MATCH(Dashboard_Visual!$B$4, Data_Monitoring!$A$2:$A$2920, 0) + 169 - 1), 1)</f>
        <v>1</v>
      </c>
    </row>
    <row r="171" spans="1:13" x14ac:dyDescent="0.25">
      <c r="A171" t="str">
        <f>IF(170&lt;=COUNTIF(Data_Monitoring!$A$2:$A$2920, Dashboard_Visual!$B$4), INDEX(Data_Monitoring!$B$2:$B$2920, MATCH(Dashboard_Visual!$B$4, Data_Monitoring!$A$2:$A$2920, 0) + 170 - 1), "")</f>
        <v/>
      </c>
      <c r="B171" t="str">
        <f>IF(170&lt;=COUNTIF(Data_Monitoring!$A$2:$A$2920, Dashboard_Visual!$B$4), INDEX(Data_Monitoring!$C$2:$C$2920, MATCH(Dashboard_Visual!$B$4, Data_Monitoring!$A$2:$A$2920, 0) + 170 - 1), "")</f>
        <v/>
      </c>
      <c r="C171" t="e">
        <f>IF(170&lt;=COUNTIF(Data_Monitoring!$A$2:$A$2920, Dashboard_Visual!$B$4), INDEX(Data_Monitoring!$J$2:$J$2920, MATCH(Dashboard_Visual!$B$4, Data_Monitoring!$A$2:$A$2920, 0) + 170 - 1), NA())</f>
        <v>#N/A</v>
      </c>
      <c r="D171" t="e">
        <f>IF(170&lt;=COUNTIF(Data_Monitoring!$A$2:$A$2920, Dashboard_Visual!$B$4), INDEX(Data_Monitoring!$K$2:$K$2920, MATCH(Dashboard_Visual!$B$4, Data_Monitoring!$A$2:$A$2920, 0) + 170 - 1), NA())</f>
        <v>#N/A</v>
      </c>
      <c r="E171">
        <f>IF(170&lt;=COUNTIF(Data_Monitoring!$A$2:$A$2920, Dashboard_Visual!$B$4), INDEX(Data_Monitoring!$H$2:$H$2920, MATCH(Dashboard_Visual!$B$4, Data_Monitoring!$A$2:$A$2920, 0) + 170 - 1), 0)</f>
        <v>0</v>
      </c>
      <c r="F171">
        <f>IF(170&lt;=COUNTIF(Data_Monitoring!$A$2:$A$2920, Dashboard_Visual!$B$4), INDEX(Data_Monitoring!$O$2:$O$2920, MATCH(Dashboard_Visual!$B$4, Data_Monitoring!$A$2:$A$2920, 0) + 170 - 1), 0)</f>
        <v>0</v>
      </c>
      <c r="G171">
        <f>IF(170&lt;=COUNTIF(Data_Monitoring!$A$2:$A$2920, Dashboard_Visual!$B$4), INDEX(Data_Monitoring!$Q$2:$Q$2920, MATCH(Dashboard_Visual!$B$4, Data_Monitoring!$A$2:$A$2920, 0) + 170 - 1), 0)</f>
        <v>0</v>
      </c>
      <c r="H171" t="str">
        <f>IF(170&lt;=COUNTIF(Data_Monitoring!$A$2:$A$2920, Dashboard_Visual!$B$4), INDEX(Data_Monitoring!$L$2:$L$2920, MATCH(Dashboard_Visual!$B$4, Data_Monitoring!$A$2:$A$2920, 0) + 170 - 1), "")</f>
        <v/>
      </c>
      <c r="I171" t="str">
        <f>IF(AND(170&lt;=$P$2, ISNUMBER(D171), OR(H171="Warning", H171="Overgrade")), TEXT(ABS(D171)/100, "0.00%"), "")</f>
        <v/>
      </c>
      <c r="J171" t="e">
        <f t="shared" si="2"/>
        <v>#N/A</v>
      </c>
      <c r="K171" t="e">
        <f>IF(AND(170&lt;=$P$2, H171="Warning"), C171, NA())</f>
        <v>#N/A</v>
      </c>
      <c r="L171" t="e">
        <f>IF(AND(170&lt;=$P$2, H171="Overgrade"), C171, NA())</f>
        <v>#N/A</v>
      </c>
      <c r="M171">
        <f>IF(170&lt;=COUNTIF(Data_Monitoring!$A$2:$A$2920, Dashboard_Visual!$B$4), INDEX(Data_Monitoring!$S$2:$S$2920, MATCH(Dashboard_Visual!$B$4, Data_Monitoring!$A$2:$A$2920, 0) + 170 - 1), 1)</f>
        <v>1</v>
      </c>
    </row>
    <row r="172" spans="1:13" x14ac:dyDescent="0.25">
      <c r="A172" t="str">
        <f>IF(171&lt;=COUNTIF(Data_Monitoring!$A$2:$A$2920, Dashboard_Visual!$B$4), INDEX(Data_Monitoring!$B$2:$B$2920, MATCH(Dashboard_Visual!$B$4, Data_Monitoring!$A$2:$A$2920, 0) + 171 - 1), "")</f>
        <v/>
      </c>
      <c r="B172" t="str">
        <f>IF(171&lt;=COUNTIF(Data_Monitoring!$A$2:$A$2920, Dashboard_Visual!$B$4), INDEX(Data_Monitoring!$C$2:$C$2920, MATCH(Dashboard_Visual!$B$4, Data_Monitoring!$A$2:$A$2920, 0) + 171 - 1), "")</f>
        <v/>
      </c>
      <c r="C172" t="e">
        <f>IF(171&lt;=COUNTIF(Data_Monitoring!$A$2:$A$2920, Dashboard_Visual!$B$4), INDEX(Data_Monitoring!$J$2:$J$2920, MATCH(Dashboard_Visual!$B$4, Data_Monitoring!$A$2:$A$2920, 0) + 171 - 1), NA())</f>
        <v>#N/A</v>
      </c>
      <c r="D172" t="e">
        <f>IF(171&lt;=COUNTIF(Data_Monitoring!$A$2:$A$2920, Dashboard_Visual!$B$4), INDEX(Data_Monitoring!$K$2:$K$2920, MATCH(Dashboard_Visual!$B$4, Data_Monitoring!$A$2:$A$2920, 0) + 171 - 1), NA())</f>
        <v>#N/A</v>
      </c>
      <c r="E172">
        <f>IF(171&lt;=COUNTIF(Data_Monitoring!$A$2:$A$2920, Dashboard_Visual!$B$4), INDEX(Data_Monitoring!$H$2:$H$2920, MATCH(Dashboard_Visual!$B$4, Data_Monitoring!$A$2:$A$2920, 0) + 171 - 1), 0)</f>
        <v>0</v>
      </c>
      <c r="F172">
        <f>IF(171&lt;=COUNTIF(Data_Monitoring!$A$2:$A$2920, Dashboard_Visual!$B$4), INDEX(Data_Monitoring!$O$2:$O$2920, MATCH(Dashboard_Visual!$B$4, Data_Monitoring!$A$2:$A$2920, 0) + 171 - 1), 0)</f>
        <v>0</v>
      </c>
      <c r="G172">
        <f>IF(171&lt;=COUNTIF(Data_Monitoring!$A$2:$A$2920, Dashboard_Visual!$B$4), INDEX(Data_Monitoring!$Q$2:$Q$2920, MATCH(Dashboard_Visual!$B$4, Data_Monitoring!$A$2:$A$2920, 0) + 171 - 1), 0)</f>
        <v>0</v>
      </c>
      <c r="H172" t="str">
        <f>IF(171&lt;=COUNTIF(Data_Monitoring!$A$2:$A$2920, Dashboard_Visual!$B$4), INDEX(Data_Monitoring!$L$2:$L$2920, MATCH(Dashboard_Visual!$B$4, Data_Monitoring!$A$2:$A$2920, 0) + 171 - 1), "")</f>
        <v/>
      </c>
      <c r="I172" t="str">
        <f>IF(AND(171&lt;=$P$2, ISNUMBER(D172), OR(H172="Warning", H172="Overgrade")), TEXT(ABS(D172)/100, "0.00%"), "")</f>
        <v/>
      </c>
      <c r="J172" t="e">
        <f t="shared" si="2"/>
        <v>#N/A</v>
      </c>
      <c r="K172" t="e">
        <f>IF(AND(171&lt;=$P$2, H172="Warning"), C172, NA())</f>
        <v>#N/A</v>
      </c>
      <c r="L172" t="e">
        <f>IF(AND(171&lt;=$P$2, H172="Overgrade"), C172, NA())</f>
        <v>#N/A</v>
      </c>
      <c r="M172">
        <f>IF(171&lt;=COUNTIF(Data_Monitoring!$A$2:$A$2920, Dashboard_Visual!$B$4), INDEX(Data_Monitoring!$S$2:$S$2920, MATCH(Dashboard_Visual!$B$4, Data_Monitoring!$A$2:$A$2920, 0) + 171 - 1), 1)</f>
        <v>1</v>
      </c>
    </row>
    <row r="173" spans="1:13" x14ac:dyDescent="0.25">
      <c r="A173" t="str">
        <f>IF(172&lt;=COUNTIF(Data_Monitoring!$A$2:$A$2920, Dashboard_Visual!$B$4), INDEX(Data_Monitoring!$B$2:$B$2920, MATCH(Dashboard_Visual!$B$4, Data_Monitoring!$A$2:$A$2920, 0) + 172 - 1), "")</f>
        <v/>
      </c>
      <c r="B173" t="str">
        <f>IF(172&lt;=COUNTIF(Data_Monitoring!$A$2:$A$2920, Dashboard_Visual!$B$4), INDEX(Data_Monitoring!$C$2:$C$2920, MATCH(Dashboard_Visual!$B$4, Data_Monitoring!$A$2:$A$2920, 0) + 172 - 1), "")</f>
        <v/>
      </c>
      <c r="C173" t="e">
        <f>IF(172&lt;=COUNTIF(Data_Monitoring!$A$2:$A$2920, Dashboard_Visual!$B$4), INDEX(Data_Monitoring!$J$2:$J$2920, MATCH(Dashboard_Visual!$B$4, Data_Monitoring!$A$2:$A$2920, 0) + 172 - 1), NA())</f>
        <v>#N/A</v>
      </c>
      <c r="D173" t="e">
        <f>IF(172&lt;=COUNTIF(Data_Monitoring!$A$2:$A$2920, Dashboard_Visual!$B$4), INDEX(Data_Monitoring!$K$2:$K$2920, MATCH(Dashboard_Visual!$B$4, Data_Monitoring!$A$2:$A$2920, 0) + 172 - 1), NA())</f>
        <v>#N/A</v>
      </c>
      <c r="E173">
        <f>IF(172&lt;=COUNTIF(Data_Monitoring!$A$2:$A$2920, Dashboard_Visual!$B$4), INDEX(Data_Monitoring!$H$2:$H$2920, MATCH(Dashboard_Visual!$B$4, Data_Monitoring!$A$2:$A$2920, 0) + 172 - 1), 0)</f>
        <v>0</v>
      </c>
      <c r="F173">
        <f>IF(172&lt;=COUNTIF(Data_Monitoring!$A$2:$A$2920, Dashboard_Visual!$B$4), INDEX(Data_Monitoring!$O$2:$O$2920, MATCH(Dashboard_Visual!$B$4, Data_Monitoring!$A$2:$A$2920, 0) + 172 - 1), 0)</f>
        <v>0</v>
      </c>
      <c r="G173">
        <f>IF(172&lt;=COUNTIF(Data_Monitoring!$A$2:$A$2920, Dashboard_Visual!$B$4), INDEX(Data_Monitoring!$Q$2:$Q$2920, MATCH(Dashboard_Visual!$B$4, Data_Monitoring!$A$2:$A$2920, 0) + 172 - 1), 0)</f>
        <v>0</v>
      </c>
      <c r="H173" t="str">
        <f>IF(172&lt;=COUNTIF(Data_Monitoring!$A$2:$A$2920, Dashboard_Visual!$B$4), INDEX(Data_Monitoring!$L$2:$L$2920, MATCH(Dashboard_Visual!$B$4, Data_Monitoring!$A$2:$A$2920, 0) + 172 - 1), "")</f>
        <v/>
      </c>
      <c r="I173" t="str">
        <f>IF(AND(172&lt;=$P$2, ISNUMBER(D173), OR(H173="Warning", H173="Overgrade")), TEXT(ABS(D173)/100, "0.00%"), "")</f>
        <v/>
      </c>
      <c r="J173" t="e">
        <f t="shared" si="2"/>
        <v>#N/A</v>
      </c>
      <c r="K173" t="e">
        <f>IF(AND(172&lt;=$P$2, H173="Warning"), C173, NA())</f>
        <v>#N/A</v>
      </c>
      <c r="L173" t="e">
        <f>IF(AND(172&lt;=$P$2, H173="Overgrade"), C173, NA())</f>
        <v>#N/A</v>
      </c>
      <c r="M173">
        <f>IF(172&lt;=COUNTIF(Data_Monitoring!$A$2:$A$2920, Dashboard_Visual!$B$4), INDEX(Data_Monitoring!$S$2:$S$2920, MATCH(Dashboard_Visual!$B$4, Data_Monitoring!$A$2:$A$2920, 0) + 172 - 1), 1)</f>
        <v>1</v>
      </c>
    </row>
    <row r="174" spans="1:13" x14ac:dyDescent="0.25">
      <c r="A174" t="str">
        <f>IF(173&lt;=COUNTIF(Data_Monitoring!$A$2:$A$2920, Dashboard_Visual!$B$4), INDEX(Data_Monitoring!$B$2:$B$2920, MATCH(Dashboard_Visual!$B$4, Data_Monitoring!$A$2:$A$2920, 0) + 173 - 1), "")</f>
        <v/>
      </c>
      <c r="B174" t="str">
        <f>IF(173&lt;=COUNTIF(Data_Monitoring!$A$2:$A$2920, Dashboard_Visual!$B$4), INDEX(Data_Monitoring!$C$2:$C$2920, MATCH(Dashboard_Visual!$B$4, Data_Monitoring!$A$2:$A$2920, 0) + 173 - 1), "")</f>
        <v/>
      </c>
      <c r="C174" t="e">
        <f>IF(173&lt;=COUNTIF(Data_Monitoring!$A$2:$A$2920, Dashboard_Visual!$B$4), INDEX(Data_Monitoring!$J$2:$J$2920, MATCH(Dashboard_Visual!$B$4, Data_Monitoring!$A$2:$A$2920, 0) + 173 - 1), NA())</f>
        <v>#N/A</v>
      </c>
      <c r="D174" t="e">
        <f>IF(173&lt;=COUNTIF(Data_Monitoring!$A$2:$A$2920, Dashboard_Visual!$B$4), INDEX(Data_Monitoring!$K$2:$K$2920, MATCH(Dashboard_Visual!$B$4, Data_Monitoring!$A$2:$A$2920, 0) + 173 - 1), NA())</f>
        <v>#N/A</v>
      </c>
      <c r="E174">
        <f>IF(173&lt;=COUNTIF(Data_Monitoring!$A$2:$A$2920, Dashboard_Visual!$B$4), INDEX(Data_Monitoring!$H$2:$H$2920, MATCH(Dashboard_Visual!$B$4, Data_Monitoring!$A$2:$A$2920, 0) + 173 - 1), 0)</f>
        <v>0</v>
      </c>
      <c r="F174">
        <f>IF(173&lt;=COUNTIF(Data_Monitoring!$A$2:$A$2920, Dashboard_Visual!$B$4), INDEX(Data_Monitoring!$O$2:$O$2920, MATCH(Dashboard_Visual!$B$4, Data_Monitoring!$A$2:$A$2920, 0) + 173 - 1), 0)</f>
        <v>0</v>
      </c>
      <c r="G174">
        <f>IF(173&lt;=COUNTIF(Data_Monitoring!$A$2:$A$2920, Dashboard_Visual!$B$4), INDEX(Data_Monitoring!$Q$2:$Q$2920, MATCH(Dashboard_Visual!$B$4, Data_Monitoring!$A$2:$A$2920, 0) + 173 - 1), 0)</f>
        <v>0</v>
      </c>
      <c r="H174" t="str">
        <f>IF(173&lt;=COUNTIF(Data_Monitoring!$A$2:$A$2920, Dashboard_Visual!$B$4), INDEX(Data_Monitoring!$L$2:$L$2920, MATCH(Dashboard_Visual!$B$4, Data_Monitoring!$A$2:$A$2920, 0) + 173 - 1), "")</f>
        <v/>
      </c>
      <c r="I174" t="str">
        <f>IF(AND(173&lt;=$P$2, ISNUMBER(D174), OR(H174="Warning", H174="Overgrade")), TEXT(ABS(D174)/100, "0.00%"), "")</f>
        <v/>
      </c>
      <c r="J174" t="e">
        <f t="shared" si="2"/>
        <v>#N/A</v>
      </c>
      <c r="K174" t="e">
        <f>IF(AND(173&lt;=$P$2, H174="Warning"), C174, NA())</f>
        <v>#N/A</v>
      </c>
      <c r="L174" t="e">
        <f>IF(AND(173&lt;=$P$2, H174="Overgrade"), C174, NA())</f>
        <v>#N/A</v>
      </c>
      <c r="M174">
        <f>IF(173&lt;=COUNTIF(Data_Monitoring!$A$2:$A$2920, Dashboard_Visual!$B$4), INDEX(Data_Monitoring!$S$2:$S$2920, MATCH(Dashboard_Visual!$B$4, Data_Monitoring!$A$2:$A$2920, 0) + 173 - 1), 1)</f>
        <v>1</v>
      </c>
    </row>
    <row r="175" spans="1:13" x14ac:dyDescent="0.25">
      <c r="A175" t="str">
        <f>IF(174&lt;=COUNTIF(Data_Monitoring!$A$2:$A$2920, Dashboard_Visual!$B$4), INDEX(Data_Monitoring!$B$2:$B$2920, MATCH(Dashboard_Visual!$B$4, Data_Monitoring!$A$2:$A$2920, 0) + 174 - 1), "")</f>
        <v/>
      </c>
      <c r="B175" t="str">
        <f>IF(174&lt;=COUNTIF(Data_Monitoring!$A$2:$A$2920, Dashboard_Visual!$B$4), INDEX(Data_Monitoring!$C$2:$C$2920, MATCH(Dashboard_Visual!$B$4, Data_Monitoring!$A$2:$A$2920, 0) + 174 - 1), "")</f>
        <v/>
      </c>
      <c r="C175" t="e">
        <f>IF(174&lt;=COUNTIF(Data_Monitoring!$A$2:$A$2920, Dashboard_Visual!$B$4), INDEX(Data_Monitoring!$J$2:$J$2920, MATCH(Dashboard_Visual!$B$4, Data_Monitoring!$A$2:$A$2920, 0) + 174 - 1), NA())</f>
        <v>#N/A</v>
      </c>
      <c r="D175" t="e">
        <f>IF(174&lt;=COUNTIF(Data_Monitoring!$A$2:$A$2920, Dashboard_Visual!$B$4), INDEX(Data_Monitoring!$K$2:$K$2920, MATCH(Dashboard_Visual!$B$4, Data_Monitoring!$A$2:$A$2920, 0) + 174 - 1), NA())</f>
        <v>#N/A</v>
      </c>
      <c r="E175">
        <f>IF(174&lt;=COUNTIF(Data_Monitoring!$A$2:$A$2920, Dashboard_Visual!$B$4), INDEX(Data_Monitoring!$H$2:$H$2920, MATCH(Dashboard_Visual!$B$4, Data_Monitoring!$A$2:$A$2920, 0) + 174 - 1), 0)</f>
        <v>0</v>
      </c>
      <c r="F175">
        <f>IF(174&lt;=COUNTIF(Data_Monitoring!$A$2:$A$2920, Dashboard_Visual!$B$4), INDEX(Data_Monitoring!$O$2:$O$2920, MATCH(Dashboard_Visual!$B$4, Data_Monitoring!$A$2:$A$2920, 0) + 174 - 1), 0)</f>
        <v>0</v>
      </c>
      <c r="G175">
        <f>IF(174&lt;=COUNTIF(Data_Monitoring!$A$2:$A$2920, Dashboard_Visual!$B$4), INDEX(Data_Monitoring!$Q$2:$Q$2920, MATCH(Dashboard_Visual!$B$4, Data_Monitoring!$A$2:$A$2920, 0) + 174 - 1), 0)</f>
        <v>0</v>
      </c>
      <c r="H175" t="str">
        <f>IF(174&lt;=COUNTIF(Data_Monitoring!$A$2:$A$2920, Dashboard_Visual!$B$4), INDEX(Data_Monitoring!$L$2:$L$2920, MATCH(Dashboard_Visual!$B$4, Data_Monitoring!$A$2:$A$2920, 0) + 174 - 1), "")</f>
        <v/>
      </c>
      <c r="I175" t="str">
        <f>IF(AND(174&lt;=$P$2, ISNUMBER(D175), OR(H175="Warning", H175="Overgrade")), TEXT(ABS(D175)/100, "0.00%"), "")</f>
        <v/>
      </c>
      <c r="J175" t="e">
        <f t="shared" si="2"/>
        <v>#N/A</v>
      </c>
      <c r="K175" t="e">
        <f>IF(AND(174&lt;=$P$2, H175="Warning"), C175, NA())</f>
        <v>#N/A</v>
      </c>
      <c r="L175" t="e">
        <f>IF(AND(174&lt;=$P$2, H175="Overgrade"), C175, NA())</f>
        <v>#N/A</v>
      </c>
      <c r="M175">
        <f>IF(174&lt;=COUNTIF(Data_Monitoring!$A$2:$A$2920, Dashboard_Visual!$B$4), INDEX(Data_Monitoring!$S$2:$S$2920, MATCH(Dashboard_Visual!$B$4, Data_Monitoring!$A$2:$A$2920, 0) + 174 - 1), 1)</f>
        <v>1</v>
      </c>
    </row>
    <row r="176" spans="1:13" x14ac:dyDescent="0.25">
      <c r="A176" t="str">
        <f>IF(175&lt;=COUNTIF(Data_Monitoring!$A$2:$A$2920, Dashboard_Visual!$B$4), INDEX(Data_Monitoring!$B$2:$B$2920, MATCH(Dashboard_Visual!$B$4, Data_Monitoring!$A$2:$A$2920, 0) + 175 - 1), "")</f>
        <v/>
      </c>
      <c r="B176" t="str">
        <f>IF(175&lt;=COUNTIF(Data_Monitoring!$A$2:$A$2920, Dashboard_Visual!$B$4), INDEX(Data_Monitoring!$C$2:$C$2920, MATCH(Dashboard_Visual!$B$4, Data_Monitoring!$A$2:$A$2920, 0) + 175 - 1), "")</f>
        <v/>
      </c>
      <c r="C176" t="e">
        <f>IF(175&lt;=COUNTIF(Data_Monitoring!$A$2:$A$2920, Dashboard_Visual!$B$4), INDEX(Data_Monitoring!$J$2:$J$2920, MATCH(Dashboard_Visual!$B$4, Data_Monitoring!$A$2:$A$2920, 0) + 175 - 1), NA())</f>
        <v>#N/A</v>
      </c>
      <c r="D176" t="e">
        <f>IF(175&lt;=COUNTIF(Data_Monitoring!$A$2:$A$2920, Dashboard_Visual!$B$4), INDEX(Data_Monitoring!$K$2:$K$2920, MATCH(Dashboard_Visual!$B$4, Data_Monitoring!$A$2:$A$2920, 0) + 175 - 1), NA())</f>
        <v>#N/A</v>
      </c>
      <c r="E176">
        <f>IF(175&lt;=COUNTIF(Data_Monitoring!$A$2:$A$2920, Dashboard_Visual!$B$4), INDEX(Data_Monitoring!$H$2:$H$2920, MATCH(Dashboard_Visual!$B$4, Data_Monitoring!$A$2:$A$2920, 0) + 175 - 1), 0)</f>
        <v>0</v>
      </c>
      <c r="F176">
        <f>IF(175&lt;=COUNTIF(Data_Monitoring!$A$2:$A$2920, Dashboard_Visual!$B$4), INDEX(Data_Monitoring!$O$2:$O$2920, MATCH(Dashboard_Visual!$B$4, Data_Monitoring!$A$2:$A$2920, 0) + 175 - 1), 0)</f>
        <v>0</v>
      </c>
      <c r="G176">
        <f>IF(175&lt;=COUNTIF(Data_Monitoring!$A$2:$A$2920, Dashboard_Visual!$B$4), INDEX(Data_Monitoring!$Q$2:$Q$2920, MATCH(Dashboard_Visual!$B$4, Data_Monitoring!$A$2:$A$2920, 0) + 175 - 1), 0)</f>
        <v>0</v>
      </c>
      <c r="H176" t="str">
        <f>IF(175&lt;=COUNTIF(Data_Monitoring!$A$2:$A$2920, Dashboard_Visual!$B$4), INDEX(Data_Monitoring!$L$2:$L$2920, MATCH(Dashboard_Visual!$B$4, Data_Monitoring!$A$2:$A$2920, 0) + 175 - 1), "")</f>
        <v/>
      </c>
      <c r="I176" t="str">
        <f>IF(AND(175&lt;=$P$2, ISNUMBER(D176), OR(H176="Warning", H176="Overgrade")), TEXT(ABS(D176)/100, "0.00%"), "")</f>
        <v/>
      </c>
      <c r="J176" t="e">
        <f t="shared" si="2"/>
        <v>#N/A</v>
      </c>
      <c r="K176" t="e">
        <f>IF(AND(175&lt;=$P$2, H176="Warning"), C176, NA())</f>
        <v>#N/A</v>
      </c>
      <c r="L176" t="e">
        <f>IF(AND(175&lt;=$P$2, H176="Overgrade"), C176, NA())</f>
        <v>#N/A</v>
      </c>
      <c r="M176">
        <f>IF(175&lt;=COUNTIF(Data_Monitoring!$A$2:$A$2920, Dashboard_Visual!$B$4), INDEX(Data_Monitoring!$S$2:$S$2920, MATCH(Dashboard_Visual!$B$4, Data_Monitoring!$A$2:$A$2920, 0) + 175 - 1), 1)</f>
        <v>1</v>
      </c>
    </row>
    <row r="177" spans="1:13" x14ac:dyDescent="0.25">
      <c r="A177" t="str">
        <f>IF(176&lt;=COUNTIF(Data_Monitoring!$A$2:$A$2920, Dashboard_Visual!$B$4), INDEX(Data_Monitoring!$B$2:$B$2920, MATCH(Dashboard_Visual!$B$4, Data_Monitoring!$A$2:$A$2920, 0) + 176 - 1), "")</f>
        <v/>
      </c>
      <c r="B177" t="str">
        <f>IF(176&lt;=COUNTIF(Data_Monitoring!$A$2:$A$2920, Dashboard_Visual!$B$4), INDEX(Data_Monitoring!$C$2:$C$2920, MATCH(Dashboard_Visual!$B$4, Data_Monitoring!$A$2:$A$2920, 0) + 176 - 1), "")</f>
        <v/>
      </c>
      <c r="C177" t="e">
        <f>IF(176&lt;=COUNTIF(Data_Monitoring!$A$2:$A$2920, Dashboard_Visual!$B$4), INDEX(Data_Monitoring!$J$2:$J$2920, MATCH(Dashboard_Visual!$B$4, Data_Monitoring!$A$2:$A$2920, 0) + 176 - 1), NA())</f>
        <v>#N/A</v>
      </c>
      <c r="D177" t="e">
        <f>IF(176&lt;=COUNTIF(Data_Monitoring!$A$2:$A$2920, Dashboard_Visual!$B$4), INDEX(Data_Monitoring!$K$2:$K$2920, MATCH(Dashboard_Visual!$B$4, Data_Monitoring!$A$2:$A$2920, 0) + 176 - 1), NA())</f>
        <v>#N/A</v>
      </c>
      <c r="E177">
        <f>IF(176&lt;=COUNTIF(Data_Monitoring!$A$2:$A$2920, Dashboard_Visual!$B$4), INDEX(Data_Monitoring!$H$2:$H$2920, MATCH(Dashboard_Visual!$B$4, Data_Monitoring!$A$2:$A$2920, 0) + 176 - 1), 0)</f>
        <v>0</v>
      </c>
      <c r="F177">
        <f>IF(176&lt;=COUNTIF(Data_Monitoring!$A$2:$A$2920, Dashboard_Visual!$B$4), INDEX(Data_Monitoring!$O$2:$O$2920, MATCH(Dashboard_Visual!$B$4, Data_Monitoring!$A$2:$A$2920, 0) + 176 - 1), 0)</f>
        <v>0</v>
      </c>
      <c r="G177">
        <f>IF(176&lt;=COUNTIF(Data_Monitoring!$A$2:$A$2920, Dashboard_Visual!$B$4), INDEX(Data_Monitoring!$Q$2:$Q$2920, MATCH(Dashboard_Visual!$B$4, Data_Monitoring!$A$2:$A$2920, 0) + 176 - 1), 0)</f>
        <v>0</v>
      </c>
      <c r="H177" t="str">
        <f>IF(176&lt;=COUNTIF(Data_Monitoring!$A$2:$A$2920, Dashboard_Visual!$B$4), INDEX(Data_Monitoring!$L$2:$L$2920, MATCH(Dashboard_Visual!$B$4, Data_Monitoring!$A$2:$A$2920, 0) + 176 - 1), "")</f>
        <v/>
      </c>
      <c r="I177" t="str">
        <f>IF(AND(176&lt;=$P$2, ISNUMBER(D177), OR(H177="Warning", H177="Overgrade")), TEXT(ABS(D177)/100, "0.00%"), "")</f>
        <v/>
      </c>
      <c r="J177" t="e">
        <f t="shared" si="2"/>
        <v>#N/A</v>
      </c>
      <c r="K177" t="e">
        <f>IF(AND(176&lt;=$P$2, H177="Warning"), C177, NA())</f>
        <v>#N/A</v>
      </c>
      <c r="L177" t="e">
        <f>IF(AND(176&lt;=$P$2, H177="Overgrade"), C177, NA())</f>
        <v>#N/A</v>
      </c>
      <c r="M177">
        <f>IF(176&lt;=COUNTIF(Data_Monitoring!$A$2:$A$2920, Dashboard_Visual!$B$4), INDEX(Data_Monitoring!$S$2:$S$2920, MATCH(Dashboard_Visual!$B$4, Data_Monitoring!$A$2:$A$2920, 0) + 176 - 1), 1)</f>
        <v>1</v>
      </c>
    </row>
    <row r="178" spans="1:13" x14ac:dyDescent="0.25">
      <c r="A178" t="str">
        <f>IF(177&lt;=COUNTIF(Data_Monitoring!$A$2:$A$2920, Dashboard_Visual!$B$4), INDEX(Data_Monitoring!$B$2:$B$2920, MATCH(Dashboard_Visual!$B$4, Data_Monitoring!$A$2:$A$2920, 0) + 177 - 1), "")</f>
        <v/>
      </c>
      <c r="B178" t="str">
        <f>IF(177&lt;=COUNTIF(Data_Monitoring!$A$2:$A$2920, Dashboard_Visual!$B$4), INDEX(Data_Monitoring!$C$2:$C$2920, MATCH(Dashboard_Visual!$B$4, Data_Monitoring!$A$2:$A$2920, 0) + 177 - 1), "")</f>
        <v/>
      </c>
      <c r="C178" t="e">
        <f>IF(177&lt;=COUNTIF(Data_Monitoring!$A$2:$A$2920, Dashboard_Visual!$B$4), INDEX(Data_Monitoring!$J$2:$J$2920, MATCH(Dashboard_Visual!$B$4, Data_Monitoring!$A$2:$A$2920, 0) + 177 - 1), NA())</f>
        <v>#N/A</v>
      </c>
      <c r="D178" t="e">
        <f>IF(177&lt;=COUNTIF(Data_Monitoring!$A$2:$A$2920, Dashboard_Visual!$B$4), INDEX(Data_Monitoring!$K$2:$K$2920, MATCH(Dashboard_Visual!$B$4, Data_Monitoring!$A$2:$A$2920, 0) + 177 - 1), NA())</f>
        <v>#N/A</v>
      </c>
      <c r="E178">
        <f>IF(177&lt;=COUNTIF(Data_Monitoring!$A$2:$A$2920, Dashboard_Visual!$B$4), INDEX(Data_Monitoring!$H$2:$H$2920, MATCH(Dashboard_Visual!$B$4, Data_Monitoring!$A$2:$A$2920, 0) + 177 - 1), 0)</f>
        <v>0</v>
      </c>
      <c r="F178">
        <f>IF(177&lt;=COUNTIF(Data_Monitoring!$A$2:$A$2920, Dashboard_Visual!$B$4), INDEX(Data_Monitoring!$O$2:$O$2920, MATCH(Dashboard_Visual!$B$4, Data_Monitoring!$A$2:$A$2920, 0) + 177 - 1), 0)</f>
        <v>0</v>
      </c>
      <c r="G178">
        <f>IF(177&lt;=COUNTIF(Data_Monitoring!$A$2:$A$2920, Dashboard_Visual!$B$4), INDEX(Data_Monitoring!$Q$2:$Q$2920, MATCH(Dashboard_Visual!$B$4, Data_Monitoring!$A$2:$A$2920, 0) + 177 - 1), 0)</f>
        <v>0</v>
      </c>
      <c r="H178" t="str">
        <f>IF(177&lt;=COUNTIF(Data_Monitoring!$A$2:$A$2920, Dashboard_Visual!$B$4), INDEX(Data_Monitoring!$L$2:$L$2920, MATCH(Dashboard_Visual!$B$4, Data_Monitoring!$A$2:$A$2920, 0) + 177 - 1), "")</f>
        <v/>
      </c>
      <c r="I178" t="str">
        <f>IF(AND(177&lt;=$P$2, ISNUMBER(D178), OR(H178="Warning", H178="Overgrade")), TEXT(ABS(D178)/100, "0.00%"), "")</f>
        <v/>
      </c>
      <c r="J178" t="e">
        <f t="shared" si="2"/>
        <v>#N/A</v>
      </c>
      <c r="K178" t="e">
        <f>IF(AND(177&lt;=$P$2, H178="Warning"), C178, NA())</f>
        <v>#N/A</v>
      </c>
      <c r="L178" t="e">
        <f>IF(AND(177&lt;=$P$2, H178="Overgrade"), C178, NA())</f>
        <v>#N/A</v>
      </c>
      <c r="M178">
        <f>IF(177&lt;=COUNTIF(Data_Monitoring!$A$2:$A$2920, Dashboard_Visual!$B$4), INDEX(Data_Monitoring!$S$2:$S$2920, MATCH(Dashboard_Visual!$B$4, Data_Monitoring!$A$2:$A$2920, 0) + 177 - 1), 1)</f>
        <v>1</v>
      </c>
    </row>
    <row r="179" spans="1:13" x14ac:dyDescent="0.25">
      <c r="A179" t="str">
        <f>IF(178&lt;=COUNTIF(Data_Monitoring!$A$2:$A$2920, Dashboard_Visual!$B$4), INDEX(Data_Monitoring!$B$2:$B$2920, MATCH(Dashboard_Visual!$B$4, Data_Monitoring!$A$2:$A$2920, 0) + 178 - 1), "")</f>
        <v/>
      </c>
      <c r="B179" t="str">
        <f>IF(178&lt;=COUNTIF(Data_Monitoring!$A$2:$A$2920, Dashboard_Visual!$B$4), INDEX(Data_Monitoring!$C$2:$C$2920, MATCH(Dashboard_Visual!$B$4, Data_Monitoring!$A$2:$A$2920, 0) + 178 - 1), "")</f>
        <v/>
      </c>
      <c r="C179" t="e">
        <f>IF(178&lt;=COUNTIF(Data_Monitoring!$A$2:$A$2920, Dashboard_Visual!$B$4), INDEX(Data_Monitoring!$J$2:$J$2920, MATCH(Dashboard_Visual!$B$4, Data_Monitoring!$A$2:$A$2920, 0) + 178 - 1), NA())</f>
        <v>#N/A</v>
      </c>
      <c r="D179" t="e">
        <f>IF(178&lt;=COUNTIF(Data_Monitoring!$A$2:$A$2920, Dashboard_Visual!$B$4), INDEX(Data_Monitoring!$K$2:$K$2920, MATCH(Dashboard_Visual!$B$4, Data_Monitoring!$A$2:$A$2920, 0) + 178 - 1), NA())</f>
        <v>#N/A</v>
      </c>
      <c r="E179">
        <f>IF(178&lt;=COUNTIF(Data_Monitoring!$A$2:$A$2920, Dashboard_Visual!$B$4), INDEX(Data_Monitoring!$H$2:$H$2920, MATCH(Dashboard_Visual!$B$4, Data_Monitoring!$A$2:$A$2920, 0) + 178 - 1), 0)</f>
        <v>0</v>
      </c>
      <c r="F179">
        <f>IF(178&lt;=COUNTIF(Data_Monitoring!$A$2:$A$2920, Dashboard_Visual!$B$4), INDEX(Data_Monitoring!$O$2:$O$2920, MATCH(Dashboard_Visual!$B$4, Data_Monitoring!$A$2:$A$2920, 0) + 178 - 1), 0)</f>
        <v>0</v>
      </c>
      <c r="G179">
        <f>IF(178&lt;=COUNTIF(Data_Monitoring!$A$2:$A$2920, Dashboard_Visual!$B$4), INDEX(Data_Monitoring!$Q$2:$Q$2920, MATCH(Dashboard_Visual!$B$4, Data_Monitoring!$A$2:$A$2920, 0) + 178 - 1), 0)</f>
        <v>0</v>
      </c>
      <c r="H179" t="str">
        <f>IF(178&lt;=COUNTIF(Data_Monitoring!$A$2:$A$2920, Dashboard_Visual!$B$4), INDEX(Data_Monitoring!$L$2:$L$2920, MATCH(Dashboard_Visual!$B$4, Data_Monitoring!$A$2:$A$2920, 0) + 178 - 1), "")</f>
        <v/>
      </c>
      <c r="I179" t="str">
        <f>IF(AND(178&lt;=$P$2, ISNUMBER(D179), OR(H179="Warning", H179="Overgrade")), TEXT(ABS(D179)/100, "0.00%"), "")</f>
        <v/>
      </c>
      <c r="J179" t="e">
        <f t="shared" si="2"/>
        <v>#N/A</v>
      </c>
      <c r="K179" t="e">
        <f>IF(AND(178&lt;=$P$2, H179="Warning"), C179, NA())</f>
        <v>#N/A</v>
      </c>
      <c r="L179" t="e">
        <f>IF(AND(178&lt;=$P$2, H179="Overgrade"), C179, NA())</f>
        <v>#N/A</v>
      </c>
      <c r="M179">
        <f>IF(178&lt;=COUNTIF(Data_Monitoring!$A$2:$A$2920, Dashboard_Visual!$B$4), INDEX(Data_Monitoring!$S$2:$S$2920, MATCH(Dashboard_Visual!$B$4, Data_Monitoring!$A$2:$A$2920, 0) + 178 - 1), 1)</f>
        <v>1</v>
      </c>
    </row>
    <row r="180" spans="1:13" x14ac:dyDescent="0.25">
      <c r="A180" t="str">
        <f>IF(179&lt;=COUNTIF(Data_Monitoring!$A$2:$A$2920, Dashboard_Visual!$B$4), INDEX(Data_Monitoring!$B$2:$B$2920, MATCH(Dashboard_Visual!$B$4, Data_Monitoring!$A$2:$A$2920, 0) + 179 - 1), "")</f>
        <v/>
      </c>
      <c r="B180" t="str">
        <f>IF(179&lt;=COUNTIF(Data_Monitoring!$A$2:$A$2920, Dashboard_Visual!$B$4), INDEX(Data_Monitoring!$C$2:$C$2920, MATCH(Dashboard_Visual!$B$4, Data_Monitoring!$A$2:$A$2920, 0) + 179 - 1), "")</f>
        <v/>
      </c>
      <c r="C180" t="e">
        <f>IF(179&lt;=COUNTIF(Data_Monitoring!$A$2:$A$2920, Dashboard_Visual!$B$4), INDEX(Data_Monitoring!$J$2:$J$2920, MATCH(Dashboard_Visual!$B$4, Data_Monitoring!$A$2:$A$2920, 0) + 179 - 1), NA())</f>
        <v>#N/A</v>
      </c>
      <c r="D180" t="e">
        <f>IF(179&lt;=COUNTIF(Data_Monitoring!$A$2:$A$2920, Dashboard_Visual!$B$4), INDEX(Data_Monitoring!$K$2:$K$2920, MATCH(Dashboard_Visual!$B$4, Data_Monitoring!$A$2:$A$2920, 0) + 179 - 1), NA())</f>
        <v>#N/A</v>
      </c>
      <c r="E180">
        <f>IF(179&lt;=COUNTIF(Data_Monitoring!$A$2:$A$2920, Dashboard_Visual!$B$4), INDEX(Data_Monitoring!$H$2:$H$2920, MATCH(Dashboard_Visual!$B$4, Data_Monitoring!$A$2:$A$2920, 0) + 179 - 1), 0)</f>
        <v>0</v>
      </c>
      <c r="F180">
        <f>IF(179&lt;=COUNTIF(Data_Monitoring!$A$2:$A$2920, Dashboard_Visual!$B$4), INDEX(Data_Monitoring!$O$2:$O$2920, MATCH(Dashboard_Visual!$B$4, Data_Monitoring!$A$2:$A$2920, 0) + 179 - 1), 0)</f>
        <v>0</v>
      </c>
      <c r="G180">
        <f>IF(179&lt;=COUNTIF(Data_Monitoring!$A$2:$A$2920, Dashboard_Visual!$B$4), INDEX(Data_Monitoring!$Q$2:$Q$2920, MATCH(Dashboard_Visual!$B$4, Data_Monitoring!$A$2:$A$2920, 0) + 179 - 1), 0)</f>
        <v>0</v>
      </c>
      <c r="H180" t="str">
        <f>IF(179&lt;=COUNTIF(Data_Monitoring!$A$2:$A$2920, Dashboard_Visual!$B$4), INDEX(Data_Monitoring!$L$2:$L$2920, MATCH(Dashboard_Visual!$B$4, Data_Monitoring!$A$2:$A$2920, 0) + 179 - 1), "")</f>
        <v/>
      </c>
      <c r="I180" t="str">
        <f>IF(AND(179&lt;=$P$2, ISNUMBER(D180), OR(H180="Warning", H180="Overgrade")), TEXT(ABS(D180)/100, "0.00%"), "")</f>
        <v/>
      </c>
      <c r="J180" t="e">
        <f t="shared" si="2"/>
        <v>#N/A</v>
      </c>
      <c r="K180" t="e">
        <f>IF(AND(179&lt;=$P$2, H180="Warning"), C180, NA())</f>
        <v>#N/A</v>
      </c>
      <c r="L180" t="e">
        <f>IF(AND(179&lt;=$P$2, H180="Overgrade"), C180, NA())</f>
        <v>#N/A</v>
      </c>
      <c r="M180">
        <f>IF(179&lt;=COUNTIF(Data_Monitoring!$A$2:$A$2920, Dashboard_Visual!$B$4), INDEX(Data_Monitoring!$S$2:$S$2920, MATCH(Dashboard_Visual!$B$4, Data_Monitoring!$A$2:$A$2920, 0) + 179 - 1), 1)</f>
        <v>1</v>
      </c>
    </row>
    <row r="181" spans="1:13" x14ac:dyDescent="0.25">
      <c r="A181" t="str">
        <f>IF(180&lt;=COUNTIF(Data_Monitoring!$A$2:$A$2920, Dashboard_Visual!$B$4), INDEX(Data_Monitoring!$B$2:$B$2920, MATCH(Dashboard_Visual!$B$4, Data_Monitoring!$A$2:$A$2920, 0) + 180 - 1), "")</f>
        <v/>
      </c>
      <c r="B181" t="str">
        <f>IF(180&lt;=COUNTIF(Data_Monitoring!$A$2:$A$2920, Dashboard_Visual!$B$4), INDEX(Data_Monitoring!$C$2:$C$2920, MATCH(Dashboard_Visual!$B$4, Data_Monitoring!$A$2:$A$2920, 0) + 180 - 1), "")</f>
        <v/>
      </c>
      <c r="C181" t="e">
        <f>IF(180&lt;=COUNTIF(Data_Monitoring!$A$2:$A$2920, Dashboard_Visual!$B$4), INDEX(Data_Monitoring!$J$2:$J$2920, MATCH(Dashboard_Visual!$B$4, Data_Monitoring!$A$2:$A$2920, 0) + 180 - 1), NA())</f>
        <v>#N/A</v>
      </c>
      <c r="D181" t="e">
        <f>IF(180&lt;=COUNTIF(Data_Monitoring!$A$2:$A$2920, Dashboard_Visual!$B$4), INDEX(Data_Monitoring!$K$2:$K$2920, MATCH(Dashboard_Visual!$B$4, Data_Monitoring!$A$2:$A$2920, 0) + 180 - 1), NA())</f>
        <v>#N/A</v>
      </c>
      <c r="E181">
        <f>IF(180&lt;=COUNTIF(Data_Monitoring!$A$2:$A$2920, Dashboard_Visual!$B$4), INDEX(Data_Monitoring!$H$2:$H$2920, MATCH(Dashboard_Visual!$B$4, Data_Monitoring!$A$2:$A$2920, 0) + 180 - 1), 0)</f>
        <v>0</v>
      </c>
      <c r="F181">
        <f>IF(180&lt;=COUNTIF(Data_Monitoring!$A$2:$A$2920, Dashboard_Visual!$B$4), INDEX(Data_Monitoring!$O$2:$O$2920, MATCH(Dashboard_Visual!$B$4, Data_Monitoring!$A$2:$A$2920, 0) + 180 - 1), 0)</f>
        <v>0</v>
      </c>
      <c r="G181">
        <f>IF(180&lt;=COUNTIF(Data_Monitoring!$A$2:$A$2920, Dashboard_Visual!$B$4), INDEX(Data_Monitoring!$Q$2:$Q$2920, MATCH(Dashboard_Visual!$B$4, Data_Monitoring!$A$2:$A$2920, 0) + 180 - 1), 0)</f>
        <v>0</v>
      </c>
      <c r="H181" t="str">
        <f>IF(180&lt;=COUNTIF(Data_Monitoring!$A$2:$A$2920, Dashboard_Visual!$B$4), INDEX(Data_Monitoring!$L$2:$L$2920, MATCH(Dashboard_Visual!$B$4, Data_Monitoring!$A$2:$A$2920, 0) + 180 - 1), "")</f>
        <v/>
      </c>
      <c r="I181" t="str">
        <f>IF(AND(180&lt;=$P$2, ISNUMBER(D181), OR(H181="Warning", H181="Overgrade")), TEXT(ABS(D181)/100, "0.00%"), "")</f>
        <v/>
      </c>
      <c r="J181" t="e">
        <f t="shared" si="2"/>
        <v>#N/A</v>
      </c>
      <c r="K181" t="e">
        <f>IF(AND(180&lt;=$P$2, H181="Warning"), C181, NA())</f>
        <v>#N/A</v>
      </c>
      <c r="L181" t="e">
        <f>IF(AND(180&lt;=$P$2, H181="Overgrade"), C181, NA())</f>
        <v>#N/A</v>
      </c>
      <c r="M181">
        <f>IF(180&lt;=COUNTIF(Data_Monitoring!$A$2:$A$2920, Dashboard_Visual!$B$4), INDEX(Data_Monitoring!$S$2:$S$2920, MATCH(Dashboard_Visual!$B$4, Data_Monitoring!$A$2:$A$2920, 0) + 180 - 1), 1)</f>
        <v>1</v>
      </c>
    </row>
    <row r="182" spans="1:13" x14ac:dyDescent="0.25">
      <c r="A182" t="str">
        <f>IF(181&lt;=COUNTIF(Data_Monitoring!$A$2:$A$2920, Dashboard_Visual!$B$4), INDEX(Data_Monitoring!$B$2:$B$2920, MATCH(Dashboard_Visual!$B$4, Data_Monitoring!$A$2:$A$2920, 0) + 181 - 1), "")</f>
        <v/>
      </c>
      <c r="B182" t="str">
        <f>IF(181&lt;=COUNTIF(Data_Monitoring!$A$2:$A$2920, Dashboard_Visual!$B$4), INDEX(Data_Monitoring!$C$2:$C$2920, MATCH(Dashboard_Visual!$B$4, Data_Monitoring!$A$2:$A$2920, 0) + 181 - 1), "")</f>
        <v/>
      </c>
      <c r="C182" t="e">
        <f>IF(181&lt;=COUNTIF(Data_Monitoring!$A$2:$A$2920, Dashboard_Visual!$B$4), INDEX(Data_Monitoring!$J$2:$J$2920, MATCH(Dashboard_Visual!$B$4, Data_Monitoring!$A$2:$A$2920, 0) + 181 - 1), NA())</f>
        <v>#N/A</v>
      </c>
      <c r="D182" t="e">
        <f>IF(181&lt;=COUNTIF(Data_Monitoring!$A$2:$A$2920, Dashboard_Visual!$B$4), INDEX(Data_Monitoring!$K$2:$K$2920, MATCH(Dashboard_Visual!$B$4, Data_Monitoring!$A$2:$A$2920, 0) + 181 - 1), NA())</f>
        <v>#N/A</v>
      </c>
      <c r="E182">
        <f>IF(181&lt;=COUNTIF(Data_Monitoring!$A$2:$A$2920, Dashboard_Visual!$B$4), INDEX(Data_Monitoring!$H$2:$H$2920, MATCH(Dashboard_Visual!$B$4, Data_Monitoring!$A$2:$A$2920, 0) + 181 - 1), 0)</f>
        <v>0</v>
      </c>
      <c r="F182">
        <f>IF(181&lt;=COUNTIF(Data_Monitoring!$A$2:$A$2920, Dashboard_Visual!$B$4), INDEX(Data_Monitoring!$O$2:$O$2920, MATCH(Dashboard_Visual!$B$4, Data_Monitoring!$A$2:$A$2920, 0) + 181 - 1), 0)</f>
        <v>0</v>
      </c>
      <c r="G182">
        <f>IF(181&lt;=COUNTIF(Data_Monitoring!$A$2:$A$2920, Dashboard_Visual!$B$4), INDEX(Data_Monitoring!$Q$2:$Q$2920, MATCH(Dashboard_Visual!$B$4, Data_Monitoring!$A$2:$A$2920, 0) + 181 - 1), 0)</f>
        <v>0</v>
      </c>
      <c r="H182" t="str">
        <f>IF(181&lt;=COUNTIF(Data_Monitoring!$A$2:$A$2920, Dashboard_Visual!$B$4), INDEX(Data_Monitoring!$L$2:$L$2920, MATCH(Dashboard_Visual!$B$4, Data_Monitoring!$A$2:$A$2920, 0) + 181 - 1), "")</f>
        <v/>
      </c>
      <c r="I182" t="str">
        <f>IF(AND(181&lt;=$P$2, ISNUMBER(D182), OR(H182="Warning", H182="Overgrade")), TEXT(ABS(D182)/100, "0.00%"), "")</f>
        <v/>
      </c>
      <c r="J182" t="e">
        <f t="shared" si="2"/>
        <v>#N/A</v>
      </c>
      <c r="K182" t="e">
        <f>IF(AND(181&lt;=$P$2, H182="Warning"), C182, NA())</f>
        <v>#N/A</v>
      </c>
      <c r="L182" t="e">
        <f>IF(AND(181&lt;=$P$2, H182="Overgrade"), C182, NA())</f>
        <v>#N/A</v>
      </c>
      <c r="M182">
        <f>IF(181&lt;=COUNTIF(Data_Monitoring!$A$2:$A$2920, Dashboard_Visual!$B$4), INDEX(Data_Monitoring!$S$2:$S$2920, MATCH(Dashboard_Visual!$B$4, Data_Monitoring!$A$2:$A$2920, 0) + 181 - 1), 1)</f>
        <v>1</v>
      </c>
    </row>
    <row r="183" spans="1:13" x14ac:dyDescent="0.25">
      <c r="A183" t="str">
        <f>IF(182&lt;=COUNTIF(Data_Monitoring!$A$2:$A$2920, Dashboard_Visual!$B$4), INDEX(Data_Monitoring!$B$2:$B$2920, MATCH(Dashboard_Visual!$B$4, Data_Monitoring!$A$2:$A$2920, 0) + 182 - 1), "")</f>
        <v/>
      </c>
      <c r="B183" t="str">
        <f>IF(182&lt;=COUNTIF(Data_Monitoring!$A$2:$A$2920, Dashboard_Visual!$B$4), INDEX(Data_Monitoring!$C$2:$C$2920, MATCH(Dashboard_Visual!$B$4, Data_Monitoring!$A$2:$A$2920, 0) + 182 - 1), "")</f>
        <v/>
      </c>
      <c r="C183" t="e">
        <f>IF(182&lt;=COUNTIF(Data_Monitoring!$A$2:$A$2920, Dashboard_Visual!$B$4), INDEX(Data_Monitoring!$J$2:$J$2920, MATCH(Dashboard_Visual!$B$4, Data_Monitoring!$A$2:$A$2920, 0) + 182 - 1), NA())</f>
        <v>#N/A</v>
      </c>
      <c r="D183" t="e">
        <f>IF(182&lt;=COUNTIF(Data_Monitoring!$A$2:$A$2920, Dashboard_Visual!$B$4), INDEX(Data_Monitoring!$K$2:$K$2920, MATCH(Dashboard_Visual!$B$4, Data_Monitoring!$A$2:$A$2920, 0) + 182 - 1), NA())</f>
        <v>#N/A</v>
      </c>
      <c r="E183">
        <f>IF(182&lt;=COUNTIF(Data_Monitoring!$A$2:$A$2920, Dashboard_Visual!$B$4), INDEX(Data_Monitoring!$H$2:$H$2920, MATCH(Dashboard_Visual!$B$4, Data_Monitoring!$A$2:$A$2920, 0) + 182 - 1), 0)</f>
        <v>0</v>
      </c>
      <c r="F183">
        <f>IF(182&lt;=COUNTIF(Data_Monitoring!$A$2:$A$2920, Dashboard_Visual!$B$4), INDEX(Data_Monitoring!$O$2:$O$2920, MATCH(Dashboard_Visual!$B$4, Data_Monitoring!$A$2:$A$2920, 0) + 182 - 1), 0)</f>
        <v>0</v>
      </c>
      <c r="G183">
        <f>IF(182&lt;=COUNTIF(Data_Monitoring!$A$2:$A$2920, Dashboard_Visual!$B$4), INDEX(Data_Monitoring!$Q$2:$Q$2920, MATCH(Dashboard_Visual!$B$4, Data_Monitoring!$A$2:$A$2920, 0) + 182 - 1), 0)</f>
        <v>0</v>
      </c>
      <c r="H183" t="str">
        <f>IF(182&lt;=COUNTIF(Data_Monitoring!$A$2:$A$2920, Dashboard_Visual!$B$4), INDEX(Data_Monitoring!$L$2:$L$2920, MATCH(Dashboard_Visual!$B$4, Data_Monitoring!$A$2:$A$2920, 0) + 182 - 1), "")</f>
        <v/>
      </c>
      <c r="I183" t="str">
        <f>IF(AND(182&lt;=$P$2, ISNUMBER(D183), OR(H183="Warning", H183="Overgrade")), TEXT(ABS(D183)/100, "0.00%"), "")</f>
        <v/>
      </c>
      <c r="J183" t="e">
        <f t="shared" si="2"/>
        <v>#N/A</v>
      </c>
      <c r="K183" t="e">
        <f>IF(AND(182&lt;=$P$2, H183="Warning"), C183, NA())</f>
        <v>#N/A</v>
      </c>
      <c r="L183" t="e">
        <f>IF(AND(182&lt;=$P$2, H183="Overgrade"), C183, NA())</f>
        <v>#N/A</v>
      </c>
      <c r="M183">
        <f>IF(182&lt;=COUNTIF(Data_Monitoring!$A$2:$A$2920, Dashboard_Visual!$B$4), INDEX(Data_Monitoring!$S$2:$S$2920, MATCH(Dashboard_Visual!$B$4, Data_Monitoring!$A$2:$A$2920, 0) + 182 - 1), 1)</f>
        <v>1</v>
      </c>
    </row>
    <row r="184" spans="1:13" x14ac:dyDescent="0.25">
      <c r="A184" t="str">
        <f>IF(183&lt;=COUNTIF(Data_Monitoring!$A$2:$A$2920, Dashboard_Visual!$B$4), INDEX(Data_Monitoring!$B$2:$B$2920, MATCH(Dashboard_Visual!$B$4, Data_Monitoring!$A$2:$A$2920, 0) + 183 - 1), "")</f>
        <v/>
      </c>
      <c r="B184" t="str">
        <f>IF(183&lt;=COUNTIF(Data_Monitoring!$A$2:$A$2920, Dashboard_Visual!$B$4), INDEX(Data_Monitoring!$C$2:$C$2920, MATCH(Dashboard_Visual!$B$4, Data_Monitoring!$A$2:$A$2920, 0) + 183 - 1), "")</f>
        <v/>
      </c>
      <c r="C184" t="e">
        <f>IF(183&lt;=COUNTIF(Data_Monitoring!$A$2:$A$2920, Dashboard_Visual!$B$4), INDEX(Data_Monitoring!$J$2:$J$2920, MATCH(Dashboard_Visual!$B$4, Data_Monitoring!$A$2:$A$2920, 0) + 183 - 1), NA())</f>
        <v>#N/A</v>
      </c>
      <c r="D184" t="e">
        <f>IF(183&lt;=COUNTIF(Data_Monitoring!$A$2:$A$2920, Dashboard_Visual!$B$4), INDEX(Data_Monitoring!$K$2:$K$2920, MATCH(Dashboard_Visual!$B$4, Data_Monitoring!$A$2:$A$2920, 0) + 183 - 1), NA())</f>
        <v>#N/A</v>
      </c>
      <c r="E184">
        <f>IF(183&lt;=COUNTIF(Data_Monitoring!$A$2:$A$2920, Dashboard_Visual!$B$4), INDEX(Data_Monitoring!$H$2:$H$2920, MATCH(Dashboard_Visual!$B$4, Data_Monitoring!$A$2:$A$2920, 0) + 183 - 1), 0)</f>
        <v>0</v>
      </c>
      <c r="F184">
        <f>IF(183&lt;=COUNTIF(Data_Monitoring!$A$2:$A$2920, Dashboard_Visual!$B$4), INDEX(Data_Monitoring!$O$2:$O$2920, MATCH(Dashboard_Visual!$B$4, Data_Monitoring!$A$2:$A$2920, 0) + 183 - 1), 0)</f>
        <v>0</v>
      </c>
      <c r="G184">
        <f>IF(183&lt;=COUNTIF(Data_Monitoring!$A$2:$A$2920, Dashboard_Visual!$B$4), INDEX(Data_Monitoring!$Q$2:$Q$2920, MATCH(Dashboard_Visual!$B$4, Data_Monitoring!$A$2:$A$2920, 0) + 183 - 1), 0)</f>
        <v>0</v>
      </c>
      <c r="H184" t="str">
        <f>IF(183&lt;=COUNTIF(Data_Monitoring!$A$2:$A$2920, Dashboard_Visual!$B$4), INDEX(Data_Monitoring!$L$2:$L$2920, MATCH(Dashboard_Visual!$B$4, Data_Monitoring!$A$2:$A$2920, 0) + 183 - 1), "")</f>
        <v/>
      </c>
      <c r="I184" t="str">
        <f>IF(AND(183&lt;=$P$2, ISNUMBER(D184), OR(H184="Warning", H184="Overgrade")), TEXT(ABS(D184)/100, "0.00%"), "")</f>
        <v/>
      </c>
      <c r="J184" t="e">
        <f t="shared" si="2"/>
        <v>#N/A</v>
      </c>
      <c r="K184" t="e">
        <f>IF(AND(183&lt;=$P$2, H184="Warning"), C184, NA())</f>
        <v>#N/A</v>
      </c>
      <c r="L184" t="e">
        <f>IF(AND(183&lt;=$P$2, H184="Overgrade"), C184, NA())</f>
        <v>#N/A</v>
      </c>
      <c r="M184">
        <f>IF(183&lt;=COUNTIF(Data_Monitoring!$A$2:$A$2920, Dashboard_Visual!$B$4), INDEX(Data_Monitoring!$S$2:$S$2920, MATCH(Dashboard_Visual!$B$4, Data_Monitoring!$A$2:$A$2920, 0) + 183 - 1), 1)</f>
        <v>1</v>
      </c>
    </row>
    <row r="185" spans="1:13" x14ac:dyDescent="0.25">
      <c r="A185" t="str">
        <f>IF(184&lt;=COUNTIF(Data_Monitoring!$A$2:$A$2920, Dashboard_Visual!$B$4), INDEX(Data_Monitoring!$B$2:$B$2920, MATCH(Dashboard_Visual!$B$4, Data_Monitoring!$A$2:$A$2920, 0) + 184 - 1), "")</f>
        <v/>
      </c>
      <c r="B185" t="str">
        <f>IF(184&lt;=COUNTIF(Data_Monitoring!$A$2:$A$2920, Dashboard_Visual!$B$4), INDEX(Data_Monitoring!$C$2:$C$2920, MATCH(Dashboard_Visual!$B$4, Data_Monitoring!$A$2:$A$2920, 0) + 184 - 1), "")</f>
        <v/>
      </c>
      <c r="C185" t="e">
        <f>IF(184&lt;=COUNTIF(Data_Monitoring!$A$2:$A$2920, Dashboard_Visual!$B$4), INDEX(Data_Monitoring!$J$2:$J$2920, MATCH(Dashboard_Visual!$B$4, Data_Monitoring!$A$2:$A$2920, 0) + 184 - 1), NA())</f>
        <v>#N/A</v>
      </c>
      <c r="D185" t="e">
        <f>IF(184&lt;=COUNTIF(Data_Monitoring!$A$2:$A$2920, Dashboard_Visual!$B$4), INDEX(Data_Monitoring!$K$2:$K$2920, MATCH(Dashboard_Visual!$B$4, Data_Monitoring!$A$2:$A$2920, 0) + 184 - 1), NA())</f>
        <v>#N/A</v>
      </c>
      <c r="E185">
        <f>IF(184&lt;=COUNTIF(Data_Monitoring!$A$2:$A$2920, Dashboard_Visual!$B$4), INDEX(Data_Monitoring!$H$2:$H$2920, MATCH(Dashboard_Visual!$B$4, Data_Monitoring!$A$2:$A$2920, 0) + 184 - 1), 0)</f>
        <v>0</v>
      </c>
      <c r="F185">
        <f>IF(184&lt;=COUNTIF(Data_Monitoring!$A$2:$A$2920, Dashboard_Visual!$B$4), INDEX(Data_Monitoring!$O$2:$O$2920, MATCH(Dashboard_Visual!$B$4, Data_Monitoring!$A$2:$A$2920, 0) + 184 - 1), 0)</f>
        <v>0</v>
      </c>
      <c r="G185">
        <f>IF(184&lt;=COUNTIF(Data_Monitoring!$A$2:$A$2920, Dashboard_Visual!$B$4), INDEX(Data_Monitoring!$Q$2:$Q$2920, MATCH(Dashboard_Visual!$B$4, Data_Monitoring!$A$2:$A$2920, 0) + 184 - 1), 0)</f>
        <v>0</v>
      </c>
      <c r="H185" t="str">
        <f>IF(184&lt;=COUNTIF(Data_Monitoring!$A$2:$A$2920, Dashboard_Visual!$B$4), INDEX(Data_Monitoring!$L$2:$L$2920, MATCH(Dashboard_Visual!$B$4, Data_Monitoring!$A$2:$A$2920, 0) + 184 - 1), "")</f>
        <v/>
      </c>
      <c r="I185" t="str">
        <f>IF(AND(184&lt;=$P$2, ISNUMBER(D185), OR(H185="Warning", H185="Overgrade")), TEXT(ABS(D185)/100, "0.00%"), "")</f>
        <v/>
      </c>
      <c r="J185" t="e">
        <f t="shared" si="2"/>
        <v>#N/A</v>
      </c>
      <c r="K185" t="e">
        <f>IF(AND(184&lt;=$P$2, H185="Warning"), C185, NA())</f>
        <v>#N/A</v>
      </c>
      <c r="L185" t="e">
        <f>IF(AND(184&lt;=$P$2, H185="Overgrade"), C185, NA())</f>
        <v>#N/A</v>
      </c>
      <c r="M185">
        <f>IF(184&lt;=COUNTIF(Data_Monitoring!$A$2:$A$2920, Dashboard_Visual!$B$4), INDEX(Data_Monitoring!$S$2:$S$2920, MATCH(Dashboard_Visual!$B$4, Data_Monitoring!$A$2:$A$2920, 0) + 184 - 1), 1)</f>
        <v>1</v>
      </c>
    </row>
    <row r="186" spans="1:13" x14ac:dyDescent="0.25">
      <c r="A186" t="str">
        <f>IF(185&lt;=COUNTIF(Data_Monitoring!$A$2:$A$2920, Dashboard_Visual!$B$4), INDEX(Data_Monitoring!$B$2:$B$2920, MATCH(Dashboard_Visual!$B$4, Data_Monitoring!$A$2:$A$2920, 0) + 185 - 1), "")</f>
        <v/>
      </c>
      <c r="B186" t="str">
        <f>IF(185&lt;=COUNTIF(Data_Monitoring!$A$2:$A$2920, Dashboard_Visual!$B$4), INDEX(Data_Monitoring!$C$2:$C$2920, MATCH(Dashboard_Visual!$B$4, Data_Monitoring!$A$2:$A$2920, 0) + 185 - 1), "")</f>
        <v/>
      </c>
      <c r="C186" t="e">
        <f>IF(185&lt;=COUNTIF(Data_Monitoring!$A$2:$A$2920, Dashboard_Visual!$B$4), INDEX(Data_Monitoring!$J$2:$J$2920, MATCH(Dashboard_Visual!$B$4, Data_Monitoring!$A$2:$A$2920, 0) + 185 - 1), NA())</f>
        <v>#N/A</v>
      </c>
      <c r="D186" t="e">
        <f>IF(185&lt;=COUNTIF(Data_Monitoring!$A$2:$A$2920, Dashboard_Visual!$B$4), INDEX(Data_Monitoring!$K$2:$K$2920, MATCH(Dashboard_Visual!$B$4, Data_Monitoring!$A$2:$A$2920, 0) + 185 - 1), NA())</f>
        <v>#N/A</v>
      </c>
      <c r="E186">
        <f>IF(185&lt;=COUNTIF(Data_Monitoring!$A$2:$A$2920, Dashboard_Visual!$B$4), INDEX(Data_Monitoring!$H$2:$H$2920, MATCH(Dashboard_Visual!$B$4, Data_Monitoring!$A$2:$A$2920, 0) + 185 - 1), 0)</f>
        <v>0</v>
      </c>
      <c r="F186">
        <f>IF(185&lt;=COUNTIF(Data_Monitoring!$A$2:$A$2920, Dashboard_Visual!$B$4), INDEX(Data_Monitoring!$O$2:$O$2920, MATCH(Dashboard_Visual!$B$4, Data_Monitoring!$A$2:$A$2920, 0) + 185 - 1), 0)</f>
        <v>0</v>
      </c>
      <c r="G186">
        <f>IF(185&lt;=COUNTIF(Data_Monitoring!$A$2:$A$2920, Dashboard_Visual!$B$4), INDEX(Data_Monitoring!$Q$2:$Q$2920, MATCH(Dashboard_Visual!$B$4, Data_Monitoring!$A$2:$A$2920, 0) + 185 - 1), 0)</f>
        <v>0</v>
      </c>
      <c r="H186" t="str">
        <f>IF(185&lt;=COUNTIF(Data_Monitoring!$A$2:$A$2920, Dashboard_Visual!$B$4), INDEX(Data_Monitoring!$L$2:$L$2920, MATCH(Dashboard_Visual!$B$4, Data_Monitoring!$A$2:$A$2920, 0) + 185 - 1), "")</f>
        <v/>
      </c>
      <c r="I186" t="str">
        <f>IF(AND(185&lt;=$P$2, ISNUMBER(D186), OR(H186="Warning", H186="Overgrade")), TEXT(ABS(D186)/100, "0.00%"), "")</f>
        <v/>
      </c>
      <c r="J186" t="e">
        <f t="shared" si="2"/>
        <v>#N/A</v>
      </c>
      <c r="K186" t="e">
        <f>IF(AND(185&lt;=$P$2, H186="Warning"), C186, NA())</f>
        <v>#N/A</v>
      </c>
      <c r="L186" t="e">
        <f>IF(AND(185&lt;=$P$2, H186="Overgrade"), C186, NA())</f>
        <v>#N/A</v>
      </c>
      <c r="M186">
        <f>IF(185&lt;=COUNTIF(Data_Monitoring!$A$2:$A$2920, Dashboard_Visual!$B$4), INDEX(Data_Monitoring!$S$2:$S$2920, MATCH(Dashboard_Visual!$B$4, Data_Monitoring!$A$2:$A$2920, 0) + 185 - 1), 1)</f>
        <v>1</v>
      </c>
    </row>
    <row r="187" spans="1:13" x14ac:dyDescent="0.25">
      <c r="A187" t="str">
        <f>IF(186&lt;=COUNTIF(Data_Monitoring!$A$2:$A$2920, Dashboard_Visual!$B$4), INDEX(Data_Monitoring!$B$2:$B$2920, MATCH(Dashboard_Visual!$B$4, Data_Monitoring!$A$2:$A$2920, 0) + 186 - 1), "")</f>
        <v/>
      </c>
      <c r="B187" t="str">
        <f>IF(186&lt;=COUNTIF(Data_Monitoring!$A$2:$A$2920, Dashboard_Visual!$B$4), INDEX(Data_Monitoring!$C$2:$C$2920, MATCH(Dashboard_Visual!$B$4, Data_Monitoring!$A$2:$A$2920, 0) + 186 - 1), "")</f>
        <v/>
      </c>
      <c r="C187" t="e">
        <f>IF(186&lt;=COUNTIF(Data_Monitoring!$A$2:$A$2920, Dashboard_Visual!$B$4), INDEX(Data_Monitoring!$J$2:$J$2920, MATCH(Dashboard_Visual!$B$4, Data_Monitoring!$A$2:$A$2920, 0) + 186 - 1), NA())</f>
        <v>#N/A</v>
      </c>
      <c r="D187" t="e">
        <f>IF(186&lt;=COUNTIF(Data_Monitoring!$A$2:$A$2920, Dashboard_Visual!$B$4), INDEX(Data_Monitoring!$K$2:$K$2920, MATCH(Dashboard_Visual!$B$4, Data_Monitoring!$A$2:$A$2920, 0) + 186 - 1), NA())</f>
        <v>#N/A</v>
      </c>
      <c r="E187">
        <f>IF(186&lt;=COUNTIF(Data_Monitoring!$A$2:$A$2920, Dashboard_Visual!$B$4), INDEX(Data_Monitoring!$H$2:$H$2920, MATCH(Dashboard_Visual!$B$4, Data_Monitoring!$A$2:$A$2920, 0) + 186 - 1), 0)</f>
        <v>0</v>
      </c>
      <c r="F187">
        <f>IF(186&lt;=COUNTIF(Data_Monitoring!$A$2:$A$2920, Dashboard_Visual!$B$4), INDEX(Data_Monitoring!$O$2:$O$2920, MATCH(Dashboard_Visual!$B$4, Data_Monitoring!$A$2:$A$2920, 0) + 186 - 1), 0)</f>
        <v>0</v>
      </c>
      <c r="G187">
        <f>IF(186&lt;=COUNTIF(Data_Monitoring!$A$2:$A$2920, Dashboard_Visual!$B$4), INDEX(Data_Monitoring!$Q$2:$Q$2920, MATCH(Dashboard_Visual!$B$4, Data_Monitoring!$A$2:$A$2920, 0) + 186 - 1), 0)</f>
        <v>0</v>
      </c>
      <c r="H187" t="str">
        <f>IF(186&lt;=COUNTIF(Data_Monitoring!$A$2:$A$2920, Dashboard_Visual!$B$4), INDEX(Data_Monitoring!$L$2:$L$2920, MATCH(Dashboard_Visual!$B$4, Data_Monitoring!$A$2:$A$2920, 0) + 186 - 1), "")</f>
        <v/>
      </c>
      <c r="I187" t="str">
        <f>IF(AND(186&lt;=$P$2, ISNUMBER(D187), OR(H187="Warning", H187="Overgrade")), TEXT(ABS(D187)/100, "0.00%"), "")</f>
        <v/>
      </c>
      <c r="J187" t="e">
        <f t="shared" si="2"/>
        <v>#N/A</v>
      </c>
      <c r="K187" t="e">
        <f>IF(AND(186&lt;=$P$2, H187="Warning"), C187, NA())</f>
        <v>#N/A</v>
      </c>
      <c r="L187" t="e">
        <f>IF(AND(186&lt;=$P$2, H187="Overgrade"), C187, NA())</f>
        <v>#N/A</v>
      </c>
      <c r="M187">
        <f>IF(186&lt;=COUNTIF(Data_Monitoring!$A$2:$A$2920, Dashboard_Visual!$B$4), INDEX(Data_Monitoring!$S$2:$S$2920, MATCH(Dashboard_Visual!$B$4, Data_Monitoring!$A$2:$A$2920, 0) + 186 - 1), 1)</f>
        <v>1</v>
      </c>
    </row>
    <row r="188" spans="1:13" x14ac:dyDescent="0.25">
      <c r="A188" t="str">
        <f>IF(187&lt;=COUNTIF(Data_Monitoring!$A$2:$A$2920, Dashboard_Visual!$B$4), INDEX(Data_Monitoring!$B$2:$B$2920, MATCH(Dashboard_Visual!$B$4, Data_Monitoring!$A$2:$A$2920, 0) + 187 - 1), "")</f>
        <v/>
      </c>
      <c r="B188" t="str">
        <f>IF(187&lt;=COUNTIF(Data_Monitoring!$A$2:$A$2920, Dashboard_Visual!$B$4), INDEX(Data_Monitoring!$C$2:$C$2920, MATCH(Dashboard_Visual!$B$4, Data_Monitoring!$A$2:$A$2920, 0) + 187 - 1), "")</f>
        <v/>
      </c>
      <c r="C188" t="e">
        <f>IF(187&lt;=COUNTIF(Data_Monitoring!$A$2:$A$2920, Dashboard_Visual!$B$4), INDEX(Data_Monitoring!$J$2:$J$2920, MATCH(Dashboard_Visual!$B$4, Data_Monitoring!$A$2:$A$2920, 0) + 187 - 1), NA())</f>
        <v>#N/A</v>
      </c>
      <c r="D188" t="e">
        <f>IF(187&lt;=COUNTIF(Data_Monitoring!$A$2:$A$2920, Dashboard_Visual!$B$4), INDEX(Data_Monitoring!$K$2:$K$2920, MATCH(Dashboard_Visual!$B$4, Data_Monitoring!$A$2:$A$2920, 0) + 187 - 1), NA())</f>
        <v>#N/A</v>
      </c>
      <c r="E188">
        <f>IF(187&lt;=COUNTIF(Data_Monitoring!$A$2:$A$2920, Dashboard_Visual!$B$4), INDEX(Data_Monitoring!$H$2:$H$2920, MATCH(Dashboard_Visual!$B$4, Data_Monitoring!$A$2:$A$2920, 0) + 187 - 1), 0)</f>
        <v>0</v>
      </c>
      <c r="F188">
        <f>IF(187&lt;=COUNTIF(Data_Monitoring!$A$2:$A$2920, Dashboard_Visual!$B$4), INDEX(Data_Monitoring!$O$2:$O$2920, MATCH(Dashboard_Visual!$B$4, Data_Monitoring!$A$2:$A$2920, 0) + 187 - 1), 0)</f>
        <v>0</v>
      </c>
      <c r="G188">
        <f>IF(187&lt;=COUNTIF(Data_Monitoring!$A$2:$A$2920, Dashboard_Visual!$B$4), INDEX(Data_Monitoring!$Q$2:$Q$2920, MATCH(Dashboard_Visual!$B$4, Data_Monitoring!$A$2:$A$2920, 0) + 187 - 1), 0)</f>
        <v>0</v>
      </c>
      <c r="H188" t="str">
        <f>IF(187&lt;=COUNTIF(Data_Monitoring!$A$2:$A$2920, Dashboard_Visual!$B$4), INDEX(Data_Monitoring!$L$2:$L$2920, MATCH(Dashboard_Visual!$B$4, Data_Monitoring!$A$2:$A$2920, 0) + 187 - 1), "")</f>
        <v/>
      </c>
      <c r="I188" t="str">
        <f>IF(AND(187&lt;=$P$2, ISNUMBER(D188), OR(H188="Warning", H188="Overgrade")), TEXT(ABS(D188)/100, "0.00%"), "")</f>
        <v/>
      </c>
      <c r="J188" t="e">
        <f t="shared" si="2"/>
        <v>#N/A</v>
      </c>
      <c r="K188" t="e">
        <f>IF(AND(187&lt;=$P$2, H188="Warning"), C188, NA())</f>
        <v>#N/A</v>
      </c>
      <c r="L188" t="e">
        <f>IF(AND(187&lt;=$P$2, H188="Overgrade"), C188, NA())</f>
        <v>#N/A</v>
      </c>
      <c r="M188">
        <f>IF(187&lt;=COUNTIF(Data_Monitoring!$A$2:$A$2920, Dashboard_Visual!$B$4), INDEX(Data_Monitoring!$S$2:$S$2920, MATCH(Dashboard_Visual!$B$4, Data_Monitoring!$A$2:$A$2920, 0) + 187 - 1), 1)</f>
        <v>1</v>
      </c>
    </row>
    <row r="189" spans="1:13" x14ac:dyDescent="0.25">
      <c r="A189" t="str">
        <f>IF(188&lt;=COUNTIF(Data_Monitoring!$A$2:$A$2920, Dashboard_Visual!$B$4), INDEX(Data_Monitoring!$B$2:$B$2920, MATCH(Dashboard_Visual!$B$4, Data_Monitoring!$A$2:$A$2920, 0) + 188 - 1), "")</f>
        <v/>
      </c>
      <c r="B189" t="str">
        <f>IF(188&lt;=COUNTIF(Data_Monitoring!$A$2:$A$2920, Dashboard_Visual!$B$4), INDEX(Data_Monitoring!$C$2:$C$2920, MATCH(Dashboard_Visual!$B$4, Data_Monitoring!$A$2:$A$2920, 0) + 188 - 1), "")</f>
        <v/>
      </c>
      <c r="C189" t="e">
        <f>IF(188&lt;=COUNTIF(Data_Monitoring!$A$2:$A$2920, Dashboard_Visual!$B$4), INDEX(Data_Monitoring!$J$2:$J$2920, MATCH(Dashboard_Visual!$B$4, Data_Monitoring!$A$2:$A$2920, 0) + 188 - 1), NA())</f>
        <v>#N/A</v>
      </c>
      <c r="D189" t="e">
        <f>IF(188&lt;=COUNTIF(Data_Monitoring!$A$2:$A$2920, Dashboard_Visual!$B$4), INDEX(Data_Monitoring!$K$2:$K$2920, MATCH(Dashboard_Visual!$B$4, Data_Monitoring!$A$2:$A$2920, 0) + 188 - 1), NA())</f>
        <v>#N/A</v>
      </c>
      <c r="E189">
        <f>IF(188&lt;=COUNTIF(Data_Monitoring!$A$2:$A$2920, Dashboard_Visual!$B$4), INDEX(Data_Monitoring!$H$2:$H$2920, MATCH(Dashboard_Visual!$B$4, Data_Monitoring!$A$2:$A$2920, 0) + 188 - 1), 0)</f>
        <v>0</v>
      </c>
      <c r="F189">
        <f>IF(188&lt;=COUNTIF(Data_Monitoring!$A$2:$A$2920, Dashboard_Visual!$B$4), INDEX(Data_Monitoring!$O$2:$O$2920, MATCH(Dashboard_Visual!$B$4, Data_Monitoring!$A$2:$A$2920, 0) + 188 - 1), 0)</f>
        <v>0</v>
      </c>
      <c r="G189">
        <f>IF(188&lt;=COUNTIF(Data_Monitoring!$A$2:$A$2920, Dashboard_Visual!$B$4), INDEX(Data_Monitoring!$Q$2:$Q$2920, MATCH(Dashboard_Visual!$B$4, Data_Monitoring!$A$2:$A$2920, 0) + 188 - 1), 0)</f>
        <v>0</v>
      </c>
      <c r="H189" t="str">
        <f>IF(188&lt;=COUNTIF(Data_Monitoring!$A$2:$A$2920, Dashboard_Visual!$B$4), INDEX(Data_Monitoring!$L$2:$L$2920, MATCH(Dashboard_Visual!$B$4, Data_Monitoring!$A$2:$A$2920, 0) + 188 - 1), "")</f>
        <v/>
      </c>
      <c r="I189" t="str">
        <f>IF(AND(188&lt;=$P$2, ISNUMBER(D189), OR(H189="Warning", H189="Overgrade")), TEXT(ABS(D189)/100, "0.00%"), "")</f>
        <v/>
      </c>
      <c r="J189" t="e">
        <f t="shared" si="2"/>
        <v>#N/A</v>
      </c>
      <c r="K189" t="e">
        <f>IF(AND(188&lt;=$P$2, H189="Warning"), C189, NA())</f>
        <v>#N/A</v>
      </c>
      <c r="L189" t="e">
        <f>IF(AND(188&lt;=$P$2, H189="Overgrade"), C189, NA())</f>
        <v>#N/A</v>
      </c>
      <c r="M189">
        <f>IF(188&lt;=COUNTIF(Data_Monitoring!$A$2:$A$2920, Dashboard_Visual!$B$4), INDEX(Data_Monitoring!$S$2:$S$2920, MATCH(Dashboard_Visual!$B$4, Data_Monitoring!$A$2:$A$2920, 0) + 188 - 1), 1)</f>
        <v>1</v>
      </c>
    </row>
    <row r="190" spans="1:13" x14ac:dyDescent="0.25">
      <c r="A190" t="str">
        <f>IF(189&lt;=COUNTIF(Data_Monitoring!$A$2:$A$2920, Dashboard_Visual!$B$4), INDEX(Data_Monitoring!$B$2:$B$2920, MATCH(Dashboard_Visual!$B$4, Data_Monitoring!$A$2:$A$2920, 0) + 189 - 1), "")</f>
        <v/>
      </c>
      <c r="B190" t="str">
        <f>IF(189&lt;=COUNTIF(Data_Monitoring!$A$2:$A$2920, Dashboard_Visual!$B$4), INDEX(Data_Monitoring!$C$2:$C$2920, MATCH(Dashboard_Visual!$B$4, Data_Monitoring!$A$2:$A$2920, 0) + 189 - 1), "")</f>
        <v/>
      </c>
      <c r="C190" t="e">
        <f>IF(189&lt;=COUNTIF(Data_Monitoring!$A$2:$A$2920, Dashboard_Visual!$B$4), INDEX(Data_Monitoring!$J$2:$J$2920, MATCH(Dashboard_Visual!$B$4, Data_Monitoring!$A$2:$A$2920, 0) + 189 - 1), NA())</f>
        <v>#N/A</v>
      </c>
      <c r="D190" t="e">
        <f>IF(189&lt;=COUNTIF(Data_Monitoring!$A$2:$A$2920, Dashboard_Visual!$B$4), INDEX(Data_Monitoring!$K$2:$K$2920, MATCH(Dashboard_Visual!$B$4, Data_Monitoring!$A$2:$A$2920, 0) + 189 - 1), NA())</f>
        <v>#N/A</v>
      </c>
      <c r="E190">
        <f>IF(189&lt;=COUNTIF(Data_Monitoring!$A$2:$A$2920, Dashboard_Visual!$B$4), INDEX(Data_Monitoring!$H$2:$H$2920, MATCH(Dashboard_Visual!$B$4, Data_Monitoring!$A$2:$A$2920, 0) + 189 - 1), 0)</f>
        <v>0</v>
      </c>
      <c r="F190">
        <f>IF(189&lt;=COUNTIF(Data_Monitoring!$A$2:$A$2920, Dashboard_Visual!$B$4), INDEX(Data_Monitoring!$O$2:$O$2920, MATCH(Dashboard_Visual!$B$4, Data_Monitoring!$A$2:$A$2920, 0) + 189 - 1), 0)</f>
        <v>0</v>
      </c>
      <c r="G190">
        <f>IF(189&lt;=COUNTIF(Data_Monitoring!$A$2:$A$2920, Dashboard_Visual!$B$4), INDEX(Data_Monitoring!$Q$2:$Q$2920, MATCH(Dashboard_Visual!$B$4, Data_Monitoring!$A$2:$A$2920, 0) + 189 - 1), 0)</f>
        <v>0</v>
      </c>
      <c r="H190" t="str">
        <f>IF(189&lt;=COUNTIF(Data_Monitoring!$A$2:$A$2920, Dashboard_Visual!$B$4), INDEX(Data_Monitoring!$L$2:$L$2920, MATCH(Dashboard_Visual!$B$4, Data_Monitoring!$A$2:$A$2920, 0) + 189 - 1), "")</f>
        <v/>
      </c>
      <c r="I190" t="str">
        <f>IF(AND(189&lt;=$P$2, ISNUMBER(D190), OR(H190="Warning", H190="Overgrade")), TEXT(ABS(D190)/100, "0.00%"), "")</f>
        <v/>
      </c>
      <c r="J190" t="e">
        <f t="shared" si="2"/>
        <v>#N/A</v>
      </c>
      <c r="K190" t="e">
        <f>IF(AND(189&lt;=$P$2, H190="Warning"), C190, NA())</f>
        <v>#N/A</v>
      </c>
      <c r="L190" t="e">
        <f>IF(AND(189&lt;=$P$2, H190="Overgrade"), C190, NA())</f>
        <v>#N/A</v>
      </c>
      <c r="M190">
        <f>IF(189&lt;=COUNTIF(Data_Monitoring!$A$2:$A$2920, Dashboard_Visual!$B$4), INDEX(Data_Monitoring!$S$2:$S$2920, MATCH(Dashboard_Visual!$B$4, Data_Monitoring!$A$2:$A$2920, 0) + 189 - 1), 1)</f>
        <v>1</v>
      </c>
    </row>
    <row r="191" spans="1:13" x14ac:dyDescent="0.25">
      <c r="A191" t="str">
        <f>IF(190&lt;=COUNTIF(Data_Monitoring!$A$2:$A$2920, Dashboard_Visual!$B$4), INDEX(Data_Monitoring!$B$2:$B$2920, MATCH(Dashboard_Visual!$B$4, Data_Monitoring!$A$2:$A$2920, 0) + 190 - 1), "")</f>
        <v/>
      </c>
      <c r="B191" t="str">
        <f>IF(190&lt;=COUNTIF(Data_Monitoring!$A$2:$A$2920, Dashboard_Visual!$B$4), INDEX(Data_Monitoring!$C$2:$C$2920, MATCH(Dashboard_Visual!$B$4, Data_Monitoring!$A$2:$A$2920, 0) + 190 - 1), "")</f>
        <v/>
      </c>
      <c r="C191" t="e">
        <f>IF(190&lt;=COUNTIF(Data_Monitoring!$A$2:$A$2920, Dashboard_Visual!$B$4), INDEX(Data_Monitoring!$J$2:$J$2920, MATCH(Dashboard_Visual!$B$4, Data_Monitoring!$A$2:$A$2920, 0) + 190 - 1), NA())</f>
        <v>#N/A</v>
      </c>
      <c r="D191" t="e">
        <f>IF(190&lt;=COUNTIF(Data_Monitoring!$A$2:$A$2920, Dashboard_Visual!$B$4), INDEX(Data_Monitoring!$K$2:$K$2920, MATCH(Dashboard_Visual!$B$4, Data_Monitoring!$A$2:$A$2920, 0) + 190 - 1), NA())</f>
        <v>#N/A</v>
      </c>
      <c r="E191">
        <f>IF(190&lt;=COUNTIF(Data_Monitoring!$A$2:$A$2920, Dashboard_Visual!$B$4), INDEX(Data_Monitoring!$H$2:$H$2920, MATCH(Dashboard_Visual!$B$4, Data_Monitoring!$A$2:$A$2920, 0) + 190 - 1), 0)</f>
        <v>0</v>
      </c>
      <c r="F191">
        <f>IF(190&lt;=COUNTIF(Data_Monitoring!$A$2:$A$2920, Dashboard_Visual!$B$4), INDEX(Data_Monitoring!$O$2:$O$2920, MATCH(Dashboard_Visual!$B$4, Data_Monitoring!$A$2:$A$2920, 0) + 190 - 1), 0)</f>
        <v>0</v>
      </c>
      <c r="G191">
        <f>IF(190&lt;=COUNTIF(Data_Monitoring!$A$2:$A$2920, Dashboard_Visual!$B$4), INDEX(Data_Monitoring!$Q$2:$Q$2920, MATCH(Dashboard_Visual!$B$4, Data_Monitoring!$A$2:$A$2920, 0) + 190 - 1), 0)</f>
        <v>0</v>
      </c>
      <c r="H191" t="str">
        <f>IF(190&lt;=COUNTIF(Data_Monitoring!$A$2:$A$2920, Dashboard_Visual!$B$4), INDEX(Data_Monitoring!$L$2:$L$2920, MATCH(Dashboard_Visual!$B$4, Data_Monitoring!$A$2:$A$2920, 0) + 190 - 1), "")</f>
        <v/>
      </c>
      <c r="I191" t="str">
        <f>IF(AND(190&lt;=$P$2, ISNUMBER(D191), OR(H191="Warning", H191="Overgrade")), TEXT(ABS(D191)/100, "0.00%"), "")</f>
        <v/>
      </c>
      <c r="J191" t="e">
        <f t="shared" si="2"/>
        <v>#N/A</v>
      </c>
      <c r="K191" t="e">
        <f>IF(AND(190&lt;=$P$2, H191="Warning"), C191, NA())</f>
        <v>#N/A</v>
      </c>
      <c r="L191" t="e">
        <f>IF(AND(190&lt;=$P$2, H191="Overgrade"), C191, NA())</f>
        <v>#N/A</v>
      </c>
      <c r="M191">
        <f>IF(190&lt;=COUNTIF(Data_Monitoring!$A$2:$A$2920, Dashboard_Visual!$B$4), INDEX(Data_Monitoring!$S$2:$S$2920, MATCH(Dashboard_Visual!$B$4, Data_Monitoring!$A$2:$A$2920, 0) + 190 - 1), 1)</f>
        <v>1</v>
      </c>
    </row>
    <row r="192" spans="1:13" x14ac:dyDescent="0.25">
      <c r="A192" t="str">
        <f>IF(191&lt;=COUNTIF(Data_Monitoring!$A$2:$A$2920, Dashboard_Visual!$B$4), INDEX(Data_Monitoring!$B$2:$B$2920, MATCH(Dashboard_Visual!$B$4, Data_Monitoring!$A$2:$A$2920, 0) + 191 - 1), "")</f>
        <v/>
      </c>
      <c r="B192" t="str">
        <f>IF(191&lt;=COUNTIF(Data_Monitoring!$A$2:$A$2920, Dashboard_Visual!$B$4), INDEX(Data_Monitoring!$C$2:$C$2920, MATCH(Dashboard_Visual!$B$4, Data_Monitoring!$A$2:$A$2920, 0) + 191 - 1), "")</f>
        <v/>
      </c>
      <c r="C192" t="e">
        <f>IF(191&lt;=COUNTIF(Data_Monitoring!$A$2:$A$2920, Dashboard_Visual!$B$4), INDEX(Data_Monitoring!$J$2:$J$2920, MATCH(Dashboard_Visual!$B$4, Data_Monitoring!$A$2:$A$2920, 0) + 191 - 1), NA())</f>
        <v>#N/A</v>
      </c>
      <c r="D192" t="e">
        <f>IF(191&lt;=COUNTIF(Data_Monitoring!$A$2:$A$2920, Dashboard_Visual!$B$4), INDEX(Data_Monitoring!$K$2:$K$2920, MATCH(Dashboard_Visual!$B$4, Data_Monitoring!$A$2:$A$2920, 0) + 191 - 1), NA())</f>
        <v>#N/A</v>
      </c>
      <c r="E192">
        <f>IF(191&lt;=COUNTIF(Data_Monitoring!$A$2:$A$2920, Dashboard_Visual!$B$4), INDEX(Data_Monitoring!$H$2:$H$2920, MATCH(Dashboard_Visual!$B$4, Data_Monitoring!$A$2:$A$2920, 0) + 191 - 1), 0)</f>
        <v>0</v>
      </c>
      <c r="F192">
        <f>IF(191&lt;=COUNTIF(Data_Monitoring!$A$2:$A$2920, Dashboard_Visual!$B$4), INDEX(Data_Monitoring!$O$2:$O$2920, MATCH(Dashboard_Visual!$B$4, Data_Monitoring!$A$2:$A$2920, 0) + 191 - 1), 0)</f>
        <v>0</v>
      </c>
      <c r="G192">
        <f>IF(191&lt;=COUNTIF(Data_Monitoring!$A$2:$A$2920, Dashboard_Visual!$B$4), INDEX(Data_Monitoring!$Q$2:$Q$2920, MATCH(Dashboard_Visual!$B$4, Data_Monitoring!$A$2:$A$2920, 0) + 191 - 1), 0)</f>
        <v>0</v>
      </c>
      <c r="H192" t="str">
        <f>IF(191&lt;=COUNTIF(Data_Monitoring!$A$2:$A$2920, Dashboard_Visual!$B$4), INDEX(Data_Monitoring!$L$2:$L$2920, MATCH(Dashboard_Visual!$B$4, Data_Monitoring!$A$2:$A$2920, 0) + 191 - 1), "")</f>
        <v/>
      </c>
      <c r="I192" t="str">
        <f>IF(AND(191&lt;=$P$2, ISNUMBER(D192), OR(H192="Warning", H192="Overgrade")), TEXT(ABS(D192)/100, "0.00%"), "")</f>
        <v/>
      </c>
      <c r="J192" t="e">
        <f t="shared" si="2"/>
        <v>#N/A</v>
      </c>
      <c r="K192" t="e">
        <f>IF(AND(191&lt;=$P$2, H192="Warning"), C192, NA())</f>
        <v>#N/A</v>
      </c>
      <c r="L192" t="e">
        <f>IF(AND(191&lt;=$P$2, H192="Overgrade"), C192, NA())</f>
        <v>#N/A</v>
      </c>
      <c r="M192">
        <f>IF(191&lt;=COUNTIF(Data_Monitoring!$A$2:$A$2920, Dashboard_Visual!$B$4), INDEX(Data_Monitoring!$S$2:$S$2920, MATCH(Dashboard_Visual!$B$4, Data_Monitoring!$A$2:$A$2920, 0) + 191 - 1), 1)</f>
        <v>1</v>
      </c>
    </row>
    <row r="193" spans="1:13" x14ac:dyDescent="0.25">
      <c r="A193" t="str">
        <f>IF(192&lt;=COUNTIF(Data_Monitoring!$A$2:$A$2920, Dashboard_Visual!$B$4), INDEX(Data_Monitoring!$B$2:$B$2920, MATCH(Dashboard_Visual!$B$4, Data_Monitoring!$A$2:$A$2920, 0) + 192 - 1), "")</f>
        <v/>
      </c>
      <c r="B193" t="str">
        <f>IF(192&lt;=COUNTIF(Data_Monitoring!$A$2:$A$2920, Dashboard_Visual!$B$4), INDEX(Data_Monitoring!$C$2:$C$2920, MATCH(Dashboard_Visual!$B$4, Data_Monitoring!$A$2:$A$2920, 0) + 192 - 1), "")</f>
        <v/>
      </c>
      <c r="C193" t="e">
        <f>IF(192&lt;=COUNTIF(Data_Monitoring!$A$2:$A$2920, Dashboard_Visual!$B$4), INDEX(Data_Monitoring!$J$2:$J$2920, MATCH(Dashboard_Visual!$B$4, Data_Monitoring!$A$2:$A$2920, 0) + 192 - 1), NA())</f>
        <v>#N/A</v>
      </c>
      <c r="D193" t="e">
        <f>IF(192&lt;=COUNTIF(Data_Monitoring!$A$2:$A$2920, Dashboard_Visual!$B$4), INDEX(Data_Monitoring!$K$2:$K$2920, MATCH(Dashboard_Visual!$B$4, Data_Monitoring!$A$2:$A$2920, 0) + 192 - 1), NA())</f>
        <v>#N/A</v>
      </c>
      <c r="E193">
        <f>IF(192&lt;=COUNTIF(Data_Monitoring!$A$2:$A$2920, Dashboard_Visual!$B$4), INDEX(Data_Monitoring!$H$2:$H$2920, MATCH(Dashboard_Visual!$B$4, Data_Monitoring!$A$2:$A$2920, 0) + 192 - 1), 0)</f>
        <v>0</v>
      </c>
      <c r="F193">
        <f>IF(192&lt;=COUNTIF(Data_Monitoring!$A$2:$A$2920, Dashboard_Visual!$B$4), INDEX(Data_Monitoring!$O$2:$O$2920, MATCH(Dashboard_Visual!$B$4, Data_Monitoring!$A$2:$A$2920, 0) + 192 - 1), 0)</f>
        <v>0</v>
      </c>
      <c r="G193">
        <f>IF(192&lt;=COUNTIF(Data_Monitoring!$A$2:$A$2920, Dashboard_Visual!$B$4), INDEX(Data_Monitoring!$Q$2:$Q$2920, MATCH(Dashboard_Visual!$B$4, Data_Monitoring!$A$2:$A$2920, 0) + 192 - 1), 0)</f>
        <v>0</v>
      </c>
      <c r="H193" t="str">
        <f>IF(192&lt;=COUNTIF(Data_Monitoring!$A$2:$A$2920, Dashboard_Visual!$B$4), INDEX(Data_Monitoring!$L$2:$L$2920, MATCH(Dashboard_Visual!$B$4, Data_Monitoring!$A$2:$A$2920, 0) + 192 - 1), "")</f>
        <v/>
      </c>
      <c r="I193" t="str">
        <f>IF(AND(192&lt;=$P$2, ISNUMBER(D193), OR(H193="Warning", H193="Overgrade")), TEXT(ABS(D193)/100, "0.00%"), "")</f>
        <v/>
      </c>
      <c r="J193" t="e">
        <f t="shared" si="2"/>
        <v>#N/A</v>
      </c>
      <c r="K193" t="e">
        <f>IF(AND(192&lt;=$P$2, H193="Warning"), C193, NA())</f>
        <v>#N/A</v>
      </c>
      <c r="L193" t="e">
        <f>IF(AND(192&lt;=$P$2, H193="Overgrade"), C193, NA())</f>
        <v>#N/A</v>
      </c>
      <c r="M193">
        <f>IF(192&lt;=COUNTIF(Data_Monitoring!$A$2:$A$2920, Dashboard_Visual!$B$4), INDEX(Data_Monitoring!$S$2:$S$2920, MATCH(Dashboard_Visual!$B$4, Data_Monitoring!$A$2:$A$2920, 0) + 192 - 1), 1)</f>
        <v>1</v>
      </c>
    </row>
    <row r="194" spans="1:13" x14ac:dyDescent="0.25">
      <c r="A194" t="str">
        <f>IF(193&lt;=COUNTIF(Data_Monitoring!$A$2:$A$2920, Dashboard_Visual!$B$4), INDEX(Data_Monitoring!$B$2:$B$2920, MATCH(Dashboard_Visual!$B$4, Data_Monitoring!$A$2:$A$2920, 0) + 193 - 1), "")</f>
        <v/>
      </c>
      <c r="B194" t="str">
        <f>IF(193&lt;=COUNTIF(Data_Monitoring!$A$2:$A$2920, Dashboard_Visual!$B$4), INDEX(Data_Monitoring!$C$2:$C$2920, MATCH(Dashboard_Visual!$B$4, Data_Monitoring!$A$2:$A$2920, 0) + 193 - 1), "")</f>
        <v/>
      </c>
      <c r="C194" t="e">
        <f>IF(193&lt;=COUNTIF(Data_Monitoring!$A$2:$A$2920, Dashboard_Visual!$B$4), INDEX(Data_Monitoring!$J$2:$J$2920, MATCH(Dashboard_Visual!$B$4, Data_Monitoring!$A$2:$A$2920, 0) + 193 - 1), NA())</f>
        <v>#N/A</v>
      </c>
      <c r="D194" t="e">
        <f>IF(193&lt;=COUNTIF(Data_Monitoring!$A$2:$A$2920, Dashboard_Visual!$B$4), INDEX(Data_Monitoring!$K$2:$K$2920, MATCH(Dashboard_Visual!$B$4, Data_Monitoring!$A$2:$A$2920, 0) + 193 - 1), NA())</f>
        <v>#N/A</v>
      </c>
      <c r="E194">
        <f>IF(193&lt;=COUNTIF(Data_Monitoring!$A$2:$A$2920, Dashboard_Visual!$B$4), INDEX(Data_Monitoring!$H$2:$H$2920, MATCH(Dashboard_Visual!$B$4, Data_Monitoring!$A$2:$A$2920, 0) + 193 - 1), 0)</f>
        <v>0</v>
      </c>
      <c r="F194">
        <f>IF(193&lt;=COUNTIF(Data_Monitoring!$A$2:$A$2920, Dashboard_Visual!$B$4), INDEX(Data_Monitoring!$O$2:$O$2920, MATCH(Dashboard_Visual!$B$4, Data_Monitoring!$A$2:$A$2920, 0) + 193 - 1), 0)</f>
        <v>0</v>
      </c>
      <c r="G194">
        <f>IF(193&lt;=COUNTIF(Data_Monitoring!$A$2:$A$2920, Dashboard_Visual!$B$4), INDEX(Data_Monitoring!$Q$2:$Q$2920, MATCH(Dashboard_Visual!$B$4, Data_Monitoring!$A$2:$A$2920, 0) + 193 - 1), 0)</f>
        <v>0</v>
      </c>
      <c r="H194" t="str">
        <f>IF(193&lt;=COUNTIF(Data_Monitoring!$A$2:$A$2920, Dashboard_Visual!$B$4), INDEX(Data_Monitoring!$L$2:$L$2920, MATCH(Dashboard_Visual!$B$4, Data_Monitoring!$A$2:$A$2920, 0) + 193 - 1), "")</f>
        <v/>
      </c>
      <c r="I194" t="str">
        <f>IF(AND(193&lt;=$P$2, ISNUMBER(D194), OR(H194="Warning", H194="Overgrade")), TEXT(ABS(D194)/100, "0.00%"), "")</f>
        <v/>
      </c>
      <c r="J194" t="e">
        <f t="shared" ref="J194:J247" si="3">IF(H194="Aman", C194, NA())</f>
        <v>#N/A</v>
      </c>
      <c r="K194" t="e">
        <f>IF(AND(193&lt;=$P$2, H194="Warning"), C194, NA())</f>
        <v>#N/A</v>
      </c>
      <c r="L194" t="e">
        <f>IF(AND(193&lt;=$P$2, H194="Overgrade"), C194, NA())</f>
        <v>#N/A</v>
      </c>
      <c r="M194">
        <f>IF(193&lt;=COUNTIF(Data_Monitoring!$A$2:$A$2920, Dashboard_Visual!$B$4), INDEX(Data_Monitoring!$S$2:$S$2920, MATCH(Dashboard_Visual!$B$4, Data_Monitoring!$A$2:$A$2920, 0) + 193 - 1), 1)</f>
        <v>1</v>
      </c>
    </row>
    <row r="195" spans="1:13" x14ac:dyDescent="0.25">
      <c r="A195" t="str">
        <f>IF(194&lt;=COUNTIF(Data_Monitoring!$A$2:$A$2920, Dashboard_Visual!$B$4), INDEX(Data_Monitoring!$B$2:$B$2920, MATCH(Dashboard_Visual!$B$4, Data_Monitoring!$A$2:$A$2920, 0) + 194 - 1), "")</f>
        <v/>
      </c>
      <c r="B195" t="str">
        <f>IF(194&lt;=COUNTIF(Data_Monitoring!$A$2:$A$2920, Dashboard_Visual!$B$4), INDEX(Data_Monitoring!$C$2:$C$2920, MATCH(Dashboard_Visual!$B$4, Data_Monitoring!$A$2:$A$2920, 0) + 194 - 1), "")</f>
        <v/>
      </c>
      <c r="C195" t="e">
        <f>IF(194&lt;=COUNTIF(Data_Monitoring!$A$2:$A$2920, Dashboard_Visual!$B$4), INDEX(Data_Monitoring!$J$2:$J$2920, MATCH(Dashboard_Visual!$B$4, Data_Monitoring!$A$2:$A$2920, 0) + 194 - 1), NA())</f>
        <v>#N/A</v>
      </c>
      <c r="D195" t="e">
        <f>IF(194&lt;=COUNTIF(Data_Monitoring!$A$2:$A$2920, Dashboard_Visual!$B$4), INDEX(Data_Monitoring!$K$2:$K$2920, MATCH(Dashboard_Visual!$B$4, Data_Monitoring!$A$2:$A$2920, 0) + 194 - 1), NA())</f>
        <v>#N/A</v>
      </c>
      <c r="E195">
        <f>IF(194&lt;=COUNTIF(Data_Monitoring!$A$2:$A$2920, Dashboard_Visual!$B$4), INDEX(Data_Monitoring!$H$2:$H$2920, MATCH(Dashboard_Visual!$B$4, Data_Monitoring!$A$2:$A$2920, 0) + 194 - 1), 0)</f>
        <v>0</v>
      </c>
      <c r="F195">
        <f>IF(194&lt;=COUNTIF(Data_Monitoring!$A$2:$A$2920, Dashboard_Visual!$B$4), INDEX(Data_Monitoring!$O$2:$O$2920, MATCH(Dashboard_Visual!$B$4, Data_Monitoring!$A$2:$A$2920, 0) + 194 - 1), 0)</f>
        <v>0</v>
      </c>
      <c r="G195">
        <f>IF(194&lt;=COUNTIF(Data_Monitoring!$A$2:$A$2920, Dashboard_Visual!$B$4), INDEX(Data_Monitoring!$Q$2:$Q$2920, MATCH(Dashboard_Visual!$B$4, Data_Monitoring!$A$2:$A$2920, 0) + 194 - 1), 0)</f>
        <v>0</v>
      </c>
      <c r="H195" t="str">
        <f>IF(194&lt;=COUNTIF(Data_Monitoring!$A$2:$A$2920, Dashboard_Visual!$B$4), INDEX(Data_Monitoring!$L$2:$L$2920, MATCH(Dashboard_Visual!$B$4, Data_Monitoring!$A$2:$A$2920, 0) + 194 - 1), "")</f>
        <v/>
      </c>
      <c r="I195" t="str">
        <f>IF(AND(194&lt;=$P$2, ISNUMBER(D195), OR(H195="Warning", H195="Overgrade")), TEXT(ABS(D195)/100, "0.00%"), "")</f>
        <v/>
      </c>
      <c r="J195" t="e">
        <f t="shared" si="3"/>
        <v>#N/A</v>
      </c>
      <c r="K195" t="e">
        <f>IF(AND(194&lt;=$P$2, H195="Warning"), C195, NA())</f>
        <v>#N/A</v>
      </c>
      <c r="L195" t="e">
        <f>IF(AND(194&lt;=$P$2, H195="Overgrade"), C195, NA())</f>
        <v>#N/A</v>
      </c>
      <c r="M195">
        <f>IF(194&lt;=COUNTIF(Data_Monitoring!$A$2:$A$2920, Dashboard_Visual!$B$4), INDEX(Data_Monitoring!$S$2:$S$2920, MATCH(Dashboard_Visual!$B$4, Data_Monitoring!$A$2:$A$2920, 0) + 194 - 1), 1)</f>
        <v>1</v>
      </c>
    </row>
    <row r="196" spans="1:13" x14ac:dyDescent="0.25">
      <c r="A196" t="str">
        <f>IF(195&lt;=COUNTIF(Data_Monitoring!$A$2:$A$2920, Dashboard_Visual!$B$4), INDEX(Data_Monitoring!$B$2:$B$2920, MATCH(Dashboard_Visual!$B$4, Data_Monitoring!$A$2:$A$2920, 0) + 195 - 1), "")</f>
        <v/>
      </c>
      <c r="B196" t="str">
        <f>IF(195&lt;=COUNTIF(Data_Monitoring!$A$2:$A$2920, Dashboard_Visual!$B$4), INDEX(Data_Monitoring!$C$2:$C$2920, MATCH(Dashboard_Visual!$B$4, Data_Monitoring!$A$2:$A$2920, 0) + 195 - 1), "")</f>
        <v/>
      </c>
      <c r="C196" t="e">
        <f>IF(195&lt;=COUNTIF(Data_Monitoring!$A$2:$A$2920, Dashboard_Visual!$B$4), INDEX(Data_Monitoring!$J$2:$J$2920, MATCH(Dashboard_Visual!$B$4, Data_Monitoring!$A$2:$A$2920, 0) + 195 - 1), NA())</f>
        <v>#N/A</v>
      </c>
      <c r="D196" t="e">
        <f>IF(195&lt;=COUNTIF(Data_Monitoring!$A$2:$A$2920, Dashboard_Visual!$B$4), INDEX(Data_Monitoring!$K$2:$K$2920, MATCH(Dashboard_Visual!$B$4, Data_Monitoring!$A$2:$A$2920, 0) + 195 - 1), NA())</f>
        <v>#N/A</v>
      </c>
      <c r="E196">
        <f>IF(195&lt;=COUNTIF(Data_Monitoring!$A$2:$A$2920, Dashboard_Visual!$B$4), INDEX(Data_Monitoring!$H$2:$H$2920, MATCH(Dashboard_Visual!$B$4, Data_Monitoring!$A$2:$A$2920, 0) + 195 - 1), 0)</f>
        <v>0</v>
      </c>
      <c r="F196">
        <f>IF(195&lt;=COUNTIF(Data_Monitoring!$A$2:$A$2920, Dashboard_Visual!$B$4), INDEX(Data_Monitoring!$O$2:$O$2920, MATCH(Dashboard_Visual!$B$4, Data_Monitoring!$A$2:$A$2920, 0) + 195 - 1), 0)</f>
        <v>0</v>
      </c>
      <c r="G196">
        <f>IF(195&lt;=COUNTIF(Data_Monitoring!$A$2:$A$2920, Dashboard_Visual!$B$4), INDEX(Data_Monitoring!$Q$2:$Q$2920, MATCH(Dashboard_Visual!$B$4, Data_Monitoring!$A$2:$A$2920, 0) + 195 - 1), 0)</f>
        <v>0</v>
      </c>
      <c r="H196" t="str">
        <f>IF(195&lt;=COUNTIF(Data_Monitoring!$A$2:$A$2920, Dashboard_Visual!$B$4), INDEX(Data_Monitoring!$L$2:$L$2920, MATCH(Dashboard_Visual!$B$4, Data_Monitoring!$A$2:$A$2920, 0) + 195 - 1), "")</f>
        <v/>
      </c>
      <c r="I196" t="str">
        <f>IF(AND(195&lt;=$P$2, ISNUMBER(D196), OR(H196="Warning", H196="Overgrade")), TEXT(ABS(D196)/100, "0.00%"), "")</f>
        <v/>
      </c>
      <c r="J196" t="e">
        <f t="shared" si="3"/>
        <v>#N/A</v>
      </c>
      <c r="K196" t="e">
        <f>IF(AND(195&lt;=$P$2, H196="Warning"), C196, NA())</f>
        <v>#N/A</v>
      </c>
      <c r="L196" t="e">
        <f>IF(AND(195&lt;=$P$2, H196="Overgrade"), C196, NA())</f>
        <v>#N/A</v>
      </c>
      <c r="M196">
        <f>IF(195&lt;=COUNTIF(Data_Monitoring!$A$2:$A$2920, Dashboard_Visual!$B$4), INDEX(Data_Monitoring!$S$2:$S$2920, MATCH(Dashboard_Visual!$B$4, Data_Monitoring!$A$2:$A$2920, 0) + 195 - 1), 1)</f>
        <v>1</v>
      </c>
    </row>
    <row r="197" spans="1:13" x14ac:dyDescent="0.25">
      <c r="A197" t="str">
        <f>IF(196&lt;=COUNTIF(Data_Monitoring!$A$2:$A$2920, Dashboard_Visual!$B$4), INDEX(Data_Monitoring!$B$2:$B$2920, MATCH(Dashboard_Visual!$B$4, Data_Monitoring!$A$2:$A$2920, 0) + 196 - 1), "")</f>
        <v/>
      </c>
      <c r="B197" t="str">
        <f>IF(196&lt;=COUNTIF(Data_Monitoring!$A$2:$A$2920, Dashboard_Visual!$B$4), INDEX(Data_Monitoring!$C$2:$C$2920, MATCH(Dashboard_Visual!$B$4, Data_Monitoring!$A$2:$A$2920, 0) + 196 - 1), "")</f>
        <v/>
      </c>
      <c r="C197" t="e">
        <f>IF(196&lt;=COUNTIF(Data_Monitoring!$A$2:$A$2920, Dashboard_Visual!$B$4), INDEX(Data_Monitoring!$J$2:$J$2920, MATCH(Dashboard_Visual!$B$4, Data_Monitoring!$A$2:$A$2920, 0) + 196 - 1), NA())</f>
        <v>#N/A</v>
      </c>
      <c r="D197" t="e">
        <f>IF(196&lt;=COUNTIF(Data_Monitoring!$A$2:$A$2920, Dashboard_Visual!$B$4), INDEX(Data_Monitoring!$K$2:$K$2920, MATCH(Dashboard_Visual!$B$4, Data_Monitoring!$A$2:$A$2920, 0) + 196 - 1), NA())</f>
        <v>#N/A</v>
      </c>
      <c r="E197">
        <f>IF(196&lt;=COUNTIF(Data_Monitoring!$A$2:$A$2920, Dashboard_Visual!$B$4), INDEX(Data_Monitoring!$H$2:$H$2920, MATCH(Dashboard_Visual!$B$4, Data_Monitoring!$A$2:$A$2920, 0) + 196 - 1), 0)</f>
        <v>0</v>
      </c>
      <c r="F197">
        <f>IF(196&lt;=COUNTIF(Data_Monitoring!$A$2:$A$2920, Dashboard_Visual!$B$4), INDEX(Data_Monitoring!$O$2:$O$2920, MATCH(Dashboard_Visual!$B$4, Data_Monitoring!$A$2:$A$2920, 0) + 196 - 1), 0)</f>
        <v>0</v>
      </c>
      <c r="G197">
        <f>IF(196&lt;=COUNTIF(Data_Monitoring!$A$2:$A$2920, Dashboard_Visual!$B$4), INDEX(Data_Monitoring!$Q$2:$Q$2920, MATCH(Dashboard_Visual!$B$4, Data_Monitoring!$A$2:$A$2920, 0) + 196 - 1), 0)</f>
        <v>0</v>
      </c>
      <c r="H197" t="str">
        <f>IF(196&lt;=COUNTIF(Data_Monitoring!$A$2:$A$2920, Dashboard_Visual!$B$4), INDEX(Data_Monitoring!$L$2:$L$2920, MATCH(Dashboard_Visual!$B$4, Data_Monitoring!$A$2:$A$2920, 0) + 196 - 1), "")</f>
        <v/>
      </c>
      <c r="I197" t="str">
        <f>IF(AND(196&lt;=$P$2, ISNUMBER(D197), OR(H197="Warning", H197="Overgrade")), TEXT(ABS(D197)/100, "0.00%"), "")</f>
        <v/>
      </c>
      <c r="J197" t="e">
        <f t="shared" si="3"/>
        <v>#N/A</v>
      </c>
      <c r="K197" t="e">
        <f>IF(AND(196&lt;=$P$2, H197="Warning"), C197, NA())</f>
        <v>#N/A</v>
      </c>
      <c r="L197" t="e">
        <f>IF(AND(196&lt;=$P$2, H197="Overgrade"), C197, NA())</f>
        <v>#N/A</v>
      </c>
      <c r="M197">
        <f>IF(196&lt;=COUNTIF(Data_Monitoring!$A$2:$A$2920, Dashboard_Visual!$B$4), INDEX(Data_Monitoring!$S$2:$S$2920, MATCH(Dashboard_Visual!$B$4, Data_Monitoring!$A$2:$A$2920, 0) + 196 - 1), 1)</f>
        <v>1</v>
      </c>
    </row>
    <row r="198" spans="1:13" x14ac:dyDescent="0.25">
      <c r="A198" t="str">
        <f>IF(197&lt;=COUNTIF(Data_Monitoring!$A$2:$A$2920, Dashboard_Visual!$B$4), INDEX(Data_Monitoring!$B$2:$B$2920, MATCH(Dashboard_Visual!$B$4, Data_Monitoring!$A$2:$A$2920, 0) + 197 - 1), "")</f>
        <v/>
      </c>
      <c r="B198" t="str">
        <f>IF(197&lt;=COUNTIF(Data_Monitoring!$A$2:$A$2920, Dashboard_Visual!$B$4), INDEX(Data_Monitoring!$C$2:$C$2920, MATCH(Dashboard_Visual!$B$4, Data_Monitoring!$A$2:$A$2920, 0) + 197 - 1), "")</f>
        <v/>
      </c>
      <c r="C198" t="e">
        <f>IF(197&lt;=COUNTIF(Data_Monitoring!$A$2:$A$2920, Dashboard_Visual!$B$4), INDEX(Data_Monitoring!$J$2:$J$2920, MATCH(Dashboard_Visual!$B$4, Data_Monitoring!$A$2:$A$2920, 0) + 197 - 1), NA())</f>
        <v>#N/A</v>
      </c>
      <c r="D198" t="e">
        <f>IF(197&lt;=COUNTIF(Data_Monitoring!$A$2:$A$2920, Dashboard_Visual!$B$4), INDEX(Data_Monitoring!$K$2:$K$2920, MATCH(Dashboard_Visual!$B$4, Data_Monitoring!$A$2:$A$2920, 0) + 197 - 1), NA())</f>
        <v>#N/A</v>
      </c>
      <c r="E198">
        <f>IF(197&lt;=COUNTIF(Data_Monitoring!$A$2:$A$2920, Dashboard_Visual!$B$4), INDEX(Data_Monitoring!$H$2:$H$2920, MATCH(Dashboard_Visual!$B$4, Data_Monitoring!$A$2:$A$2920, 0) + 197 - 1), 0)</f>
        <v>0</v>
      </c>
      <c r="F198">
        <f>IF(197&lt;=COUNTIF(Data_Monitoring!$A$2:$A$2920, Dashboard_Visual!$B$4), INDEX(Data_Monitoring!$O$2:$O$2920, MATCH(Dashboard_Visual!$B$4, Data_Monitoring!$A$2:$A$2920, 0) + 197 - 1), 0)</f>
        <v>0</v>
      </c>
      <c r="G198">
        <f>IF(197&lt;=COUNTIF(Data_Monitoring!$A$2:$A$2920, Dashboard_Visual!$B$4), INDEX(Data_Monitoring!$Q$2:$Q$2920, MATCH(Dashboard_Visual!$B$4, Data_Monitoring!$A$2:$A$2920, 0) + 197 - 1), 0)</f>
        <v>0</v>
      </c>
      <c r="H198" t="str">
        <f>IF(197&lt;=COUNTIF(Data_Monitoring!$A$2:$A$2920, Dashboard_Visual!$B$4), INDEX(Data_Monitoring!$L$2:$L$2920, MATCH(Dashboard_Visual!$B$4, Data_Monitoring!$A$2:$A$2920, 0) + 197 - 1), "")</f>
        <v/>
      </c>
      <c r="I198" t="str">
        <f>IF(AND(197&lt;=$P$2, ISNUMBER(D198), OR(H198="Warning", H198="Overgrade")), TEXT(ABS(D198)/100, "0.00%"), "")</f>
        <v/>
      </c>
      <c r="J198" t="e">
        <f t="shared" si="3"/>
        <v>#N/A</v>
      </c>
      <c r="K198" t="e">
        <f>IF(AND(197&lt;=$P$2, H198="Warning"), C198, NA())</f>
        <v>#N/A</v>
      </c>
      <c r="L198" t="e">
        <f>IF(AND(197&lt;=$P$2, H198="Overgrade"), C198, NA())</f>
        <v>#N/A</v>
      </c>
      <c r="M198">
        <f>IF(197&lt;=COUNTIF(Data_Monitoring!$A$2:$A$2920, Dashboard_Visual!$B$4), INDEX(Data_Monitoring!$S$2:$S$2920, MATCH(Dashboard_Visual!$B$4, Data_Monitoring!$A$2:$A$2920, 0) + 197 - 1), 1)</f>
        <v>1</v>
      </c>
    </row>
    <row r="199" spans="1:13" x14ac:dyDescent="0.25">
      <c r="A199" t="str">
        <f>IF(198&lt;=COUNTIF(Data_Monitoring!$A$2:$A$2920, Dashboard_Visual!$B$4), INDEX(Data_Monitoring!$B$2:$B$2920, MATCH(Dashboard_Visual!$B$4, Data_Monitoring!$A$2:$A$2920, 0) + 198 - 1), "")</f>
        <v/>
      </c>
      <c r="B199" t="str">
        <f>IF(198&lt;=COUNTIF(Data_Monitoring!$A$2:$A$2920, Dashboard_Visual!$B$4), INDEX(Data_Monitoring!$C$2:$C$2920, MATCH(Dashboard_Visual!$B$4, Data_Monitoring!$A$2:$A$2920, 0) + 198 - 1), "")</f>
        <v/>
      </c>
      <c r="C199" t="e">
        <f>IF(198&lt;=COUNTIF(Data_Monitoring!$A$2:$A$2920, Dashboard_Visual!$B$4), INDEX(Data_Monitoring!$J$2:$J$2920, MATCH(Dashboard_Visual!$B$4, Data_Monitoring!$A$2:$A$2920, 0) + 198 - 1), NA())</f>
        <v>#N/A</v>
      </c>
      <c r="D199" t="e">
        <f>IF(198&lt;=COUNTIF(Data_Monitoring!$A$2:$A$2920, Dashboard_Visual!$B$4), INDEX(Data_Monitoring!$K$2:$K$2920, MATCH(Dashboard_Visual!$B$4, Data_Monitoring!$A$2:$A$2920, 0) + 198 - 1), NA())</f>
        <v>#N/A</v>
      </c>
      <c r="E199">
        <f>IF(198&lt;=COUNTIF(Data_Monitoring!$A$2:$A$2920, Dashboard_Visual!$B$4), INDEX(Data_Monitoring!$H$2:$H$2920, MATCH(Dashboard_Visual!$B$4, Data_Monitoring!$A$2:$A$2920, 0) + 198 - 1), 0)</f>
        <v>0</v>
      </c>
      <c r="F199">
        <f>IF(198&lt;=COUNTIF(Data_Monitoring!$A$2:$A$2920, Dashboard_Visual!$B$4), INDEX(Data_Monitoring!$O$2:$O$2920, MATCH(Dashboard_Visual!$B$4, Data_Monitoring!$A$2:$A$2920, 0) + 198 - 1), 0)</f>
        <v>0</v>
      </c>
      <c r="G199">
        <f>IF(198&lt;=COUNTIF(Data_Monitoring!$A$2:$A$2920, Dashboard_Visual!$B$4), INDEX(Data_Monitoring!$Q$2:$Q$2920, MATCH(Dashboard_Visual!$B$4, Data_Monitoring!$A$2:$A$2920, 0) + 198 - 1), 0)</f>
        <v>0</v>
      </c>
      <c r="H199" t="str">
        <f>IF(198&lt;=COUNTIF(Data_Monitoring!$A$2:$A$2920, Dashboard_Visual!$B$4), INDEX(Data_Monitoring!$L$2:$L$2920, MATCH(Dashboard_Visual!$B$4, Data_Monitoring!$A$2:$A$2920, 0) + 198 - 1), "")</f>
        <v/>
      </c>
      <c r="I199" t="str">
        <f>IF(AND(198&lt;=$P$2, ISNUMBER(D199), OR(H199="Warning", H199="Overgrade")), TEXT(ABS(D199)/100, "0.00%"), "")</f>
        <v/>
      </c>
      <c r="J199" t="e">
        <f t="shared" si="3"/>
        <v>#N/A</v>
      </c>
      <c r="K199" t="e">
        <f>IF(AND(198&lt;=$P$2, H199="Warning"), C199, NA())</f>
        <v>#N/A</v>
      </c>
      <c r="L199" t="e">
        <f>IF(AND(198&lt;=$P$2, H199="Overgrade"), C199, NA())</f>
        <v>#N/A</v>
      </c>
      <c r="M199">
        <f>IF(198&lt;=COUNTIF(Data_Monitoring!$A$2:$A$2920, Dashboard_Visual!$B$4), INDEX(Data_Monitoring!$S$2:$S$2920, MATCH(Dashboard_Visual!$B$4, Data_Monitoring!$A$2:$A$2920, 0) + 198 - 1), 1)</f>
        <v>1</v>
      </c>
    </row>
    <row r="200" spans="1:13" x14ac:dyDescent="0.25">
      <c r="A200" t="str">
        <f>IF(199&lt;=COUNTIF(Data_Monitoring!$A$2:$A$2920, Dashboard_Visual!$B$4), INDEX(Data_Monitoring!$B$2:$B$2920, MATCH(Dashboard_Visual!$B$4, Data_Monitoring!$A$2:$A$2920, 0) + 199 - 1), "")</f>
        <v/>
      </c>
      <c r="B200" t="str">
        <f>IF(199&lt;=COUNTIF(Data_Monitoring!$A$2:$A$2920, Dashboard_Visual!$B$4), INDEX(Data_Monitoring!$C$2:$C$2920, MATCH(Dashboard_Visual!$B$4, Data_Monitoring!$A$2:$A$2920, 0) + 199 - 1), "")</f>
        <v/>
      </c>
      <c r="C200" t="e">
        <f>IF(199&lt;=COUNTIF(Data_Monitoring!$A$2:$A$2920, Dashboard_Visual!$B$4), INDEX(Data_Monitoring!$J$2:$J$2920, MATCH(Dashboard_Visual!$B$4, Data_Monitoring!$A$2:$A$2920, 0) + 199 - 1), NA())</f>
        <v>#N/A</v>
      </c>
      <c r="D200" t="e">
        <f>IF(199&lt;=COUNTIF(Data_Monitoring!$A$2:$A$2920, Dashboard_Visual!$B$4), INDEX(Data_Monitoring!$K$2:$K$2920, MATCH(Dashboard_Visual!$B$4, Data_Monitoring!$A$2:$A$2920, 0) + 199 - 1), NA())</f>
        <v>#N/A</v>
      </c>
      <c r="E200">
        <f>IF(199&lt;=COUNTIF(Data_Monitoring!$A$2:$A$2920, Dashboard_Visual!$B$4), INDEX(Data_Monitoring!$H$2:$H$2920, MATCH(Dashboard_Visual!$B$4, Data_Monitoring!$A$2:$A$2920, 0) + 199 - 1), 0)</f>
        <v>0</v>
      </c>
      <c r="F200">
        <f>IF(199&lt;=COUNTIF(Data_Monitoring!$A$2:$A$2920, Dashboard_Visual!$B$4), INDEX(Data_Monitoring!$O$2:$O$2920, MATCH(Dashboard_Visual!$B$4, Data_Monitoring!$A$2:$A$2920, 0) + 199 - 1), 0)</f>
        <v>0</v>
      </c>
      <c r="G200">
        <f>IF(199&lt;=COUNTIF(Data_Monitoring!$A$2:$A$2920, Dashboard_Visual!$B$4), INDEX(Data_Monitoring!$Q$2:$Q$2920, MATCH(Dashboard_Visual!$B$4, Data_Monitoring!$A$2:$A$2920, 0) + 199 - 1), 0)</f>
        <v>0</v>
      </c>
      <c r="H200" t="str">
        <f>IF(199&lt;=COUNTIF(Data_Monitoring!$A$2:$A$2920, Dashboard_Visual!$B$4), INDEX(Data_Monitoring!$L$2:$L$2920, MATCH(Dashboard_Visual!$B$4, Data_Monitoring!$A$2:$A$2920, 0) + 199 - 1), "")</f>
        <v/>
      </c>
      <c r="I200" t="str">
        <f>IF(AND(199&lt;=$P$2, ISNUMBER(D200), OR(H200="Warning", H200="Overgrade")), TEXT(ABS(D200)/100, "0.00%"), "")</f>
        <v/>
      </c>
      <c r="J200" t="e">
        <f t="shared" si="3"/>
        <v>#N/A</v>
      </c>
      <c r="K200" t="e">
        <f>IF(AND(199&lt;=$P$2, H200="Warning"), C200, NA())</f>
        <v>#N/A</v>
      </c>
      <c r="L200" t="e">
        <f>IF(AND(199&lt;=$P$2, H200="Overgrade"), C200, NA())</f>
        <v>#N/A</v>
      </c>
      <c r="M200">
        <f>IF(199&lt;=COUNTIF(Data_Monitoring!$A$2:$A$2920, Dashboard_Visual!$B$4), INDEX(Data_Monitoring!$S$2:$S$2920, MATCH(Dashboard_Visual!$B$4, Data_Monitoring!$A$2:$A$2920, 0) + 199 - 1), 1)</f>
        <v>1</v>
      </c>
    </row>
    <row r="201" spans="1:13" x14ac:dyDescent="0.25">
      <c r="A201" t="str">
        <f>IF(200&lt;=COUNTIF(Data_Monitoring!$A$2:$A$2920, Dashboard_Visual!$B$4), INDEX(Data_Monitoring!$B$2:$B$2920, MATCH(Dashboard_Visual!$B$4, Data_Monitoring!$A$2:$A$2920, 0) + 200 - 1), "")</f>
        <v/>
      </c>
      <c r="B201" t="str">
        <f>IF(200&lt;=COUNTIF(Data_Monitoring!$A$2:$A$2920, Dashboard_Visual!$B$4), INDEX(Data_Monitoring!$C$2:$C$2920, MATCH(Dashboard_Visual!$B$4, Data_Monitoring!$A$2:$A$2920, 0) + 200 - 1), "")</f>
        <v/>
      </c>
      <c r="C201" t="e">
        <f>IF(200&lt;=COUNTIF(Data_Monitoring!$A$2:$A$2920, Dashboard_Visual!$B$4), INDEX(Data_Monitoring!$J$2:$J$2920, MATCH(Dashboard_Visual!$B$4, Data_Monitoring!$A$2:$A$2920, 0) + 200 - 1), NA())</f>
        <v>#N/A</v>
      </c>
      <c r="D201" t="e">
        <f>IF(200&lt;=COUNTIF(Data_Monitoring!$A$2:$A$2920, Dashboard_Visual!$B$4), INDEX(Data_Monitoring!$K$2:$K$2920, MATCH(Dashboard_Visual!$B$4, Data_Monitoring!$A$2:$A$2920, 0) + 200 - 1), NA())</f>
        <v>#N/A</v>
      </c>
      <c r="E201">
        <f>IF(200&lt;=COUNTIF(Data_Monitoring!$A$2:$A$2920, Dashboard_Visual!$B$4), INDEX(Data_Monitoring!$H$2:$H$2920, MATCH(Dashboard_Visual!$B$4, Data_Monitoring!$A$2:$A$2920, 0) + 200 - 1), 0)</f>
        <v>0</v>
      </c>
      <c r="F201">
        <f>IF(200&lt;=COUNTIF(Data_Monitoring!$A$2:$A$2920, Dashboard_Visual!$B$4), INDEX(Data_Monitoring!$O$2:$O$2920, MATCH(Dashboard_Visual!$B$4, Data_Monitoring!$A$2:$A$2920, 0) + 200 - 1), 0)</f>
        <v>0</v>
      </c>
      <c r="G201">
        <f>IF(200&lt;=COUNTIF(Data_Monitoring!$A$2:$A$2920, Dashboard_Visual!$B$4), INDEX(Data_Monitoring!$Q$2:$Q$2920, MATCH(Dashboard_Visual!$B$4, Data_Monitoring!$A$2:$A$2920, 0) + 200 - 1), 0)</f>
        <v>0</v>
      </c>
      <c r="H201" t="str">
        <f>IF(200&lt;=COUNTIF(Data_Monitoring!$A$2:$A$2920, Dashboard_Visual!$B$4), INDEX(Data_Monitoring!$L$2:$L$2920, MATCH(Dashboard_Visual!$B$4, Data_Monitoring!$A$2:$A$2920, 0) + 200 - 1), "")</f>
        <v/>
      </c>
      <c r="I201" t="str">
        <f>IF(AND(200&lt;=$P$2, ISNUMBER(D201), OR(H201="Warning", H201="Overgrade")), TEXT(ABS(D201)/100, "0.00%"), "")</f>
        <v/>
      </c>
      <c r="J201" t="e">
        <f t="shared" si="3"/>
        <v>#N/A</v>
      </c>
      <c r="K201" t="e">
        <f>IF(AND(200&lt;=$P$2, H201="Warning"), C201, NA())</f>
        <v>#N/A</v>
      </c>
      <c r="L201" t="e">
        <f>IF(AND(200&lt;=$P$2, H201="Overgrade"), C201, NA())</f>
        <v>#N/A</v>
      </c>
      <c r="M201">
        <f>IF(200&lt;=COUNTIF(Data_Monitoring!$A$2:$A$2920, Dashboard_Visual!$B$4), INDEX(Data_Monitoring!$S$2:$S$2920, MATCH(Dashboard_Visual!$B$4, Data_Monitoring!$A$2:$A$2920, 0) + 200 - 1), 1)</f>
        <v>1</v>
      </c>
    </row>
    <row r="202" spans="1:13" x14ac:dyDescent="0.25">
      <c r="A202" t="str">
        <f>IF(201&lt;=COUNTIF(Data_Monitoring!$A$2:$A$2920, Dashboard_Visual!$B$4), INDEX(Data_Monitoring!$B$2:$B$2920, MATCH(Dashboard_Visual!$B$4, Data_Monitoring!$A$2:$A$2920, 0) + 201 - 1), "")</f>
        <v/>
      </c>
      <c r="B202" t="str">
        <f>IF(201&lt;=COUNTIF(Data_Monitoring!$A$2:$A$2920, Dashboard_Visual!$B$4), INDEX(Data_Monitoring!$C$2:$C$2920, MATCH(Dashboard_Visual!$B$4, Data_Monitoring!$A$2:$A$2920, 0) + 201 - 1), "")</f>
        <v/>
      </c>
      <c r="C202" t="e">
        <f>IF(201&lt;=COUNTIF(Data_Monitoring!$A$2:$A$2920, Dashboard_Visual!$B$4), INDEX(Data_Monitoring!$J$2:$J$2920, MATCH(Dashboard_Visual!$B$4, Data_Monitoring!$A$2:$A$2920, 0) + 201 - 1), NA())</f>
        <v>#N/A</v>
      </c>
      <c r="D202" t="e">
        <f>IF(201&lt;=COUNTIF(Data_Monitoring!$A$2:$A$2920, Dashboard_Visual!$B$4), INDEX(Data_Monitoring!$K$2:$K$2920, MATCH(Dashboard_Visual!$B$4, Data_Monitoring!$A$2:$A$2920, 0) + 201 - 1), NA())</f>
        <v>#N/A</v>
      </c>
      <c r="E202">
        <f>IF(201&lt;=COUNTIF(Data_Monitoring!$A$2:$A$2920, Dashboard_Visual!$B$4), INDEX(Data_Monitoring!$H$2:$H$2920, MATCH(Dashboard_Visual!$B$4, Data_Monitoring!$A$2:$A$2920, 0) + 201 - 1), 0)</f>
        <v>0</v>
      </c>
      <c r="F202">
        <f>IF(201&lt;=COUNTIF(Data_Monitoring!$A$2:$A$2920, Dashboard_Visual!$B$4), INDEX(Data_Monitoring!$O$2:$O$2920, MATCH(Dashboard_Visual!$B$4, Data_Monitoring!$A$2:$A$2920, 0) + 201 - 1), 0)</f>
        <v>0</v>
      </c>
      <c r="G202">
        <f>IF(201&lt;=COUNTIF(Data_Monitoring!$A$2:$A$2920, Dashboard_Visual!$B$4), INDEX(Data_Monitoring!$Q$2:$Q$2920, MATCH(Dashboard_Visual!$B$4, Data_Monitoring!$A$2:$A$2920, 0) + 201 - 1), 0)</f>
        <v>0</v>
      </c>
      <c r="H202" t="str">
        <f>IF(201&lt;=COUNTIF(Data_Monitoring!$A$2:$A$2920, Dashboard_Visual!$B$4), INDEX(Data_Monitoring!$L$2:$L$2920, MATCH(Dashboard_Visual!$B$4, Data_Monitoring!$A$2:$A$2920, 0) + 201 - 1), "")</f>
        <v/>
      </c>
      <c r="I202" t="str">
        <f>IF(AND(201&lt;=$P$2, ISNUMBER(D202), OR(H202="Warning", H202="Overgrade")), TEXT(ABS(D202)/100, "0.00%"), "")</f>
        <v/>
      </c>
      <c r="J202" t="e">
        <f t="shared" si="3"/>
        <v>#N/A</v>
      </c>
      <c r="K202" t="e">
        <f>IF(AND(201&lt;=$P$2, H202="Warning"), C202, NA())</f>
        <v>#N/A</v>
      </c>
      <c r="L202" t="e">
        <f>IF(AND(201&lt;=$P$2, H202="Overgrade"), C202, NA())</f>
        <v>#N/A</v>
      </c>
      <c r="M202">
        <f>IF(201&lt;=COUNTIF(Data_Monitoring!$A$2:$A$2920, Dashboard_Visual!$B$4), INDEX(Data_Monitoring!$S$2:$S$2920, MATCH(Dashboard_Visual!$B$4, Data_Monitoring!$A$2:$A$2920, 0) + 201 - 1), 1)</f>
        <v>1</v>
      </c>
    </row>
    <row r="203" spans="1:13" x14ac:dyDescent="0.25">
      <c r="A203" t="str">
        <f>IF(202&lt;=COUNTIF(Data_Monitoring!$A$2:$A$2920, Dashboard_Visual!$B$4), INDEX(Data_Monitoring!$B$2:$B$2920, MATCH(Dashboard_Visual!$B$4, Data_Monitoring!$A$2:$A$2920, 0) + 202 - 1), "")</f>
        <v/>
      </c>
      <c r="B203" t="str">
        <f>IF(202&lt;=COUNTIF(Data_Monitoring!$A$2:$A$2920, Dashboard_Visual!$B$4), INDEX(Data_Monitoring!$C$2:$C$2920, MATCH(Dashboard_Visual!$B$4, Data_Monitoring!$A$2:$A$2920, 0) + 202 - 1), "")</f>
        <v/>
      </c>
      <c r="C203" t="e">
        <f>IF(202&lt;=COUNTIF(Data_Monitoring!$A$2:$A$2920, Dashboard_Visual!$B$4), INDEX(Data_Monitoring!$J$2:$J$2920, MATCH(Dashboard_Visual!$B$4, Data_Monitoring!$A$2:$A$2920, 0) + 202 - 1), NA())</f>
        <v>#N/A</v>
      </c>
      <c r="D203" t="e">
        <f>IF(202&lt;=COUNTIF(Data_Monitoring!$A$2:$A$2920, Dashboard_Visual!$B$4), INDEX(Data_Monitoring!$K$2:$K$2920, MATCH(Dashboard_Visual!$B$4, Data_Monitoring!$A$2:$A$2920, 0) + 202 - 1), NA())</f>
        <v>#N/A</v>
      </c>
      <c r="E203">
        <f>IF(202&lt;=COUNTIF(Data_Monitoring!$A$2:$A$2920, Dashboard_Visual!$B$4), INDEX(Data_Monitoring!$H$2:$H$2920, MATCH(Dashboard_Visual!$B$4, Data_Monitoring!$A$2:$A$2920, 0) + 202 - 1), 0)</f>
        <v>0</v>
      </c>
      <c r="F203">
        <f>IF(202&lt;=COUNTIF(Data_Monitoring!$A$2:$A$2920, Dashboard_Visual!$B$4), INDEX(Data_Monitoring!$O$2:$O$2920, MATCH(Dashboard_Visual!$B$4, Data_Monitoring!$A$2:$A$2920, 0) + 202 - 1), 0)</f>
        <v>0</v>
      </c>
      <c r="G203">
        <f>IF(202&lt;=COUNTIF(Data_Monitoring!$A$2:$A$2920, Dashboard_Visual!$B$4), INDEX(Data_Monitoring!$Q$2:$Q$2920, MATCH(Dashboard_Visual!$B$4, Data_Monitoring!$A$2:$A$2920, 0) + 202 - 1), 0)</f>
        <v>0</v>
      </c>
      <c r="H203" t="str">
        <f>IF(202&lt;=COUNTIF(Data_Monitoring!$A$2:$A$2920, Dashboard_Visual!$B$4), INDEX(Data_Monitoring!$L$2:$L$2920, MATCH(Dashboard_Visual!$B$4, Data_Monitoring!$A$2:$A$2920, 0) + 202 - 1), "")</f>
        <v/>
      </c>
      <c r="I203" t="str">
        <f>IF(AND(202&lt;=$P$2, ISNUMBER(D203), OR(H203="Warning", H203="Overgrade")), TEXT(ABS(D203)/100, "0.00%"), "")</f>
        <v/>
      </c>
      <c r="J203" t="e">
        <f t="shared" si="3"/>
        <v>#N/A</v>
      </c>
      <c r="K203" t="e">
        <f>IF(AND(202&lt;=$P$2, H203="Warning"), C203, NA())</f>
        <v>#N/A</v>
      </c>
      <c r="L203" t="e">
        <f>IF(AND(202&lt;=$P$2, H203="Overgrade"), C203, NA())</f>
        <v>#N/A</v>
      </c>
      <c r="M203">
        <f>IF(202&lt;=COUNTIF(Data_Monitoring!$A$2:$A$2920, Dashboard_Visual!$B$4), INDEX(Data_Monitoring!$S$2:$S$2920, MATCH(Dashboard_Visual!$B$4, Data_Monitoring!$A$2:$A$2920, 0) + 202 - 1), 1)</f>
        <v>1</v>
      </c>
    </row>
    <row r="204" spans="1:13" x14ac:dyDescent="0.25">
      <c r="A204" t="str">
        <f>IF(203&lt;=COUNTIF(Data_Monitoring!$A$2:$A$2920, Dashboard_Visual!$B$4), INDEX(Data_Monitoring!$B$2:$B$2920, MATCH(Dashboard_Visual!$B$4, Data_Monitoring!$A$2:$A$2920, 0) + 203 - 1), "")</f>
        <v/>
      </c>
      <c r="B204" t="str">
        <f>IF(203&lt;=COUNTIF(Data_Monitoring!$A$2:$A$2920, Dashboard_Visual!$B$4), INDEX(Data_Monitoring!$C$2:$C$2920, MATCH(Dashboard_Visual!$B$4, Data_Monitoring!$A$2:$A$2920, 0) + 203 - 1), "")</f>
        <v/>
      </c>
      <c r="C204" t="e">
        <f>IF(203&lt;=COUNTIF(Data_Monitoring!$A$2:$A$2920, Dashboard_Visual!$B$4), INDEX(Data_Monitoring!$J$2:$J$2920, MATCH(Dashboard_Visual!$B$4, Data_Monitoring!$A$2:$A$2920, 0) + 203 - 1), NA())</f>
        <v>#N/A</v>
      </c>
      <c r="D204" t="e">
        <f>IF(203&lt;=COUNTIF(Data_Monitoring!$A$2:$A$2920, Dashboard_Visual!$B$4), INDEX(Data_Monitoring!$K$2:$K$2920, MATCH(Dashboard_Visual!$B$4, Data_Monitoring!$A$2:$A$2920, 0) + 203 - 1), NA())</f>
        <v>#N/A</v>
      </c>
      <c r="E204">
        <f>IF(203&lt;=COUNTIF(Data_Monitoring!$A$2:$A$2920, Dashboard_Visual!$B$4), INDEX(Data_Monitoring!$H$2:$H$2920, MATCH(Dashboard_Visual!$B$4, Data_Monitoring!$A$2:$A$2920, 0) + 203 - 1), 0)</f>
        <v>0</v>
      </c>
      <c r="F204">
        <f>IF(203&lt;=COUNTIF(Data_Monitoring!$A$2:$A$2920, Dashboard_Visual!$B$4), INDEX(Data_Monitoring!$O$2:$O$2920, MATCH(Dashboard_Visual!$B$4, Data_Monitoring!$A$2:$A$2920, 0) + 203 - 1), 0)</f>
        <v>0</v>
      </c>
      <c r="G204">
        <f>IF(203&lt;=COUNTIF(Data_Monitoring!$A$2:$A$2920, Dashboard_Visual!$B$4), INDEX(Data_Monitoring!$Q$2:$Q$2920, MATCH(Dashboard_Visual!$B$4, Data_Monitoring!$A$2:$A$2920, 0) + 203 - 1), 0)</f>
        <v>0</v>
      </c>
      <c r="H204" t="str">
        <f>IF(203&lt;=COUNTIF(Data_Monitoring!$A$2:$A$2920, Dashboard_Visual!$B$4), INDEX(Data_Monitoring!$L$2:$L$2920, MATCH(Dashboard_Visual!$B$4, Data_Monitoring!$A$2:$A$2920, 0) + 203 - 1), "")</f>
        <v/>
      </c>
      <c r="I204" t="str">
        <f>IF(AND(203&lt;=$P$2, ISNUMBER(D204), OR(H204="Warning", H204="Overgrade")), TEXT(ABS(D204)/100, "0.00%"), "")</f>
        <v/>
      </c>
      <c r="J204" t="e">
        <f t="shared" si="3"/>
        <v>#N/A</v>
      </c>
      <c r="K204" t="e">
        <f>IF(AND(203&lt;=$P$2, H204="Warning"), C204, NA())</f>
        <v>#N/A</v>
      </c>
      <c r="L204" t="e">
        <f>IF(AND(203&lt;=$P$2, H204="Overgrade"), C204, NA())</f>
        <v>#N/A</v>
      </c>
      <c r="M204">
        <f>IF(203&lt;=COUNTIF(Data_Monitoring!$A$2:$A$2920, Dashboard_Visual!$B$4), INDEX(Data_Monitoring!$S$2:$S$2920, MATCH(Dashboard_Visual!$B$4, Data_Monitoring!$A$2:$A$2920, 0) + 203 - 1), 1)</f>
        <v>1</v>
      </c>
    </row>
    <row r="205" spans="1:13" x14ac:dyDescent="0.25">
      <c r="A205" t="str">
        <f>IF(204&lt;=COUNTIF(Data_Monitoring!$A$2:$A$2920, Dashboard_Visual!$B$4), INDEX(Data_Monitoring!$B$2:$B$2920, MATCH(Dashboard_Visual!$B$4, Data_Monitoring!$A$2:$A$2920, 0) + 204 - 1), "")</f>
        <v/>
      </c>
      <c r="B205" t="str">
        <f>IF(204&lt;=COUNTIF(Data_Monitoring!$A$2:$A$2920, Dashboard_Visual!$B$4), INDEX(Data_Monitoring!$C$2:$C$2920, MATCH(Dashboard_Visual!$B$4, Data_Monitoring!$A$2:$A$2920, 0) + 204 - 1), "")</f>
        <v/>
      </c>
      <c r="C205" t="e">
        <f>IF(204&lt;=COUNTIF(Data_Monitoring!$A$2:$A$2920, Dashboard_Visual!$B$4), INDEX(Data_Monitoring!$J$2:$J$2920, MATCH(Dashboard_Visual!$B$4, Data_Monitoring!$A$2:$A$2920, 0) + 204 - 1), NA())</f>
        <v>#N/A</v>
      </c>
      <c r="D205" t="e">
        <f>IF(204&lt;=COUNTIF(Data_Monitoring!$A$2:$A$2920, Dashboard_Visual!$B$4), INDEX(Data_Monitoring!$K$2:$K$2920, MATCH(Dashboard_Visual!$B$4, Data_Monitoring!$A$2:$A$2920, 0) + 204 - 1), NA())</f>
        <v>#N/A</v>
      </c>
      <c r="E205">
        <f>IF(204&lt;=COUNTIF(Data_Monitoring!$A$2:$A$2920, Dashboard_Visual!$B$4), INDEX(Data_Monitoring!$H$2:$H$2920, MATCH(Dashboard_Visual!$B$4, Data_Monitoring!$A$2:$A$2920, 0) + 204 - 1), 0)</f>
        <v>0</v>
      </c>
      <c r="F205">
        <f>IF(204&lt;=COUNTIF(Data_Monitoring!$A$2:$A$2920, Dashboard_Visual!$B$4), INDEX(Data_Monitoring!$O$2:$O$2920, MATCH(Dashboard_Visual!$B$4, Data_Monitoring!$A$2:$A$2920, 0) + 204 - 1), 0)</f>
        <v>0</v>
      </c>
      <c r="G205">
        <f>IF(204&lt;=COUNTIF(Data_Monitoring!$A$2:$A$2920, Dashboard_Visual!$B$4), INDEX(Data_Monitoring!$Q$2:$Q$2920, MATCH(Dashboard_Visual!$B$4, Data_Monitoring!$A$2:$A$2920, 0) + 204 - 1), 0)</f>
        <v>0</v>
      </c>
      <c r="H205" t="str">
        <f>IF(204&lt;=COUNTIF(Data_Monitoring!$A$2:$A$2920, Dashboard_Visual!$B$4), INDEX(Data_Monitoring!$L$2:$L$2920, MATCH(Dashboard_Visual!$B$4, Data_Monitoring!$A$2:$A$2920, 0) + 204 - 1), "")</f>
        <v/>
      </c>
      <c r="I205" t="str">
        <f>IF(AND(204&lt;=$P$2, ISNUMBER(D205), OR(H205="Warning", H205="Overgrade")), TEXT(ABS(D205)/100, "0.00%"), "")</f>
        <v/>
      </c>
      <c r="J205" t="e">
        <f t="shared" si="3"/>
        <v>#N/A</v>
      </c>
      <c r="K205" t="e">
        <f>IF(AND(204&lt;=$P$2, H205="Warning"), C205, NA())</f>
        <v>#N/A</v>
      </c>
      <c r="L205" t="e">
        <f>IF(AND(204&lt;=$P$2, H205="Overgrade"), C205, NA())</f>
        <v>#N/A</v>
      </c>
      <c r="M205">
        <f>IF(204&lt;=COUNTIF(Data_Monitoring!$A$2:$A$2920, Dashboard_Visual!$B$4), INDEX(Data_Monitoring!$S$2:$S$2920, MATCH(Dashboard_Visual!$B$4, Data_Monitoring!$A$2:$A$2920, 0) + 204 - 1), 1)</f>
        <v>1</v>
      </c>
    </row>
    <row r="206" spans="1:13" x14ac:dyDescent="0.25">
      <c r="A206" t="str">
        <f>IF(205&lt;=COUNTIF(Data_Monitoring!$A$2:$A$2920, Dashboard_Visual!$B$4), INDEX(Data_Monitoring!$B$2:$B$2920, MATCH(Dashboard_Visual!$B$4, Data_Monitoring!$A$2:$A$2920, 0) + 205 - 1), "")</f>
        <v/>
      </c>
      <c r="B206" t="str">
        <f>IF(205&lt;=COUNTIF(Data_Monitoring!$A$2:$A$2920, Dashboard_Visual!$B$4), INDEX(Data_Monitoring!$C$2:$C$2920, MATCH(Dashboard_Visual!$B$4, Data_Monitoring!$A$2:$A$2920, 0) + 205 - 1), "")</f>
        <v/>
      </c>
      <c r="C206" t="e">
        <f>IF(205&lt;=COUNTIF(Data_Monitoring!$A$2:$A$2920, Dashboard_Visual!$B$4), INDEX(Data_Monitoring!$J$2:$J$2920, MATCH(Dashboard_Visual!$B$4, Data_Monitoring!$A$2:$A$2920, 0) + 205 - 1), NA())</f>
        <v>#N/A</v>
      </c>
      <c r="D206" t="e">
        <f>IF(205&lt;=COUNTIF(Data_Monitoring!$A$2:$A$2920, Dashboard_Visual!$B$4), INDEX(Data_Monitoring!$K$2:$K$2920, MATCH(Dashboard_Visual!$B$4, Data_Monitoring!$A$2:$A$2920, 0) + 205 - 1), NA())</f>
        <v>#N/A</v>
      </c>
      <c r="E206">
        <f>IF(205&lt;=COUNTIF(Data_Monitoring!$A$2:$A$2920, Dashboard_Visual!$B$4), INDEX(Data_Monitoring!$H$2:$H$2920, MATCH(Dashboard_Visual!$B$4, Data_Monitoring!$A$2:$A$2920, 0) + 205 - 1), 0)</f>
        <v>0</v>
      </c>
      <c r="F206">
        <f>IF(205&lt;=COUNTIF(Data_Monitoring!$A$2:$A$2920, Dashboard_Visual!$B$4), INDEX(Data_Monitoring!$O$2:$O$2920, MATCH(Dashboard_Visual!$B$4, Data_Monitoring!$A$2:$A$2920, 0) + 205 - 1), 0)</f>
        <v>0</v>
      </c>
      <c r="G206">
        <f>IF(205&lt;=COUNTIF(Data_Monitoring!$A$2:$A$2920, Dashboard_Visual!$B$4), INDEX(Data_Monitoring!$Q$2:$Q$2920, MATCH(Dashboard_Visual!$B$4, Data_Monitoring!$A$2:$A$2920, 0) + 205 - 1), 0)</f>
        <v>0</v>
      </c>
      <c r="H206" t="str">
        <f>IF(205&lt;=COUNTIF(Data_Monitoring!$A$2:$A$2920, Dashboard_Visual!$B$4), INDEX(Data_Monitoring!$L$2:$L$2920, MATCH(Dashboard_Visual!$B$4, Data_Monitoring!$A$2:$A$2920, 0) + 205 - 1), "")</f>
        <v/>
      </c>
      <c r="I206" t="str">
        <f>IF(AND(205&lt;=$P$2, ISNUMBER(D206), OR(H206="Warning", H206="Overgrade")), TEXT(ABS(D206)/100, "0.00%"), "")</f>
        <v/>
      </c>
      <c r="J206" t="e">
        <f t="shared" si="3"/>
        <v>#N/A</v>
      </c>
      <c r="K206" t="e">
        <f>IF(AND(205&lt;=$P$2, H206="Warning"), C206, NA())</f>
        <v>#N/A</v>
      </c>
      <c r="L206" t="e">
        <f>IF(AND(205&lt;=$P$2, H206="Overgrade"), C206, NA())</f>
        <v>#N/A</v>
      </c>
      <c r="M206">
        <f>IF(205&lt;=COUNTIF(Data_Monitoring!$A$2:$A$2920, Dashboard_Visual!$B$4), INDEX(Data_Monitoring!$S$2:$S$2920, MATCH(Dashboard_Visual!$B$4, Data_Monitoring!$A$2:$A$2920, 0) + 205 - 1), 1)</f>
        <v>1</v>
      </c>
    </row>
    <row r="207" spans="1:13" x14ac:dyDescent="0.25">
      <c r="A207" t="str">
        <f>IF(206&lt;=COUNTIF(Data_Monitoring!$A$2:$A$2920, Dashboard_Visual!$B$4), INDEX(Data_Monitoring!$B$2:$B$2920, MATCH(Dashboard_Visual!$B$4, Data_Monitoring!$A$2:$A$2920, 0) + 206 - 1), "")</f>
        <v/>
      </c>
      <c r="B207" t="str">
        <f>IF(206&lt;=COUNTIF(Data_Monitoring!$A$2:$A$2920, Dashboard_Visual!$B$4), INDEX(Data_Monitoring!$C$2:$C$2920, MATCH(Dashboard_Visual!$B$4, Data_Monitoring!$A$2:$A$2920, 0) + 206 - 1), "")</f>
        <v/>
      </c>
      <c r="C207" t="e">
        <f>IF(206&lt;=COUNTIF(Data_Monitoring!$A$2:$A$2920, Dashboard_Visual!$B$4), INDEX(Data_Monitoring!$J$2:$J$2920, MATCH(Dashboard_Visual!$B$4, Data_Monitoring!$A$2:$A$2920, 0) + 206 - 1), NA())</f>
        <v>#N/A</v>
      </c>
      <c r="D207" t="e">
        <f>IF(206&lt;=COUNTIF(Data_Monitoring!$A$2:$A$2920, Dashboard_Visual!$B$4), INDEX(Data_Monitoring!$K$2:$K$2920, MATCH(Dashboard_Visual!$B$4, Data_Monitoring!$A$2:$A$2920, 0) + 206 - 1), NA())</f>
        <v>#N/A</v>
      </c>
      <c r="E207">
        <f>IF(206&lt;=COUNTIF(Data_Monitoring!$A$2:$A$2920, Dashboard_Visual!$B$4), INDEX(Data_Monitoring!$H$2:$H$2920, MATCH(Dashboard_Visual!$B$4, Data_Monitoring!$A$2:$A$2920, 0) + 206 - 1), 0)</f>
        <v>0</v>
      </c>
      <c r="F207">
        <f>IF(206&lt;=COUNTIF(Data_Monitoring!$A$2:$A$2920, Dashboard_Visual!$B$4), INDEX(Data_Monitoring!$O$2:$O$2920, MATCH(Dashboard_Visual!$B$4, Data_Monitoring!$A$2:$A$2920, 0) + 206 - 1), 0)</f>
        <v>0</v>
      </c>
      <c r="G207">
        <f>IF(206&lt;=COUNTIF(Data_Monitoring!$A$2:$A$2920, Dashboard_Visual!$B$4), INDEX(Data_Monitoring!$Q$2:$Q$2920, MATCH(Dashboard_Visual!$B$4, Data_Monitoring!$A$2:$A$2920, 0) + 206 - 1), 0)</f>
        <v>0</v>
      </c>
      <c r="H207" t="str">
        <f>IF(206&lt;=COUNTIF(Data_Monitoring!$A$2:$A$2920, Dashboard_Visual!$B$4), INDEX(Data_Monitoring!$L$2:$L$2920, MATCH(Dashboard_Visual!$B$4, Data_Monitoring!$A$2:$A$2920, 0) + 206 - 1), "")</f>
        <v/>
      </c>
      <c r="I207" t="str">
        <f>IF(AND(206&lt;=$P$2, ISNUMBER(D207), OR(H207="Warning", H207="Overgrade")), TEXT(ABS(D207)/100, "0.00%"), "")</f>
        <v/>
      </c>
      <c r="J207" t="e">
        <f t="shared" si="3"/>
        <v>#N/A</v>
      </c>
      <c r="K207" t="e">
        <f>IF(AND(206&lt;=$P$2, H207="Warning"), C207, NA())</f>
        <v>#N/A</v>
      </c>
      <c r="L207" t="e">
        <f>IF(AND(206&lt;=$P$2, H207="Overgrade"), C207, NA())</f>
        <v>#N/A</v>
      </c>
      <c r="M207">
        <f>IF(206&lt;=COUNTIF(Data_Monitoring!$A$2:$A$2920, Dashboard_Visual!$B$4), INDEX(Data_Monitoring!$S$2:$S$2920, MATCH(Dashboard_Visual!$B$4, Data_Monitoring!$A$2:$A$2920, 0) + 206 - 1), 1)</f>
        <v>1</v>
      </c>
    </row>
    <row r="208" spans="1:13" x14ac:dyDescent="0.25">
      <c r="A208" t="str">
        <f>IF(207&lt;=COUNTIF(Data_Monitoring!$A$2:$A$2920, Dashboard_Visual!$B$4), INDEX(Data_Monitoring!$B$2:$B$2920, MATCH(Dashboard_Visual!$B$4, Data_Monitoring!$A$2:$A$2920, 0) + 207 - 1), "")</f>
        <v/>
      </c>
      <c r="B208" t="str">
        <f>IF(207&lt;=COUNTIF(Data_Monitoring!$A$2:$A$2920, Dashboard_Visual!$B$4), INDEX(Data_Monitoring!$C$2:$C$2920, MATCH(Dashboard_Visual!$B$4, Data_Monitoring!$A$2:$A$2920, 0) + 207 - 1), "")</f>
        <v/>
      </c>
      <c r="C208" t="e">
        <f>IF(207&lt;=COUNTIF(Data_Monitoring!$A$2:$A$2920, Dashboard_Visual!$B$4), INDEX(Data_Monitoring!$J$2:$J$2920, MATCH(Dashboard_Visual!$B$4, Data_Monitoring!$A$2:$A$2920, 0) + 207 - 1), NA())</f>
        <v>#N/A</v>
      </c>
      <c r="D208" t="e">
        <f>IF(207&lt;=COUNTIF(Data_Monitoring!$A$2:$A$2920, Dashboard_Visual!$B$4), INDEX(Data_Monitoring!$K$2:$K$2920, MATCH(Dashboard_Visual!$B$4, Data_Monitoring!$A$2:$A$2920, 0) + 207 - 1), NA())</f>
        <v>#N/A</v>
      </c>
      <c r="E208">
        <f>IF(207&lt;=COUNTIF(Data_Monitoring!$A$2:$A$2920, Dashboard_Visual!$B$4), INDEX(Data_Monitoring!$H$2:$H$2920, MATCH(Dashboard_Visual!$B$4, Data_Monitoring!$A$2:$A$2920, 0) + 207 - 1), 0)</f>
        <v>0</v>
      </c>
      <c r="F208">
        <f>IF(207&lt;=COUNTIF(Data_Monitoring!$A$2:$A$2920, Dashboard_Visual!$B$4), INDEX(Data_Monitoring!$O$2:$O$2920, MATCH(Dashboard_Visual!$B$4, Data_Monitoring!$A$2:$A$2920, 0) + 207 - 1), 0)</f>
        <v>0</v>
      </c>
      <c r="G208">
        <f>IF(207&lt;=COUNTIF(Data_Monitoring!$A$2:$A$2920, Dashboard_Visual!$B$4), INDEX(Data_Monitoring!$Q$2:$Q$2920, MATCH(Dashboard_Visual!$B$4, Data_Monitoring!$A$2:$A$2920, 0) + 207 - 1), 0)</f>
        <v>0</v>
      </c>
      <c r="H208" t="str">
        <f>IF(207&lt;=COUNTIF(Data_Monitoring!$A$2:$A$2920, Dashboard_Visual!$B$4), INDEX(Data_Monitoring!$L$2:$L$2920, MATCH(Dashboard_Visual!$B$4, Data_Monitoring!$A$2:$A$2920, 0) + 207 - 1), "")</f>
        <v/>
      </c>
      <c r="I208" t="str">
        <f>IF(AND(207&lt;=$P$2, ISNUMBER(D208), OR(H208="Warning", H208="Overgrade")), TEXT(ABS(D208)/100, "0.00%"), "")</f>
        <v/>
      </c>
      <c r="J208" t="e">
        <f t="shared" si="3"/>
        <v>#N/A</v>
      </c>
      <c r="K208" t="e">
        <f>IF(AND(207&lt;=$P$2, H208="Warning"), C208, NA())</f>
        <v>#N/A</v>
      </c>
      <c r="L208" t="e">
        <f>IF(AND(207&lt;=$P$2, H208="Overgrade"), C208, NA())</f>
        <v>#N/A</v>
      </c>
      <c r="M208">
        <f>IF(207&lt;=COUNTIF(Data_Monitoring!$A$2:$A$2920, Dashboard_Visual!$B$4), INDEX(Data_Monitoring!$S$2:$S$2920, MATCH(Dashboard_Visual!$B$4, Data_Monitoring!$A$2:$A$2920, 0) + 207 - 1), 1)</f>
        <v>1</v>
      </c>
    </row>
    <row r="209" spans="1:13" x14ac:dyDescent="0.25">
      <c r="A209" t="str">
        <f>IF(208&lt;=COUNTIF(Data_Monitoring!$A$2:$A$2920, Dashboard_Visual!$B$4), INDEX(Data_Monitoring!$B$2:$B$2920, MATCH(Dashboard_Visual!$B$4, Data_Monitoring!$A$2:$A$2920, 0) + 208 - 1), "")</f>
        <v/>
      </c>
      <c r="B209" t="str">
        <f>IF(208&lt;=COUNTIF(Data_Monitoring!$A$2:$A$2920, Dashboard_Visual!$B$4), INDEX(Data_Monitoring!$C$2:$C$2920, MATCH(Dashboard_Visual!$B$4, Data_Monitoring!$A$2:$A$2920, 0) + 208 - 1), "")</f>
        <v/>
      </c>
      <c r="C209" t="e">
        <f>IF(208&lt;=COUNTIF(Data_Monitoring!$A$2:$A$2920, Dashboard_Visual!$B$4), INDEX(Data_Monitoring!$J$2:$J$2920, MATCH(Dashboard_Visual!$B$4, Data_Monitoring!$A$2:$A$2920, 0) + 208 - 1), NA())</f>
        <v>#N/A</v>
      </c>
      <c r="D209" t="e">
        <f>IF(208&lt;=COUNTIF(Data_Monitoring!$A$2:$A$2920, Dashboard_Visual!$B$4), INDEX(Data_Monitoring!$K$2:$K$2920, MATCH(Dashboard_Visual!$B$4, Data_Monitoring!$A$2:$A$2920, 0) + 208 - 1), NA())</f>
        <v>#N/A</v>
      </c>
      <c r="E209">
        <f>IF(208&lt;=COUNTIF(Data_Monitoring!$A$2:$A$2920, Dashboard_Visual!$B$4), INDEX(Data_Monitoring!$H$2:$H$2920, MATCH(Dashboard_Visual!$B$4, Data_Monitoring!$A$2:$A$2920, 0) + 208 - 1), 0)</f>
        <v>0</v>
      </c>
      <c r="F209">
        <f>IF(208&lt;=COUNTIF(Data_Monitoring!$A$2:$A$2920, Dashboard_Visual!$B$4), INDEX(Data_Monitoring!$O$2:$O$2920, MATCH(Dashboard_Visual!$B$4, Data_Monitoring!$A$2:$A$2920, 0) + 208 - 1), 0)</f>
        <v>0</v>
      </c>
      <c r="G209">
        <f>IF(208&lt;=COUNTIF(Data_Monitoring!$A$2:$A$2920, Dashboard_Visual!$B$4), INDEX(Data_Monitoring!$Q$2:$Q$2920, MATCH(Dashboard_Visual!$B$4, Data_Monitoring!$A$2:$A$2920, 0) + 208 - 1), 0)</f>
        <v>0</v>
      </c>
      <c r="H209" t="str">
        <f>IF(208&lt;=COUNTIF(Data_Monitoring!$A$2:$A$2920, Dashboard_Visual!$B$4), INDEX(Data_Monitoring!$L$2:$L$2920, MATCH(Dashboard_Visual!$B$4, Data_Monitoring!$A$2:$A$2920, 0) + 208 - 1), "")</f>
        <v/>
      </c>
      <c r="I209" t="str">
        <f>IF(AND(208&lt;=$P$2, ISNUMBER(D209), OR(H209="Warning", H209="Overgrade")), TEXT(ABS(D209)/100, "0.00%"), "")</f>
        <v/>
      </c>
      <c r="J209" t="e">
        <f t="shared" si="3"/>
        <v>#N/A</v>
      </c>
      <c r="K209" t="e">
        <f>IF(AND(208&lt;=$P$2, H209="Warning"), C209, NA())</f>
        <v>#N/A</v>
      </c>
      <c r="L209" t="e">
        <f>IF(AND(208&lt;=$P$2, H209="Overgrade"), C209, NA())</f>
        <v>#N/A</v>
      </c>
      <c r="M209">
        <f>IF(208&lt;=COUNTIF(Data_Monitoring!$A$2:$A$2920, Dashboard_Visual!$B$4), INDEX(Data_Monitoring!$S$2:$S$2920, MATCH(Dashboard_Visual!$B$4, Data_Monitoring!$A$2:$A$2920, 0) + 208 - 1), 1)</f>
        <v>1</v>
      </c>
    </row>
    <row r="210" spans="1:13" x14ac:dyDescent="0.25">
      <c r="A210" t="str">
        <f>IF(209&lt;=COUNTIF(Data_Monitoring!$A$2:$A$2920, Dashboard_Visual!$B$4), INDEX(Data_Monitoring!$B$2:$B$2920, MATCH(Dashboard_Visual!$B$4, Data_Monitoring!$A$2:$A$2920, 0) + 209 - 1), "")</f>
        <v/>
      </c>
      <c r="B210" t="str">
        <f>IF(209&lt;=COUNTIF(Data_Monitoring!$A$2:$A$2920, Dashboard_Visual!$B$4), INDEX(Data_Monitoring!$C$2:$C$2920, MATCH(Dashboard_Visual!$B$4, Data_Monitoring!$A$2:$A$2920, 0) + 209 - 1), "")</f>
        <v/>
      </c>
      <c r="C210" t="e">
        <f>IF(209&lt;=COUNTIF(Data_Monitoring!$A$2:$A$2920, Dashboard_Visual!$B$4), INDEX(Data_Monitoring!$J$2:$J$2920, MATCH(Dashboard_Visual!$B$4, Data_Monitoring!$A$2:$A$2920, 0) + 209 - 1), NA())</f>
        <v>#N/A</v>
      </c>
      <c r="D210" t="e">
        <f>IF(209&lt;=COUNTIF(Data_Monitoring!$A$2:$A$2920, Dashboard_Visual!$B$4), INDEX(Data_Monitoring!$K$2:$K$2920, MATCH(Dashboard_Visual!$B$4, Data_Monitoring!$A$2:$A$2920, 0) + 209 - 1), NA())</f>
        <v>#N/A</v>
      </c>
      <c r="E210">
        <f>IF(209&lt;=COUNTIF(Data_Monitoring!$A$2:$A$2920, Dashboard_Visual!$B$4), INDEX(Data_Monitoring!$H$2:$H$2920, MATCH(Dashboard_Visual!$B$4, Data_Monitoring!$A$2:$A$2920, 0) + 209 - 1), 0)</f>
        <v>0</v>
      </c>
      <c r="F210">
        <f>IF(209&lt;=COUNTIF(Data_Monitoring!$A$2:$A$2920, Dashboard_Visual!$B$4), INDEX(Data_Monitoring!$O$2:$O$2920, MATCH(Dashboard_Visual!$B$4, Data_Monitoring!$A$2:$A$2920, 0) + 209 - 1), 0)</f>
        <v>0</v>
      </c>
      <c r="G210">
        <f>IF(209&lt;=COUNTIF(Data_Monitoring!$A$2:$A$2920, Dashboard_Visual!$B$4), INDEX(Data_Monitoring!$Q$2:$Q$2920, MATCH(Dashboard_Visual!$B$4, Data_Monitoring!$A$2:$A$2920, 0) + 209 - 1), 0)</f>
        <v>0</v>
      </c>
      <c r="H210" t="str">
        <f>IF(209&lt;=COUNTIF(Data_Monitoring!$A$2:$A$2920, Dashboard_Visual!$B$4), INDEX(Data_Monitoring!$L$2:$L$2920, MATCH(Dashboard_Visual!$B$4, Data_Monitoring!$A$2:$A$2920, 0) + 209 - 1), "")</f>
        <v/>
      </c>
      <c r="I210" t="str">
        <f>IF(AND(209&lt;=$P$2, ISNUMBER(D210), OR(H210="Warning", H210="Overgrade")), TEXT(ABS(D210)/100, "0.00%"), "")</f>
        <v/>
      </c>
      <c r="J210" t="e">
        <f t="shared" si="3"/>
        <v>#N/A</v>
      </c>
      <c r="K210" t="e">
        <f>IF(AND(209&lt;=$P$2, H210="Warning"), C210, NA())</f>
        <v>#N/A</v>
      </c>
      <c r="L210" t="e">
        <f>IF(AND(209&lt;=$P$2, H210="Overgrade"), C210, NA())</f>
        <v>#N/A</v>
      </c>
      <c r="M210">
        <f>IF(209&lt;=COUNTIF(Data_Monitoring!$A$2:$A$2920, Dashboard_Visual!$B$4), INDEX(Data_Monitoring!$S$2:$S$2920, MATCH(Dashboard_Visual!$B$4, Data_Monitoring!$A$2:$A$2920, 0) + 209 - 1), 1)</f>
        <v>1</v>
      </c>
    </row>
    <row r="211" spans="1:13" x14ac:dyDescent="0.25">
      <c r="A211" t="str">
        <f>IF(210&lt;=COUNTIF(Data_Monitoring!$A$2:$A$2920, Dashboard_Visual!$B$4), INDEX(Data_Monitoring!$B$2:$B$2920, MATCH(Dashboard_Visual!$B$4, Data_Monitoring!$A$2:$A$2920, 0) + 210 - 1), "")</f>
        <v/>
      </c>
      <c r="B211" t="str">
        <f>IF(210&lt;=COUNTIF(Data_Monitoring!$A$2:$A$2920, Dashboard_Visual!$B$4), INDEX(Data_Monitoring!$C$2:$C$2920, MATCH(Dashboard_Visual!$B$4, Data_Monitoring!$A$2:$A$2920, 0) + 210 - 1), "")</f>
        <v/>
      </c>
      <c r="C211" t="e">
        <f>IF(210&lt;=COUNTIF(Data_Monitoring!$A$2:$A$2920, Dashboard_Visual!$B$4), INDEX(Data_Monitoring!$J$2:$J$2920, MATCH(Dashboard_Visual!$B$4, Data_Monitoring!$A$2:$A$2920, 0) + 210 - 1), NA())</f>
        <v>#N/A</v>
      </c>
      <c r="D211" t="e">
        <f>IF(210&lt;=COUNTIF(Data_Monitoring!$A$2:$A$2920, Dashboard_Visual!$B$4), INDEX(Data_Monitoring!$K$2:$K$2920, MATCH(Dashboard_Visual!$B$4, Data_Monitoring!$A$2:$A$2920, 0) + 210 - 1), NA())</f>
        <v>#N/A</v>
      </c>
      <c r="E211">
        <f>IF(210&lt;=COUNTIF(Data_Monitoring!$A$2:$A$2920, Dashboard_Visual!$B$4), INDEX(Data_Monitoring!$H$2:$H$2920, MATCH(Dashboard_Visual!$B$4, Data_Monitoring!$A$2:$A$2920, 0) + 210 - 1), 0)</f>
        <v>0</v>
      </c>
      <c r="F211">
        <f>IF(210&lt;=COUNTIF(Data_Monitoring!$A$2:$A$2920, Dashboard_Visual!$B$4), INDEX(Data_Monitoring!$O$2:$O$2920, MATCH(Dashboard_Visual!$B$4, Data_Monitoring!$A$2:$A$2920, 0) + 210 - 1), 0)</f>
        <v>0</v>
      </c>
      <c r="G211">
        <f>IF(210&lt;=COUNTIF(Data_Monitoring!$A$2:$A$2920, Dashboard_Visual!$B$4), INDEX(Data_Monitoring!$Q$2:$Q$2920, MATCH(Dashboard_Visual!$B$4, Data_Monitoring!$A$2:$A$2920, 0) + 210 - 1), 0)</f>
        <v>0</v>
      </c>
      <c r="H211" t="str">
        <f>IF(210&lt;=COUNTIF(Data_Monitoring!$A$2:$A$2920, Dashboard_Visual!$B$4), INDEX(Data_Monitoring!$L$2:$L$2920, MATCH(Dashboard_Visual!$B$4, Data_Monitoring!$A$2:$A$2920, 0) + 210 - 1), "")</f>
        <v/>
      </c>
      <c r="I211" t="str">
        <f>IF(AND(210&lt;=$P$2, ISNUMBER(D211), OR(H211="Warning", H211="Overgrade")), TEXT(ABS(D211)/100, "0.00%"), "")</f>
        <v/>
      </c>
      <c r="J211" t="e">
        <f t="shared" si="3"/>
        <v>#N/A</v>
      </c>
      <c r="K211" t="e">
        <f>IF(AND(210&lt;=$P$2, H211="Warning"), C211, NA())</f>
        <v>#N/A</v>
      </c>
      <c r="L211" t="e">
        <f>IF(AND(210&lt;=$P$2, H211="Overgrade"), C211, NA())</f>
        <v>#N/A</v>
      </c>
      <c r="M211">
        <f>IF(210&lt;=COUNTIF(Data_Monitoring!$A$2:$A$2920, Dashboard_Visual!$B$4), INDEX(Data_Monitoring!$S$2:$S$2920, MATCH(Dashboard_Visual!$B$4, Data_Monitoring!$A$2:$A$2920, 0) + 210 - 1), 1)</f>
        <v>1</v>
      </c>
    </row>
    <row r="212" spans="1:13" x14ac:dyDescent="0.25">
      <c r="A212" t="str">
        <f>IF(211&lt;=COUNTIF(Data_Monitoring!$A$2:$A$2920, Dashboard_Visual!$B$4), INDEX(Data_Monitoring!$B$2:$B$2920, MATCH(Dashboard_Visual!$B$4, Data_Monitoring!$A$2:$A$2920, 0) + 211 - 1), "")</f>
        <v/>
      </c>
      <c r="B212" t="str">
        <f>IF(211&lt;=COUNTIF(Data_Monitoring!$A$2:$A$2920, Dashboard_Visual!$B$4), INDEX(Data_Monitoring!$C$2:$C$2920, MATCH(Dashboard_Visual!$B$4, Data_Monitoring!$A$2:$A$2920, 0) + 211 - 1), "")</f>
        <v/>
      </c>
      <c r="C212" t="e">
        <f>IF(211&lt;=COUNTIF(Data_Monitoring!$A$2:$A$2920, Dashboard_Visual!$B$4), INDEX(Data_Monitoring!$J$2:$J$2920, MATCH(Dashboard_Visual!$B$4, Data_Monitoring!$A$2:$A$2920, 0) + 211 - 1), NA())</f>
        <v>#N/A</v>
      </c>
      <c r="D212" t="e">
        <f>IF(211&lt;=COUNTIF(Data_Monitoring!$A$2:$A$2920, Dashboard_Visual!$B$4), INDEX(Data_Monitoring!$K$2:$K$2920, MATCH(Dashboard_Visual!$B$4, Data_Monitoring!$A$2:$A$2920, 0) + 211 - 1), NA())</f>
        <v>#N/A</v>
      </c>
      <c r="E212">
        <f>IF(211&lt;=COUNTIF(Data_Monitoring!$A$2:$A$2920, Dashboard_Visual!$B$4), INDEX(Data_Monitoring!$H$2:$H$2920, MATCH(Dashboard_Visual!$B$4, Data_Monitoring!$A$2:$A$2920, 0) + 211 - 1), 0)</f>
        <v>0</v>
      </c>
      <c r="F212">
        <f>IF(211&lt;=COUNTIF(Data_Monitoring!$A$2:$A$2920, Dashboard_Visual!$B$4), INDEX(Data_Monitoring!$O$2:$O$2920, MATCH(Dashboard_Visual!$B$4, Data_Monitoring!$A$2:$A$2920, 0) + 211 - 1), 0)</f>
        <v>0</v>
      </c>
      <c r="G212">
        <f>IF(211&lt;=COUNTIF(Data_Monitoring!$A$2:$A$2920, Dashboard_Visual!$B$4), INDEX(Data_Monitoring!$Q$2:$Q$2920, MATCH(Dashboard_Visual!$B$4, Data_Monitoring!$A$2:$A$2920, 0) + 211 - 1), 0)</f>
        <v>0</v>
      </c>
      <c r="H212" t="str">
        <f>IF(211&lt;=COUNTIF(Data_Monitoring!$A$2:$A$2920, Dashboard_Visual!$B$4), INDEX(Data_Monitoring!$L$2:$L$2920, MATCH(Dashboard_Visual!$B$4, Data_Monitoring!$A$2:$A$2920, 0) + 211 - 1), "")</f>
        <v/>
      </c>
      <c r="I212" t="str">
        <f>IF(AND(211&lt;=$P$2, ISNUMBER(D212), OR(H212="Warning", H212="Overgrade")), TEXT(ABS(D212)/100, "0.00%"), "")</f>
        <v/>
      </c>
      <c r="J212" t="e">
        <f t="shared" si="3"/>
        <v>#N/A</v>
      </c>
      <c r="K212" t="e">
        <f>IF(AND(211&lt;=$P$2, H212="Warning"), C212, NA())</f>
        <v>#N/A</v>
      </c>
      <c r="L212" t="e">
        <f>IF(AND(211&lt;=$P$2, H212="Overgrade"), C212, NA())</f>
        <v>#N/A</v>
      </c>
      <c r="M212">
        <f>IF(211&lt;=COUNTIF(Data_Monitoring!$A$2:$A$2920, Dashboard_Visual!$B$4), INDEX(Data_Monitoring!$S$2:$S$2920, MATCH(Dashboard_Visual!$B$4, Data_Monitoring!$A$2:$A$2920, 0) + 211 - 1), 1)</f>
        <v>1</v>
      </c>
    </row>
    <row r="213" spans="1:13" x14ac:dyDescent="0.25">
      <c r="A213" t="str">
        <f>IF(212&lt;=COUNTIF(Data_Monitoring!$A$2:$A$2920, Dashboard_Visual!$B$4), INDEX(Data_Monitoring!$B$2:$B$2920, MATCH(Dashboard_Visual!$B$4, Data_Monitoring!$A$2:$A$2920, 0) + 212 - 1), "")</f>
        <v/>
      </c>
      <c r="B213" t="str">
        <f>IF(212&lt;=COUNTIF(Data_Monitoring!$A$2:$A$2920, Dashboard_Visual!$B$4), INDEX(Data_Monitoring!$C$2:$C$2920, MATCH(Dashboard_Visual!$B$4, Data_Monitoring!$A$2:$A$2920, 0) + 212 - 1), "")</f>
        <v/>
      </c>
      <c r="C213" t="e">
        <f>IF(212&lt;=COUNTIF(Data_Monitoring!$A$2:$A$2920, Dashboard_Visual!$B$4), INDEX(Data_Monitoring!$J$2:$J$2920, MATCH(Dashboard_Visual!$B$4, Data_Monitoring!$A$2:$A$2920, 0) + 212 - 1), NA())</f>
        <v>#N/A</v>
      </c>
      <c r="D213" t="e">
        <f>IF(212&lt;=COUNTIF(Data_Monitoring!$A$2:$A$2920, Dashboard_Visual!$B$4), INDEX(Data_Monitoring!$K$2:$K$2920, MATCH(Dashboard_Visual!$B$4, Data_Monitoring!$A$2:$A$2920, 0) + 212 - 1), NA())</f>
        <v>#N/A</v>
      </c>
      <c r="E213">
        <f>IF(212&lt;=COUNTIF(Data_Monitoring!$A$2:$A$2920, Dashboard_Visual!$B$4), INDEX(Data_Monitoring!$H$2:$H$2920, MATCH(Dashboard_Visual!$B$4, Data_Monitoring!$A$2:$A$2920, 0) + 212 - 1), 0)</f>
        <v>0</v>
      </c>
      <c r="F213">
        <f>IF(212&lt;=COUNTIF(Data_Monitoring!$A$2:$A$2920, Dashboard_Visual!$B$4), INDEX(Data_Monitoring!$O$2:$O$2920, MATCH(Dashboard_Visual!$B$4, Data_Monitoring!$A$2:$A$2920, 0) + 212 - 1), 0)</f>
        <v>0</v>
      </c>
      <c r="G213">
        <f>IF(212&lt;=COUNTIF(Data_Monitoring!$A$2:$A$2920, Dashboard_Visual!$B$4), INDEX(Data_Monitoring!$Q$2:$Q$2920, MATCH(Dashboard_Visual!$B$4, Data_Monitoring!$A$2:$A$2920, 0) + 212 - 1), 0)</f>
        <v>0</v>
      </c>
      <c r="H213" t="str">
        <f>IF(212&lt;=COUNTIF(Data_Monitoring!$A$2:$A$2920, Dashboard_Visual!$B$4), INDEX(Data_Monitoring!$L$2:$L$2920, MATCH(Dashboard_Visual!$B$4, Data_Monitoring!$A$2:$A$2920, 0) + 212 - 1), "")</f>
        <v/>
      </c>
      <c r="I213" t="str">
        <f>IF(AND(212&lt;=$P$2, ISNUMBER(D213), OR(H213="Warning", H213="Overgrade")), TEXT(ABS(D213)/100, "0.00%"), "")</f>
        <v/>
      </c>
      <c r="J213" t="e">
        <f t="shared" si="3"/>
        <v>#N/A</v>
      </c>
      <c r="K213" t="e">
        <f>IF(AND(212&lt;=$P$2, H213="Warning"), C213, NA())</f>
        <v>#N/A</v>
      </c>
      <c r="L213" t="e">
        <f>IF(AND(212&lt;=$P$2, H213="Overgrade"), C213, NA())</f>
        <v>#N/A</v>
      </c>
      <c r="M213">
        <f>IF(212&lt;=COUNTIF(Data_Monitoring!$A$2:$A$2920, Dashboard_Visual!$B$4), INDEX(Data_Monitoring!$S$2:$S$2920, MATCH(Dashboard_Visual!$B$4, Data_Monitoring!$A$2:$A$2920, 0) + 212 - 1), 1)</f>
        <v>1</v>
      </c>
    </row>
    <row r="214" spans="1:13" x14ac:dyDescent="0.25">
      <c r="A214" t="str">
        <f>IF(213&lt;=COUNTIF(Data_Monitoring!$A$2:$A$2920, Dashboard_Visual!$B$4), INDEX(Data_Monitoring!$B$2:$B$2920, MATCH(Dashboard_Visual!$B$4, Data_Monitoring!$A$2:$A$2920, 0) + 213 - 1), "")</f>
        <v/>
      </c>
      <c r="B214" t="str">
        <f>IF(213&lt;=COUNTIF(Data_Monitoring!$A$2:$A$2920, Dashboard_Visual!$B$4), INDEX(Data_Monitoring!$C$2:$C$2920, MATCH(Dashboard_Visual!$B$4, Data_Monitoring!$A$2:$A$2920, 0) + 213 - 1), "")</f>
        <v/>
      </c>
      <c r="C214" t="e">
        <f>IF(213&lt;=COUNTIF(Data_Monitoring!$A$2:$A$2920, Dashboard_Visual!$B$4), INDEX(Data_Monitoring!$J$2:$J$2920, MATCH(Dashboard_Visual!$B$4, Data_Monitoring!$A$2:$A$2920, 0) + 213 - 1), NA())</f>
        <v>#N/A</v>
      </c>
      <c r="D214" t="e">
        <f>IF(213&lt;=COUNTIF(Data_Monitoring!$A$2:$A$2920, Dashboard_Visual!$B$4), INDEX(Data_Monitoring!$K$2:$K$2920, MATCH(Dashboard_Visual!$B$4, Data_Monitoring!$A$2:$A$2920, 0) + 213 - 1), NA())</f>
        <v>#N/A</v>
      </c>
      <c r="E214">
        <f>IF(213&lt;=COUNTIF(Data_Monitoring!$A$2:$A$2920, Dashboard_Visual!$B$4), INDEX(Data_Monitoring!$H$2:$H$2920, MATCH(Dashboard_Visual!$B$4, Data_Monitoring!$A$2:$A$2920, 0) + 213 - 1), 0)</f>
        <v>0</v>
      </c>
      <c r="F214">
        <f>IF(213&lt;=COUNTIF(Data_Monitoring!$A$2:$A$2920, Dashboard_Visual!$B$4), INDEX(Data_Monitoring!$O$2:$O$2920, MATCH(Dashboard_Visual!$B$4, Data_Monitoring!$A$2:$A$2920, 0) + 213 - 1), 0)</f>
        <v>0</v>
      </c>
      <c r="G214">
        <f>IF(213&lt;=COUNTIF(Data_Monitoring!$A$2:$A$2920, Dashboard_Visual!$B$4), INDEX(Data_Monitoring!$Q$2:$Q$2920, MATCH(Dashboard_Visual!$B$4, Data_Monitoring!$A$2:$A$2920, 0) + 213 - 1), 0)</f>
        <v>0</v>
      </c>
      <c r="H214" t="str">
        <f>IF(213&lt;=COUNTIF(Data_Monitoring!$A$2:$A$2920, Dashboard_Visual!$B$4), INDEX(Data_Monitoring!$L$2:$L$2920, MATCH(Dashboard_Visual!$B$4, Data_Monitoring!$A$2:$A$2920, 0) + 213 - 1), "")</f>
        <v/>
      </c>
      <c r="I214" t="str">
        <f>IF(AND(213&lt;=$P$2, ISNUMBER(D214), OR(H214="Warning", H214="Overgrade")), TEXT(ABS(D214)/100, "0.00%"), "")</f>
        <v/>
      </c>
      <c r="J214" t="e">
        <f t="shared" si="3"/>
        <v>#N/A</v>
      </c>
      <c r="K214" t="e">
        <f>IF(AND(213&lt;=$P$2, H214="Warning"), C214, NA())</f>
        <v>#N/A</v>
      </c>
      <c r="L214" t="e">
        <f>IF(AND(213&lt;=$P$2, H214="Overgrade"), C214, NA())</f>
        <v>#N/A</v>
      </c>
      <c r="M214">
        <f>IF(213&lt;=COUNTIF(Data_Monitoring!$A$2:$A$2920, Dashboard_Visual!$B$4), INDEX(Data_Monitoring!$S$2:$S$2920, MATCH(Dashboard_Visual!$B$4, Data_Monitoring!$A$2:$A$2920, 0) + 213 - 1), 1)</f>
        <v>1</v>
      </c>
    </row>
    <row r="215" spans="1:13" x14ac:dyDescent="0.25">
      <c r="A215" t="str">
        <f>IF(214&lt;=COUNTIF(Data_Monitoring!$A$2:$A$2920, Dashboard_Visual!$B$4), INDEX(Data_Monitoring!$B$2:$B$2920, MATCH(Dashboard_Visual!$B$4, Data_Monitoring!$A$2:$A$2920, 0) + 214 - 1), "")</f>
        <v/>
      </c>
      <c r="B215" t="str">
        <f>IF(214&lt;=COUNTIF(Data_Monitoring!$A$2:$A$2920, Dashboard_Visual!$B$4), INDEX(Data_Monitoring!$C$2:$C$2920, MATCH(Dashboard_Visual!$B$4, Data_Monitoring!$A$2:$A$2920, 0) + 214 - 1), "")</f>
        <v/>
      </c>
      <c r="C215" t="e">
        <f>IF(214&lt;=COUNTIF(Data_Monitoring!$A$2:$A$2920, Dashboard_Visual!$B$4), INDEX(Data_Monitoring!$J$2:$J$2920, MATCH(Dashboard_Visual!$B$4, Data_Monitoring!$A$2:$A$2920, 0) + 214 - 1), NA())</f>
        <v>#N/A</v>
      </c>
      <c r="D215" t="e">
        <f>IF(214&lt;=COUNTIF(Data_Monitoring!$A$2:$A$2920, Dashboard_Visual!$B$4), INDEX(Data_Monitoring!$K$2:$K$2920, MATCH(Dashboard_Visual!$B$4, Data_Monitoring!$A$2:$A$2920, 0) + 214 - 1), NA())</f>
        <v>#N/A</v>
      </c>
      <c r="E215">
        <f>IF(214&lt;=COUNTIF(Data_Monitoring!$A$2:$A$2920, Dashboard_Visual!$B$4), INDEX(Data_Monitoring!$H$2:$H$2920, MATCH(Dashboard_Visual!$B$4, Data_Monitoring!$A$2:$A$2920, 0) + 214 - 1), 0)</f>
        <v>0</v>
      </c>
      <c r="F215">
        <f>IF(214&lt;=COUNTIF(Data_Monitoring!$A$2:$A$2920, Dashboard_Visual!$B$4), INDEX(Data_Monitoring!$O$2:$O$2920, MATCH(Dashboard_Visual!$B$4, Data_Monitoring!$A$2:$A$2920, 0) + 214 - 1), 0)</f>
        <v>0</v>
      </c>
      <c r="G215">
        <f>IF(214&lt;=COUNTIF(Data_Monitoring!$A$2:$A$2920, Dashboard_Visual!$B$4), INDEX(Data_Monitoring!$Q$2:$Q$2920, MATCH(Dashboard_Visual!$B$4, Data_Monitoring!$A$2:$A$2920, 0) + 214 - 1), 0)</f>
        <v>0</v>
      </c>
      <c r="H215" t="str">
        <f>IF(214&lt;=COUNTIF(Data_Monitoring!$A$2:$A$2920, Dashboard_Visual!$B$4), INDEX(Data_Monitoring!$L$2:$L$2920, MATCH(Dashboard_Visual!$B$4, Data_Monitoring!$A$2:$A$2920, 0) + 214 - 1), "")</f>
        <v/>
      </c>
      <c r="I215" t="str">
        <f>IF(AND(214&lt;=$P$2, ISNUMBER(D215), OR(H215="Warning", H215="Overgrade")), TEXT(ABS(D215)/100, "0.00%"), "")</f>
        <v/>
      </c>
      <c r="J215" t="e">
        <f t="shared" si="3"/>
        <v>#N/A</v>
      </c>
      <c r="K215" t="e">
        <f>IF(AND(214&lt;=$P$2, H215="Warning"), C215, NA())</f>
        <v>#N/A</v>
      </c>
      <c r="L215" t="e">
        <f>IF(AND(214&lt;=$P$2, H215="Overgrade"), C215, NA())</f>
        <v>#N/A</v>
      </c>
      <c r="M215">
        <f>IF(214&lt;=COUNTIF(Data_Monitoring!$A$2:$A$2920, Dashboard_Visual!$B$4), INDEX(Data_Monitoring!$S$2:$S$2920, MATCH(Dashboard_Visual!$B$4, Data_Monitoring!$A$2:$A$2920, 0) + 214 - 1), 1)</f>
        <v>1</v>
      </c>
    </row>
    <row r="216" spans="1:13" x14ac:dyDescent="0.25">
      <c r="A216" t="str">
        <f>IF(215&lt;=COUNTIF(Data_Monitoring!$A$2:$A$2920, Dashboard_Visual!$B$4), INDEX(Data_Monitoring!$B$2:$B$2920, MATCH(Dashboard_Visual!$B$4, Data_Monitoring!$A$2:$A$2920, 0) + 215 - 1), "")</f>
        <v/>
      </c>
      <c r="B216" t="str">
        <f>IF(215&lt;=COUNTIF(Data_Monitoring!$A$2:$A$2920, Dashboard_Visual!$B$4), INDEX(Data_Monitoring!$C$2:$C$2920, MATCH(Dashboard_Visual!$B$4, Data_Monitoring!$A$2:$A$2920, 0) + 215 - 1), "")</f>
        <v/>
      </c>
      <c r="C216" t="e">
        <f>IF(215&lt;=COUNTIF(Data_Monitoring!$A$2:$A$2920, Dashboard_Visual!$B$4), INDEX(Data_Monitoring!$J$2:$J$2920, MATCH(Dashboard_Visual!$B$4, Data_Monitoring!$A$2:$A$2920, 0) + 215 - 1), NA())</f>
        <v>#N/A</v>
      </c>
      <c r="D216" t="e">
        <f>IF(215&lt;=COUNTIF(Data_Monitoring!$A$2:$A$2920, Dashboard_Visual!$B$4), INDEX(Data_Monitoring!$K$2:$K$2920, MATCH(Dashboard_Visual!$B$4, Data_Monitoring!$A$2:$A$2920, 0) + 215 - 1), NA())</f>
        <v>#N/A</v>
      </c>
      <c r="E216">
        <f>IF(215&lt;=COUNTIF(Data_Monitoring!$A$2:$A$2920, Dashboard_Visual!$B$4), INDEX(Data_Monitoring!$H$2:$H$2920, MATCH(Dashboard_Visual!$B$4, Data_Monitoring!$A$2:$A$2920, 0) + 215 - 1), 0)</f>
        <v>0</v>
      </c>
      <c r="F216">
        <f>IF(215&lt;=COUNTIF(Data_Monitoring!$A$2:$A$2920, Dashboard_Visual!$B$4), INDEX(Data_Monitoring!$O$2:$O$2920, MATCH(Dashboard_Visual!$B$4, Data_Monitoring!$A$2:$A$2920, 0) + 215 - 1), 0)</f>
        <v>0</v>
      </c>
      <c r="G216">
        <f>IF(215&lt;=COUNTIF(Data_Monitoring!$A$2:$A$2920, Dashboard_Visual!$B$4), INDEX(Data_Monitoring!$Q$2:$Q$2920, MATCH(Dashboard_Visual!$B$4, Data_Monitoring!$A$2:$A$2920, 0) + 215 - 1), 0)</f>
        <v>0</v>
      </c>
      <c r="H216" t="str">
        <f>IF(215&lt;=COUNTIF(Data_Monitoring!$A$2:$A$2920, Dashboard_Visual!$B$4), INDEX(Data_Monitoring!$L$2:$L$2920, MATCH(Dashboard_Visual!$B$4, Data_Monitoring!$A$2:$A$2920, 0) + 215 - 1), "")</f>
        <v/>
      </c>
      <c r="I216" t="str">
        <f>IF(AND(215&lt;=$P$2, ISNUMBER(D216), OR(H216="Warning", H216="Overgrade")), TEXT(ABS(D216)/100, "0.00%"), "")</f>
        <v/>
      </c>
      <c r="J216" t="e">
        <f t="shared" si="3"/>
        <v>#N/A</v>
      </c>
      <c r="K216" t="e">
        <f>IF(AND(215&lt;=$P$2, H216="Warning"), C216, NA())</f>
        <v>#N/A</v>
      </c>
      <c r="L216" t="e">
        <f>IF(AND(215&lt;=$P$2, H216="Overgrade"), C216, NA())</f>
        <v>#N/A</v>
      </c>
      <c r="M216">
        <f>IF(215&lt;=COUNTIF(Data_Monitoring!$A$2:$A$2920, Dashboard_Visual!$B$4), INDEX(Data_Monitoring!$S$2:$S$2920, MATCH(Dashboard_Visual!$B$4, Data_Monitoring!$A$2:$A$2920, 0) + 215 - 1), 1)</f>
        <v>1</v>
      </c>
    </row>
    <row r="217" spans="1:13" x14ac:dyDescent="0.25">
      <c r="A217" t="str">
        <f>IF(216&lt;=COUNTIF(Data_Monitoring!$A$2:$A$2920, Dashboard_Visual!$B$4), INDEX(Data_Monitoring!$B$2:$B$2920, MATCH(Dashboard_Visual!$B$4, Data_Monitoring!$A$2:$A$2920, 0) + 216 - 1), "")</f>
        <v/>
      </c>
      <c r="B217" t="str">
        <f>IF(216&lt;=COUNTIF(Data_Monitoring!$A$2:$A$2920, Dashboard_Visual!$B$4), INDEX(Data_Monitoring!$C$2:$C$2920, MATCH(Dashboard_Visual!$B$4, Data_Monitoring!$A$2:$A$2920, 0) + 216 - 1), "")</f>
        <v/>
      </c>
      <c r="C217" t="e">
        <f>IF(216&lt;=COUNTIF(Data_Monitoring!$A$2:$A$2920, Dashboard_Visual!$B$4), INDEX(Data_Monitoring!$J$2:$J$2920, MATCH(Dashboard_Visual!$B$4, Data_Monitoring!$A$2:$A$2920, 0) + 216 - 1), NA())</f>
        <v>#N/A</v>
      </c>
      <c r="D217" t="e">
        <f>IF(216&lt;=COUNTIF(Data_Monitoring!$A$2:$A$2920, Dashboard_Visual!$B$4), INDEX(Data_Monitoring!$K$2:$K$2920, MATCH(Dashboard_Visual!$B$4, Data_Monitoring!$A$2:$A$2920, 0) + 216 - 1), NA())</f>
        <v>#N/A</v>
      </c>
      <c r="E217">
        <f>IF(216&lt;=COUNTIF(Data_Monitoring!$A$2:$A$2920, Dashboard_Visual!$B$4), INDEX(Data_Monitoring!$H$2:$H$2920, MATCH(Dashboard_Visual!$B$4, Data_Monitoring!$A$2:$A$2920, 0) + 216 - 1), 0)</f>
        <v>0</v>
      </c>
      <c r="F217">
        <f>IF(216&lt;=COUNTIF(Data_Monitoring!$A$2:$A$2920, Dashboard_Visual!$B$4), INDEX(Data_Monitoring!$O$2:$O$2920, MATCH(Dashboard_Visual!$B$4, Data_Monitoring!$A$2:$A$2920, 0) + 216 - 1), 0)</f>
        <v>0</v>
      </c>
      <c r="G217">
        <f>IF(216&lt;=COUNTIF(Data_Monitoring!$A$2:$A$2920, Dashboard_Visual!$B$4), INDEX(Data_Monitoring!$Q$2:$Q$2920, MATCH(Dashboard_Visual!$B$4, Data_Monitoring!$A$2:$A$2920, 0) + 216 - 1), 0)</f>
        <v>0</v>
      </c>
      <c r="H217" t="str">
        <f>IF(216&lt;=COUNTIF(Data_Monitoring!$A$2:$A$2920, Dashboard_Visual!$B$4), INDEX(Data_Monitoring!$L$2:$L$2920, MATCH(Dashboard_Visual!$B$4, Data_Monitoring!$A$2:$A$2920, 0) + 216 - 1), "")</f>
        <v/>
      </c>
      <c r="I217" t="str">
        <f>IF(AND(216&lt;=$P$2, ISNUMBER(D217), OR(H217="Warning", H217="Overgrade")), TEXT(ABS(D217)/100, "0.00%"), "")</f>
        <v/>
      </c>
      <c r="J217" t="e">
        <f t="shared" si="3"/>
        <v>#N/A</v>
      </c>
      <c r="K217" t="e">
        <f>IF(AND(216&lt;=$P$2, H217="Warning"), C217, NA())</f>
        <v>#N/A</v>
      </c>
      <c r="L217" t="e">
        <f>IF(AND(216&lt;=$P$2, H217="Overgrade"), C217, NA())</f>
        <v>#N/A</v>
      </c>
      <c r="M217">
        <f>IF(216&lt;=COUNTIF(Data_Monitoring!$A$2:$A$2920, Dashboard_Visual!$B$4), INDEX(Data_Monitoring!$S$2:$S$2920, MATCH(Dashboard_Visual!$B$4, Data_Monitoring!$A$2:$A$2920, 0) + 216 - 1), 1)</f>
        <v>1</v>
      </c>
    </row>
    <row r="218" spans="1:13" x14ac:dyDescent="0.25">
      <c r="A218" t="str">
        <f>IF(217&lt;=COUNTIF(Data_Monitoring!$A$2:$A$2920, Dashboard_Visual!$B$4), INDEX(Data_Monitoring!$B$2:$B$2920, MATCH(Dashboard_Visual!$B$4, Data_Monitoring!$A$2:$A$2920, 0) + 217 - 1), "")</f>
        <v/>
      </c>
      <c r="B218" t="str">
        <f>IF(217&lt;=COUNTIF(Data_Monitoring!$A$2:$A$2920, Dashboard_Visual!$B$4), INDEX(Data_Monitoring!$C$2:$C$2920, MATCH(Dashboard_Visual!$B$4, Data_Monitoring!$A$2:$A$2920, 0) + 217 - 1), "")</f>
        <v/>
      </c>
      <c r="C218" t="e">
        <f>IF(217&lt;=COUNTIF(Data_Monitoring!$A$2:$A$2920, Dashboard_Visual!$B$4), INDEX(Data_Monitoring!$J$2:$J$2920, MATCH(Dashboard_Visual!$B$4, Data_Monitoring!$A$2:$A$2920, 0) + 217 - 1), NA())</f>
        <v>#N/A</v>
      </c>
      <c r="D218" t="e">
        <f>IF(217&lt;=COUNTIF(Data_Monitoring!$A$2:$A$2920, Dashboard_Visual!$B$4), INDEX(Data_Monitoring!$K$2:$K$2920, MATCH(Dashboard_Visual!$B$4, Data_Monitoring!$A$2:$A$2920, 0) + 217 - 1), NA())</f>
        <v>#N/A</v>
      </c>
      <c r="E218">
        <f>IF(217&lt;=COUNTIF(Data_Monitoring!$A$2:$A$2920, Dashboard_Visual!$B$4), INDEX(Data_Monitoring!$H$2:$H$2920, MATCH(Dashboard_Visual!$B$4, Data_Monitoring!$A$2:$A$2920, 0) + 217 - 1), 0)</f>
        <v>0</v>
      </c>
      <c r="F218">
        <f>IF(217&lt;=COUNTIF(Data_Monitoring!$A$2:$A$2920, Dashboard_Visual!$B$4), INDEX(Data_Monitoring!$O$2:$O$2920, MATCH(Dashboard_Visual!$B$4, Data_Monitoring!$A$2:$A$2920, 0) + 217 - 1), 0)</f>
        <v>0</v>
      </c>
      <c r="G218">
        <f>IF(217&lt;=COUNTIF(Data_Monitoring!$A$2:$A$2920, Dashboard_Visual!$B$4), INDEX(Data_Monitoring!$Q$2:$Q$2920, MATCH(Dashboard_Visual!$B$4, Data_Monitoring!$A$2:$A$2920, 0) + 217 - 1), 0)</f>
        <v>0</v>
      </c>
      <c r="H218" t="str">
        <f>IF(217&lt;=COUNTIF(Data_Monitoring!$A$2:$A$2920, Dashboard_Visual!$B$4), INDEX(Data_Monitoring!$L$2:$L$2920, MATCH(Dashboard_Visual!$B$4, Data_Monitoring!$A$2:$A$2920, 0) + 217 - 1), "")</f>
        <v/>
      </c>
      <c r="I218" t="str">
        <f>IF(AND(217&lt;=$P$2, ISNUMBER(D218), OR(H218="Warning", H218="Overgrade")), TEXT(ABS(D218)/100, "0.00%"), "")</f>
        <v/>
      </c>
      <c r="J218" t="e">
        <f t="shared" si="3"/>
        <v>#N/A</v>
      </c>
      <c r="K218" t="e">
        <f>IF(AND(217&lt;=$P$2, H218="Warning"), C218, NA())</f>
        <v>#N/A</v>
      </c>
      <c r="L218" t="e">
        <f>IF(AND(217&lt;=$P$2, H218="Overgrade"), C218, NA())</f>
        <v>#N/A</v>
      </c>
      <c r="M218">
        <f>IF(217&lt;=COUNTIF(Data_Monitoring!$A$2:$A$2920, Dashboard_Visual!$B$4), INDEX(Data_Monitoring!$S$2:$S$2920, MATCH(Dashboard_Visual!$B$4, Data_Monitoring!$A$2:$A$2920, 0) + 217 - 1), 1)</f>
        <v>1</v>
      </c>
    </row>
    <row r="219" spans="1:13" x14ac:dyDescent="0.25">
      <c r="A219" t="str">
        <f>IF(218&lt;=COUNTIF(Data_Monitoring!$A$2:$A$2920, Dashboard_Visual!$B$4), INDEX(Data_Monitoring!$B$2:$B$2920, MATCH(Dashboard_Visual!$B$4, Data_Monitoring!$A$2:$A$2920, 0) + 218 - 1), "")</f>
        <v/>
      </c>
      <c r="B219" t="str">
        <f>IF(218&lt;=COUNTIF(Data_Monitoring!$A$2:$A$2920, Dashboard_Visual!$B$4), INDEX(Data_Monitoring!$C$2:$C$2920, MATCH(Dashboard_Visual!$B$4, Data_Monitoring!$A$2:$A$2920, 0) + 218 - 1), "")</f>
        <v/>
      </c>
      <c r="C219" t="e">
        <f>IF(218&lt;=COUNTIF(Data_Monitoring!$A$2:$A$2920, Dashboard_Visual!$B$4), INDEX(Data_Monitoring!$J$2:$J$2920, MATCH(Dashboard_Visual!$B$4, Data_Monitoring!$A$2:$A$2920, 0) + 218 - 1), NA())</f>
        <v>#N/A</v>
      </c>
      <c r="D219" t="e">
        <f>IF(218&lt;=COUNTIF(Data_Monitoring!$A$2:$A$2920, Dashboard_Visual!$B$4), INDEX(Data_Monitoring!$K$2:$K$2920, MATCH(Dashboard_Visual!$B$4, Data_Monitoring!$A$2:$A$2920, 0) + 218 - 1), NA())</f>
        <v>#N/A</v>
      </c>
      <c r="E219">
        <f>IF(218&lt;=COUNTIF(Data_Monitoring!$A$2:$A$2920, Dashboard_Visual!$B$4), INDEX(Data_Monitoring!$H$2:$H$2920, MATCH(Dashboard_Visual!$B$4, Data_Monitoring!$A$2:$A$2920, 0) + 218 - 1), 0)</f>
        <v>0</v>
      </c>
      <c r="F219">
        <f>IF(218&lt;=COUNTIF(Data_Monitoring!$A$2:$A$2920, Dashboard_Visual!$B$4), INDEX(Data_Monitoring!$O$2:$O$2920, MATCH(Dashboard_Visual!$B$4, Data_Monitoring!$A$2:$A$2920, 0) + 218 - 1), 0)</f>
        <v>0</v>
      </c>
      <c r="G219">
        <f>IF(218&lt;=COUNTIF(Data_Monitoring!$A$2:$A$2920, Dashboard_Visual!$B$4), INDEX(Data_Monitoring!$Q$2:$Q$2920, MATCH(Dashboard_Visual!$B$4, Data_Monitoring!$A$2:$A$2920, 0) + 218 - 1), 0)</f>
        <v>0</v>
      </c>
      <c r="H219" t="str">
        <f>IF(218&lt;=COUNTIF(Data_Monitoring!$A$2:$A$2920, Dashboard_Visual!$B$4), INDEX(Data_Monitoring!$L$2:$L$2920, MATCH(Dashboard_Visual!$B$4, Data_Monitoring!$A$2:$A$2920, 0) + 218 - 1), "")</f>
        <v/>
      </c>
      <c r="I219" t="str">
        <f>IF(AND(218&lt;=$P$2, ISNUMBER(D219), OR(H219="Warning", H219="Overgrade")), TEXT(ABS(D219)/100, "0.00%"), "")</f>
        <v/>
      </c>
      <c r="J219" t="e">
        <f t="shared" si="3"/>
        <v>#N/A</v>
      </c>
      <c r="K219" t="e">
        <f>IF(AND(218&lt;=$P$2, H219="Warning"), C219, NA())</f>
        <v>#N/A</v>
      </c>
      <c r="L219" t="e">
        <f>IF(AND(218&lt;=$P$2, H219="Overgrade"), C219, NA())</f>
        <v>#N/A</v>
      </c>
      <c r="M219">
        <f>IF(218&lt;=COUNTIF(Data_Monitoring!$A$2:$A$2920, Dashboard_Visual!$B$4), INDEX(Data_Monitoring!$S$2:$S$2920, MATCH(Dashboard_Visual!$B$4, Data_Monitoring!$A$2:$A$2920, 0) + 218 - 1), 1)</f>
        <v>1</v>
      </c>
    </row>
    <row r="220" spans="1:13" x14ac:dyDescent="0.25">
      <c r="A220" t="str">
        <f>IF(219&lt;=COUNTIF(Data_Monitoring!$A$2:$A$2920, Dashboard_Visual!$B$4), INDEX(Data_Monitoring!$B$2:$B$2920, MATCH(Dashboard_Visual!$B$4, Data_Monitoring!$A$2:$A$2920, 0) + 219 - 1), "")</f>
        <v/>
      </c>
      <c r="B220" t="str">
        <f>IF(219&lt;=COUNTIF(Data_Monitoring!$A$2:$A$2920, Dashboard_Visual!$B$4), INDEX(Data_Monitoring!$C$2:$C$2920, MATCH(Dashboard_Visual!$B$4, Data_Monitoring!$A$2:$A$2920, 0) + 219 - 1), "")</f>
        <v/>
      </c>
      <c r="C220" t="e">
        <f>IF(219&lt;=COUNTIF(Data_Monitoring!$A$2:$A$2920, Dashboard_Visual!$B$4), INDEX(Data_Monitoring!$J$2:$J$2920, MATCH(Dashboard_Visual!$B$4, Data_Monitoring!$A$2:$A$2920, 0) + 219 - 1), NA())</f>
        <v>#N/A</v>
      </c>
      <c r="D220" t="e">
        <f>IF(219&lt;=COUNTIF(Data_Monitoring!$A$2:$A$2920, Dashboard_Visual!$B$4), INDEX(Data_Monitoring!$K$2:$K$2920, MATCH(Dashboard_Visual!$B$4, Data_Monitoring!$A$2:$A$2920, 0) + 219 - 1), NA())</f>
        <v>#N/A</v>
      </c>
      <c r="E220">
        <f>IF(219&lt;=COUNTIF(Data_Monitoring!$A$2:$A$2920, Dashboard_Visual!$B$4), INDEX(Data_Monitoring!$H$2:$H$2920, MATCH(Dashboard_Visual!$B$4, Data_Monitoring!$A$2:$A$2920, 0) + 219 - 1), 0)</f>
        <v>0</v>
      </c>
      <c r="F220">
        <f>IF(219&lt;=COUNTIF(Data_Monitoring!$A$2:$A$2920, Dashboard_Visual!$B$4), INDEX(Data_Monitoring!$O$2:$O$2920, MATCH(Dashboard_Visual!$B$4, Data_Monitoring!$A$2:$A$2920, 0) + 219 - 1), 0)</f>
        <v>0</v>
      </c>
      <c r="G220">
        <f>IF(219&lt;=COUNTIF(Data_Monitoring!$A$2:$A$2920, Dashboard_Visual!$B$4), INDEX(Data_Monitoring!$Q$2:$Q$2920, MATCH(Dashboard_Visual!$B$4, Data_Monitoring!$A$2:$A$2920, 0) + 219 - 1), 0)</f>
        <v>0</v>
      </c>
      <c r="H220" t="str">
        <f>IF(219&lt;=COUNTIF(Data_Monitoring!$A$2:$A$2920, Dashboard_Visual!$B$4), INDEX(Data_Monitoring!$L$2:$L$2920, MATCH(Dashboard_Visual!$B$4, Data_Monitoring!$A$2:$A$2920, 0) + 219 - 1), "")</f>
        <v/>
      </c>
      <c r="I220" t="str">
        <f>IF(AND(219&lt;=$P$2, ISNUMBER(D220), OR(H220="Warning", H220="Overgrade")), TEXT(ABS(D220)/100, "0.00%"), "")</f>
        <v/>
      </c>
      <c r="J220" t="e">
        <f t="shared" si="3"/>
        <v>#N/A</v>
      </c>
      <c r="K220" t="e">
        <f>IF(AND(219&lt;=$P$2, H220="Warning"), C220, NA())</f>
        <v>#N/A</v>
      </c>
      <c r="L220" t="e">
        <f>IF(AND(219&lt;=$P$2, H220="Overgrade"), C220, NA())</f>
        <v>#N/A</v>
      </c>
      <c r="M220">
        <f>IF(219&lt;=COUNTIF(Data_Monitoring!$A$2:$A$2920, Dashboard_Visual!$B$4), INDEX(Data_Monitoring!$S$2:$S$2920, MATCH(Dashboard_Visual!$B$4, Data_Monitoring!$A$2:$A$2920, 0) + 219 - 1), 1)</f>
        <v>1</v>
      </c>
    </row>
    <row r="221" spans="1:13" x14ac:dyDescent="0.25">
      <c r="A221" t="str">
        <f>IF(220&lt;=COUNTIF(Data_Monitoring!$A$2:$A$2920, Dashboard_Visual!$B$4), INDEX(Data_Monitoring!$B$2:$B$2920, MATCH(Dashboard_Visual!$B$4, Data_Monitoring!$A$2:$A$2920, 0) + 220 - 1), "")</f>
        <v/>
      </c>
      <c r="B221" t="str">
        <f>IF(220&lt;=COUNTIF(Data_Monitoring!$A$2:$A$2920, Dashboard_Visual!$B$4), INDEX(Data_Monitoring!$C$2:$C$2920, MATCH(Dashboard_Visual!$B$4, Data_Monitoring!$A$2:$A$2920, 0) + 220 - 1), "")</f>
        <v/>
      </c>
      <c r="C221" t="e">
        <f>IF(220&lt;=COUNTIF(Data_Monitoring!$A$2:$A$2920, Dashboard_Visual!$B$4), INDEX(Data_Monitoring!$J$2:$J$2920, MATCH(Dashboard_Visual!$B$4, Data_Monitoring!$A$2:$A$2920, 0) + 220 - 1), NA())</f>
        <v>#N/A</v>
      </c>
      <c r="D221" t="e">
        <f>IF(220&lt;=COUNTIF(Data_Monitoring!$A$2:$A$2920, Dashboard_Visual!$B$4), INDEX(Data_Monitoring!$K$2:$K$2920, MATCH(Dashboard_Visual!$B$4, Data_Monitoring!$A$2:$A$2920, 0) + 220 - 1), NA())</f>
        <v>#N/A</v>
      </c>
      <c r="E221">
        <f>IF(220&lt;=COUNTIF(Data_Monitoring!$A$2:$A$2920, Dashboard_Visual!$B$4), INDEX(Data_Monitoring!$H$2:$H$2920, MATCH(Dashboard_Visual!$B$4, Data_Monitoring!$A$2:$A$2920, 0) + 220 - 1), 0)</f>
        <v>0</v>
      </c>
      <c r="F221">
        <f>IF(220&lt;=COUNTIF(Data_Monitoring!$A$2:$A$2920, Dashboard_Visual!$B$4), INDEX(Data_Monitoring!$O$2:$O$2920, MATCH(Dashboard_Visual!$B$4, Data_Monitoring!$A$2:$A$2920, 0) + 220 - 1), 0)</f>
        <v>0</v>
      </c>
      <c r="G221">
        <f>IF(220&lt;=COUNTIF(Data_Monitoring!$A$2:$A$2920, Dashboard_Visual!$B$4), INDEX(Data_Monitoring!$Q$2:$Q$2920, MATCH(Dashboard_Visual!$B$4, Data_Monitoring!$A$2:$A$2920, 0) + 220 - 1), 0)</f>
        <v>0</v>
      </c>
      <c r="H221" t="str">
        <f>IF(220&lt;=COUNTIF(Data_Monitoring!$A$2:$A$2920, Dashboard_Visual!$B$4), INDEX(Data_Monitoring!$L$2:$L$2920, MATCH(Dashboard_Visual!$B$4, Data_Monitoring!$A$2:$A$2920, 0) + 220 - 1), "")</f>
        <v/>
      </c>
      <c r="I221" t="str">
        <f>IF(AND(220&lt;=$P$2, ISNUMBER(D221), OR(H221="Warning", H221="Overgrade")), TEXT(ABS(D221)/100, "0.00%"), "")</f>
        <v/>
      </c>
      <c r="J221" t="e">
        <f t="shared" si="3"/>
        <v>#N/A</v>
      </c>
      <c r="K221" t="e">
        <f>IF(AND(220&lt;=$P$2, H221="Warning"), C221, NA())</f>
        <v>#N/A</v>
      </c>
      <c r="L221" t="e">
        <f>IF(AND(220&lt;=$P$2, H221="Overgrade"), C221, NA())</f>
        <v>#N/A</v>
      </c>
      <c r="M221">
        <f>IF(220&lt;=COUNTIF(Data_Monitoring!$A$2:$A$2920, Dashboard_Visual!$B$4), INDEX(Data_Monitoring!$S$2:$S$2920, MATCH(Dashboard_Visual!$B$4, Data_Monitoring!$A$2:$A$2920, 0) + 220 - 1), 1)</f>
        <v>1</v>
      </c>
    </row>
    <row r="222" spans="1:13" x14ac:dyDescent="0.25">
      <c r="A222" t="str">
        <f>IF(221&lt;=COUNTIF(Data_Monitoring!$A$2:$A$2920, Dashboard_Visual!$B$4), INDEX(Data_Monitoring!$B$2:$B$2920, MATCH(Dashboard_Visual!$B$4, Data_Monitoring!$A$2:$A$2920, 0) + 221 - 1), "")</f>
        <v/>
      </c>
      <c r="B222" t="str">
        <f>IF(221&lt;=COUNTIF(Data_Monitoring!$A$2:$A$2920, Dashboard_Visual!$B$4), INDEX(Data_Monitoring!$C$2:$C$2920, MATCH(Dashboard_Visual!$B$4, Data_Monitoring!$A$2:$A$2920, 0) + 221 - 1), "")</f>
        <v/>
      </c>
      <c r="C222" t="e">
        <f>IF(221&lt;=COUNTIF(Data_Monitoring!$A$2:$A$2920, Dashboard_Visual!$B$4), INDEX(Data_Monitoring!$J$2:$J$2920, MATCH(Dashboard_Visual!$B$4, Data_Monitoring!$A$2:$A$2920, 0) + 221 - 1), NA())</f>
        <v>#N/A</v>
      </c>
      <c r="D222" t="e">
        <f>IF(221&lt;=COUNTIF(Data_Monitoring!$A$2:$A$2920, Dashboard_Visual!$B$4), INDEX(Data_Monitoring!$K$2:$K$2920, MATCH(Dashboard_Visual!$B$4, Data_Monitoring!$A$2:$A$2920, 0) + 221 - 1), NA())</f>
        <v>#N/A</v>
      </c>
      <c r="E222">
        <f>IF(221&lt;=COUNTIF(Data_Monitoring!$A$2:$A$2920, Dashboard_Visual!$B$4), INDEX(Data_Monitoring!$H$2:$H$2920, MATCH(Dashboard_Visual!$B$4, Data_Monitoring!$A$2:$A$2920, 0) + 221 - 1), 0)</f>
        <v>0</v>
      </c>
      <c r="F222">
        <f>IF(221&lt;=COUNTIF(Data_Monitoring!$A$2:$A$2920, Dashboard_Visual!$B$4), INDEX(Data_Monitoring!$O$2:$O$2920, MATCH(Dashboard_Visual!$B$4, Data_Monitoring!$A$2:$A$2920, 0) + 221 - 1), 0)</f>
        <v>0</v>
      </c>
      <c r="G222">
        <f>IF(221&lt;=COUNTIF(Data_Monitoring!$A$2:$A$2920, Dashboard_Visual!$B$4), INDEX(Data_Monitoring!$Q$2:$Q$2920, MATCH(Dashboard_Visual!$B$4, Data_Monitoring!$A$2:$A$2920, 0) + 221 - 1), 0)</f>
        <v>0</v>
      </c>
      <c r="H222" t="str">
        <f>IF(221&lt;=COUNTIF(Data_Monitoring!$A$2:$A$2920, Dashboard_Visual!$B$4), INDEX(Data_Monitoring!$L$2:$L$2920, MATCH(Dashboard_Visual!$B$4, Data_Monitoring!$A$2:$A$2920, 0) + 221 - 1), "")</f>
        <v/>
      </c>
      <c r="I222" t="str">
        <f>IF(AND(221&lt;=$P$2, ISNUMBER(D222), OR(H222="Warning", H222="Overgrade")), TEXT(ABS(D222)/100, "0.00%"), "")</f>
        <v/>
      </c>
      <c r="J222" t="e">
        <f t="shared" si="3"/>
        <v>#N/A</v>
      </c>
      <c r="K222" t="e">
        <f>IF(AND(221&lt;=$P$2, H222="Warning"), C222, NA())</f>
        <v>#N/A</v>
      </c>
      <c r="L222" t="e">
        <f>IF(AND(221&lt;=$P$2, H222="Overgrade"), C222, NA())</f>
        <v>#N/A</v>
      </c>
      <c r="M222">
        <f>IF(221&lt;=COUNTIF(Data_Monitoring!$A$2:$A$2920, Dashboard_Visual!$B$4), INDEX(Data_Monitoring!$S$2:$S$2920, MATCH(Dashboard_Visual!$B$4, Data_Monitoring!$A$2:$A$2920, 0) + 221 - 1), 1)</f>
        <v>1</v>
      </c>
    </row>
    <row r="223" spans="1:13" x14ac:dyDescent="0.25">
      <c r="A223" t="str">
        <f>IF(222&lt;=COUNTIF(Data_Monitoring!$A$2:$A$2920, Dashboard_Visual!$B$4), INDEX(Data_Monitoring!$B$2:$B$2920, MATCH(Dashboard_Visual!$B$4, Data_Monitoring!$A$2:$A$2920, 0) + 222 - 1), "")</f>
        <v/>
      </c>
      <c r="B223" t="str">
        <f>IF(222&lt;=COUNTIF(Data_Monitoring!$A$2:$A$2920, Dashboard_Visual!$B$4), INDEX(Data_Monitoring!$C$2:$C$2920, MATCH(Dashboard_Visual!$B$4, Data_Monitoring!$A$2:$A$2920, 0) + 222 - 1), "")</f>
        <v/>
      </c>
      <c r="C223" t="e">
        <f>IF(222&lt;=COUNTIF(Data_Monitoring!$A$2:$A$2920, Dashboard_Visual!$B$4), INDEX(Data_Monitoring!$J$2:$J$2920, MATCH(Dashboard_Visual!$B$4, Data_Monitoring!$A$2:$A$2920, 0) + 222 - 1), NA())</f>
        <v>#N/A</v>
      </c>
      <c r="D223" t="e">
        <f>IF(222&lt;=COUNTIF(Data_Monitoring!$A$2:$A$2920, Dashboard_Visual!$B$4), INDEX(Data_Monitoring!$K$2:$K$2920, MATCH(Dashboard_Visual!$B$4, Data_Monitoring!$A$2:$A$2920, 0) + 222 - 1), NA())</f>
        <v>#N/A</v>
      </c>
      <c r="E223">
        <f>IF(222&lt;=COUNTIF(Data_Monitoring!$A$2:$A$2920, Dashboard_Visual!$B$4), INDEX(Data_Monitoring!$H$2:$H$2920, MATCH(Dashboard_Visual!$B$4, Data_Monitoring!$A$2:$A$2920, 0) + 222 - 1), 0)</f>
        <v>0</v>
      </c>
      <c r="F223">
        <f>IF(222&lt;=COUNTIF(Data_Monitoring!$A$2:$A$2920, Dashboard_Visual!$B$4), INDEX(Data_Monitoring!$O$2:$O$2920, MATCH(Dashboard_Visual!$B$4, Data_Monitoring!$A$2:$A$2920, 0) + 222 - 1), 0)</f>
        <v>0</v>
      </c>
      <c r="G223">
        <f>IF(222&lt;=COUNTIF(Data_Monitoring!$A$2:$A$2920, Dashboard_Visual!$B$4), INDEX(Data_Monitoring!$Q$2:$Q$2920, MATCH(Dashboard_Visual!$B$4, Data_Monitoring!$A$2:$A$2920, 0) + 222 - 1), 0)</f>
        <v>0</v>
      </c>
      <c r="H223" t="str">
        <f>IF(222&lt;=COUNTIF(Data_Monitoring!$A$2:$A$2920, Dashboard_Visual!$B$4), INDEX(Data_Monitoring!$L$2:$L$2920, MATCH(Dashboard_Visual!$B$4, Data_Monitoring!$A$2:$A$2920, 0) + 222 - 1), "")</f>
        <v/>
      </c>
      <c r="I223" t="str">
        <f>IF(AND(222&lt;=$P$2, ISNUMBER(D223), OR(H223="Warning", H223="Overgrade")), TEXT(ABS(D223)/100, "0.00%"), "")</f>
        <v/>
      </c>
      <c r="J223" t="e">
        <f t="shared" si="3"/>
        <v>#N/A</v>
      </c>
      <c r="K223" t="e">
        <f>IF(AND(222&lt;=$P$2, H223="Warning"), C223, NA())</f>
        <v>#N/A</v>
      </c>
      <c r="L223" t="e">
        <f>IF(AND(222&lt;=$P$2, H223="Overgrade"), C223, NA())</f>
        <v>#N/A</v>
      </c>
      <c r="M223">
        <f>IF(222&lt;=COUNTIF(Data_Monitoring!$A$2:$A$2920, Dashboard_Visual!$B$4), INDEX(Data_Monitoring!$S$2:$S$2920, MATCH(Dashboard_Visual!$B$4, Data_Monitoring!$A$2:$A$2920, 0) + 222 - 1), 1)</f>
        <v>1</v>
      </c>
    </row>
    <row r="224" spans="1:13" x14ac:dyDescent="0.25">
      <c r="A224" t="str">
        <f>IF(223&lt;=COUNTIF(Data_Monitoring!$A$2:$A$2920, Dashboard_Visual!$B$4), INDEX(Data_Monitoring!$B$2:$B$2920, MATCH(Dashboard_Visual!$B$4, Data_Monitoring!$A$2:$A$2920, 0) + 223 - 1), "")</f>
        <v/>
      </c>
      <c r="B224" t="str">
        <f>IF(223&lt;=COUNTIF(Data_Monitoring!$A$2:$A$2920, Dashboard_Visual!$B$4), INDEX(Data_Monitoring!$C$2:$C$2920, MATCH(Dashboard_Visual!$B$4, Data_Monitoring!$A$2:$A$2920, 0) + 223 - 1), "")</f>
        <v/>
      </c>
      <c r="C224" t="e">
        <f>IF(223&lt;=COUNTIF(Data_Monitoring!$A$2:$A$2920, Dashboard_Visual!$B$4), INDEX(Data_Monitoring!$J$2:$J$2920, MATCH(Dashboard_Visual!$B$4, Data_Monitoring!$A$2:$A$2920, 0) + 223 - 1), NA())</f>
        <v>#N/A</v>
      </c>
      <c r="D224" t="e">
        <f>IF(223&lt;=COUNTIF(Data_Monitoring!$A$2:$A$2920, Dashboard_Visual!$B$4), INDEX(Data_Monitoring!$K$2:$K$2920, MATCH(Dashboard_Visual!$B$4, Data_Monitoring!$A$2:$A$2920, 0) + 223 - 1), NA())</f>
        <v>#N/A</v>
      </c>
      <c r="E224">
        <f>IF(223&lt;=COUNTIF(Data_Monitoring!$A$2:$A$2920, Dashboard_Visual!$B$4), INDEX(Data_Monitoring!$H$2:$H$2920, MATCH(Dashboard_Visual!$B$4, Data_Monitoring!$A$2:$A$2920, 0) + 223 - 1), 0)</f>
        <v>0</v>
      </c>
      <c r="F224">
        <f>IF(223&lt;=COUNTIF(Data_Monitoring!$A$2:$A$2920, Dashboard_Visual!$B$4), INDEX(Data_Monitoring!$O$2:$O$2920, MATCH(Dashboard_Visual!$B$4, Data_Monitoring!$A$2:$A$2920, 0) + 223 - 1), 0)</f>
        <v>0</v>
      </c>
      <c r="G224">
        <f>IF(223&lt;=COUNTIF(Data_Monitoring!$A$2:$A$2920, Dashboard_Visual!$B$4), INDEX(Data_Monitoring!$Q$2:$Q$2920, MATCH(Dashboard_Visual!$B$4, Data_Monitoring!$A$2:$A$2920, 0) + 223 - 1), 0)</f>
        <v>0</v>
      </c>
      <c r="H224" t="str">
        <f>IF(223&lt;=COUNTIF(Data_Monitoring!$A$2:$A$2920, Dashboard_Visual!$B$4), INDEX(Data_Monitoring!$L$2:$L$2920, MATCH(Dashboard_Visual!$B$4, Data_Monitoring!$A$2:$A$2920, 0) + 223 - 1), "")</f>
        <v/>
      </c>
      <c r="I224" t="str">
        <f>IF(AND(223&lt;=$P$2, ISNUMBER(D224), OR(H224="Warning", H224="Overgrade")), TEXT(ABS(D224)/100, "0.00%"), "")</f>
        <v/>
      </c>
      <c r="J224" t="e">
        <f t="shared" si="3"/>
        <v>#N/A</v>
      </c>
      <c r="K224" t="e">
        <f>IF(AND(223&lt;=$P$2, H224="Warning"), C224, NA())</f>
        <v>#N/A</v>
      </c>
      <c r="L224" t="e">
        <f>IF(AND(223&lt;=$P$2, H224="Overgrade"), C224, NA())</f>
        <v>#N/A</v>
      </c>
      <c r="M224">
        <f>IF(223&lt;=COUNTIF(Data_Monitoring!$A$2:$A$2920, Dashboard_Visual!$B$4), INDEX(Data_Monitoring!$S$2:$S$2920, MATCH(Dashboard_Visual!$B$4, Data_Monitoring!$A$2:$A$2920, 0) + 223 - 1), 1)</f>
        <v>1</v>
      </c>
    </row>
    <row r="225" spans="1:13" x14ac:dyDescent="0.25">
      <c r="A225" t="str">
        <f>IF(224&lt;=COUNTIF(Data_Monitoring!$A$2:$A$2920, Dashboard_Visual!$B$4), INDEX(Data_Monitoring!$B$2:$B$2920, MATCH(Dashboard_Visual!$B$4, Data_Monitoring!$A$2:$A$2920, 0) + 224 - 1), "")</f>
        <v/>
      </c>
      <c r="B225" t="str">
        <f>IF(224&lt;=COUNTIF(Data_Monitoring!$A$2:$A$2920, Dashboard_Visual!$B$4), INDEX(Data_Monitoring!$C$2:$C$2920, MATCH(Dashboard_Visual!$B$4, Data_Monitoring!$A$2:$A$2920, 0) + 224 - 1), "")</f>
        <v/>
      </c>
      <c r="C225" t="e">
        <f>IF(224&lt;=COUNTIF(Data_Monitoring!$A$2:$A$2920, Dashboard_Visual!$B$4), INDEX(Data_Monitoring!$J$2:$J$2920, MATCH(Dashboard_Visual!$B$4, Data_Monitoring!$A$2:$A$2920, 0) + 224 - 1), NA())</f>
        <v>#N/A</v>
      </c>
      <c r="D225" t="e">
        <f>IF(224&lt;=COUNTIF(Data_Monitoring!$A$2:$A$2920, Dashboard_Visual!$B$4), INDEX(Data_Monitoring!$K$2:$K$2920, MATCH(Dashboard_Visual!$B$4, Data_Monitoring!$A$2:$A$2920, 0) + 224 - 1), NA())</f>
        <v>#N/A</v>
      </c>
      <c r="E225">
        <f>IF(224&lt;=COUNTIF(Data_Monitoring!$A$2:$A$2920, Dashboard_Visual!$B$4), INDEX(Data_Monitoring!$H$2:$H$2920, MATCH(Dashboard_Visual!$B$4, Data_Monitoring!$A$2:$A$2920, 0) + 224 - 1), 0)</f>
        <v>0</v>
      </c>
      <c r="F225">
        <f>IF(224&lt;=COUNTIF(Data_Monitoring!$A$2:$A$2920, Dashboard_Visual!$B$4), INDEX(Data_Monitoring!$O$2:$O$2920, MATCH(Dashboard_Visual!$B$4, Data_Monitoring!$A$2:$A$2920, 0) + 224 - 1), 0)</f>
        <v>0</v>
      </c>
      <c r="G225">
        <f>IF(224&lt;=COUNTIF(Data_Monitoring!$A$2:$A$2920, Dashboard_Visual!$B$4), INDEX(Data_Monitoring!$Q$2:$Q$2920, MATCH(Dashboard_Visual!$B$4, Data_Monitoring!$A$2:$A$2920, 0) + 224 - 1), 0)</f>
        <v>0</v>
      </c>
      <c r="H225" t="str">
        <f>IF(224&lt;=COUNTIF(Data_Monitoring!$A$2:$A$2920, Dashboard_Visual!$B$4), INDEX(Data_Monitoring!$L$2:$L$2920, MATCH(Dashboard_Visual!$B$4, Data_Monitoring!$A$2:$A$2920, 0) + 224 - 1), "")</f>
        <v/>
      </c>
      <c r="I225" t="str">
        <f>IF(AND(224&lt;=$P$2, ISNUMBER(D225), OR(H225="Warning", H225="Overgrade")), TEXT(ABS(D225)/100, "0.00%"), "")</f>
        <v/>
      </c>
      <c r="J225" t="e">
        <f t="shared" si="3"/>
        <v>#N/A</v>
      </c>
      <c r="K225" t="e">
        <f>IF(AND(224&lt;=$P$2, H225="Warning"), C225, NA())</f>
        <v>#N/A</v>
      </c>
      <c r="L225" t="e">
        <f>IF(AND(224&lt;=$P$2, H225="Overgrade"), C225, NA())</f>
        <v>#N/A</v>
      </c>
      <c r="M225">
        <f>IF(224&lt;=COUNTIF(Data_Monitoring!$A$2:$A$2920, Dashboard_Visual!$B$4), INDEX(Data_Monitoring!$S$2:$S$2920, MATCH(Dashboard_Visual!$B$4, Data_Monitoring!$A$2:$A$2920, 0) + 224 - 1), 1)</f>
        <v>1</v>
      </c>
    </row>
    <row r="226" spans="1:13" x14ac:dyDescent="0.25">
      <c r="A226" t="str">
        <f>IF(225&lt;=COUNTIF(Data_Monitoring!$A$2:$A$2920, Dashboard_Visual!$B$4), INDEX(Data_Monitoring!$B$2:$B$2920, MATCH(Dashboard_Visual!$B$4, Data_Monitoring!$A$2:$A$2920, 0) + 225 - 1), "")</f>
        <v/>
      </c>
      <c r="B226" t="str">
        <f>IF(225&lt;=COUNTIF(Data_Monitoring!$A$2:$A$2920, Dashboard_Visual!$B$4), INDEX(Data_Monitoring!$C$2:$C$2920, MATCH(Dashboard_Visual!$B$4, Data_Monitoring!$A$2:$A$2920, 0) + 225 - 1), "")</f>
        <v/>
      </c>
      <c r="C226" t="e">
        <f>IF(225&lt;=COUNTIF(Data_Monitoring!$A$2:$A$2920, Dashboard_Visual!$B$4), INDEX(Data_Monitoring!$J$2:$J$2920, MATCH(Dashboard_Visual!$B$4, Data_Monitoring!$A$2:$A$2920, 0) + 225 - 1), NA())</f>
        <v>#N/A</v>
      </c>
      <c r="D226" t="e">
        <f>IF(225&lt;=COUNTIF(Data_Monitoring!$A$2:$A$2920, Dashboard_Visual!$B$4), INDEX(Data_Monitoring!$K$2:$K$2920, MATCH(Dashboard_Visual!$B$4, Data_Monitoring!$A$2:$A$2920, 0) + 225 - 1), NA())</f>
        <v>#N/A</v>
      </c>
      <c r="E226">
        <f>IF(225&lt;=COUNTIF(Data_Monitoring!$A$2:$A$2920, Dashboard_Visual!$B$4), INDEX(Data_Monitoring!$H$2:$H$2920, MATCH(Dashboard_Visual!$B$4, Data_Monitoring!$A$2:$A$2920, 0) + 225 - 1), 0)</f>
        <v>0</v>
      </c>
      <c r="F226">
        <f>IF(225&lt;=COUNTIF(Data_Monitoring!$A$2:$A$2920, Dashboard_Visual!$B$4), INDEX(Data_Monitoring!$O$2:$O$2920, MATCH(Dashboard_Visual!$B$4, Data_Monitoring!$A$2:$A$2920, 0) + 225 - 1), 0)</f>
        <v>0</v>
      </c>
      <c r="G226">
        <f>IF(225&lt;=COUNTIF(Data_Monitoring!$A$2:$A$2920, Dashboard_Visual!$B$4), INDEX(Data_Monitoring!$Q$2:$Q$2920, MATCH(Dashboard_Visual!$B$4, Data_Monitoring!$A$2:$A$2920, 0) + 225 - 1), 0)</f>
        <v>0</v>
      </c>
      <c r="H226" t="str">
        <f>IF(225&lt;=COUNTIF(Data_Monitoring!$A$2:$A$2920, Dashboard_Visual!$B$4), INDEX(Data_Monitoring!$L$2:$L$2920, MATCH(Dashboard_Visual!$B$4, Data_Monitoring!$A$2:$A$2920, 0) + 225 - 1), "")</f>
        <v/>
      </c>
      <c r="I226" t="str">
        <f>IF(AND(225&lt;=$P$2, ISNUMBER(D226), OR(H226="Warning", H226="Overgrade")), TEXT(ABS(D226)/100, "0.00%"), "")</f>
        <v/>
      </c>
      <c r="J226" t="e">
        <f t="shared" si="3"/>
        <v>#N/A</v>
      </c>
      <c r="K226" t="e">
        <f>IF(AND(225&lt;=$P$2, H226="Warning"), C226, NA())</f>
        <v>#N/A</v>
      </c>
      <c r="L226" t="e">
        <f>IF(AND(225&lt;=$P$2, H226="Overgrade"), C226, NA())</f>
        <v>#N/A</v>
      </c>
      <c r="M226">
        <f>IF(225&lt;=COUNTIF(Data_Monitoring!$A$2:$A$2920, Dashboard_Visual!$B$4), INDEX(Data_Monitoring!$S$2:$S$2920, MATCH(Dashboard_Visual!$B$4, Data_Monitoring!$A$2:$A$2920, 0) + 225 - 1), 1)</f>
        <v>1</v>
      </c>
    </row>
    <row r="227" spans="1:13" x14ac:dyDescent="0.25">
      <c r="A227" t="str">
        <f>IF(226&lt;=COUNTIF(Data_Monitoring!$A$2:$A$2920, Dashboard_Visual!$B$4), INDEX(Data_Monitoring!$B$2:$B$2920, MATCH(Dashboard_Visual!$B$4, Data_Monitoring!$A$2:$A$2920, 0) + 226 - 1), "")</f>
        <v/>
      </c>
      <c r="B227" t="str">
        <f>IF(226&lt;=COUNTIF(Data_Monitoring!$A$2:$A$2920, Dashboard_Visual!$B$4), INDEX(Data_Monitoring!$C$2:$C$2920, MATCH(Dashboard_Visual!$B$4, Data_Monitoring!$A$2:$A$2920, 0) + 226 - 1), "")</f>
        <v/>
      </c>
      <c r="C227" t="e">
        <f>IF(226&lt;=COUNTIF(Data_Monitoring!$A$2:$A$2920, Dashboard_Visual!$B$4), INDEX(Data_Monitoring!$J$2:$J$2920, MATCH(Dashboard_Visual!$B$4, Data_Monitoring!$A$2:$A$2920, 0) + 226 - 1), NA())</f>
        <v>#N/A</v>
      </c>
      <c r="D227" t="e">
        <f>IF(226&lt;=COUNTIF(Data_Monitoring!$A$2:$A$2920, Dashboard_Visual!$B$4), INDEX(Data_Monitoring!$K$2:$K$2920, MATCH(Dashboard_Visual!$B$4, Data_Monitoring!$A$2:$A$2920, 0) + 226 - 1), NA())</f>
        <v>#N/A</v>
      </c>
      <c r="E227">
        <f>IF(226&lt;=COUNTIF(Data_Monitoring!$A$2:$A$2920, Dashboard_Visual!$B$4), INDEX(Data_Monitoring!$H$2:$H$2920, MATCH(Dashboard_Visual!$B$4, Data_Monitoring!$A$2:$A$2920, 0) + 226 - 1), 0)</f>
        <v>0</v>
      </c>
      <c r="F227">
        <f>IF(226&lt;=COUNTIF(Data_Monitoring!$A$2:$A$2920, Dashboard_Visual!$B$4), INDEX(Data_Monitoring!$O$2:$O$2920, MATCH(Dashboard_Visual!$B$4, Data_Monitoring!$A$2:$A$2920, 0) + 226 - 1), 0)</f>
        <v>0</v>
      </c>
      <c r="G227">
        <f>IF(226&lt;=COUNTIF(Data_Monitoring!$A$2:$A$2920, Dashboard_Visual!$B$4), INDEX(Data_Monitoring!$Q$2:$Q$2920, MATCH(Dashboard_Visual!$B$4, Data_Monitoring!$A$2:$A$2920, 0) + 226 - 1), 0)</f>
        <v>0</v>
      </c>
      <c r="H227" t="str">
        <f>IF(226&lt;=COUNTIF(Data_Monitoring!$A$2:$A$2920, Dashboard_Visual!$B$4), INDEX(Data_Monitoring!$L$2:$L$2920, MATCH(Dashboard_Visual!$B$4, Data_Monitoring!$A$2:$A$2920, 0) + 226 - 1), "")</f>
        <v/>
      </c>
      <c r="I227" t="str">
        <f>IF(AND(226&lt;=$P$2, ISNUMBER(D227), OR(H227="Warning", H227="Overgrade")), TEXT(ABS(D227)/100, "0.00%"), "")</f>
        <v/>
      </c>
      <c r="J227" t="e">
        <f t="shared" si="3"/>
        <v>#N/A</v>
      </c>
      <c r="K227" t="e">
        <f>IF(AND(226&lt;=$P$2, H227="Warning"), C227, NA())</f>
        <v>#N/A</v>
      </c>
      <c r="L227" t="e">
        <f>IF(AND(226&lt;=$P$2, H227="Overgrade"), C227, NA())</f>
        <v>#N/A</v>
      </c>
      <c r="M227">
        <f>IF(226&lt;=COUNTIF(Data_Monitoring!$A$2:$A$2920, Dashboard_Visual!$B$4), INDEX(Data_Monitoring!$S$2:$S$2920, MATCH(Dashboard_Visual!$B$4, Data_Monitoring!$A$2:$A$2920, 0) + 226 - 1), 1)</f>
        <v>1</v>
      </c>
    </row>
    <row r="228" spans="1:13" x14ac:dyDescent="0.25">
      <c r="A228" t="str">
        <f>IF(227&lt;=COUNTIF(Data_Monitoring!$A$2:$A$2920, Dashboard_Visual!$B$4), INDEX(Data_Monitoring!$B$2:$B$2920, MATCH(Dashboard_Visual!$B$4, Data_Monitoring!$A$2:$A$2920, 0) + 227 - 1), "")</f>
        <v/>
      </c>
      <c r="B228" t="str">
        <f>IF(227&lt;=COUNTIF(Data_Monitoring!$A$2:$A$2920, Dashboard_Visual!$B$4), INDEX(Data_Monitoring!$C$2:$C$2920, MATCH(Dashboard_Visual!$B$4, Data_Monitoring!$A$2:$A$2920, 0) + 227 - 1), "")</f>
        <v/>
      </c>
      <c r="C228" t="e">
        <f>IF(227&lt;=COUNTIF(Data_Monitoring!$A$2:$A$2920, Dashboard_Visual!$B$4), INDEX(Data_Monitoring!$J$2:$J$2920, MATCH(Dashboard_Visual!$B$4, Data_Monitoring!$A$2:$A$2920, 0) + 227 - 1), NA())</f>
        <v>#N/A</v>
      </c>
      <c r="D228" t="e">
        <f>IF(227&lt;=COUNTIF(Data_Monitoring!$A$2:$A$2920, Dashboard_Visual!$B$4), INDEX(Data_Monitoring!$K$2:$K$2920, MATCH(Dashboard_Visual!$B$4, Data_Monitoring!$A$2:$A$2920, 0) + 227 - 1), NA())</f>
        <v>#N/A</v>
      </c>
      <c r="E228">
        <f>IF(227&lt;=COUNTIF(Data_Monitoring!$A$2:$A$2920, Dashboard_Visual!$B$4), INDEX(Data_Monitoring!$H$2:$H$2920, MATCH(Dashboard_Visual!$B$4, Data_Monitoring!$A$2:$A$2920, 0) + 227 - 1), 0)</f>
        <v>0</v>
      </c>
      <c r="F228">
        <f>IF(227&lt;=COUNTIF(Data_Monitoring!$A$2:$A$2920, Dashboard_Visual!$B$4), INDEX(Data_Monitoring!$O$2:$O$2920, MATCH(Dashboard_Visual!$B$4, Data_Monitoring!$A$2:$A$2920, 0) + 227 - 1), 0)</f>
        <v>0</v>
      </c>
      <c r="G228">
        <f>IF(227&lt;=COUNTIF(Data_Monitoring!$A$2:$A$2920, Dashboard_Visual!$B$4), INDEX(Data_Monitoring!$Q$2:$Q$2920, MATCH(Dashboard_Visual!$B$4, Data_Monitoring!$A$2:$A$2920, 0) + 227 - 1), 0)</f>
        <v>0</v>
      </c>
      <c r="H228" t="str">
        <f>IF(227&lt;=COUNTIF(Data_Monitoring!$A$2:$A$2920, Dashboard_Visual!$B$4), INDEX(Data_Monitoring!$L$2:$L$2920, MATCH(Dashboard_Visual!$B$4, Data_Monitoring!$A$2:$A$2920, 0) + 227 - 1), "")</f>
        <v/>
      </c>
      <c r="I228" t="str">
        <f>IF(AND(227&lt;=$P$2, ISNUMBER(D228), OR(H228="Warning", H228="Overgrade")), TEXT(ABS(D228)/100, "0.00%"), "")</f>
        <v/>
      </c>
      <c r="J228" t="e">
        <f t="shared" si="3"/>
        <v>#N/A</v>
      </c>
      <c r="K228" t="e">
        <f>IF(AND(227&lt;=$P$2, H228="Warning"), C228, NA())</f>
        <v>#N/A</v>
      </c>
      <c r="L228" t="e">
        <f>IF(AND(227&lt;=$P$2, H228="Overgrade"), C228, NA())</f>
        <v>#N/A</v>
      </c>
      <c r="M228">
        <f>IF(227&lt;=COUNTIF(Data_Monitoring!$A$2:$A$2920, Dashboard_Visual!$B$4), INDEX(Data_Monitoring!$S$2:$S$2920, MATCH(Dashboard_Visual!$B$4, Data_Monitoring!$A$2:$A$2920, 0) + 227 - 1), 1)</f>
        <v>1</v>
      </c>
    </row>
    <row r="229" spans="1:13" x14ac:dyDescent="0.25">
      <c r="A229" t="str">
        <f>IF(228&lt;=COUNTIF(Data_Monitoring!$A$2:$A$2920, Dashboard_Visual!$B$4), INDEX(Data_Monitoring!$B$2:$B$2920, MATCH(Dashboard_Visual!$B$4, Data_Monitoring!$A$2:$A$2920, 0) + 228 - 1), "")</f>
        <v/>
      </c>
      <c r="B229" t="str">
        <f>IF(228&lt;=COUNTIF(Data_Monitoring!$A$2:$A$2920, Dashboard_Visual!$B$4), INDEX(Data_Monitoring!$C$2:$C$2920, MATCH(Dashboard_Visual!$B$4, Data_Monitoring!$A$2:$A$2920, 0) + 228 - 1), "")</f>
        <v/>
      </c>
      <c r="C229" t="e">
        <f>IF(228&lt;=COUNTIF(Data_Monitoring!$A$2:$A$2920, Dashboard_Visual!$B$4), INDEX(Data_Monitoring!$J$2:$J$2920, MATCH(Dashboard_Visual!$B$4, Data_Monitoring!$A$2:$A$2920, 0) + 228 - 1), NA())</f>
        <v>#N/A</v>
      </c>
      <c r="D229" t="e">
        <f>IF(228&lt;=COUNTIF(Data_Monitoring!$A$2:$A$2920, Dashboard_Visual!$B$4), INDEX(Data_Monitoring!$K$2:$K$2920, MATCH(Dashboard_Visual!$B$4, Data_Monitoring!$A$2:$A$2920, 0) + 228 - 1), NA())</f>
        <v>#N/A</v>
      </c>
      <c r="E229">
        <f>IF(228&lt;=COUNTIF(Data_Monitoring!$A$2:$A$2920, Dashboard_Visual!$B$4), INDEX(Data_Monitoring!$H$2:$H$2920, MATCH(Dashboard_Visual!$B$4, Data_Monitoring!$A$2:$A$2920, 0) + 228 - 1), 0)</f>
        <v>0</v>
      </c>
      <c r="F229">
        <f>IF(228&lt;=COUNTIF(Data_Monitoring!$A$2:$A$2920, Dashboard_Visual!$B$4), INDEX(Data_Monitoring!$O$2:$O$2920, MATCH(Dashboard_Visual!$B$4, Data_Monitoring!$A$2:$A$2920, 0) + 228 - 1), 0)</f>
        <v>0</v>
      </c>
      <c r="G229">
        <f>IF(228&lt;=COUNTIF(Data_Monitoring!$A$2:$A$2920, Dashboard_Visual!$B$4), INDEX(Data_Monitoring!$Q$2:$Q$2920, MATCH(Dashboard_Visual!$B$4, Data_Monitoring!$A$2:$A$2920, 0) + 228 - 1), 0)</f>
        <v>0</v>
      </c>
      <c r="H229" t="str">
        <f>IF(228&lt;=COUNTIF(Data_Monitoring!$A$2:$A$2920, Dashboard_Visual!$B$4), INDEX(Data_Monitoring!$L$2:$L$2920, MATCH(Dashboard_Visual!$B$4, Data_Monitoring!$A$2:$A$2920, 0) + 228 - 1), "")</f>
        <v/>
      </c>
      <c r="I229" t="str">
        <f>IF(AND(228&lt;=$P$2, ISNUMBER(D229), OR(H229="Warning", H229="Overgrade")), TEXT(ABS(D229)/100, "0.00%"), "")</f>
        <v/>
      </c>
      <c r="J229" t="e">
        <f t="shared" si="3"/>
        <v>#N/A</v>
      </c>
      <c r="K229" t="e">
        <f>IF(AND(228&lt;=$P$2, H229="Warning"), C229, NA())</f>
        <v>#N/A</v>
      </c>
      <c r="L229" t="e">
        <f>IF(AND(228&lt;=$P$2, H229="Overgrade"), C229, NA())</f>
        <v>#N/A</v>
      </c>
      <c r="M229">
        <f>IF(228&lt;=COUNTIF(Data_Monitoring!$A$2:$A$2920, Dashboard_Visual!$B$4), INDEX(Data_Monitoring!$S$2:$S$2920, MATCH(Dashboard_Visual!$B$4, Data_Monitoring!$A$2:$A$2920, 0) + 228 - 1), 1)</f>
        <v>1</v>
      </c>
    </row>
    <row r="230" spans="1:13" x14ac:dyDescent="0.25">
      <c r="A230" t="str">
        <f>IF(229&lt;=COUNTIF(Data_Monitoring!$A$2:$A$2920, Dashboard_Visual!$B$4), INDEX(Data_Monitoring!$B$2:$B$2920, MATCH(Dashboard_Visual!$B$4, Data_Monitoring!$A$2:$A$2920, 0) + 229 - 1), "")</f>
        <v/>
      </c>
      <c r="B230" t="str">
        <f>IF(229&lt;=COUNTIF(Data_Monitoring!$A$2:$A$2920, Dashboard_Visual!$B$4), INDEX(Data_Monitoring!$C$2:$C$2920, MATCH(Dashboard_Visual!$B$4, Data_Monitoring!$A$2:$A$2920, 0) + 229 - 1), "")</f>
        <v/>
      </c>
      <c r="C230" t="e">
        <f>IF(229&lt;=COUNTIF(Data_Monitoring!$A$2:$A$2920, Dashboard_Visual!$B$4), INDEX(Data_Monitoring!$J$2:$J$2920, MATCH(Dashboard_Visual!$B$4, Data_Monitoring!$A$2:$A$2920, 0) + 229 - 1), NA())</f>
        <v>#N/A</v>
      </c>
      <c r="D230" t="e">
        <f>IF(229&lt;=COUNTIF(Data_Monitoring!$A$2:$A$2920, Dashboard_Visual!$B$4), INDEX(Data_Monitoring!$K$2:$K$2920, MATCH(Dashboard_Visual!$B$4, Data_Monitoring!$A$2:$A$2920, 0) + 229 - 1), NA())</f>
        <v>#N/A</v>
      </c>
      <c r="E230">
        <f>IF(229&lt;=COUNTIF(Data_Monitoring!$A$2:$A$2920, Dashboard_Visual!$B$4), INDEX(Data_Monitoring!$H$2:$H$2920, MATCH(Dashboard_Visual!$B$4, Data_Monitoring!$A$2:$A$2920, 0) + 229 - 1), 0)</f>
        <v>0</v>
      </c>
      <c r="F230">
        <f>IF(229&lt;=COUNTIF(Data_Monitoring!$A$2:$A$2920, Dashboard_Visual!$B$4), INDEX(Data_Monitoring!$O$2:$O$2920, MATCH(Dashboard_Visual!$B$4, Data_Monitoring!$A$2:$A$2920, 0) + 229 - 1), 0)</f>
        <v>0</v>
      </c>
      <c r="G230">
        <f>IF(229&lt;=COUNTIF(Data_Monitoring!$A$2:$A$2920, Dashboard_Visual!$B$4), INDEX(Data_Monitoring!$Q$2:$Q$2920, MATCH(Dashboard_Visual!$B$4, Data_Monitoring!$A$2:$A$2920, 0) + 229 - 1), 0)</f>
        <v>0</v>
      </c>
      <c r="H230" t="str">
        <f>IF(229&lt;=COUNTIF(Data_Monitoring!$A$2:$A$2920, Dashboard_Visual!$B$4), INDEX(Data_Monitoring!$L$2:$L$2920, MATCH(Dashboard_Visual!$B$4, Data_Monitoring!$A$2:$A$2920, 0) + 229 - 1), "")</f>
        <v/>
      </c>
      <c r="I230" t="str">
        <f>IF(AND(229&lt;=$P$2, ISNUMBER(D230), OR(H230="Warning", H230="Overgrade")), TEXT(ABS(D230)/100, "0.00%"), "")</f>
        <v/>
      </c>
      <c r="J230" t="e">
        <f t="shared" si="3"/>
        <v>#N/A</v>
      </c>
      <c r="K230" t="e">
        <f>IF(AND(229&lt;=$P$2, H230="Warning"), C230, NA())</f>
        <v>#N/A</v>
      </c>
      <c r="L230" t="e">
        <f>IF(AND(229&lt;=$P$2, H230="Overgrade"), C230, NA())</f>
        <v>#N/A</v>
      </c>
      <c r="M230">
        <f>IF(229&lt;=COUNTIF(Data_Monitoring!$A$2:$A$2920, Dashboard_Visual!$B$4), INDEX(Data_Monitoring!$S$2:$S$2920, MATCH(Dashboard_Visual!$B$4, Data_Monitoring!$A$2:$A$2920, 0) + 229 - 1), 1)</f>
        <v>1</v>
      </c>
    </row>
    <row r="231" spans="1:13" x14ac:dyDescent="0.25">
      <c r="A231" t="str">
        <f>IF(230&lt;=COUNTIF(Data_Monitoring!$A$2:$A$2920, Dashboard_Visual!$B$4), INDEX(Data_Monitoring!$B$2:$B$2920, MATCH(Dashboard_Visual!$B$4, Data_Monitoring!$A$2:$A$2920, 0) + 230 - 1), "")</f>
        <v/>
      </c>
      <c r="B231" t="str">
        <f>IF(230&lt;=COUNTIF(Data_Monitoring!$A$2:$A$2920, Dashboard_Visual!$B$4), INDEX(Data_Monitoring!$C$2:$C$2920, MATCH(Dashboard_Visual!$B$4, Data_Monitoring!$A$2:$A$2920, 0) + 230 - 1), "")</f>
        <v/>
      </c>
      <c r="C231" t="e">
        <f>IF(230&lt;=COUNTIF(Data_Monitoring!$A$2:$A$2920, Dashboard_Visual!$B$4), INDEX(Data_Monitoring!$J$2:$J$2920, MATCH(Dashboard_Visual!$B$4, Data_Monitoring!$A$2:$A$2920, 0) + 230 - 1), NA())</f>
        <v>#N/A</v>
      </c>
      <c r="D231" t="e">
        <f>IF(230&lt;=COUNTIF(Data_Monitoring!$A$2:$A$2920, Dashboard_Visual!$B$4), INDEX(Data_Monitoring!$K$2:$K$2920, MATCH(Dashboard_Visual!$B$4, Data_Monitoring!$A$2:$A$2920, 0) + 230 - 1), NA())</f>
        <v>#N/A</v>
      </c>
      <c r="E231">
        <f>IF(230&lt;=COUNTIF(Data_Monitoring!$A$2:$A$2920, Dashboard_Visual!$B$4), INDEX(Data_Monitoring!$H$2:$H$2920, MATCH(Dashboard_Visual!$B$4, Data_Monitoring!$A$2:$A$2920, 0) + 230 - 1), 0)</f>
        <v>0</v>
      </c>
      <c r="F231">
        <f>IF(230&lt;=COUNTIF(Data_Monitoring!$A$2:$A$2920, Dashboard_Visual!$B$4), INDEX(Data_Monitoring!$O$2:$O$2920, MATCH(Dashboard_Visual!$B$4, Data_Monitoring!$A$2:$A$2920, 0) + 230 - 1), 0)</f>
        <v>0</v>
      </c>
      <c r="G231">
        <f>IF(230&lt;=COUNTIF(Data_Monitoring!$A$2:$A$2920, Dashboard_Visual!$B$4), INDEX(Data_Monitoring!$Q$2:$Q$2920, MATCH(Dashboard_Visual!$B$4, Data_Monitoring!$A$2:$A$2920, 0) + 230 - 1), 0)</f>
        <v>0</v>
      </c>
      <c r="H231" t="str">
        <f>IF(230&lt;=COUNTIF(Data_Monitoring!$A$2:$A$2920, Dashboard_Visual!$B$4), INDEX(Data_Monitoring!$L$2:$L$2920, MATCH(Dashboard_Visual!$B$4, Data_Monitoring!$A$2:$A$2920, 0) + 230 - 1), "")</f>
        <v/>
      </c>
      <c r="I231" t="str">
        <f>IF(AND(230&lt;=$P$2, ISNUMBER(D231), OR(H231="Warning", H231="Overgrade")), TEXT(ABS(D231)/100, "0.00%"), "")</f>
        <v/>
      </c>
      <c r="J231" t="e">
        <f t="shared" si="3"/>
        <v>#N/A</v>
      </c>
      <c r="K231" t="e">
        <f>IF(AND(230&lt;=$P$2, H231="Warning"), C231, NA())</f>
        <v>#N/A</v>
      </c>
      <c r="L231" t="e">
        <f>IF(AND(230&lt;=$P$2, H231="Overgrade"), C231, NA())</f>
        <v>#N/A</v>
      </c>
      <c r="M231">
        <f>IF(230&lt;=COUNTIF(Data_Monitoring!$A$2:$A$2920, Dashboard_Visual!$B$4), INDEX(Data_Monitoring!$S$2:$S$2920, MATCH(Dashboard_Visual!$B$4, Data_Monitoring!$A$2:$A$2920, 0) + 230 - 1), 1)</f>
        <v>1</v>
      </c>
    </row>
    <row r="232" spans="1:13" x14ac:dyDescent="0.25">
      <c r="A232" t="str">
        <f>IF(231&lt;=COUNTIF(Data_Monitoring!$A$2:$A$2920, Dashboard_Visual!$B$4), INDEX(Data_Monitoring!$B$2:$B$2920, MATCH(Dashboard_Visual!$B$4, Data_Monitoring!$A$2:$A$2920, 0) + 231 - 1), "")</f>
        <v/>
      </c>
      <c r="B232" t="str">
        <f>IF(231&lt;=COUNTIF(Data_Monitoring!$A$2:$A$2920, Dashboard_Visual!$B$4), INDEX(Data_Monitoring!$C$2:$C$2920, MATCH(Dashboard_Visual!$B$4, Data_Monitoring!$A$2:$A$2920, 0) + 231 - 1), "")</f>
        <v/>
      </c>
      <c r="C232" t="e">
        <f>IF(231&lt;=COUNTIF(Data_Monitoring!$A$2:$A$2920, Dashboard_Visual!$B$4), INDEX(Data_Monitoring!$J$2:$J$2920, MATCH(Dashboard_Visual!$B$4, Data_Monitoring!$A$2:$A$2920, 0) + 231 - 1), NA())</f>
        <v>#N/A</v>
      </c>
      <c r="D232" t="e">
        <f>IF(231&lt;=COUNTIF(Data_Monitoring!$A$2:$A$2920, Dashboard_Visual!$B$4), INDEX(Data_Monitoring!$K$2:$K$2920, MATCH(Dashboard_Visual!$B$4, Data_Monitoring!$A$2:$A$2920, 0) + 231 - 1), NA())</f>
        <v>#N/A</v>
      </c>
      <c r="E232">
        <f>IF(231&lt;=COUNTIF(Data_Monitoring!$A$2:$A$2920, Dashboard_Visual!$B$4), INDEX(Data_Monitoring!$H$2:$H$2920, MATCH(Dashboard_Visual!$B$4, Data_Monitoring!$A$2:$A$2920, 0) + 231 - 1), 0)</f>
        <v>0</v>
      </c>
      <c r="F232">
        <f>IF(231&lt;=COUNTIF(Data_Monitoring!$A$2:$A$2920, Dashboard_Visual!$B$4), INDEX(Data_Monitoring!$O$2:$O$2920, MATCH(Dashboard_Visual!$B$4, Data_Monitoring!$A$2:$A$2920, 0) + 231 - 1), 0)</f>
        <v>0</v>
      </c>
      <c r="G232">
        <f>IF(231&lt;=COUNTIF(Data_Monitoring!$A$2:$A$2920, Dashboard_Visual!$B$4), INDEX(Data_Monitoring!$Q$2:$Q$2920, MATCH(Dashboard_Visual!$B$4, Data_Monitoring!$A$2:$A$2920, 0) + 231 - 1), 0)</f>
        <v>0</v>
      </c>
      <c r="H232" t="str">
        <f>IF(231&lt;=COUNTIF(Data_Monitoring!$A$2:$A$2920, Dashboard_Visual!$B$4), INDEX(Data_Monitoring!$L$2:$L$2920, MATCH(Dashboard_Visual!$B$4, Data_Monitoring!$A$2:$A$2920, 0) + 231 - 1), "")</f>
        <v/>
      </c>
      <c r="I232" t="str">
        <f>IF(AND(231&lt;=$P$2, ISNUMBER(D232), OR(H232="Warning", H232="Overgrade")), TEXT(ABS(D232)/100, "0.00%"), "")</f>
        <v/>
      </c>
      <c r="J232" t="e">
        <f t="shared" si="3"/>
        <v>#N/A</v>
      </c>
      <c r="K232" t="e">
        <f>IF(AND(231&lt;=$P$2, H232="Warning"), C232, NA())</f>
        <v>#N/A</v>
      </c>
      <c r="L232" t="e">
        <f>IF(AND(231&lt;=$P$2, H232="Overgrade"), C232, NA())</f>
        <v>#N/A</v>
      </c>
      <c r="M232">
        <f>IF(231&lt;=COUNTIF(Data_Monitoring!$A$2:$A$2920, Dashboard_Visual!$B$4), INDEX(Data_Monitoring!$S$2:$S$2920, MATCH(Dashboard_Visual!$B$4, Data_Monitoring!$A$2:$A$2920, 0) + 231 - 1), 1)</f>
        <v>1</v>
      </c>
    </row>
    <row r="233" spans="1:13" x14ac:dyDescent="0.25">
      <c r="A233" t="str">
        <f>IF(232&lt;=COUNTIF(Data_Monitoring!$A$2:$A$2920, Dashboard_Visual!$B$4), INDEX(Data_Monitoring!$B$2:$B$2920, MATCH(Dashboard_Visual!$B$4, Data_Monitoring!$A$2:$A$2920, 0) + 232 - 1), "")</f>
        <v/>
      </c>
      <c r="B233" t="str">
        <f>IF(232&lt;=COUNTIF(Data_Monitoring!$A$2:$A$2920, Dashboard_Visual!$B$4), INDEX(Data_Monitoring!$C$2:$C$2920, MATCH(Dashboard_Visual!$B$4, Data_Monitoring!$A$2:$A$2920, 0) + 232 - 1), "")</f>
        <v/>
      </c>
      <c r="C233" t="e">
        <f>IF(232&lt;=COUNTIF(Data_Monitoring!$A$2:$A$2920, Dashboard_Visual!$B$4), INDEX(Data_Monitoring!$J$2:$J$2920, MATCH(Dashboard_Visual!$B$4, Data_Monitoring!$A$2:$A$2920, 0) + 232 - 1), NA())</f>
        <v>#N/A</v>
      </c>
      <c r="D233" t="e">
        <f>IF(232&lt;=COUNTIF(Data_Monitoring!$A$2:$A$2920, Dashboard_Visual!$B$4), INDEX(Data_Monitoring!$K$2:$K$2920, MATCH(Dashboard_Visual!$B$4, Data_Monitoring!$A$2:$A$2920, 0) + 232 - 1), NA())</f>
        <v>#N/A</v>
      </c>
      <c r="E233">
        <f>IF(232&lt;=COUNTIF(Data_Monitoring!$A$2:$A$2920, Dashboard_Visual!$B$4), INDEX(Data_Monitoring!$H$2:$H$2920, MATCH(Dashboard_Visual!$B$4, Data_Monitoring!$A$2:$A$2920, 0) + 232 - 1), 0)</f>
        <v>0</v>
      </c>
      <c r="F233">
        <f>IF(232&lt;=COUNTIF(Data_Monitoring!$A$2:$A$2920, Dashboard_Visual!$B$4), INDEX(Data_Monitoring!$O$2:$O$2920, MATCH(Dashboard_Visual!$B$4, Data_Monitoring!$A$2:$A$2920, 0) + 232 - 1), 0)</f>
        <v>0</v>
      </c>
      <c r="G233">
        <f>IF(232&lt;=COUNTIF(Data_Monitoring!$A$2:$A$2920, Dashboard_Visual!$B$4), INDEX(Data_Monitoring!$Q$2:$Q$2920, MATCH(Dashboard_Visual!$B$4, Data_Monitoring!$A$2:$A$2920, 0) + 232 - 1), 0)</f>
        <v>0</v>
      </c>
      <c r="H233" t="str">
        <f>IF(232&lt;=COUNTIF(Data_Monitoring!$A$2:$A$2920, Dashboard_Visual!$B$4), INDEX(Data_Monitoring!$L$2:$L$2920, MATCH(Dashboard_Visual!$B$4, Data_Monitoring!$A$2:$A$2920, 0) + 232 - 1), "")</f>
        <v/>
      </c>
      <c r="I233" t="str">
        <f>IF(AND(232&lt;=$P$2, ISNUMBER(D233), OR(H233="Warning", H233="Overgrade")), TEXT(ABS(D233)/100, "0.00%"), "")</f>
        <v/>
      </c>
      <c r="J233" t="e">
        <f t="shared" si="3"/>
        <v>#N/A</v>
      </c>
      <c r="K233" t="e">
        <f>IF(AND(232&lt;=$P$2, H233="Warning"), C233, NA())</f>
        <v>#N/A</v>
      </c>
      <c r="L233" t="e">
        <f>IF(AND(232&lt;=$P$2, H233="Overgrade"), C233, NA())</f>
        <v>#N/A</v>
      </c>
      <c r="M233">
        <f>IF(232&lt;=COUNTIF(Data_Monitoring!$A$2:$A$2920, Dashboard_Visual!$B$4), INDEX(Data_Monitoring!$S$2:$S$2920, MATCH(Dashboard_Visual!$B$4, Data_Monitoring!$A$2:$A$2920, 0) + 232 - 1), 1)</f>
        <v>1</v>
      </c>
    </row>
    <row r="234" spans="1:13" x14ac:dyDescent="0.25">
      <c r="A234" t="str">
        <f>IF(233&lt;=COUNTIF(Data_Monitoring!$A$2:$A$2920, Dashboard_Visual!$B$4), INDEX(Data_Monitoring!$B$2:$B$2920, MATCH(Dashboard_Visual!$B$4, Data_Monitoring!$A$2:$A$2920, 0) + 233 - 1), "")</f>
        <v/>
      </c>
      <c r="B234" t="str">
        <f>IF(233&lt;=COUNTIF(Data_Monitoring!$A$2:$A$2920, Dashboard_Visual!$B$4), INDEX(Data_Monitoring!$C$2:$C$2920, MATCH(Dashboard_Visual!$B$4, Data_Monitoring!$A$2:$A$2920, 0) + 233 - 1), "")</f>
        <v/>
      </c>
      <c r="C234" t="e">
        <f>IF(233&lt;=COUNTIF(Data_Monitoring!$A$2:$A$2920, Dashboard_Visual!$B$4), INDEX(Data_Monitoring!$J$2:$J$2920, MATCH(Dashboard_Visual!$B$4, Data_Monitoring!$A$2:$A$2920, 0) + 233 - 1), NA())</f>
        <v>#N/A</v>
      </c>
      <c r="D234" t="e">
        <f>IF(233&lt;=COUNTIF(Data_Monitoring!$A$2:$A$2920, Dashboard_Visual!$B$4), INDEX(Data_Monitoring!$K$2:$K$2920, MATCH(Dashboard_Visual!$B$4, Data_Monitoring!$A$2:$A$2920, 0) + 233 - 1), NA())</f>
        <v>#N/A</v>
      </c>
      <c r="E234">
        <f>IF(233&lt;=COUNTIF(Data_Monitoring!$A$2:$A$2920, Dashboard_Visual!$B$4), INDEX(Data_Monitoring!$H$2:$H$2920, MATCH(Dashboard_Visual!$B$4, Data_Monitoring!$A$2:$A$2920, 0) + 233 - 1), 0)</f>
        <v>0</v>
      </c>
      <c r="F234">
        <f>IF(233&lt;=COUNTIF(Data_Monitoring!$A$2:$A$2920, Dashboard_Visual!$B$4), INDEX(Data_Monitoring!$O$2:$O$2920, MATCH(Dashboard_Visual!$B$4, Data_Monitoring!$A$2:$A$2920, 0) + 233 - 1), 0)</f>
        <v>0</v>
      </c>
      <c r="G234">
        <f>IF(233&lt;=COUNTIF(Data_Monitoring!$A$2:$A$2920, Dashboard_Visual!$B$4), INDEX(Data_Monitoring!$Q$2:$Q$2920, MATCH(Dashboard_Visual!$B$4, Data_Monitoring!$A$2:$A$2920, 0) + 233 - 1), 0)</f>
        <v>0</v>
      </c>
      <c r="H234" t="str">
        <f>IF(233&lt;=COUNTIF(Data_Monitoring!$A$2:$A$2920, Dashboard_Visual!$B$4), INDEX(Data_Monitoring!$L$2:$L$2920, MATCH(Dashboard_Visual!$B$4, Data_Monitoring!$A$2:$A$2920, 0) + 233 - 1), "")</f>
        <v/>
      </c>
      <c r="I234" t="str">
        <f>IF(AND(233&lt;=$P$2, ISNUMBER(D234), OR(H234="Warning", H234="Overgrade")), TEXT(ABS(D234)/100, "0.00%"), "")</f>
        <v/>
      </c>
      <c r="J234" t="e">
        <f t="shared" si="3"/>
        <v>#N/A</v>
      </c>
      <c r="K234" t="e">
        <f>IF(AND(233&lt;=$P$2, H234="Warning"), C234, NA())</f>
        <v>#N/A</v>
      </c>
      <c r="L234" t="e">
        <f>IF(AND(233&lt;=$P$2, H234="Overgrade"), C234, NA())</f>
        <v>#N/A</v>
      </c>
      <c r="M234">
        <f>IF(233&lt;=COUNTIF(Data_Monitoring!$A$2:$A$2920, Dashboard_Visual!$B$4), INDEX(Data_Monitoring!$S$2:$S$2920, MATCH(Dashboard_Visual!$B$4, Data_Monitoring!$A$2:$A$2920, 0) + 233 - 1), 1)</f>
        <v>1</v>
      </c>
    </row>
    <row r="235" spans="1:13" x14ac:dyDescent="0.25">
      <c r="A235" t="str">
        <f>IF(234&lt;=COUNTIF(Data_Monitoring!$A$2:$A$2920, Dashboard_Visual!$B$4), INDEX(Data_Monitoring!$B$2:$B$2920, MATCH(Dashboard_Visual!$B$4, Data_Monitoring!$A$2:$A$2920, 0) + 234 - 1), "")</f>
        <v/>
      </c>
      <c r="B235" t="str">
        <f>IF(234&lt;=COUNTIF(Data_Monitoring!$A$2:$A$2920, Dashboard_Visual!$B$4), INDEX(Data_Monitoring!$C$2:$C$2920, MATCH(Dashboard_Visual!$B$4, Data_Monitoring!$A$2:$A$2920, 0) + 234 - 1), "")</f>
        <v/>
      </c>
      <c r="C235" t="e">
        <f>IF(234&lt;=COUNTIF(Data_Monitoring!$A$2:$A$2920, Dashboard_Visual!$B$4), INDEX(Data_Monitoring!$J$2:$J$2920, MATCH(Dashboard_Visual!$B$4, Data_Monitoring!$A$2:$A$2920, 0) + 234 - 1), NA())</f>
        <v>#N/A</v>
      </c>
      <c r="D235" t="e">
        <f>IF(234&lt;=COUNTIF(Data_Monitoring!$A$2:$A$2920, Dashboard_Visual!$B$4), INDEX(Data_Monitoring!$K$2:$K$2920, MATCH(Dashboard_Visual!$B$4, Data_Monitoring!$A$2:$A$2920, 0) + 234 - 1), NA())</f>
        <v>#N/A</v>
      </c>
      <c r="E235">
        <f>IF(234&lt;=COUNTIF(Data_Monitoring!$A$2:$A$2920, Dashboard_Visual!$B$4), INDEX(Data_Monitoring!$H$2:$H$2920, MATCH(Dashboard_Visual!$B$4, Data_Monitoring!$A$2:$A$2920, 0) + 234 - 1), 0)</f>
        <v>0</v>
      </c>
      <c r="F235">
        <f>IF(234&lt;=COUNTIF(Data_Monitoring!$A$2:$A$2920, Dashboard_Visual!$B$4), INDEX(Data_Monitoring!$O$2:$O$2920, MATCH(Dashboard_Visual!$B$4, Data_Monitoring!$A$2:$A$2920, 0) + 234 - 1), 0)</f>
        <v>0</v>
      </c>
      <c r="G235">
        <f>IF(234&lt;=COUNTIF(Data_Monitoring!$A$2:$A$2920, Dashboard_Visual!$B$4), INDEX(Data_Monitoring!$Q$2:$Q$2920, MATCH(Dashboard_Visual!$B$4, Data_Monitoring!$A$2:$A$2920, 0) + 234 - 1), 0)</f>
        <v>0</v>
      </c>
      <c r="H235" t="str">
        <f>IF(234&lt;=COUNTIF(Data_Monitoring!$A$2:$A$2920, Dashboard_Visual!$B$4), INDEX(Data_Monitoring!$L$2:$L$2920, MATCH(Dashboard_Visual!$B$4, Data_Monitoring!$A$2:$A$2920, 0) + 234 - 1), "")</f>
        <v/>
      </c>
      <c r="I235" t="str">
        <f>IF(AND(234&lt;=$P$2, ISNUMBER(D235), OR(H235="Warning", H235="Overgrade")), TEXT(ABS(D235)/100, "0.00%"), "")</f>
        <v/>
      </c>
      <c r="J235" t="e">
        <f t="shared" si="3"/>
        <v>#N/A</v>
      </c>
      <c r="K235" t="e">
        <f>IF(AND(234&lt;=$P$2, H235="Warning"), C235, NA())</f>
        <v>#N/A</v>
      </c>
      <c r="L235" t="e">
        <f>IF(AND(234&lt;=$P$2, H235="Overgrade"), C235, NA())</f>
        <v>#N/A</v>
      </c>
      <c r="M235">
        <f>IF(234&lt;=COUNTIF(Data_Monitoring!$A$2:$A$2920, Dashboard_Visual!$B$4), INDEX(Data_Monitoring!$S$2:$S$2920, MATCH(Dashboard_Visual!$B$4, Data_Monitoring!$A$2:$A$2920, 0) + 234 - 1), 1)</f>
        <v>1</v>
      </c>
    </row>
    <row r="236" spans="1:13" x14ac:dyDescent="0.25">
      <c r="A236" t="str">
        <f>IF(235&lt;=COUNTIF(Data_Monitoring!$A$2:$A$2920, Dashboard_Visual!$B$4), INDEX(Data_Monitoring!$B$2:$B$2920, MATCH(Dashboard_Visual!$B$4, Data_Monitoring!$A$2:$A$2920, 0) + 235 - 1), "")</f>
        <v/>
      </c>
      <c r="B236" t="str">
        <f>IF(235&lt;=COUNTIF(Data_Monitoring!$A$2:$A$2920, Dashboard_Visual!$B$4), INDEX(Data_Monitoring!$C$2:$C$2920, MATCH(Dashboard_Visual!$B$4, Data_Monitoring!$A$2:$A$2920, 0) + 235 - 1), "")</f>
        <v/>
      </c>
      <c r="C236" t="e">
        <f>IF(235&lt;=COUNTIF(Data_Monitoring!$A$2:$A$2920, Dashboard_Visual!$B$4), INDEX(Data_Monitoring!$J$2:$J$2920, MATCH(Dashboard_Visual!$B$4, Data_Monitoring!$A$2:$A$2920, 0) + 235 - 1), NA())</f>
        <v>#N/A</v>
      </c>
      <c r="D236" t="e">
        <f>IF(235&lt;=COUNTIF(Data_Monitoring!$A$2:$A$2920, Dashboard_Visual!$B$4), INDEX(Data_Monitoring!$K$2:$K$2920, MATCH(Dashboard_Visual!$B$4, Data_Monitoring!$A$2:$A$2920, 0) + 235 - 1), NA())</f>
        <v>#N/A</v>
      </c>
      <c r="E236">
        <f>IF(235&lt;=COUNTIF(Data_Monitoring!$A$2:$A$2920, Dashboard_Visual!$B$4), INDEX(Data_Monitoring!$H$2:$H$2920, MATCH(Dashboard_Visual!$B$4, Data_Monitoring!$A$2:$A$2920, 0) + 235 - 1), 0)</f>
        <v>0</v>
      </c>
      <c r="F236">
        <f>IF(235&lt;=COUNTIF(Data_Monitoring!$A$2:$A$2920, Dashboard_Visual!$B$4), INDEX(Data_Monitoring!$O$2:$O$2920, MATCH(Dashboard_Visual!$B$4, Data_Monitoring!$A$2:$A$2920, 0) + 235 - 1), 0)</f>
        <v>0</v>
      </c>
      <c r="G236">
        <f>IF(235&lt;=COUNTIF(Data_Monitoring!$A$2:$A$2920, Dashboard_Visual!$B$4), INDEX(Data_Monitoring!$Q$2:$Q$2920, MATCH(Dashboard_Visual!$B$4, Data_Monitoring!$A$2:$A$2920, 0) + 235 - 1), 0)</f>
        <v>0</v>
      </c>
      <c r="H236" t="str">
        <f>IF(235&lt;=COUNTIF(Data_Monitoring!$A$2:$A$2920, Dashboard_Visual!$B$4), INDEX(Data_Monitoring!$L$2:$L$2920, MATCH(Dashboard_Visual!$B$4, Data_Monitoring!$A$2:$A$2920, 0) + 235 - 1), "")</f>
        <v/>
      </c>
      <c r="I236" t="str">
        <f>IF(AND(235&lt;=$P$2, ISNUMBER(D236), OR(H236="Warning", H236="Overgrade")), TEXT(ABS(D236)/100, "0.00%"), "")</f>
        <v/>
      </c>
      <c r="J236" t="e">
        <f t="shared" si="3"/>
        <v>#N/A</v>
      </c>
      <c r="K236" t="e">
        <f>IF(AND(235&lt;=$P$2, H236="Warning"), C236, NA())</f>
        <v>#N/A</v>
      </c>
      <c r="L236" t="e">
        <f>IF(AND(235&lt;=$P$2, H236="Overgrade"), C236, NA())</f>
        <v>#N/A</v>
      </c>
      <c r="M236">
        <f>IF(235&lt;=COUNTIF(Data_Monitoring!$A$2:$A$2920, Dashboard_Visual!$B$4), INDEX(Data_Monitoring!$S$2:$S$2920, MATCH(Dashboard_Visual!$B$4, Data_Monitoring!$A$2:$A$2920, 0) + 235 - 1), 1)</f>
        <v>1</v>
      </c>
    </row>
    <row r="237" spans="1:13" x14ac:dyDescent="0.25">
      <c r="A237" t="str">
        <f>IF(236&lt;=COUNTIF(Data_Monitoring!$A$2:$A$2920, Dashboard_Visual!$B$4), INDEX(Data_Monitoring!$B$2:$B$2920, MATCH(Dashboard_Visual!$B$4, Data_Monitoring!$A$2:$A$2920, 0) + 236 - 1), "")</f>
        <v/>
      </c>
      <c r="B237" t="str">
        <f>IF(236&lt;=COUNTIF(Data_Monitoring!$A$2:$A$2920, Dashboard_Visual!$B$4), INDEX(Data_Monitoring!$C$2:$C$2920, MATCH(Dashboard_Visual!$B$4, Data_Monitoring!$A$2:$A$2920, 0) + 236 - 1), "")</f>
        <v/>
      </c>
      <c r="C237" t="e">
        <f>IF(236&lt;=COUNTIF(Data_Monitoring!$A$2:$A$2920, Dashboard_Visual!$B$4), INDEX(Data_Monitoring!$J$2:$J$2920, MATCH(Dashboard_Visual!$B$4, Data_Monitoring!$A$2:$A$2920, 0) + 236 - 1), NA())</f>
        <v>#N/A</v>
      </c>
      <c r="D237" t="e">
        <f>IF(236&lt;=COUNTIF(Data_Monitoring!$A$2:$A$2920, Dashboard_Visual!$B$4), INDEX(Data_Monitoring!$K$2:$K$2920, MATCH(Dashboard_Visual!$B$4, Data_Monitoring!$A$2:$A$2920, 0) + 236 - 1), NA())</f>
        <v>#N/A</v>
      </c>
      <c r="E237">
        <f>IF(236&lt;=COUNTIF(Data_Monitoring!$A$2:$A$2920, Dashboard_Visual!$B$4), INDEX(Data_Monitoring!$H$2:$H$2920, MATCH(Dashboard_Visual!$B$4, Data_Monitoring!$A$2:$A$2920, 0) + 236 - 1), 0)</f>
        <v>0</v>
      </c>
      <c r="F237">
        <f>IF(236&lt;=COUNTIF(Data_Monitoring!$A$2:$A$2920, Dashboard_Visual!$B$4), INDEX(Data_Monitoring!$O$2:$O$2920, MATCH(Dashboard_Visual!$B$4, Data_Monitoring!$A$2:$A$2920, 0) + 236 - 1), 0)</f>
        <v>0</v>
      </c>
      <c r="G237">
        <f>IF(236&lt;=COUNTIF(Data_Monitoring!$A$2:$A$2920, Dashboard_Visual!$B$4), INDEX(Data_Monitoring!$Q$2:$Q$2920, MATCH(Dashboard_Visual!$B$4, Data_Monitoring!$A$2:$A$2920, 0) + 236 - 1), 0)</f>
        <v>0</v>
      </c>
      <c r="H237" t="str">
        <f>IF(236&lt;=COUNTIF(Data_Monitoring!$A$2:$A$2920, Dashboard_Visual!$B$4), INDEX(Data_Monitoring!$L$2:$L$2920, MATCH(Dashboard_Visual!$B$4, Data_Monitoring!$A$2:$A$2920, 0) + 236 - 1), "")</f>
        <v/>
      </c>
      <c r="I237" t="str">
        <f>IF(AND(236&lt;=$P$2, ISNUMBER(D237), OR(H237="Warning", H237="Overgrade")), TEXT(ABS(D237)/100, "0.00%"), "")</f>
        <v/>
      </c>
      <c r="J237" t="e">
        <f t="shared" si="3"/>
        <v>#N/A</v>
      </c>
      <c r="K237" t="e">
        <f>IF(AND(236&lt;=$P$2, H237="Warning"), C237, NA())</f>
        <v>#N/A</v>
      </c>
      <c r="L237" t="e">
        <f>IF(AND(236&lt;=$P$2, H237="Overgrade"), C237, NA())</f>
        <v>#N/A</v>
      </c>
      <c r="M237">
        <f>IF(236&lt;=COUNTIF(Data_Monitoring!$A$2:$A$2920, Dashboard_Visual!$B$4), INDEX(Data_Monitoring!$S$2:$S$2920, MATCH(Dashboard_Visual!$B$4, Data_Monitoring!$A$2:$A$2920, 0) + 236 - 1), 1)</f>
        <v>1</v>
      </c>
    </row>
    <row r="238" spans="1:13" x14ac:dyDescent="0.25">
      <c r="A238" t="str">
        <f>IF(237&lt;=COUNTIF(Data_Monitoring!$A$2:$A$2920, Dashboard_Visual!$B$4), INDEX(Data_Monitoring!$B$2:$B$2920, MATCH(Dashboard_Visual!$B$4, Data_Monitoring!$A$2:$A$2920, 0) + 237 - 1), "")</f>
        <v/>
      </c>
      <c r="B238" t="str">
        <f>IF(237&lt;=COUNTIF(Data_Monitoring!$A$2:$A$2920, Dashboard_Visual!$B$4), INDEX(Data_Monitoring!$C$2:$C$2920, MATCH(Dashboard_Visual!$B$4, Data_Monitoring!$A$2:$A$2920, 0) + 237 - 1), "")</f>
        <v/>
      </c>
      <c r="C238" t="e">
        <f>IF(237&lt;=COUNTIF(Data_Monitoring!$A$2:$A$2920, Dashboard_Visual!$B$4), INDEX(Data_Monitoring!$J$2:$J$2920, MATCH(Dashboard_Visual!$B$4, Data_Monitoring!$A$2:$A$2920, 0) + 237 - 1), NA())</f>
        <v>#N/A</v>
      </c>
      <c r="D238" t="e">
        <f>IF(237&lt;=COUNTIF(Data_Monitoring!$A$2:$A$2920, Dashboard_Visual!$B$4), INDEX(Data_Monitoring!$K$2:$K$2920, MATCH(Dashboard_Visual!$B$4, Data_Monitoring!$A$2:$A$2920, 0) + 237 - 1), NA())</f>
        <v>#N/A</v>
      </c>
      <c r="E238">
        <f>IF(237&lt;=COUNTIF(Data_Monitoring!$A$2:$A$2920, Dashboard_Visual!$B$4), INDEX(Data_Monitoring!$H$2:$H$2920, MATCH(Dashboard_Visual!$B$4, Data_Monitoring!$A$2:$A$2920, 0) + 237 - 1), 0)</f>
        <v>0</v>
      </c>
      <c r="F238">
        <f>IF(237&lt;=COUNTIF(Data_Monitoring!$A$2:$A$2920, Dashboard_Visual!$B$4), INDEX(Data_Monitoring!$O$2:$O$2920, MATCH(Dashboard_Visual!$B$4, Data_Monitoring!$A$2:$A$2920, 0) + 237 - 1), 0)</f>
        <v>0</v>
      </c>
      <c r="G238">
        <f>IF(237&lt;=COUNTIF(Data_Monitoring!$A$2:$A$2920, Dashboard_Visual!$B$4), INDEX(Data_Monitoring!$Q$2:$Q$2920, MATCH(Dashboard_Visual!$B$4, Data_Monitoring!$A$2:$A$2920, 0) + 237 - 1), 0)</f>
        <v>0</v>
      </c>
      <c r="H238" t="str">
        <f>IF(237&lt;=COUNTIF(Data_Monitoring!$A$2:$A$2920, Dashboard_Visual!$B$4), INDEX(Data_Monitoring!$L$2:$L$2920, MATCH(Dashboard_Visual!$B$4, Data_Monitoring!$A$2:$A$2920, 0) + 237 - 1), "")</f>
        <v/>
      </c>
      <c r="I238" t="str">
        <f>IF(AND(237&lt;=$P$2, ISNUMBER(D238), OR(H238="Warning", H238="Overgrade")), TEXT(ABS(D238)/100, "0.00%"), "")</f>
        <v/>
      </c>
      <c r="J238" t="e">
        <f t="shared" si="3"/>
        <v>#N/A</v>
      </c>
      <c r="K238" t="e">
        <f>IF(AND(237&lt;=$P$2, H238="Warning"), C238, NA())</f>
        <v>#N/A</v>
      </c>
      <c r="L238" t="e">
        <f>IF(AND(237&lt;=$P$2, H238="Overgrade"), C238, NA())</f>
        <v>#N/A</v>
      </c>
      <c r="M238">
        <f>IF(237&lt;=COUNTIF(Data_Monitoring!$A$2:$A$2920, Dashboard_Visual!$B$4), INDEX(Data_Monitoring!$S$2:$S$2920, MATCH(Dashboard_Visual!$B$4, Data_Monitoring!$A$2:$A$2920, 0) + 237 - 1), 1)</f>
        <v>1</v>
      </c>
    </row>
    <row r="239" spans="1:13" x14ac:dyDescent="0.25">
      <c r="A239" t="str">
        <f>IF(238&lt;=COUNTIF(Data_Monitoring!$A$2:$A$2920, Dashboard_Visual!$B$4), INDEX(Data_Monitoring!$B$2:$B$2920, MATCH(Dashboard_Visual!$B$4, Data_Monitoring!$A$2:$A$2920, 0) + 238 - 1), "")</f>
        <v/>
      </c>
      <c r="B239" t="str">
        <f>IF(238&lt;=COUNTIF(Data_Monitoring!$A$2:$A$2920, Dashboard_Visual!$B$4), INDEX(Data_Monitoring!$C$2:$C$2920, MATCH(Dashboard_Visual!$B$4, Data_Monitoring!$A$2:$A$2920, 0) + 238 - 1), "")</f>
        <v/>
      </c>
      <c r="C239" t="e">
        <f>IF(238&lt;=COUNTIF(Data_Monitoring!$A$2:$A$2920, Dashboard_Visual!$B$4), INDEX(Data_Monitoring!$J$2:$J$2920, MATCH(Dashboard_Visual!$B$4, Data_Monitoring!$A$2:$A$2920, 0) + 238 - 1), NA())</f>
        <v>#N/A</v>
      </c>
      <c r="D239" t="e">
        <f>IF(238&lt;=COUNTIF(Data_Monitoring!$A$2:$A$2920, Dashboard_Visual!$B$4), INDEX(Data_Monitoring!$K$2:$K$2920, MATCH(Dashboard_Visual!$B$4, Data_Monitoring!$A$2:$A$2920, 0) + 238 - 1), NA())</f>
        <v>#N/A</v>
      </c>
      <c r="E239">
        <f>IF(238&lt;=COUNTIF(Data_Monitoring!$A$2:$A$2920, Dashboard_Visual!$B$4), INDEX(Data_Monitoring!$H$2:$H$2920, MATCH(Dashboard_Visual!$B$4, Data_Monitoring!$A$2:$A$2920, 0) + 238 - 1), 0)</f>
        <v>0</v>
      </c>
      <c r="F239">
        <f>IF(238&lt;=COUNTIF(Data_Monitoring!$A$2:$A$2920, Dashboard_Visual!$B$4), INDEX(Data_Monitoring!$O$2:$O$2920, MATCH(Dashboard_Visual!$B$4, Data_Monitoring!$A$2:$A$2920, 0) + 238 - 1), 0)</f>
        <v>0</v>
      </c>
      <c r="G239">
        <f>IF(238&lt;=COUNTIF(Data_Monitoring!$A$2:$A$2920, Dashboard_Visual!$B$4), INDEX(Data_Monitoring!$Q$2:$Q$2920, MATCH(Dashboard_Visual!$B$4, Data_Monitoring!$A$2:$A$2920, 0) + 238 - 1), 0)</f>
        <v>0</v>
      </c>
      <c r="H239" t="str">
        <f>IF(238&lt;=COUNTIF(Data_Monitoring!$A$2:$A$2920, Dashboard_Visual!$B$4), INDEX(Data_Monitoring!$L$2:$L$2920, MATCH(Dashboard_Visual!$B$4, Data_Monitoring!$A$2:$A$2920, 0) + 238 - 1), "")</f>
        <v/>
      </c>
      <c r="I239" t="str">
        <f>IF(AND(238&lt;=$P$2, ISNUMBER(D239), OR(H239="Warning", H239="Overgrade")), TEXT(ABS(D239)/100, "0.00%"), "")</f>
        <v/>
      </c>
      <c r="J239" t="e">
        <f t="shared" si="3"/>
        <v>#N/A</v>
      </c>
      <c r="K239" t="e">
        <f>IF(AND(238&lt;=$P$2, H239="Warning"), C239, NA())</f>
        <v>#N/A</v>
      </c>
      <c r="L239" t="e">
        <f>IF(AND(238&lt;=$P$2, H239="Overgrade"), C239, NA())</f>
        <v>#N/A</v>
      </c>
      <c r="M239">
        <f>IF(238&lt;=COUNTIF(Data_Monitoring!$A$2:$A$2920, Dashboard_Visual!$B$4), INDEX(Data_Monitoring!$S$2:$S$2920, MATCH(Dashboard_Visual!$B$4, Data_Monitoring!$A$2:$A$2920, 0) + 238 - 1), 1)</f>
        <v>1</v>
      </c>
    </row>
    <row r="240" spans="1:13" x14ac:dyDescent="0.25">
      <c r="A240" t="str">
        <f>IF(239&lt;=COUNTIF(Data_Monitoring!$A$2:$A$2920, Dashboard_Visual!$B$4), INDEX(Data_Monitoring!$B$2:$B$2920, MATCH(Dashboard_Visual!$B$4, Data_Monitoring!$A$2:$A$2920, 0) + 239 - 1), "")</f>
        <v/>
      </c>
      <c r="B240" t="str">
        <f>IF(239&lt;=COUNTIF(Data_Monitoring!$A$2:$A$2920, Dashboard_Visual!$B$4), INDEX(Data_Monitoring!$C$2:$C$2920, MATCH(Dashboard_Visual!$B$4, Data_Monitoring!$A$2:$A$2920, 0) + 239 - 1), "")</f>
        <v/>
      </c>
      <c r="C240" t="e">
        <f>IF(239&lt;=COUNTIF(Data_Monitoring!$A$2:$A$2920, Dashboard_Visual!$B$4), INDEX(Data_Monitoring!$J$2:$J$2920, MATCH(Dashboard_Visual!$B$4, Data_Monitoring!$A$2:$A$2920, 0) + 239 - 1), NA())</f>
        <v>#N/A</v>
      </c>
      <c r="D240" t="e">
        <f>IF(239&lt;=COUNTIF(Data_Monitoring!$A$2:$A$2920, Dashboard_Visual!$B$4), INDEX(Data_Monitoring!$K$2:$K$2920, MATCH(Dashboard_Visual!$B$4, Data_Monitoring!$A$2:$A$2920, 0) + 239 - 1), NA())</f>
        <v>#N/A</v>
      </c>
      <c r="E240">
        <f>IF(239&lt;=COUNTIF(Data_Monitoring!$A$2:$A$2920, Dashboard_Visual!$B$4), INDEX(Data_Monitoring!$H$2:$H$2920, MATCH(Dashboard_Visual!$B$4, Data_Monitoring!$A$2:$A$2920, 0) + 239 - 1), 0)</f>
        <v>0</v>
      </c>
      <c r="F240">
        <f>IF(239&lt;=COUNTIF(Data_Monitoring!$A$2:$A$2920, Dashboard_Visual!$B$4), INDEX(Data_Monitoring!$O$2:$O$2920, MATCH(Dashboard_Visual!$B$4, Data_Monitoring!$A$2:$A$2920, 0) + 239 - 1), 0)</f>
        <v>0</v>
      </c>
      <c r="G240">
        <f>IF(239&lt;=COUNTIF(Data_Monitoring!$A$2:$A$2920, Dashboard_Visual!$B$4), INDEX(Data_Monitoring!$Q$2:$Q$2920, MATCH(Dashboard_Visual!$B$4, Data_Monitoring!$A$2:$A$2920, 0) + 239 - 1), 0)</f>
        <v>0</v>
      </c>
      <c r="H240" t="str">
        <f>IF(239&lt;=COUNTIF(Data_Monitoring!$A$2:$A$2920, Dashboard_Visual!$B$4), INDEX(Data_Monitoring!$L$2:$L$2920, MATCH(Dashboard_Visual!$B$4, Data_Monitoring!$A$2:$A$2920, 0) + 239 - 1), "")</f>
        <v/>
      </c>
      <c r="I240" t="str">
        <f>IF(AND(239&lt;=$P$2, ISNUMBER(D240), OR(H240="Warning", H240="Overgrade")), TEXT(ABS(D240)/100, "0.00%"), "")</f>
        <v/>
      </c>
      <c r="J240" t="e">
        <f t="shared" si="3"/>
        <v>#N/A</v>
      </c>
      <c r="K240" t="e">
        <f>IF(AND(239&lt;=$P$2, H240="Warning"), C240, NA())</f>
        <v>#N/A</v>
      </c>
      <c r="L240" t="e">
        <f>IF(AND(239&lt;=$P$2, H240="Overgrade"), C240, NA())</f>
        <v>#N/A</v>
      </c>
      <c r="M240">
        <f>IF(239&lt;=COUNTIF(Data_Monitoring!$A$2:$A$2920, Dashboard_Visual!$B$4), INDEX(Data_Monitoring!$S$2:$S$2920, MATCH(Dashboard_Visual!$B$4, Data_Monitoring!$A$2:$A$2920, 0) + 239 - 1), 1)</f>
        <v>1</v>
      </c>
    </row>
    <row r="241" spans="1:13" x14ac:dyDescent="0.25">
      <c r="A241" t="str">
        <f>IF(240&lt;=COUNTIF(Data_Monitoring!$A$2:$A$2920, Dashboard_Visual!$B$4), INDEX(Data_Monitoring!$B$2:$B$2920, MATCH(Dashboard_Visual!$B$4, Data_Monitoring!$A$2:$A$2920, 0) + 240 - 1), "")</f>
        <v/>
      </c>
      <c r="B241" t="str">
        <f>IF(240&lt;=COUNTIF(Data_Monitoring!$A$2:$A$2920, Dashboard_Visual!$B$4), INDEX(Data_Monitoring!$C$2:$C$2920, MATCH(Dashboard_Visual!$B$4, Data_Monitoring!$A$2:$A$2920, 0) + 240 - 1), "")</f>
        <v/>
      </c>
      <c r="C241" t="e">
        <f>IF(240&lt;=COUNTIF(Data_Monitoring!$A$2:$A$2920, Dashboard_Visual!$B$4), INDEX(Data_Monitoring!$J$2:$J$2920, MATCH(Dashboard_Visual!$B$4, Data_Monitoring!$A$2:$A$2920, 0) + 240 - 1), NA())</f>
        <v>#N/A</v>
      </c>
      <c r="D241" t="e">
        <f>IF(240&lt;=COUNTIF(Data_Monitoring!$A$2:$A$2920, Dashboard_Visual!$B$4), INDEX(Data_Monitoring!$K$2:$K$2920, MATCH(Dashboard_Visual!$B$4, Data_Monitoring!$A$2:$A$2920, 0) + 240 - 1), NA())</f>
        <v>#N/A</v>
      </c>
      <c r="E241">
        <f>IF(240&lt;=COUNTIF(Data_Monitoring!$A$2:$A$2920, Dashboard_Visual!$B$4), INDEX(Data_Monitoring!$H$2:$H$2920, MATCH(Dashboard_Visual!$B$4, Data_Monitoring!$A$2:$A$2920, 0) + 240 - 1), 0)</f>
        <v>0</v>
      </c>
      <c r="F241">
        <f>IF(240&lt;=COUNTIF(Data_Monitoring!$A$2:$A$2920, Dashboard_Visual!$B$4), INDEX(Data_Monitoring!$O$2:$O$2920, MATCH(Dashboard_Visual!$B$4, Data_Monitoring!$A$2:$A$2920, 0) + 240 - 1), 0)</f>
        <v>0</v>
      </c>
      <c r="G241">
        <f>IF(240&lt;=COUNTIF(Data_Monitoring!$A$2:$A$2920, Dashboard_Visual!$B$4), INDEX(Data_Monitoring!$Q$2:$Q$2920, MATCH(Dashboard_Visual!$B$4, Data_Monitoring!$A$2:$A$2920, 0) + 240 - 1), 0)</f>
        <v>0</v>
      </c>
      <c r="H241" t="str">
        <f>IF(240&lt;=COUNTIF(Data_Monitoring!$A$2:$A$2920, Dashboard_Visual!$B$4), INDEX(Data_Monitoring!$L$2:$L$2920, MATCH(Dashboard_Visual!$B$4, Data_Monitoring!$A$2:$A$2920, 0) + 240 - 1), "")</f>
        <v/>
      </c>
      <c r="I241" t="str">
        <f>IF(AND(240&lt;=$P$2, ISNUMBER(D241), OR(H241="Warning", H241="Overgrade")), TEXT(ABS(D241)/100, "0.00%"), "")</f>
        <v/>
      </c>
      <c r="J241" t="e">
        <f t="shared" si="3"/>
        <v>#N/A</v>
      </c>
      <c r="K241" t="e">
        <f>IF(AND(240&lt;=$P$2, H241="Warning"), C241, NA())</f>
        <v>#N/A</v>
      </c>
      <c r="L241" t="e">
        <f>IF(AND(240&lt;=$P$2, H241="Overgrade"), C241, NA())</f>
        <v>#N/A</v>
      </c>
      <c r="M241">
        <f>IF(240&lt;=COUNTIF(Data_Monitoring!$A$2:$A$2920, Dashboard_Visual!$B$4), INDEX(Data_Monitoring!$S$2:$S$2920, MATCH(Dashboard_Visual!$B$4, Data_Monitoring!$A$2:$A$2920, 0) + 240 - 1), 1)</f>
        <v>1</v>
      </c>
    </row>
    <row r="242" spans="1:13" x14ac:dyDescent="0.25">
      <c r="A242" t="str">
        <f>IF(241&lt;=COUNTIF(Data_Monitoring!$A$2:$A$2920, Dashboard_Visual!$B$4), INDEX(Data_Monitoring!$B$2:$B$2920, MATCH(Dashboard_Visual!$B$4, Data_Monitoring!$A$2:$A$2920, 0) + 241 - 1), "")</f>
        <v/>
      </c>
      <c r="B242" t="str">
        <f>IF(241&lt;=COUNTIF(Data_Monitoring!$A$2:$A$2920, Dashboard_Visual!$B$4), INDEX(Data_Monitoring!$C$2:$C$2920, MATCH(Dashboard_Visual!$B$4, Data_Monitoring!$A$2:$A$2920, 0) + 241 - 1), "")</f>
        <v/>
      </c>
      <c r="C242" t="e">
        <f>IF(241&lt;=COUNTIF(Data_Monitoring!$A$2:$A$2920, Dashboard_Visual!$B$4), INDEX(Data_Monitoring!$J$2:$J$2920, MATCH(Dashboard_Visual!$B$4, Data_Monitoring!$A$2:$A$2920, 0) + 241 - 1), NA())</f>
        <v>#N/A</v>
      </c>
      <c r="D242" t="e">
        <f>IF(241&lt;=COUNTIF(Data_Monitoring!$A$2:$A$2920, Dashboard_Visual!$B$4), INDEX(Data_Monitoring!$K$2:$K$2920, MATCH(Dashboard_Visual!$B$4, Data_Monitoring!$A$2:$A$2920, 0) + 241 - 1), NA())</f>
        <v>#N/A</v>
      </c>
      <c r="E242">
        <f>IF(241&lt;=COUNTIF(Data_Monitoring!$A$2:$A$2920, Dashboard_Visual!$B$4), INDEX(Data_Monitoring!$H$2:$H$2920, MATCH(Dashboard_Visual!$B$4, Data_Monitoring!$A$2:$A$2920, 0) + 241 - 1), 0)</f>
        <v>0</v>
      </c>
      <c r="F242">
        <f>IF(241&lt;=COUNTIF(Data_Monitoring!$A$2:$A$2920, Dashboard_Visual!$B$4), INDEX(Data_Monitoring!$O$2:$O$2920, MATCH(Dashboard_Visual!$B$4, Data_Monitoring!$A$2:$A$2920, 0) + 241 - 1), 0)</f>
        <v>0</v>
      </c>
      <c r="G242">
        <f>IF(241&lt;=COUNTIF(Data_Monitoring!$A$2:$A$2920, Dashboard_Visual!$B$4), INDEX(Data_Monitoring!$Q$2:$Q$2920, MATCH(Dashboard_Visual!$B$4, Data_Monitoring!$A$2:$A$2920, 0) + 241 - 1), 0)</f>
        <v>0</v>
      </c>
      <c r="H242" t="str">
        <f>IF(241&lt;=COUNTIF(Data_Monitoring!$A$2:$A$2920, Dashboard_Visual!$B$4), INDEX(Data_Monitoring!$L$2:$L$2920, MATCH(Dashboard_Visual!$B$4, Data_Monitoring!$A$2:$A$2920, 0) + 241 - 1), "")</f>
        <v/>
      </c>
      <c r="I242" t="str">
        <f>IF(AND(241&lt;=$P$2, ISNUMBER(D242), OR(H242="Warning", H242="Overgrade")), TEXT(ABS(D242)/100, "0.00%"), "")</f>
        <v/>
      </c>
      <c r="J242" t="e">
        <f t="shared" si="3"/>
        <v>#N/A</v>
      </c>
      <c r="K242" t="e">
        <f>IF(AND(241&lt;=$P$2, H242="Warning"), C242, NA())</f>
        <v>#N/A</v>
      </c>
      <c r="L242" t="e">
        <f>IF(AND(241&lt;=$P$2, H242="Overgrade"), C242, NA())</f>
        <v>#N/A</v>
      </c>
      <c r="M242">
        <f>IF(241&lt;=COUNTIF(Data_Monitoring!$A$2:$A$2920, Dashboard_Visual!$B$4), INDEX(Data_Monitoring!$S$2:$S$2920, MATCH(Dashboard_Visual!$B$4, Data_Monitoring!$A$2:$A$2920, 0) + 241 - 1), 1)</f>
        <v>1</v>
      </c>
    </row>
    <row r="243" spans="1:13" x14ac:dyDescent="0.25">
      <c r="A243" t="str">
        <f>IF(242&lt;=COUNTIF(Data_Monitoring!$A$2:$A$2920, Dashboard_Visual!$B$4), INDEX(Data_Monitoring!$B$2:$B$2920, MATCH(Dashboard_Visual!$B$4, Data_Monitoring!$A$2:$A$2920, 0) + 242 - 1), "")</f>
        <v/>
      </c>
      <c r="B243" t="str">
        <f>IF(242&lt;=COUNTIF(Data_Monitoring!$A$2:$A$2920, Dashboard_Visual!$B$4), INDEX(Data_Monitoring!$C$2:$C$2920, MATCH(Dashboard_Visual!$B$4, Data_Monitoring!$A$2:$A$2920, 0) + 242 - 1), "")</f>
        <v/>
      </c>
      <c r="C243" t="e">
        <f>IF(242&lt;=COUNTIF(Data_Monitoring!$A$2:$A$2920, Dashboard_Visual!$B$4), INDEX(Data_Monitoring!$J$2:$J$2920, MATCH(Dashboard_Visual!$B$4, Data_Monitoring!$A$2:$A$2920, 0) + 242 - 1), NA())</f>
        <v>#N/A</v>
      </c>
      <c r="D243" t="e">
        <f>IF(242&lt;=COUNTIF(Data_Monitoring!$A$2:$A$2920, Dashboard_Visual!$B$4), INDEX(Data_Monitoring!$K$2:$K$2920, MATCH(Dashboard_Visual!$B$4, Data_Monitoring!$A$2:$A$2920, 0) + 242 - 1), NA())</f>
        <v>#N/A</v>
      </c>
      <c r="E243">
        <f>IF(242&lt;=COUNTIF(Data_Monitoring!$A$2:$A$2920, Dashboard_Visual!$B$4), INDEX(Data_Monitoring!$H$2:$H$2920, MATCH(Dashboard_Visual!$B$4, Data_Monitoring!$A$2:$A$2920, 0) + 242 - 1), 0)</f>
        <v>0</v>
      </c>
      <c r="F243">
        <f>IF(242&lt;=COUNTIF(Data_Monitoring!$A$2:$A$2920, Dashboard_Visual!$B$4), INDEX(Data_Monitoring!$O$2:$O$2920, MATCH(Dashboard_Visual!$B$4, Data_Monitoring!$A$2:$A$2920, 0) + 242 - 1), 0)</f>
        <v>0</v>
      </c>
      <c r="G243">
        <f>IF(242&lt;=COUNTIF(Data_Monitoring!$A$2:$A$2920, Dashboard_Visual!$B$4), INDEX(Data_Monitoring!$Q$2:$Q$2920, MATCH(Dashboard_Visual!$B$4, Data_Monitoring!$A$2:$A$2920, 0) + 242 - 1), 0)</f>
        <v>0</v>
      </c>
      <c r="H243" t="str">
        <f>IF(242&lt;=COUNTIF(Data_Monitoring!$A$2:$A$2920, Dashboard_Visual!$B$4), INDEX(Data_Monitoring!$L$2:$L$2920, MATCH(Dashboard_Visual!$B$4, Data_Monitoring!$A$2:$A$2920, 0) + 242 - 1), "")</f>
        <v/>
      </c>
      <c r="I243" t="str">
        <f>IF(AND(242&lt;=$P$2, ISNUMBER(D243), OR(H243="Warning", H243="Overgrade")), TEXT(ABS(D243)/100, "0.00%"), "")</f>
        <v/>
      </c>
      <c r="J243" t="e">
        <f t="shared" si="3"/>
        <v>#N/A</v>
      </c>
      <c r="K243" t="e">
        <f>IF(AND(242&lt;=$P$2, H243="Warning"), C243, NA())</f>
        <v>#N/A</v>
      </c>
      <c r="L243" t="e">
        <f>IF(AND(242&lt;=$P$2, H243="Overgrade"), C243, NA())</f>
        <v>#N/A</v>
      </c>
      <c r="M243">
        <f>IF(242&lt;=COUNTIF(Data_Monitoring!$A$2:$A$2920, Dashboard_Visual!$B$4), INDEX(Data_Monitoring!$S$2:$S$2920, MATCH(Dashboard_Visual!$B$4, Data_Monitoring!$A$2:$A$2920, 0) + 242 - 1), 1)</f>
        <v>1</v>
      </c>
    </row>
    <row r="244" spans="1:13" x14ac:dyDescent="0.25">
      <c r="A244" t="str">
        <f>IF(243&lt;=COUNTIF(Data_Monitoring!$A$2:$A$2920, Dashboard_Visual!$B$4), INDEX(Data_Monitoring!$B$2:$B$2920, MATCH(Dashboard_Visual!$B$4, Data_Monitoring!$A$2:$A$2920, 0) + 243 - 1), "")</f>
        <v/>
      </c>
      <c r="B244" t="str">
        <f>IF(243&lt;=COUNTIF(Data_Monitoring!$A$2:$A$2920, Dashboard_Visual!$B$4), INDEX(Data_Monitoring!$C$2:$C$2920, MATCH(Dashboard_Visual!$B$4, Data_Monitoring!$A$2:$A$2920, 0) + 243 - 1), "")</f>
        <v/>
      </c>
      <c r="C244" t="e">
        <f>IF(243&lt;=COUNTIF(Data_Monitoring!$A$2:$A$2920, Dashboard_Visual!$B$4), INDEX(Data_Monitoring!$J$2:$J$2920, MATCH(Dashboard_Visual!$B$4, Data_Monitoring!$A$2:$A$2920, 0) + 243 - 1), NA())</f>
        <v>#N/A</v>
      </c>
      <c r="D244" t="e">
        <f>IF(243&lt;=COUNTIF(Data_Monitoring!$A$2:$A$2920, Dashboard_Visual!$B$4), INDEX(Data_Monitoring!$K$2:$K$2920, MATCH(Dashboard_Visual!$B$4, Data_Monitoring!$A$2:$A$2920, 0) + 243 - 1), NA())</f>
        <v>#N/A</v>
      </c>
      <c r="E244">
        <f>IF(243&lt;=COUNTIF(Data_Monitoring!$A$2:$A$2920, Dashboard_Visual!$B$4), INDEX(Data_Monitoring!$H$2:$H$2920, MATCH(Dashboard_Visual!$B$4, Data_Monitoring!$A$2:$A$2920, 0) + 243 - 1), 0)</f>
        <v>0</v>
      </c>
      <c r="F244">
        <f>IF(243&lt;=COUNTIF(Data_Monitoring!$A$2:$A$2920, Dashboard_Visual!$B$4), INDEX(Data_Monitoring!$O$2:$O$2920, MATCH(Dashboard_Visual!$B$4, Data_Monitoring!$A$2:$A$2920, 0) + 243 - 1), 0)</f>
        <v>0</v>
      </c>
      <c r="G244">
        <f>IF(243&lt;=COUNTIF(Data_Monitoring!$A$2:$A$2920, Dashboard_Visual!$B$4), INDEX(Data_Monitoring!$Q$2:$Q$2920, MATCH(Dashboard_Visual!$B$4, Data_Monitoring!$A$2:$A$2920, 0) + 243 - 1), 0)</f>
        <v>0</v>
      </c>
      <c r="H244" t="str">
        <f>IF(243&lt;=COUNTIF(Data_Monitoring!$A$2:$A$2920, Dashboard_Visual!$B$4), INDEX(Data_Monitoring!$L$2:$L$2920, MATCH(Dashboard_Visual!$B$4, Data_Monitoring!$A$2:$A$2920, 0) + 243 - 1), "")</f>
        <v/>
      </c>
      <c r="I244" t="str">
        <f>IF(AND(243&lt;=$P$2, ISNUMBER(D244), OR(H244="Warning", H244="Overgrade")), TEXT(ABS(D244)/100, "0.00%"), "")</f>
        <v/>
      </c>
      <c r="J244" t="e">
        <f t="shared" si="3"/>
        <v>#N/A</v>
      </c>
      <c r="K244" t="e">
        <f>IF(AND(243&lt;=$P$2, H244="Warning"), C244, NA())</f>
        <v>#N/A</v>
      </c>
      <c r="L244" t="e">
        <f>IF(AND(243&lt;=$P$2, H244="Overgrade"), C244, NA())</f>
        <v>#N/A</v>
      </c>
      <c r="M244">
        <f>IF(243&lt;=COUNTIF(Data_Monitoring!$A$2:$A$2920, Dashboard_Visual!$B$4), INDEX(Data_Monitoring!$S$2:$S$2920, MATCH(Dashboard_Visual!$B$4, Data_Monitoring!$A$2:$A$2920, 0) + 243 - 1), 1)</f>
        <v>1</v>
      </c>
    </row>
    <row r="245" spans="1:13" x14ac:dyDescent="0.25">
      <c r="A245" t="str">
        <f>IF(244&lt;=COUNTIF(Data_Monitoring!$A$2:$A$2920, Dashboard_Visual!$B$4), INDEX(Data_Monitoring!$B$2:$B$2920, MATCH(Dashboard_Visual!$B$4, Data_Monitoring!$A$2:$A$2920, 0) + 244 - 1), "")</f>
        <v/>
      </c>
      <c r="B245" t="str">
        <f>IF(244&lt;=COUNTIF(Data_Monitoring!$A$2:$A$2920, Dashboard_Visual!$B$4), INDEX(Data_Monitoring!$C$2:$C$2920, MATCH(Dashboard_Visual!$B$4, Data_Monitoring!$A$2:$A$2920, 0) + 244 - 1), "")</f>
        <v/>
      </c>
      <c r="C245" t="e">
        <f>IF(244&lt;=COUNTIF(Data_Monitoring!$A$2:$A$2920, Dashboard_Visual!$B$4), INDEX(Data_Monitoring!$J$2:$J$2920, MATCH(Dashboard_Visual!$B$4, Data_Monitoring!$A$2:$A$2920, 0) + 244 - 1), NA())</f>
        <v>#N/A</v>
      </c>
      <c r="D245" t="e">
        <f>IF(244&lt;=COUNTIF(Data_Monitoring!$A$2:$A$2920, Dashboard_Visual!$B$4), INDEX(Data_Monitoring!$K$2:$K$2920, MATCH(Dashboard_Visual!$B$4, Data_Monitoring!$A$2:$A$2920, 0) + 244 - 1), NA())</f>
        <v>#N/A</v>
      </c>
      <c r="E245">
        <f>IF(244&lt;=COUNTIF(Data_Monitoring!$A$2:$A$2920, Dashboard_Visual!$B$4), INDEX(Data_Monitoring!$H$2:$H$2920, MATCH(Dashboard_Visual!$B$4, Data_Monitoring!$A$2:$A$2920, 0) + 244 - 1), 0)</f>
        <v>0</v>
      </c>
      <c r="F245">
        <f>IF(244&lt;=COUNTIF(Data_Monitoring!$A$2:$A$2920, Dashboard_Visual!$B$4), INDEX(Data_Monitoring!$O$2:$O$2920, MATCH(Dashboard_Visual!$B$4, Data_Monitoring!$A$2:$A$2920, 0) + 244 - 1), 0)</f>
        <v>0</v>
      </c>
      <c r="G245">
        <f>IF(244&lt;=COUNTIF(Data_Monitoring!$A$2:$A$2920, Dashboard_Visual!$B$4), INDEX(Data_Monitoring!$Q$2:$Q$2920, MATCH(Dashboard_Visual!$B$4, Data_Monitoring!$A$2:$A$2920, 0) + 244 - 1), 0)</f>
        <v>0</v>
      </c>
      <c r="H245" t="str">
        <f>IF(244&lt;=COUNTIF(Data_Monitoring!$A$2:$A$2920, Dashboard_Visual!$B$4), INDEX(Data_Monitoring!$L$2:$L$2920, MATCH(Dashboard_Visual!$B$4, Data_Monitoring!$A$2:$A$2920, 0) + 244 - 1), "")</f>
        <v/>
      </c>
      <c r="I245" t="str">
        <f>IF(AND(244&lt;=$P$2, ISNUMBER(D245), OR(H245="Warning", H245="Overgrade")), TEXT(ABS(D245)/100, "0.00%"), "")</f>
        <v/>
      </c>
      <c r="J245" t="e">
        <f t="shared" si="3"/>
        <v>#N/A</v>
      </c>
      <c r="K245" t="e">
        <f>IF(AND(244&lt;=$P$2, H245="Warning"), C245, NA())</f>
        <v>#N/A</v>
      </c>
      <c r="L245" t="e">
        <f>IF(AND(244&lt;=$P$2, H245="Overgrade"), C245, NA())</f>
        <v>#N/A</v>
      </c>
      <c r="M245">
        <f>IF(244&lt;=COUNTIF(Data_Monitoring!$A$2:$A$2920, Dashboard_Visual!$B$4), INDEX(Data_Monitoring!$S$2:$S$2920, MATCH(Dashboard_Visual!$B$4, Data_Monitoring!$A$2:$A$2920, 0) + 244 - 1), 1)</f>
        <v>1</v>
      </c>
    </row>
    <row r="246" spans="1:13" x14ac:dyDescent="0.25">
      <c r="A246" t="str">
        <f>IF(245&lt;=COUNTIF(Data_Monitoring!$A$2:$A$2920, Dashboard_Visual!$B$4), INDEX(Data_Monitoring!$B$2:$B$2920, MATCH(Dashboard_Visual!$B$4, Data_Monitoring!$A$2:$A$2920, 0) + 245 - 1), "")</f>
        <v/>
      </c>
      <c r="B246" t="str">
        <f>IF(245&lt;=COUNTIF(Data_Monitoring!$A$2:$A$2920, Dashboard_Visual!$B$4), INDEX(Data_Monitoring!$C$2:$C$2920, MATCH(Dashboard_Visual!$B$4, Data_Monitoring!$A$2:$A$2920, 0) + 245 - 1), "")</f>
        <v/>
      </c>
      <c r="C246" t="e">
        <f>IF(245&lt;=COUNTIF(Data_Monitoring!$A$2:$A$2920, Dashboard_Visual!$B$4), INDEX(Data_Monitoring!$J$2:$J$2920, MATCH(Dashboard_Visual!$B$4, Data_Monitoring!$A$2:$A$2920, 0) + 245 - 1), NA())</f>
        <v>#N/A</v>
      </c>
      <c r="D246" t="e">
        <f>IF(245&lt;=COUNTIF(Data_Monitoring!$A$2:$A$2920, Dashboard_Visual!$B$4), INDEX(Data_Monitoring!$K$2:$K$2920, MATCH(Dashboard_Visual!$B$4, Data_Monitoring!$A$2:$A$2920, 0) + 245 - 1), NA())</f>
        <v>#N/A</v>
      </c>
      <c r="E246">
        <f>IF(245&lt;=COUNTIF(Data_Monitoring!$A$2:$A$2920, Dashboard_Visual!$B$4), INDEX(Data_Monitoring!$H$2:$H$2920, MATCH(Dashboard_Visual!$B$4, Data_Monitoring!$A$2:$A$2920, 0) + 245 - 1), 0)</f>
        <v>0</v>
      </c>
      <c r="F246">
        <f>IF(245&lt;=COUNTIF(Data_Monitoring!$A$2:$A$2920, Dashboard_Visual!$B$4), INDEX(Data_Monitoring!$O$2:$O$2920, MATCH(Dashboard_Visual!$B$4, Data_Monitoring!$A$2:$A$2920, 0) + 245 - 1), 0)</f>
        <v>0</v>
      </c>
      <c r="G246">
        <f>IF(245&lt;=COUNTIF(Data_Monitoring!$A$2:$A$2920, Dashboard_Visual!$B$4), INDEX(Data_Monitoring!$Q$2:$Q$2920, MATCH(Dashboard_Visual!$B$4, Data_Monitoring!$A$2:$A$2920, 0) + 245 - 1), 0)</f>
        <v>0</v>
      </c>
      <c r="H246" t="str">
        <f>IF(245&lt;=COUNTIF(Data_Monitoring!$A$2:$A$2920, Dashboard_Visual!$B$4), INDEX(Data_Monitoring!$L$2:$L$2920, MATCH(Dashboard_Visual!$B$4, Data_Monitoring!$A$2:$A$2920, 0) + 245 - 1), "")</f>
        <v/>
      </c>
      <c r="I246" t="str">
        <f>IF(AND(245&lt;=$P$2, ISNUMBER(D246), OR(H246="Warning", H246="Overgrade")), TEXT(ABS(D246)/100, "0.00%"), "")</f>
        <v/>
      </c>
      <c r="J246" t="e">
        <f t="shared" si="3"/>
        <v>#N/A</v>
      </c>
      <c r="K246" t="e">
        <f>IF(AND(245&lt;=$P$2, H246="Warning"), C246, NA())</f>
        <v>#N/A</v>
      </c>
      <c r="L246" t="e">
        <f>IF(AND(245&lt;=$P$2, H246="Overgrade"), C246, NA())</f>
        <v>#N/A</v>
      </c>
      <c r="M246">
        <f>IF(245&lt;=COUNTIF(Data_Monitoring!$A$2:$A$2920, Dashboard_Visual!$B$4), INDEX(Data_Monitoring!$S$2:$S$2920, MATCH(Dashboard_Visual!$B$4, Data_Monitoring!$A$2:$A$2920, 0) + 245 - 1), 1)</f>
        <v>1</v>
      </c>
    </row>
    <row r="247" spans="1:13" x14ac:dyDescent="0.25">
      <c r="A247" t="str">
        <f>IF(246&lt;=COUNTIF(Data_Monitoring!$A$2:$A$2920, Dashboard_Visual!$B$4), INDEX(Data_Monitoring!$B$2:$B$2920, MATCH(Dashboard_Visual!$B$4, Data_Monitoring!$A$2:$A$2920, 0) + 246 - 1), "")</f>
        <v/>
      </c>
      <c r="B247" t="str">
        <f>IF(246&lt;=COUNTIF(Data_Monitoring!$A$2:$A$2920, Dashboard_Visual!$B$4), INDEX(Data_Monitoring!$C$2:$C$2920, MATCH(Dashboard_Visual!$B$4, Data_Monitoring!$A$2:$A$2920, 0) + 246 - 1), "")</f>
        <v/>
      </c>
      <c r="C247" t="e">
        <f>IF(246&lt;=COUNTIF(Data_Monitoring!$A$2:$A$2920, Dashboard_Visual!$B$4), INDEX(Data_Monitoring!$J$2:$J$2920, MATCH(Dashboard_Visual!$B$4, Data_Monitoring!$A$2:$A$2920, 0) + 246 - 1), NA())</f>
        <v>#N/A</v>
      </c>
      <c r="D247" t="e">
        <f>IF(246&lt;=COUNTIF(Data_Monitoring!$A$2:$A$2920, Dashboard_Visual!$B$4), INDEX(Data_Monitoring!$K$2:$K$2920, MATCH(Dashboard_Visual!$B$4, Data_Monitoring!$A$2:$A$2920, 0) + 246 - 1), NA())</f>
        <v>#N/A</v>
      </c>
      <c r="E247">
        <f>IF(246&lt;=COUNTIF(Data_Monitoring!$A$2:$A$2920, Dashboard_Visual!$B$4), INDEX(Data_Monitoring!$H$2:$H$2920, MATCH(Dashboard_Visual!$B$4, Data_Monitoring!$A$2:$A$2920, 0) + 246 - 1), 0)</f>
        <v>0</v>
      </c>
      <c r="F247">
        <f>IF(246&lt;=COUNTIF(Data_Monitoring!$A$2:$A$2920, Dashboard_Visual!$B$4), INDEX(Data_Monitoring!$O$2:$O$2920, MATCH(Dashboard_Visual!$B$4, Data_Monitoring!$A$2:$A$2920, 0) + 246 - 1), 0)</f>
        <v>0</v>
      </c>
      <c r="G247">
        <f>IF(246&lt;=COUNTIF(Data_Monitoring!$A$2:$A$2920, Dashboard_Visual!$B$4), INDEX(Data_Monitoring!$Q$2:$Q$2920, MATCH(Dashboard_Visual!$B$4, Data_Monitoring!$A$2:$A$2920, 0) + 246 - 1), 0)</f>
        <v>0</v>
      </c>
      <c r="H247" t="str">
        <f>IF(246&lt;=COUNTIF(Data_Monitoring!$A$2:$A$2920, Dashboard_Visual!$B$4), INDEX(Data_Monitoring!$L$2:$L$2920, MATCH(Dashboard_Visual!$B$4, Data_Monitoring!$A$2:$A$2920, 0) + 246 - 1), "")</f>
        <v/>
      </c>
      <c r="I247" t="str">
        <f>IF(AND(246&lt;=$P$2, ISNUMBER(D247), OR(H247="Warning", H247="Overgrade")), TEXT(ABS(D247)/100, "0.00%"), "")</f>
        <v/>
      </c>
      <c r="J247" t="e">
        <f t="shared" si="3"/>
        <v>#N/A</v>
      </c>
      <c r="K247" t="e">
        <f>IF(AND(246&lt;=$P$2, H247="Warning"), C247, NA())</f>
        <v>#N/A</v>
      </c>
      <c r="L247" t="e">
        <f>IF(AND(246&lt;=$P$2, H247="Overgrade"), C247, NA())</f>
        <v>#N/A</v>
      </c>
      <c r="M247">
        <f>IF(246&lt;=COUNTIF(Data_Monitoring!$A$2:$A$2920, Dashboard_Visual!$B$4), INDEX(Data_Monitoring!$S$2:$S$2920, MATCH(Dashboard_Visual!$B$4, Data_Monitoring!$A$2:$A$2920, 0) + 246 - 1), 1)</f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248"/>
  <sheetViews>
    <sheetView tabSelected="1" zoomScale="85" zoomScaleNormal="85" workbookViewId="0">
      <selection activeCell="AA11" sqref="AA11"/>
    </sheetView>
  </sheetViews>
  <sheetFormatPr defaultRowHeight="15" x14ac:dyDescent="0.25"/>
  <cols>
    <col min="1" max="1" width="24.7109375" customWidth="1"/>
    <col min="2" max="2" width="18.7109375" customWidth="1"/>
    <col min="3" max="3" width="16.7109375" customWidth="1"/>
    <col min="4" max="4" width="12.7109375" customWidth="1"/>
    <col min="21" max="21" width="14.7109375" customWidth="1"/>
    <col min="22" max="22" width="18.7109375" customWidth="1"/>
  </cols>
  <sheetData>
    <row r="1" spans="1:22" ht="18.75" x14ac:dyDescent="0.3">
      <c r="A1" s="4" t="s">
        <v>3235</v>
      </c>
      <c r="H1">
        <f>0</f>
        <v>0</v>
      </c>
      <c r="I1">
        <f>IF(ISNUMBER(B5), B5, 30)</f>
        <v>32.049999999999997</v>
      </c>
      <c r="J1">
        <f>A12/2</f>
        <v>8.11</v>
      </c>
      <c r="K1">
        <f>(B11+B12)/2</f>
        <v>100.66</v>
      </c>
      <c r="L1" t="e">
        <f>IF(AND(ABS(B6)&gt;=2, ABS(B6)&lt;=4), K1, NA())</f>
        <v>#N/A</v>
      </c>
      <c r="M1">
        <f>IF(OR(ABS(B6)&lt;2, ABS(B6)&gt;4), K1, NA())</f>
        <v>100.66</v>
      </c>
    </row>
    <row r="2" spans="1:22" x14ac:dyDescent="0.25">
      <c r="H2">
        <f>IF(ISNUMBER(B12), ROUND(B12, 0) - 2, 0)</f>
        <v>99</v>
      </c>
      <c r="I2">
        <f>IF(ISNUMBER(B12), ROUND(B12, 0) + 2, 4)</f>
        <v>103</v>
      </c>
      <c r="J2">
        <f>(A12+A13)/2</f>
        <v>24.134999999999998</v>
      </c>
      <c r="K2">
        <f>(B12+B13)/2</f>
        <v>100.28</v>
      </c>
      <c r="L2">
        <f>IF(AND(ABS(B7)&gt;=2, ABS(B7)&lt;=4), K2, NA())</f>
        <v>100.28</v>
      </c>
      <c r="M2" t="e">
        <f>IF(OR(ABS(B7)&lt;2, ABS(B7)&gt;4), K2, NA())</f>
        <v>#N/A</v>
      </c>
      <c r="U2" s="2" t="s">
        <v>1</v>
      </c>
      <c r="V2" s="2" t="s">
        <v>12</v>
      </c>
    </row>
    <row r="3" spans="1:22" x14ac:dyDescent="0.25">
      <c r="A3" s="5" t="s">
        <v>3236</v>
      </c>
      <c r="B3" s="6" t="s">
        <v>58</v>
      </c>
      <c r="U3" s="7" t="str">
        <f>IF(1&lt;=COUNTIF(Data_Monitoring!$A$2:$A$2920, Dashboard_Visual!$B$4), INDEX(Data_Monitoring!$B$2:$B$2920, MATCH(Dashboard_Visual!$B$4, Data_Monitoring!$A$2:$A$2920, 0) + 1 - 1), "")</f>
        <v>0+000</v>
      </c>
      <c r="V3" s="8">
        <f>IF(1&lt;=COUNTIF(Data_Monitoring!$A$2:$A$2920, Dashboard_Visual!$B$4), INDEX(Data_Monitoring!$M$2:$M$2920, MATCH(Dashboard_Visual!$B$4, Data_Monitoring!$A$2:$A$2920, 0) + 1 - 1), "")</f>
        <v>0</v>
      </c>
    </row>
    <row r="4" spans="1:22" x14ac:dyDescent="0.25">
      <c r="A4" s="5" t="s">
        <v>3237</v>
      </c>
      <c r="B4" s="6" t="s">
        <v>19</v>
      </c>
      <c r="U4" s="7" t="str">
        <f>IF(2&lt;=COUNTIF(Data_Monitoring!$A$2:$A$2920, Dashboard_Visual!$B$4), INDEX(Data_Monitoring!$B$2:$B$2920, MATCH(Dashboard_Visual!$B$4, Data_Monitoring!$A$2:$A$2920, 0) + 2 - 1), "")</f>
        <v>0+020</v>
      </c>
      <c r="V4" s="8">
        <f>IF(2&lt;=COUNTIF(Data_Monitoring!$A$2:$A$2920, Dashboard_Visual!$B$4), INDEX(Data_Monitoring!$M$2:$M$2920, MATCH(Dashboard_Visual!$B$4, Data_Monitoring!$A$2:$A$2920, 0) + 2 - 1), "")</f>
        <v>1.78E-2</v>
      </c>
    </row>
    <row r="5" spans="1:22" x14ac:dyDescent="0.25">
      <c r="A5" s="9" t="s">
        <v>3238</v>
      </c>
      <c r="B5" s="10">
        <f>IFERROR(VLOOKUP(Chart_Data!$N$2, Chart_Data!$A$2:$G$247, 5, FALSE), 0)</f>
        <v>32.049999999999997</v>
      </c>
      <c r="U5" s="7" t="str">
        <f>IF(3&lt;=COUNTIF(Data_Monitoring!$A$2:$A$2920, Dashboard_Visual!$B$4), INDEX(Data_Monitoring!$B$2:$B$2920, MATCH(Dashboard_Visual!$B$4, Data_Monitoring!$A$2:$A$2920, 0) + 3 - 1), "")</f>
        <v>0+040</v>
      </c>
      <c r="V5" s="8">
        <f>IF(3&lt;=COUNTIF(Data_Monitoring!$A$2:$A$2920, Dashboard_Visual!$B$4), INDEX(Data_Monitoring!$M$2:$M$2920, MATCH(Dashboard_Visual!$B$4, Data_Monitoring!$A$2:$A$2920, 0) + 3 - 1), "")</f>
        <v>7.6E-3</v>
      </c>
    </row>
    <row r="6" spans="1:22" x14ac:dyDescent="0.25">
      <c r="A6" s="9" t="s">
        <v>3239</v>
      </c>
      <c r="B6" s="10">
        <f>IFERROR(VLOOKUP(Chart_Data!$N$2, Chart_Data!$A$2:$G$247, 6, FALSE), 0)</f>
        <v>-1.82</v>
      </c>
      <c r="C6" s="11">
        <f>ABS(B6)/100</f>
        <v>1.8200000000000001E-2</v>
      </c>
      <c r="U6" s="7" t="str">
        <f>IF(4&lt;=COUNTIF(Data_Monitoring!$A$2:$A$2920, Dashboard_Visual!$B$4), INDEX(Data_Monitoring!$B$2:$B$2920, MATCH(Dashboard_Visual!$B$4, Data_Monitoring!$A$2:$A$2920, 0) + 4 - 1), "")</f>
        <v>0+060</v>
      </c>
      <c r="V6" s="8">
        <f>IF(4&lt;=COUNTIF(Data_Monitoring!$A$2:$A$2920, Dashboard_Visual!$B$4), INDEX(Data_Monitoring!$M$2:$M$2920, MATCH(Dashboard_Visual!$B$4, Data_Monitoring!$A$2:$A$2920, 0) + 4 - 1), "")</f>
        <v>2.2800000000000001E-2</v>
      </c>
    </row>
    <row r="7" spans="1:22" x14ac:dyDescent="0.25">
      <c r="A7" s="9" t="s">
        <v>3240</v>
      </c>
      <c r="B7" s="10">
        <f>IFERROR(VLOOKUP(Chart_Data!$N$2, Chart_Data!$A$2:$G$247, 7, FALSE), 0)</f>
        <v>3.59</v>
      </c>
      <c r="C7" s="11">
        <f>ABS(B7)/100</f>
        <v>3.5900000000000001E-2</v>
      </c>
      <c r="U7" s="7" t="str">
        <f>IF(5&lt;=COUNTIF(Data_Monitoring!$A$2:$A$2920, Dashboard_Visual!$B$4), INDEX(Data_Monitoring!$B$2:$B$2920, MATCH(Dashboard_Visual!$B$4, Data_Monitoring!$A$2:$A$2920, 0) + 5 - 1), "")</f>
        <v>0+080</v>
      </c>
      <c r="V7" s="8">
        <f>IF(5&lt;=COUNTIF(Data_Monitoring!$A$2:$A$2920, Dashboard_Visual!$B$4), INDEX(Data_Monitoring!$M$2:$M$2920, MATCH(Dashboard_Visual!$B$4, Data_Monitoring!$A$2:$A$2920, 0) + 5 - 1), "")</f>
        <v>3.8300000000000001E-2</v>
      </c>
    </row>
    <row r="8" spans="1:22" x14ac:dyDescent="0.25">
      <c r="A8" s="9" t="s">
        <v>3241</v>
      </c>
      <c r="B8" s="10">
        <f>IFERROR((B11 - B13) / B5, 0)</f>
        <v>2.3712948517940879E-2</v>
      </c>
      <c r="C8" s="11">
        <f>IFERROR(ABS((B11 - B13) / B5), 0)</f>
        <v>2.3712948517940879E-2</v>
      </c>
      <c r="D8" t="str">
        <f>"Overall Grade" &amp; CHAR(10) &amp; TEXT(C8, "0.00%")</f>
        <v>Overall Grade
002%</v>
      </c>
      <c r="U8" s="7" t="str">
        <f>IF(6&lt;=COUNTIF(Data_Monitoring!$A$2:$A$2920, Dashboard_Visual!$B$4), INDEX(Data_Monitoring!$B$2:$B$2920, MATCH(Dashboard_Visual!$B$4, Data_Monitoring!$A$2:$A$2920, 0) + 6 - 1), "")</f>
        <v>0+100</v>
      </c>
      <c r="V8" s="8">
        <f>IF(6&lt;=COUNTIF(Data_Monitoring!$A$2:$A$2920, Dashboard_Visual!$B$4), INDEX(Data_Monitoring!$M$2:$M$2920, MATCH(Dashboard_Visual!$B$4, Data_Monitoring!$A$2:$A$2920, 0) + 6 - 1), "")</f>
        <v>1.4800000000000001E-2</v>
      </c>
    </row>
    <row r="9" spans="1:22" x14ac:dyDescent="0.25">
      <c r="U9" s="7" t="str">
        <f>IF(7&lt;=COUNTIF(Data_Monitoring!$A$2:$A$2920, Dashboard_Visual!$B$4), INDEX(Data_Monitoring!$B$2:$B$2920, MATCH(Dashboard_Visual!$B$4, Data_Monitoring!$A$2:$A$2920, 0) + 7 - 1), "")</f>
        <v>0+120</v>
      </c>
      <c r="V9" s="8">
        <f>IF(7&lt;=COUNTIF(Data_Monitoring!$A$2:$A$2920, Dashboard_Visual!$B$4), INDEX(Data_Monitoring!$M$2:$M$2920, MATCH(Dashboard_Visual!$B$4, Data_Monitoring!$A$2:$A$2920, 0) + 7 - 1), "")</f>
        <v>7.9000000000000008E-3</v>
      </c>
    </row>
    <row r="10" spans="1:22" x14ac:dyDescent="0.25">
      <c r="A10" s="2" t="s">
        <v>3242</v>
      </c>
      <c r="B10" s="2" t="s">
        <v>3243</v>
      </c>
      <c r="U10" s="7" t="str">
        <f>IF(8&lt;=COUNTIF(Data_Monitoring!$A$2:$A$2920, Dashboard_Visual!$B$4), INDEX(Data_Monitoring!$B$2:$B$2920, MATCH(Dashboard_Visual!$B$4, Data_Monitoring!$A$2:$A$2920, 0) + 8 - 1), "")</f>
        <v>0+140</v>
      </c>
      <c r="V10" s="8">
        <f>IF(8&lt;=COUNTIF(Data_Monitoring!$A$2:$A$2920, Dashboard_Visual!$B$4), INDEX(Data_Monitoring!$M$2:$M$2920, MATCH(Dashboard_Visual!$B$4, Data_Monitoring!$A$2:$A$2920, 0) + 8 - 1), "")</f>
        <v>1E-4</v>
      </c>
    </row>
    <row r="11" spans="1:22" x14ac:dyDescent="0.25">
      <c r="A11">
        <f>IFERROR(INDEX(CrossSection_3Pts!$E$2:$E$8758, MATCH($B$4&amp;"_"&amp;Chart_Data!$N$2, CrossSection_3Pts!$A$2:$A$8758, 0) + 0), NA())</f>
        <v>0</v>
      </c>
      <c r="B11">
        <f>IFERROR(INDEX(CrossSection_3Pts!$F$2:$F$8758, MATCH($B$4&amp;"_"&amp;Chart_Data!$N$2, CrossSection_3Pts!$A$2:$A$8758, 0) + 0), NA())</f>
        <v>100.79</v>
      </c>
      <c r="U11" s="7" t="str">
        <f>IF(9&lt;=COUNTIF(Data_Monitoring!$A$2:$A$2920, Dashboard_Visual!$B$4), INDEX(Data_Monitoring!$B$2:$B$2920, MATCH(Dashboard_Visual!$B$4, Data_Monitoring!$A$2:$A$2920, 0) + 9 - 1), "")</f>
        <v>0+160</v>
      </c>
      <c r="V11" s="8">
        <f>IF(9&lt;=COUNTIF(Data_Monitoring!$A$2:$A$2920, Dashboard_Visual!$B$4), INDEX(Data_Monitoring!$M$2:$M$2920, MATCH(Dashboard_Visual!$B$4, Data_Monitoring!$A$2:$A$2920, 0) + 9 - 1), "")</f>
        <v>3.7000000000000002E-3</v>
      </c>
    </row>
    <row r="12" spans="1:22" x14ac:dyDescent="0.25">
      <c r="A12">
        <f>IFERROR(INDEX(CrossSection_3Pts!$E$2:$E$8758, MATCH($B$4&amp;"_"&amp;Chart_Data!$N$2, CrossSection_3Pts!$A$2:$A$8758, 0) + 1), NA())</f>
        <v>16.22</v>
      </c>
      <c r="B12">
        <f>IFERROR(INDEX(CrossSection_3Pts!$F$2:$F$8758, MATCH($B$4&amp;"_"&amp;Chart_Data!$N$2, CrossSection_3Pts!$A$2:$A$8758, 0) + 1), NA())</f>
        <v>100.53</v>
      </c>
      <c r="U12" s="7" t="str">
        <f>IF(10&lt;=COUNTIF(Data_Monitoring!$A$2:$A$2920, Dashboard_Visual!$B$4), INDEX(Data_Monitoring!$B$2:$B$2920, MATCH(Dashboard_Visual!$B$4, Data_Monitoring!$A$2:$A$2920, 0) + 10 - 1), "")</f>
        <v>0+180</v>
      </c>
      <c r="V12" s="8">
        <f>IF(10&lt;=COUNTIF(Data_Monitoring!$A$2:$A$2920, Dashboard_Visual!$B$4), INDEX(Data_Monitoring!$M$2:$M$2920, MATCH(Dashboard_Visual!$B$4, Data_Monitoring!$A$2:$A$2920, 0) + 10 - 1), "")</f>
        <v>4.8999999999999998E-3</v>
      </c>
    </row>
    <row r="13" spans="1:22" x14ac:dyDescent="0.25">
      <c r="A13">
        <f>IFERROR(INDEX(CrossSection_3Pts!$E$2:$E$8758, MATCH($B$4&amp;"_"&amp;Chart_Data!$N$2, CrossSection_3Pts!$A$2:$A$8758, 0) + 2), NA())</f>
        <v>32.049999999999997</v>
      </c>
      <c r="B13">
        <f>IFERROR(INDEX(CrossSection_3Pts!$F$2:$F$8758, MATCH($B$4&amp;"_"&amp;Chart_Data!$N$2, CrossSection_3Pts!$A$2:$A$8758, 0) + 2), NA())</f>
        <v>100.03</v>
      </c>
      <c r="U13" s="7" t="str">
        <f>IF(11&lt;=COUNTIF(Data_Monitoring!$A$2:$A$2920, Dashboard_Visual!$B$4), INDEX(Data_Monitoring!$B$2:$B$2920, MATCH(Dashboard_Visual!$B$4, Data_Monitoring!$A$2:$A$2920, 0) + 11 - 1), "")</f>
        <v>0+200</v>
      </c>
      <c r="V13" s="8">
        <f>IF(11&lt;=COUNTIF(Data_Monitoring!$A$2:$A$2920, Dashboard_Visual!$B$4), INDEX(Data_Monitoring!$M$2:$M$2920, MATCH(Dashboard_Visual!$B$4, Data_Monitoring!$A$2:$A$2920, 0) + 11 - 1), "")</f>
        <v>1.38E-2</v>
      </c>
    </row>
    <row r="14" spans="1:22" x14ac:dyDescent="0.25">
      <c r="U14" s="7" t="str">
        <f>IF(12&lt;=COUNTIF(Data_Monitoring!$A$2:$A$2920, Dashboard_Visual!$B$4), INDEX(Data_Monitoring!$B$2:$B$2920, MATCH(Dashboard_Visual!$B$4, Data_Monitoring!$A$2:$A$2920, 0) + 12 - 1), "")</f>
        <v>0+220</v>
      </c>
      <c r="V14" s="8">
        <f>IF(12&lt;=COUNTIF(Data_Monitoring!$A$2:$A$2920, Dashboard_Visual!$B$4), INDEX(Data_Monitoring!$M$2:$M$2920, MATCH(Dashboard_Visual!$B$4, Data_Monitoring!$A$2:$A$2920, 0) + 12 - 1), "")</f>
        <v>1.47E-2</v>
      </c>
    </row>
    <row r="15" spans="1:22" ht="15.75" x14ac:dyDescent="0.25">
      <c r="A15" s="12" t="s">
        <v>3244</v>
      </c>
      <c r="U15" s="7" t="str">
        <f>IF(13&lt;=COUNTIF(Data_Monitoring!$A$2:$A$2920, Dashboard_Visual!$B$4), INDEX(Data_Monitoring!$B$2:$B$2920, MATCH(Dashboard_Visual!$B$4, Data_Monitoring!$A$2:$A$2920, 0) + 13 - 1), "")</f>
        <v>0+240</v>
      </c>
      <c r="V15" s="8">
        <f>IF(13&lt;=COUNTIF(Data_Monitoring!$A$2:$A$2920, Dashboard_Visual!$B$4), INDEX(Data_Monitoring!$M$2:$M$2920, MATCH(Dashboard_Visual!$B$4, Data_Monitoring!$A$2:$A$2920, 0) + 13 - 1), "")</f>
        <v>6.5000000000000006E-3</v>
      </c>
    </row>
    <row r="16" spans="1:22" x14ac:dyDescent="0.25">
      <c r="A16" s="13" t="s">
        <v>3245</v>
      </c>
      <c r="B16" s="14">
        <f>IFERROR(MAX(Chart_Data!$B$2:$B$247), 0)</f>
        <v>1006.857</v>
      </c>
      <c r="C16" s="13" t="s">
        <v>3251</v>
      </c>
      <c r="D16" s="14">
        <f>COUNTIFS(Data_Monitoring!$A$2:$A$2920, Dashboard_Visual!$B$4, Data_Monitoring!$I$2:$I$2920, "Standard")</f>
        <v>51</v>
      </c>
      <c r="U16" s="7" t="str">
        <f>IF(14&lt;=COUNTIF(Data_Monitoring!$A$2:$A$2920, Dashboard_Visual!$B$4), INDEX(Data_Monitoring!$B$2:$B$2920, MATCH(Dashboard_Visual!$B$4, Data_Monitoring!$A$2:$A$2920, 0) + 14 - 1), "")</f>
        <v>0+260</v>
      </c>
      <c r="V16" s="8">
        <f>IF(14&lt;=COUNTIF(Data_Monitoring!$A$2:$A$2920, Dashboard_Visual!$B$4), INDEX(Data_Monitoring!$M$2:$M$2920, MATCH(Dashboard_Visual!$B$4, Data_Monitoring!$A$2:$A$2920, 0) + 14 - 1), "")</f>
        <v>3.3999999999999998E-3</v>
      </c>
    </row>
    <row r="17" spans="1:22" x14ac:dyDescent="0.25">
      <c r="A17" s="13" t="s">
        <v>3246</v>
      </c>
      <c r="B17" s="14">
        <f>COUNTIFS(Data_Monitoring!$A$2:$A$2920, Dashboard_Visual!$B$4, Data_Monitoring!$N$2:$N$2920, "Flat") * 20</f>
        <v>600</v>
      </c>
      <c r="C17" s="13" t="s">
        <v>3252</v>
      </c>
      <c r="D17" s="14">
        <f>COUNTIFS(Data_Monitoring!$A$2:$A$2920, Dashboard_Visual!$B$4, Data_Monitoring!$I$2:$I$2920, "Nonstandard")</f>
        <v>1</v>
      </c>
      <c r="U17" s="7" t="str">
        <f>IF(15&lt;=COUNTIF(Data_Monitoring!$A$2:$A$2920, Dashboard_Visual!$B$4), INDEX(Data_Monitoring!$B$2:$B$2920, MATCH(Dashboard_Visual!$B$4, Data_Monitoring!$A$2:$A$2920, 0) + 15 - 1), "")</f>
        <v>0+280</v>
      </c>
      <c r="V17" s="8">
        <f>IF(15&lt;=COUNTIF(Data_Monitoring!$A$2:$A$2920, Dashboard_Visual!$B$4), INDEX(Data_Monitoring!$M$2:$M$2920, MATCH(Dashboard_Visual!$B$4, Data_Monitoring!$A$2:$A$2920, 0) + 15 - 1), "")</f>
        <v>4.5000000000000014E-3</v>
      </c>
    </row>
    <row r="18" spans="1:22" x14ac:dyDescent="0.25">
      <c r="A18" s="13" t="s">
        <v>3247</v>
      </c>
      <c r="B18" s="14">
        <f>COUNTIFS(Data_Monitoring!$A$2:$A$2920, Dashboard_Visual!$B$4, Data_Monitoring!$N$2:$N$2920, "Tanjakan/Turunan") * 20</f>
        <v>420</v>
      </c>
      <c r="C18" s="13" t="s">
        <v>3253</v>
      </c>
      <c r="D18" s="14">
        <f>COUNTIFS(Data_Monitoring!$A$2:$A$2920, Dashboard_Visual!$B$4, Data_Monitoring!$P$2:$P$2920, "Standard") + COUNTIFS(Data_Monitoring!$A$2:$A$2920, Dashboard_Visual!$B$4, Data_Monitoring!$R$2:$R$2920, "Standard")</f>
        <v>36</v>
      </c>
      <c r="U18" s="7" t="str">
        <f>IF(16&lt;=COUNTIF(Data_Monitoring!$A$2:$A$2920, Dashboard_Visual!$B$4), INDEX(Data_Monitoring!$B$2:$B$2920, MATCH(Dashboard_Visual!$B$4, Data_Monitoring!$A$2:$A$2920, 0) + 16 - 1), "")</f>
        <v>0+300</v>
      </c>
      <c r="V18" s="8">
        <f>IF(16&lt;=COUNTIF(Data_Monitoring!$A$2:$A$2920, Dashboard_Visual!$B$4), INDEX(Data_Monitoring!$M$2:$M$2920, MATCH(Dashboard_Visual!$B$4, Data_Monitoring!$A$2:$A$2920, 0) + 16 - 1), "")</f>
        <v>7.1000000000000004E-3</v>
      </c>
    </row>
    <row r="19" spans="1:22" x14ac:dyDescent="0.25">
      <c r="A19" s="13" t="s">
        <v>3248</v>
      </c>
      <c r="B19" s="14">
        <f>COUNTIFS(Data_Monitoring!$A$2:$A$2920, Dashboard_Visual!$B$4, Data_Monitoring!$L$2:$L$2920, "Aman") * 20</f>
        <v>920</v>
      </c>
      <c r="C19" s="13" t="s">
        <v>3254</v>
      </c>
      <c r="D19" s="14">
        <f>COUNTIFS(Data_Monitoring!$A$2:$A$2920, Dashboard_Visual!$B$4, Data_Monitoring!$P$2:$P$2920, "Nonstandard") + COUNTIFS(Data_Monitoring!$A$2:$A$2920, Dashboard_Visual!$B$4, Data_Monitoring!$R$2:$R$2920, "Nonstandard")</f>
        <v>68</v>
      </c>
      <c r="U19" s="7" t="str">
        <f>IF(17&lt;=COUNTIF(Data_Monitoring!$A$2:$A$2920, Dashboard_Visual!$B$4), INDEX(Data_Monitoring!$B$2:$B$2920, MATCH(Dashboard_Visual!$B$4, Data_Monitoring!$A$2:$A$2920, 0) + 17 - 1), "")</f>
        <v>0+320</v>
      </c>
      <c r="V19" s="8">
        <f>IF(17&lt;=COUNTIF(Data_Monitoring!$A$2:$A$2920, Dashboard_Visual!$B$4), INDEX(Data_Monitoring!$M$2:$M$2920, MATCH(Dashboard_Visual!$B$4, Data_Monitoring!$A$2:$A$2920, 0) + 17 - 1), "")</f>
        <v>4.1999999999999997E-3</v>
      </c>
    </row>
    <row r="20" spans="1:22" x14ac:dyDescent="0.25">
      <c r="A20" s="13" t="s">
        <v>3249</v>
      </c>
      <c r="B20" s="14">
        <f>COUNTIFS(Data_Monitoring!$A$2:$A$2920, Dashboard_Visual!$B$4, Data_Monitoring!$L$2:$L$2920, "Warning") * 20</f>
        <v>40</v>
      </c>
      <c r="U20" s="7" t="str">
        <f>IF(18&lt;=COUNTIF(Data_Monitoring!$A$2:$A$2920, Dashboard_Visual!$B$4), INDEX(Data_Monitoring!$B$2:$B$2920, MATCH(Dashboard_Visual!$B$4, Data_Monitoring!$A$2:$A$2920, 0) + 18 - 1), "")</f>
        <v>0+340</v>
      </c>
      <c r="V20" s="8">
        <f>IF(18&lt;=COUNTIF(Data_Monitoring!$A$2:$A$2920, Dashboard_Visual!$B$4), INDEX(Data_Monitoring!$M$2:$M$2920, MATCH(Dashboard_Visual!$B$4, Data_Monitoring!$A$2:$A$2920, 0) + 18 - 1), "")</f>
        <v>6.0000000000000001E-3</v>
      </c>
    </row>
    <row r="21" spans="1:22" x14ac:dyDescent="0.25">
      <c r="A21" s="13" t="s">
        <v>3250</v>
      </c>
      <c r="B21" s="14">
        <f>COUNTIFS(Data_Monitoring!$A$2:$A$2920, Dashboard_Visual!$B$4, Data_Monitoring!$L$2:$L$2920, "Overgrade") * 20</f>
        <v>60</v>
      </c>
      <c r="U21" s="7" t="str">
        <f>IF(19&lt;=COUNTIF(Data_Monitoring!$A$2:$A$2920, Dashboard_Visual!$B$4), INDEX(Data_Monitoring!$B$2:$B$2920, MATCH(Dashboard_Visual!$B$4, Data_Monitoring!$A$2:$A$2920, 0) + 19 - 1), "")</f>
        <v>0+360</v>
      </c>
      <c r="V21" s="8">
        <f>IF(19&lt;=COUNTIF(Data_Monitoring!$A$2:$A$2920, Dashboard_Visual!$B$4), INDEX(Data_Monitoring!$M$2:$M$2920, MATCH(Dashboard_Visual!$B$4, Data_Monitoring!$A$2:$A$2920, 0) + 19 - 1), "")</f>
        <v>4.8999999999999998E-3</v>
      </c>
    </row>
    <row r="22" spans="1:22" x14ac:dyDescent="0.25">
      <c r="U22" s="7" t="str">
        <f>IF(20&lt;=COUNTIF(Data_Monitoring!$A$2:$A$2920, Dashboard_Visual!$B$4), INDEX(Data_Monitoring!$B$2:$B$2920, MATCH(Dashboard_Visual!$B$4, Data_Monitoring!$A$2:$A$2920, 0) + 20 - 1), "")</f>
        <v>0+380</v>
      </c>
      <c r="V22" s="8">
        <f>IF(20&lt;=COUNTIF(Data_Monitoring!$A$2:$A$2920, Dashboard_Visual!$B$4), INDEX(Data_Monitoring!$M$2:$M$2920, MATCH(Dashboard_Visual!$B$4, Data_Monitoring!$A$2:$A$2920, 0) + 20 - 1), "")</f>
        <v>3.5999999999999999E-3</v>
      </c>
    </row>
    <row r="23" spans="1:22" x14ac:dyDescent="0.25">
      <c r="U23" s="7" t="str">
        <f>IF(21&lt;=COUNTIF(Data_Monitoring!$A$2:$A$2920, Dashboard_Visual!$B$4), INDEX(Data_Monitoring!$B$2:$B$2920, MATCH(Dashboard_Visual!$B$4, Data_Monitoring!$A$2:$A$2920, 0) + 21 - 1), "")</f>
        <v>0+400</v>
      </c>
      <c r="V23" s="8">
        <f>IF(21&lt;=COUNTIF(Data_Monitoring!$A$2:$A$2920, Dashboard_Visual!$B$4), INDEX(Data_Monitoring!$M$2:$M$2920, MATCH(Dashboard_Visual!$B$4, Data_Monitoring!$A$2:$A$2920, 0) + 21 - 1), "")</f>
        <v>4.1999999999999997E-3</v>
      </c>
    </row>
    <row r="24" spans="1:22" x14ac:dyDescent="0.25">
      <c r="U24" s="7" t="str">
        <f>IF(22&lt;=COUNTIF(Data_Monitoring!$A$2:$A$2920, Dashboard_Visual!$B$4), INDEX(Data_Monitoring!$B$2:$B$2920, MATCH(Dashboard_Visual!$B$4, Data_Monitoring!$A$2:$A$2920, 0) + 22 - 1), "")</f>
        <v>0+420</v>
      </c>
      <c r="V24" s="8">
        <f>IF(22&lt;=COUNTIF(Data_Monitoring!$A$2:$A$2920, Dashboard_Visual!$B$4), INDEX(Data_Monitoring!$M$2:$M$2920, MATCH(Dashboard_Visual!$B$4, Data_Monitoring!$A$2:$A$2920, 0) + 22 - 1), "")</f>
        <v>1E-4</v>
      </c>
    </row>
    <row r="25" spans="1:22" x14ac:dyDescent="0.25">
      <c r="U25" s="7" t="str">
        <f>IF(23&lt;=COUNTIF(Data_Monitoring!$A$2:$A$2920, Dashboard_Visual!$B$4), INDEX(Data_Monitoring!$B$2:$B$2920, MATCH(Dashboard_Visual!$B$4, Data_Monitoring!$A$2:$A$2920, 0) + 23 - 1), "")</f>
        <v>0+440</v>
      </c>
      <c r="V25" s="8">
        <f>IF(23&lt;=COUNTIF(Data_Monitoring!$A$2:$A$2920, Dashboard_Visual!$B$4), INDEX(Data_Monitoring!$M$2:$M$2920, MATCH(Dashboard_Visual!$B$4, Data_Monitoring!$A$2:$A$2920, 0) + 23 - 1), "")</f>
        <v>6.8099999999999994E-2</v>
      </c>
    </row>
    <row r="26" spans="1:22" x14ac:dyDescent="0.25">
      <c r="U26" s="7" t="str">
        <f>IF(24&lt;=COUNTIF(Data_Monitoring!$A$2:$A$2920, Dashboard_Visual!$B$4), INDEX(Data_Monitoring!$B$2:$B$2920, MATCH(Dashboard_Visual!$B$4, Data_Monitoring!$A$2:$A$2920, 0) + 24 - 1), "")</f>
        <v>0+460</v>
      </c>
      <c r="V26" s="8">
        <f>IF(24&lt;=COUNTIF(Data_Monitoring!$A$2:$A$2920, Dashboard_Visual!$B$4), INDEX(Data_Monitoring!$M$2:$M$2920, MATCH(Dashboard_Visual!$B$4, Data_Monitoring!$A$2:$A$2920, 0) + 24 - 1), "")</f>
        <v>7.400000000000001E-2</v>
      </c>
    </row>
    <row r="27" spans="1:22" x14ac:dyDescent="0.25">
      <c r="U27" s="7" t="str">
        <f>IF(25&lt;=COUNTIF(Data_Monitoring!$A$2:$A$2920, Dashboard_Visual!$B$4), INDEX(Data_Monitoring!$B$2:$B$2920, MATCH(Dashboard_Visual!$B$4, Data_Monitoring!$A$2:$A$2920, 0) + 25 - 1), "")</f>
        <v>0+480</v>
      </c>
      <c r="V27" s="8">
        <f>IF(25&lt;=COUNTIF(Data_Monitoring!$A$2:$A$2920, Dashboard_Visual!$B$4), INDEX(Data_Monitoring!$M$2:$M$2920, MATCH(Dashboard_Visual!$B$4, Data_Monitoring!$A$2:$A$2920, 0) + 25 - 1), "")</f>
        <v>4.5000000000000014E-3</v>
      </c>
    </row>
    <row r="28" spans="1:22" x14ac:dyDescent="0.25">
      <c r="U28" s="7" t="str">
        <f>IF(26&lt;=COUNTIF(Data_Monitoring!$A$2:$A$2920, Dashboard_Visual!$B$4), INDEX(Data_Monitoring!$B$2:$B$2920, MATCH(Dashboard_Visual!$B$4, Data_Monitoring!$A$2:$A$2920, 0) + 26 - 1), "")</f>
        <v>0+500</v>
      </c>
      <c r="V28" s="8">
        <f>IF(26&lt;=COUNTIF(Data_Monitoring!$A$2:$A$2920, Dashboard_Visual!$B$4), INDEX(Data_Monitoring!$M$2:$M$2920, MATCH(Dashboard_Visual!$B$4, Data_Monitoring!$A$2:$A$2920, 0) + 26 - 1), "")</f>
        <v>2.5000000000000001E-3</v>
      </c>
    </row>
    <row r="29" spans="1:22" x14ac:dyDescent="0.25">
      <c r="U29" s="7" t="str">
        <f>IF(27&lt;=COUNTIF(Data_Monitoring!$A$2:$A$2920, Dashboard_Visual!$B$4), INDEX(Data_Monitoring!$B$2:$B$2920, MATCH(Dashboard_Visual!$B$4, Data_Monitoring!$A$2:$A$2920, 0) + 27 - 1), "")</f>
        <v>0+520</v>
      </c>
      <c r="V29" s="8">
        <f>IF(27&lt;=COUNTIF(Data_Monitoring!$A$2:$A$2920, Dashboard_Visual!$B$4), INDEX(Data_Monitoring!$M$2:$M$2920, MATCH(Dashboard_Visual!$B$4, Data_Monitoring!$A$2:$A$2920, 0) + 27 - 1), "")</f>
        <v>4.4000000000000003E-3</v>
      </c>
    </row>
    <row r="30" spans="1:22" x14ac:dyDescent="0.25">
      <c r="U30" s="7" t="str">
        <f>IF(28&lt;=COUNTIF(Data_Monitoring!$A$2:$A$2920, Dashboard_Visual!$B$4), INDEX(Data_Monitoring!$B$2:$B$2920, MATCH(Dashboard_Visual!$B$4, Data_Monitoring!$A$2:$A$2920, 0) + 28 - 1), "")</f>
        <v>0+540</v>
      </c>
      <c r="V30" s="8">
        <f>IF(28&lt;=COUNTIF(Data_Monitoring!$A$2:$A$2920, Dashboard_Visual!$B$4), INDEX(Data_Monitoring!$M$2:$M$2920, MATCH(Dashboard_Visual!$B$4, Data_Monitoring!$A$2:$A$2920, 0) + 28 - 1), "")</f>
        <v>1.2999999999999999E-3</v>
      </c>
    </row>
    <row r="31" spans="1:22" x14ac:dyDescent="0.25">
      <c r="U31" s="7" t="str">
        <f>IF(29&lt;=COUNTIF(Data_Monitoring!$A$2:$A$2920, Dashboard_Visual!$B$4), INDEX(Data_Monitoring!$B$2:$B$2920, MATCH(Dashboard_Visual!$B$4, Data_Monitoring!$A$2:$A$2920, 0) + 29 - 1), "")</f>
        <v>0+560</v>
      </c>
      <c r="V31" s="8">
        <f>IF(29&lt;=COUNTIF(Data_Monitoring!$A$2:$A$2920, Dashboard_Visual!$B$4), INDEX(Data_Monitoring!$M$2:$M$2920, MATCH(Dashboard_Visual!$B$4, Data_Monitoring!$A$2:$A$2920, 0) + 29 - 1), "")</f>
        <v>7.9100000000000004E-2</v>
      </c>
    </row>
    <row r="32" spans="1:22" x14ac:dyDescent="0.25">
      <c r="U32" s="7" t="str">
        <f>IF(30&lt;=COUNTIF(Data_Monitoring!$A$2:$A$2920, Dashboard_Visual!$B$4), INDEX(Data_Monitoring!$B$2:$B$2920, MATCH(Dashboard_Visual!$B$4, Data_Monitoring!$A$2:$A$2920, 0) + 30 - 1), "")</f>
        <v>0+580</v>
      </c>
      <c r="V32" s="8">
        <f>IF(30&lt;=COUNTIF(Data_Monitoring!$A$2:$A$2920, Dashboard_Visual!$B$4), INDEX(Data_Monitoring!$M$2:$M$2920, MATCH(Dashboard_Visual!$B$4, Data_Monitoring!$A$2:$A$2920, 0) + 30 - 1), "")</f>
        <v>8.77E-2</v>
      </c>
    </row>
    <row r="33" spans="21:22" x14ac:dyDescent="0.25">
      <c r="U33" s="7" t="str">
        <f>IF(31&lt;=COUNTIF(Data_Monitoring!$A$2:$A$2920, Dashboard_Visual!$B$4), INDEX(Data_Monitoring!$B$2:$B$2920, MATCH(Dashboard_Visual!$B$4, Data_Monitoring!$A$2:$A$2920, 0) + 31 - 1), "")</f>
        <v>0+600</v>
      </c>
      <c r="V33" s="8">
        <f>IF(31&lt;=COUNTIF(Data_Monitoring!$A$2:$A$2920, Dashboard_Visual!$B$4), INDEX(Data_Monitoring!$M$2:$M$2920, MATCH(Dashboard_Visual!$B$4, Data_Monitoring!$A$2:$A$2920, 0) + 31 - 1), "")</f>
        <v>8.1000000000000013E-3</v>
      </c>
    </row>
    <row r="34" spans="21:22" x14ac:dyDescent="0.25">
      <c r="U34" s="7" t="str">
        <f>IF(32&lt;=COUNTIF(Data_Monitoring!$A$2:$A$2920, Dashboard_Visual!$B$4), INDEX(Data_Monitoring!$B$2:$B$2920, MATCH(Dashboard_Visual!$B$4, Data_Monitoring!$A$2:$A$2920, 0) + 32 - 1), "")</f>
        <v>0+620</v>
      </c>
      <c r="V34" s="8">
        <f>IF(32&lt;=COUNTIF(Data_Monitoring!$A$2:$A$2920, Dashboard_Visual!$B$4), INDEX(Data_Monitoring!$M$2:$M$2920, MATCH(Dashboard_Visual!$B$4, Data_Monitoring!$A$2:$A$2920, 0) + 32 - 1), "")</f>
        <v>1.6000000000000001E-3</v>
      </c>
    </row>
    <row r="35" spans="21:22" x14ac:dyDescent="0.25">
      <c r="U35" s="7" t="str">
        <f>IF(33&lt;=COUNTIF(Data_Monitoring!$A$2:$A$2920, Dashboard_Visual!$B$4), INDEX(Data_Monitoring!$B$2:$B$2920, MATCH(Dashboard_Visual!$B$4, Data_Monitoring!$A$2:$A$2920, 0) + 33 - 1), "")</f>
        <v>0+640</v>
      </c>
      <c r="V35" s="8">
        <f>IF(33&lt;=COUNTIF(Data_Monitoring!$A$2:$A$2920, Dashboard_Visual!$B$4), INDEX(Data_Monitoring!$M$2:$M$2920, MATCH(Dashboard_Visual!$B$4, Data_Monitoring!$A$2:$A$2920, 0) + 33 - 1), "")</f>
        <v>1.21E-2</v>
      </c>
    </row>
    <row r="36" spans="21:22" x14ac:dyDescent="0.25">
      <c r="U36" s="7" t="str">
        <f>IF(34&lt;=COUNTIF(Data_Monitoring!$A$2:$A$2920, Dashboard_Visual!$B$4), INDEX(Data_Monitoring!$B$2:$B$2920, MATCH(Dashboard_Visual!$B$4, Data_Monitoring!$A$2:$A$2920, 0) + 34 - 1), "")</f>
        <v>0+660</v>
      </c>
      <c r="V36" s="8">
        <f>IF(34&lt;=COUNTIF(Data_Monitoring!$A$2:$A$2920, Dashboard_Visual!$B$4), INDEX(Data_Monitoring!$M$2:$M$2920, MATCH(Dashboard_Visual!$B$4, Data_Monitoring!$A$2:$A$2920, 0) + 34 - 1), "")</f>
        <v>1.18E-2</v>
      </c>
    </row>
    <row r="37" spans="21:22" x14ac:dyDescent="0.25">
      <c r="U37" s="7" t="str">
        <f>IF(35&lt;=COUNTIF(Data_Monitoring!$A$2:$A$2920, Dashboard_Visual!$B$4), INDEX(Data_Monitoring!$B$2:$B$2920, MATCH(Dashboard_Visual!$B$4, Data_Monitoring!$A$2:$A$2920, 0) + 35 - 1), "")</f>
        <v>0+680</v>
      </c>
      <c r="V37" s="8">
        <f>IF(35&lt;=COUNTIF(Data_Monitoring!$A$2:$A$2920, Dashboard_Visual!$B$4), INDEX(Data_Monitoring!$M$2:$M$2920, MATCH(Dashboard_Visual!$B$4, Data_Monitoring!$A$2:$A$2920, 0) + 35 - 1), "")</f>
        <v>8.3999999999999995E-3</v>
      </c>
    </row>
    <row r="38" spans="21:22" x14ac:dyDescent="0.25">
      <c r="U38" s="7" t="str">
        <f>IF(36&lt;=COUNTIF(Data_Monitoring!$A$2:$A$2920, Dashboard_Visual!$B$4), INDEX(Data_Monitoring!$B$2:$B$2920, MATCH(Dashboard_Visual!$B$4, Data_Monitoring!$A$2:$A$2920, 0) + 36 - 1), "")</f>
        <v>0+700</v>
      </c>
      <c r="V38" s="8">
        <f>IF(36&lt;=COUNTIF(Data_Monitoring!$A$2:$A$2920, Dashboard_Visual!$B$4), INDEX(Data_Monitoring!$M$2:$M$2920, MATCH(Dashboard_Visual!$B$4, Data_Monitoring!$A$2:$A$2920, 0) + 36 - 1), "")</f>
        <v>4.8399999999999999E-2</v>
      </c>
    </row>
    <row r="39" spans="21:22" x14ac:dyDescent="0.25">
      <c r="U39" s="7" t="str">
        <f>IF(37&lt;=COUNTIF(Data_Monitoring!$A$2:$A$2920, Dashboard_Visual!$B$4), INDEX(Data_Monitoring!$B$2:$B$2920, MATCH(Dashboard_Visual!$B$4, Data_Monitoring!$A$2:$A$2920, 0) + 37 - 1), "")</f>
        <v>0+720</v>
      </c>
      <c r="V39" s="8">
        <f>IF(37&lt;=COUNTIF(Data_Monitoring!$A$2:$A$2920, Dashboard_Visual!$B$4), INDEX(Data_Monitoring!$M$2:$M$2920, MATCH(Dashboard_Visual!$B$4, Data_Monitoring!$A$2:$A$2920, 0) + 37 - 1), "")</f>
        <v>8.7400000000000005E-2</v>
      </c>
    </row>
    <row r="40" spans="21:22" x14ac:dyDescent="0.25">
      <c r="U40" s="7" t="str">
        <f>IF(38&lt;=COUNTIF(Data_Monitoring!$A$2:$A$2920, Dashboard_Visual!$B$4), INDEX(Data_Monitoring!$B$2:$B$2920, MATCH(Dashboard_Visual!$B$4, Data_Monitoring!$A$2:$A$2920, 0) + 38 - 1), "")</f>
        <v>0+740</v>
      </c>
      <c r="V40" s="8">
        <f>IF(38&lt;=COUNTIF(Data_Monitoring!$A$2:$A$2920, Dashboard_Visual!$B$4), INDEX(Data_Monitoring!$M$2:$M$2920, MATCH(Dashboard_Visual!$B$4, Data_Monitoring!$A$2:$A$2920, 0) + 38 - 1), "")</f>
        <v>4.1799999999999997E-2</v>
      </c>
    </row>
    <row r="41" spans="21:22" x14ac:dyDescent="0.25">
      <c r="U41" s="7" t="str">
        <f>IF(39&lt;=COUNTIF(Data_Monitoring!$A$2:$A$2920, Dashboard_Visual!$B$4), INDEX(Data_Monitoring!$B$2:$B$2920, MATCH(Dashboard_Visual!$B$4, Data_Monitoring!$A$2:$A$2920, 0) + 39 - 1), "")</f>
        <v>0+760</v>
      </c>
      <c r="V41" s="8">
        <f>IF(39&lt;=COUNTIF(Data_Monitoring!$A$2:$A$2920, Dashboard_Visual!$B$4), INDEX(Data_Monitoring!$M$2:$M$2920, MATCH(Dashboard_Visual!$B$4, Data_Monitoring!$A$2:$A$2920, 0) + 39 - 1), "")</f>
        <v>4.3899999999999988E-2</v>
      </c>
    </row>
    <row r="42" spans="21:22" x14ac:dyDescent="0.25">
      <c r="U42" s="7" t="str">
        <f>IF(40&lt;=COUNTIF(Data_Monitoring!$A$2:$A$2920, Dashboard_Visual!$B$4), INDEX(Data_Monitoring!$B$2:$B$2920, MATCH(Dashboard_Visual!$B$4, Data_Monitoring!$A$2:$A$2920, 0) + 40 - 1), "")</f>
        <v>0+780</v>
      </c>
      <c r="V42" s="8">
        <f>IF(40&lt;=COUNTIF(Data_Monitoring!$A$2:$A$2920, Dashboard_Visual!$B$4), INDEX(Data_Monitoring!$M$2:$M$2920, MATCH(Dashboard_Visual!$B$4, Data_Monitoring!$A$2:$A$2920, 0) + 40 - 1), "")</f>
        <v>3.3799999999999997E-2</v>
      </c>
    </row>
    <row r="43" spans="21:22" x14ac:dyDescent="0.25">
      <c r="U43" s="7" t="str">
        <f>IF(41&lt;=COUNTIF(Data_Monitoring!$A$2:$A$2920, Dashboard_Visual!$B$4), INDEX(Data_Monitoring!$B$2:$B$2920, MATCH(Dashboard_Visual!$B$4, Data_Monitoring!$A$2:$A$2920, 0) + 41 - 1), "")</f>
        <v>0+800</v>
      </c>
      <c r="V43" s="8">
        <f>IF(41&lt;=COUNTIF(Data_Monitoring!$A$2:$A$2920, Dashboard_Visual!$B$4), INDEX(Data_Monitoring!$M$2:$M$2920, MATCH(Dashboard_Visual!$B$4, Data_Monitoring!$A$2:$A$2920, 0) + 41 - 1), "")</f>
        <v>4.3700000000000003E-2</v>
      </c>
    </row>
    <row r="44" spans="21:22" x14ac:dyDescent="0.25">
      <c r="U44" s="7" t="str">
        <f>IF(42&lt;=COUNTIF(Data_Monitoring!$A$2:$A$2920, Dashboard_Visual!$B$4), INDEX(Data_Monitoring!$B$2:$B$2920, MATCH(Dashboard_Visual!$B$4, Data_Monitoring!$A$2:$A$2920, 0) + 42 - 1), "")</f>
        <v>0+820</v>
      </c>
      <c r="V44" s="8">
        <f>IF(42&lt;=COUNTIF(Data_Monitoring!$A$2:$A$2920, Dashboard_Visual!$B$4), INDEX(Data_Monitoring!$M$2:$M$2920, MATCH(Dashboard_Visual!$B$4, Data_Monitoring!$A$2:$A$2920, 0) + 42 - 1), "")</f>
        <v>5.3600000000000002E-2</v>
      </c>
    </row>
    <row r="45" spans="21:22" x14ac:dyDescent="0.25">
      <c r="U45" s="7" t="str">
        <f>IF(43&lt;=COUNTIF(Data_Monitoring!$A$2:$A$2920, Dashboard_Visual!$B$4), INDEX(Data_Monitoring!$B$2:$B$2920, MATCH(Dashboard_Visual!$B$4, Data_Monitoring!$A$2:$A$2920, 0) + 43 - 1), "")</f>
        <v>0+840</v>
      </c>
      <c r="V45" s="8">
        <f>IF(43&lt;=COUNTIF(Data_Monitoring!$A$2:$A$2920, Dashboard_Visual!$B$4), INDEX(Data_Monitoring!$M$2:$M$2920, MATCH(Dashboard_Visual!$B$4, Data_Monitoring!$A$2:$A$2920, 0) + 43 - 1), "")</f>
        <v>4.3E-3</v>
      </c>
    </row>
    <row r="46" spans="21:22" x14ac:dyDescent="0.25">
      <c r="U46" s="7" t="str">
        <f>IF(44&lt;=COUNTIF(Data_Monitoring!$A$2:$A$2920, Dashboard_Visual!$B$4), INDEX(Data_Monitoring!$B$2:$B$2920, MATCH(Dashboard_Visual!$B$4, Data_Monitoring!$A$2:$A$2920, 0) + 44 - 1), "")</f>
        <v>0+860</v>
      </c>
      <c r="V46" s="8">
        <f>IF(44&lt;=COUNTIF(Data_Monitoring!$A$2:$A$2920, Dashboard_Visual!$B$4), INDEX(Data_Monitoring!$M$2:$M$2920, MATCH(Dashboard_Visual!$B$4, Data_Monitoring!$A$2:$A$2920, 0) + 44 - 1), "")</f>
        <v>0.1152</v>
      </c>
    </row>
    <row r="47" spans="21:22" x14ac:dyDescent="0.25">
      <c r="U47" s="7" t="str">
        <f>IF(45&lt;=COUNTIF(Data_Monitoring!$A$2:$A$2920, Dashboard_Visual!$B$4), INDEX(Data_Monitoring!$B$2:$B$2920, MATCH(Dashboard_Visual!$B$4, Data_Monitoring!$A$2:$A$2920, 0) + 45 - 1), "")</f>
        <v>0+880</v>
      </c>
      <c r="V47" s="8">
        <f>IF(45&lt;=COUNTIF(Data_Monitoring!$A$2:$A$2920, Dashboard_Visual!$B$4), INDEX(Data_Monitoring!$M$2:$M$2920, MATCH(Dashboard_Visual!$B$4, Data_Monitoring!$A$2:$A$2920, 0) + 45 - 1), "")</f>
        <v>4.9299999999999997E-2</v>
      </c>
    </row>
    <row r="48" spans="21:22" x14ac:dyDescent="0.25">
      <c r="U48" s="7" t="str">
        <f>IF(46&lt;=COUNTIF(Data_Monitoring!$A$2:$A$2920, Dashboard_Visual!$B$4), INDEX(Data_Monitoring!$B$2:$B$2920, MATCH(Dashboard_Visual!$B$4, Data_Monitoring!$A$2:$A$2920, 0) + 46 - 1), "")</f>
        <v>0+900</v>
      </c>
      <c r="V48" s="8">
        <f>IF(46&lt;=COUNTIF(Data_Monitoring!$A$2:$A$2920, Dashboard_Visual!$B$4), INDEX(Data_Monitoring!$M$2:$M$2920, MATCH(Dashboard_Visual!$B$4, Data_Monitoring!$A$2:$A$2920, 0) + 46 - 1), "")</f>
        <v>5.9800000000000013E-2</v>
      </c>
    </row>
    <row r="49" spans="21:22" x14ac:dyDescent="0.25">
      <c r="U49" s="7" t="str">
        <f>IF(47&lt;=COUNTIF(Data_Monitoring!$A$2:$A$2920, Dashboard_Visual!$B$4), INDEX(Data_Monitoring!$B$2:$B$2920, MATCH(Dashboard_Visual!$B$4, Data_Monitoring!$A$2:$A$2920, 0) + 47 - 1), "")</f>
        <v>0+920</v>
      </c>
      <c r="V49" s="8">
        <f>IF(47&lt;=COUNTIF(Data_Monitoring!$A$2:$A$2920, Dashboard_Visual!$B$4), INDEX(Data_Monitoring!$M$2:$M$2920, MATCH(Dashboard_Visual!$B$4, Data_Monitoring!$A$2:$A$2920, 0) + 47 - 1), "")</f>
        <v>3.7999999999999999E-2</v>
      </c>
    </row>
    <row r="50" spans="21:22" x14ac:dyDescent="0.25">
      <c r="U50" s="7" t="str">
        <f>IF(48&lt;=COUNTIF(Data_Monitoring!$A$2:$A$2920, Dashboard_Visual!$B$4), INDEX(Data_Monitoring!$B$2:$B$2920, MATCH(Dashboard_Visual!$B$4, Data_Monitoring!$A$2:$A$2920, 0) + 48 - 1), "")</f>
        <v>0+940</v>
      </c>
      <c r="V50" s="8">
        <f>IF(48&lt;=COUNTIF(Data_Monitoring!$A$2:$A$2920, Dashboard_Visual!$B$4), INDEX(Data_Monitoring!$M$2:$M$2920, MATCH(Dashboard_Visual!$B$4, Data_Monitoring!$A$2:$A$2920, 0) + 48 - 1), "")</f>
        <v>0.1203</v>
      </c>
    </row>
    <row r="51" spans="21:22" x14ac:dyDescent="0.25">
      <c r="U51" s="7" t="str">
        <f>IF(49&lt;=COUNTIF(Data_Monitoring!$A$2:$A$2920, Dashboard_Visual!$B$4), INDEX(Data_Monitoring!$B$2:$B$2920, MATCH(Dashboard_Visual!$B$4, Data_Monitoring!$A$2:$A$2920, 0) + 49 - 1), "")</f>
        <v>0+960</v>
      </c>
      <c r="V51" s="8">
        <f>IF(49&lt;=COUNTIF(Data_Monitoring!$A$2:$A$2920, Dashboard_Visual!$B$4), INDEX(Data_Monitoring!$M$2:$M$2920, MATCH(Dashboard_Visual!$B$4, Data_Monitoring!$A$2:$A$2920, 0) + 49 - 1), "")</f>
        <v>4.9400000000000013E-2</v>
      </c>
    </row>
    <row r="52" spans="21:22" x14ac:dyDescent="0.25">
      <c r="U52" s="7" t="str">
        <f>IF(50&lt;=COUNTIF(Data_Monitoring!$A$2:$A$2920, Dashboard_Visual!$B$4), INDEX(Data_Monitoring!$B$2:$B$2920, MATCH(Dashboard_Visual!$B$4, Data_Monitoring!$A$2:$A$2920, 0) + 50 - 1), "")</f>
        <v>0+980</v>
      </c>
      <c r="V52" s="8">
        <f>IF(50&lt;=COUNTIF(Data_Monitoring!$A$2:$A$2920, Dashboard_Visual!$B$4), INDEX(Data_Monitoring!$M$2:$M$2920, MATCH(Dashboard_Visual!$B$4, Data_Monitoring!$A$2:$A$2920, 0) + 50 - 1), "")</f>
        <v>3.8100000000000002E-2</v>
      </c>
    </row>
    <row r="53" spans="21:22" x14ac:dyDescent="0.25">
      <c r="U53" s="7" t="str">
        <f>IF(51&lt;=COUNTIF(Data_Monitoring!$A$2:$A$2920, Dashboard_Visual!$B$4), INDEX(Data_Monitoring!$B$2:$B$2920, MATCH(Dashboard_Visual!$B$4, Data_Monitoring!$A$2:$A$2920, 0) + 51 - 1), "")</f>
        <v>1+000</v>
      </c>
      <c r="V53" s="8">
        <f>IF(51&lt;=COUNTIF(Data_Monitoring!$A$2:$A$2920, Dashboard_Visual!$B$4), INDEX(Data_Monitoring!$M$2:$M$2920, MATCH(Dashboard_Visual!$B$4, Data_Monitoring!$A$2:$A$2920, 0) + 51 - 1), "")</f>
        <v>1.14E-2</v>
      </c>
    </row>
    <row r="54" spans="21:22" x14ac:dyDescent="0.25">
      <c r="U54" s="7" t="str">
        <f>IF(52&lt;=COUNTIF(Data_Monitoring!$A$2:$A$2920, Dashboard_Visual!$B$4), INDEX(Data_Monitoring!$B$2:$B$2920, MATCH(Dashboard_Visual!$B$4, Data_Monitoring!$A$2:$A$2920, 0) + 52 - 1), "")</f>
        <v>1+006.9</v>
      </c>
      <c r="V54" s="8">
        <f>IF(52&lt;=COUNTIF(Data_Monitoring!$A$2:$A$2920, Dashboard_Visual!$B$4), INDEX(Data_Monitoring!$M$2:$M$2920, MATCH(Dashboard_Visual!$B$4, Data_Monitoring!$A$2:$A$2920, 0) + 52 - 1), "")</f>
        <v>0.22120000000000001</v>
      </c>
    </row>
    <row r="55" spans="21:22" x14ac:dyDescent="0.25">
      <c r="U55" s="7" t="str">
        <f>IF(53&lt;=COUNTIF(Data_Monitoring!$A$2:$A$2920, Dashboard_Visual!$B$4), INDEX(Data_Monitoring!$B$2:$B$2920, MATCH(Dashboard_Visual!$B$4, Data_Monitoring!$A$2:$A$2920, 0) + 53 - 1), "")</f>
        <v/>
      </c>
      <c r="V55" s="8" t="str">
        <f>IF(53&lt;=COUNTIF(Data_Monitoring!$A$2:$A$2920, Dashboard_Visual!$B$4), INDEX(Data_Monitoring!$M$2:$M$2920, MATCH(Dashboard_Visual!$B$4, Data_Monitoring!$A$2:$A$2920, 0) + 53 - 1), "")</f>
        <v/>
      </c>
    </row>
    <row r="56" spans="21:22" x14ac:dyDescent="0.25">
      <c r="U56" s="7" t="str">
        <f>IF(54&lt;=COUNTIF(Data_Monitoring!$A$2:$A$2920, Dashboard_Visual!$B$4), INDEX(Data_Monitoring!$B$2:$B$2920, MATCH(Dashboard_Visual!$B$4, Data_Monitoring!$A$2:$A$2920, 0) + 54 - 1), "")</f>
        <v/>
      </c>
      <c r="V56" s="8" t="str">
        <f>IF(54&lt;=COUNTIF(Data_Monitoring!$A$2:$A$2920, Dashboard_Visual!$B$4), INDEX(Data_Monitoring!$M$2:$M$2920, MATCH(Dashboard_Visual!$B$4, Data_Monitoring!$A$2:$A$2920, 0) + 54 - 1), "")</f>
        <v/>
      </c>
    </row>
    <row r="57" spans="21:22" x14ac:dyDescent="0.25">
      <c r="U57" s="7" t="str">
        <f>IF(55&lt;=COUNTIF(Data_Monitoring!$A$2:$A$2920, Dashboard_Visual!$B$4), INDEX(Data_Monitoring!$B$2:$B$2920, MATCH(Dashboard_Visual!$B$4, Data_Monitoring!$A$2:$A$2920, 0) + 55 - 1), "")</f>
        <v/>
      </c>
      <c r="V57" s="8" t="str">
        <f>IF(55&lt;=COUNTIF(Data_Monitoring!$A$2:$A$2920, Dashboard_Visual!$B$4), INDEX(Data_Monitoring!$M$2:$M$2920, MATCH(Dashboard_Visual!$B$4, Data_Monitoring!$A$2:$A$2920, 0) + 55 - 1), "")</f>
        <v/>
      </c>
    </row>
    <row r="58" spans="21:22" x14ac:dyDescent="0.25">
      <c r="U58" s="7" t="str">
        <f>IF(56&lt;=COUNTIF(Data_Monitoring!$A$2:$A$2920, Dashboard_Visual!$B$4), INDEX(Data_Monitoring!$B$2:$B$2920, MATCH(Dashboard_Visual!$B$4, Data_Monitoring!$A$2:$A$2920, 0) + 56 - 1), "")</f>
        <v/>
      </c>
      <c r="V58" s="8" t="str">
        <f>IF(56&lt;=COUNTIF(Data_Monitoring!$A$2:$A$2920, Dashboard_Visual!$B$4), INDEX(Data_Monitoring!$M$2:$M$2920, MATCH(Dashboard_Visual!$B$4, Data_Monitoring!$A$2:$A$2920, 0) + 56 - 1), "")</f>
        <v/>
      </c>
    </row>
    <row r="59" spans="21:22" x14ac:dyDescent="0.25">
      <c r="U59" s="7" t="str">
        <f>IF(57&lt;=COUNTIF(Data_Monitoring!$A$2:$A$2920, Dashboard_Visual!$B$4), INDEX(Data_Monitoring!$B$2:$B$2920, MATCH(Dashboard_Visual!$B$4, Data_Monitoring!$A$2:$A$2920, 0) + 57 - 1), "")</f>
        <v/>
      </c>
      <c r="V59" s="8" t="str">
        <f>IF(57&lt;=COUNTIF(Data_Monitoring!$A$2:$A$2920, Dashboard_Visual!$B$4), INDEX(Data_Monitoring!$M$2:$M$2920, MATCH(Dashboard_Visual!$B$4, Data_Monitoring!$A$2:$A$2920, 0) + 57 - 1), "")</f>
        <v/>
      </c>
    </row>
    <row r="60" spans="21:22" x14ac:dyDescent="0.25">
      <c r="U60" s="7" t="str">
        <f>IF(58&lt;=COUNTIF(Data_Monitoring!$A$2:$A$2920, Dashboard_Visual!$B$4), INDEX(Data_Monitoring!$B$2:$B$2920, MATCH(Dashboard_Visual!$B$4, Data_Monitoring!$A$2:$A$2920, 0) + 58 - 1), "")</f>
        <v/>
      </c>
      <c r="V60" s="8" t="str">
        <f>IF(58&lt;=COUNTIF(Data_Monitoring!$A$2:$A$2920, Dashboard_Visual!$B$4), INDEX(Data_Monitoring!$M$2:$M$2920, MATCH(Dashboard_Visual!$B$4, Data_Monitoring!$A$2:$A$2920, 0) + 58 - 1), "")</f>
        <v/>
      </c>
    </row>
    <row r="61" spans="21:22" x14ac:dyDescent="0.25">
      <c r="U61" s="7" t="str">
        <f>IF(59&lt;=COUNTIF(Data_Monitoring!$A$2:$A$2920, Dashboard_Visual!$B$4), INDEX(Data_Monitoring!$B$2:$B$2920, MATCH(Dashboard_Visual!$B$4, Data_Monitoring!$A$2:$A$2920, 0) + 59 - 1), "")</f>
        <v/>
      </c>
      <c r="V61" s="8" t="str">
        <f>IF(59&lt;=COUNTIF(Data_Monitoring!$A$2:$A$2920, Dashboard_Visual!$B$4), INDEX(Data_Monitoring!$M$2:$M$2920, MATCH(Dashboard_Visual!$B$4, Data_Monitoring!$A$2:$A$2920, 0) + 59 - 1), "")</f>
        <v/>
      </c>
    </row>
    <row r="62" spans="21:22" x14ac:dyDescent="0.25">
      <c r="U62" s="7" t="str">
        <f>IF(60&lt;=COUNTIF(Data_Monitoring!$A$2:$A$2920, Dashboard_Visual!$B$4), INDEX(Data_Monitoring!$B$2:$B$2920, MATCH(Dashboard_Visual!$B$4, Data_Monitoring!$A$2:$A$2920, 0) + 60 - 1), "")</f>
        <v/>
      </c>
      <c r="V62" s="8" t="str">
        <f>IF(60&lt;=COUNTIF(Data_Monitoring!$A$2:$A$2920, Dashboard_Visual!$B$4), INDEX(Data_Monitoring!$M$2:$M$2920, MATCH(Dashboard_Visual!$B$4, Data_Monitoring!$A$2:$A$2920, 0) + 60 - 1), "")</f>
        <v/>
      </c>
    </row>
    <row r="63" spans="21:22" x14ac:dyDescent="0.25">
      <c r="U63" s="7" t="str">
        <f>IF(61&lt;=COUNTIF(Data_Monitoring!$A$2:$A$2920, Dashboard_Visual!$B$4), INDEX(Data_Monitoring!$B$2:$B$2920, MATCH(Dashboard_Visual!$B$4, Data_Monitoring!$A$2:$A$2920, 0) + 61 - 1), "")</f>
        <v/>
      </c>
      <c r="V63" s="8" t="str">
        <f>IF(61&lt;=COUNTIF(Data_Monitoring!$A$2:$A$2920, Dashboard_Visual!$B$4), INDEX(Data_Monitoring!$M$2:$M$2920, MATCH(Dashboard_Visual!$B$4, Data_Monitoring!$A$2:$A$2920, 0) + 61 - 1), "")</f>
        <v/>
      </c>
    </row>
    <row r="64" spans="21:22" x14ac:dyDescent="0.25">
      <c r="U64" s="7" t="str">
        <f>IF(62&lt;=COUNTIF(Data_Monitoring!$A$2:$A$2920, Dashboard_Visual!$B$4), INDEX(Data_Monitoring!$B$2:$B$2920, MATCH(Dashboard_Visual!$B$4, Data_Monitoring!$A$2:$A$2920, 0) + 62 - 1), "")</f>
        <v/>
      </c>
      <c r="V64" s="8" t="str">
        <f>IF(62&lt;=COUNTIF(Data_Monitoring!$A$2:$A$2920, Dashboard_Visual!$B$4), INDEX(Data_Monitoring!$M$2:$M$2920, MATCH(Dashboard_Visual!$B$4, Data_Monitoring!$A$2:$A$2920, 0) + 62 - 1), "")</f>
        <v/>
      </c>
    </row>
    <row r="65" spans="21:22" x14ac:dyDescent="0.25">
      <c r="U65" s="7" t="str">
        <f>IF(63&lt;=COUNTIF(Data_Monitoring!$A$2:$A$2920, Dashboard_Visual!$B$4), INDEX(Data_Monitoring!$B$2:$B$2920, MATCH(Dashboard_Visual!$B$4, Data_Monitoring!$A$2:$A$2920, 0) + 63 - 1), "")</f>
        <v/>
      </c>
      <c r="V65" s="8" t="str">
        <f>IF(63&lt;=COUNTIF(Data_Monitoring!$A$2:$A$2920, Dashboard_Visual!$B$4), INDEX(Data_Monitoring!$M$2:$M$2920, MATCH(Dashboard_Visual!$B$4, Data_Monitoring!$A$2:$A$2920, 0) + 63 - 1), "")</f>
        <v/>
      </c>
    </row>
    <row r="66" spans="21:22" x14ac:dyDescent="0.25">
      <c r="U66" s="7" t="str">
        <f>IF(64&lt;=COUNTIF(Data_Monitoring!$A$2:$A$2920, Dashboard_Visual!$B$4), INDEX(Data_Monitoring!$B$2:$B$2920, MATCH(Dashboard_Visual!$B$4, Data_Monitoring!$A$2:$A$2920, 0) + 64 - 1), "")</f>
        <v/>
      </c>
      <c r="V66" s="8" t="str">
        <f>IF(64&lt;=COUNTIF(Data_Monitoring!$A$2:$A$2920, Dashboard_Visual!$B$4), INDEX(Data_Monitoring!$M$2:$M$2920, MATCH(Dashboard_Visual!$B$4, Data_Monitoring!$A$2:$A$2920, 0) + 64 - 1), "")</f>
        <v/>
      </c>
    </row>
    <row r="67" spans="21:22" x14ac:dyDescent="0.25">
      <c r="U67" s="7" t="str">
        <f>IF(65&lt;=COUNTIF(Data_Monitoring!$A$2:$A$2920, Dashboard_Visual!$B$4), INDEX(Data_Monitoring!$B$2:$B$2920, MATCH(Dashboard_Visual!$B$4, Data_Monitoring!$A$2:$A$2920, 0) + 65 - 1), "")</f>
        <v/>
      </c>
      <c r="V67" s="8" t="str">
        <f>IF(65&lt;=COUNTIF(Data_Monitoring!$A$2:$A$2920, Dashboard_Visual!$B$4), INDEX(Data_Monitoring!$M$2:$M$2920, MATCH(Dashboard_Visual!$B$4, Data_Monitoring!$A$2:$A$2920, 0) + 65 - 1), "")</f>
        <v/>
      </c>
    </row>
    <row r="68" spans="21:22" x14ac:dyDescent="0.25">
      <c r="U68" s="7" t="str">
        <f>IF(66&lt;=COUNTIF(Data_Monitoring!$A$2:$A$2920, Dashboard_Visual!$B$4), INDEX(Data_Monitoring!$B$2:$B$2920, MATCH(Dashboard_Visual!$B$4, Data_Monitoring!$A$2:$A$2920, 0) + 66 - 1), "")</f>
        <v/>
      </c>
      <c r="V68" s="8" t="str">
        <f>IF(66&lt;=COUNTIF(Data_Monitoring!$A$2:$A$2920, Dashboard_Visual!$B$4), INDEX(Data_Monitoring!$M$2:$M$2920, MATCH(Dashboard_Visual!$B$4, Data_Monitoring!$A$2:$A$2920, 0) + 66 - 1), "")</f>
        <v/>
      </c>
    </row>
    <row r="69" spans="21:22" x14ac:dyDescent="0.25">
      <c r="U69" s="7" t="str">
        <f>IF(67&lt;=COUNTIF(Data_Monitoring!$A$2:$A$2920, Dashboard_Visual!$B$4), INDEX(Data_Monitoring!$B$2:$B$2920, MATCH(Dashboard_Visual!$B$4, Data_Monitoring!$A$2:$A$2920, 0) + 67 - 1), "")</f>
        <v/>
      </c>
      <c r="V69" s="8" t="str">
        <f>IF(67&lt;=COUNTIF(Data_Monitoring!$A$2:$A$2920, Dashboard_Visual!$B$4), INDEX(Data_Monitoring!$M$2:$M$2920, MATCH(Dashboard_Visual!$B$4, Data_Monitoring!$A$2:$A$2920, 0) + 67 - 1), "")</f>
        <v/>
      </c>
    </row>
    <row r="70" spans="21:22" x14ac:dyDescent="0.25">
      <c r="U70" s="7" t="str">
        <f>IF(68&lt;=COUNTIF(Data_Monitoring!$A$2:$A$2920, Dashboard_Visual!$B$4), INDEX(Data_Monitoring!$B$2:$B$2920, MATCH(Dashboard_Visual!$B$4, Data_Monitoring!$A$2:$A$2920, 0) + 68 - 1), "")</f>
        <v/>
      </c>
      <c r="V70" s="8" t="str">
        <f>IF(68&lt;=COUNTIF(Data_Monitoring!$A$2:$A$2920, Dashboard_Visual!$B$4), INDEX(Data_Monitoring!$M$2:$M$2920, MATCH(Dashboard_Visual!$B$4, Data_Monitoring!$A$2:$A$2920, 0) + 68 - 1), "")</f>
        <v/>
      </c>
    </row>
    <row r="71" spans="21:22" x14ac:dyDescent="0.25">
      <c r="U71" s="7" t="str">
        <f>IF(69&lt;=COUNTIF(Data_Monitoring!$A$2:$A$2920, Dashboard_Visual!$B$4), INDEX(Data_Monitoring!$B$2:$B$2920, MATCH(Dashboard_Visual!$B$4, Data_Monitoring!$A$2:$A$2920, 0) + 69 - 1), "")</f>
        <v/>
      </c>
      <c r="V71" s="8" t="str">
        <f>IF(69&lt;=COUNTIF(Data_Monitoring!$A$2:$A$2920, Dashboard_Visual!$B$4), INDEX(Data_Monitoring!$M$2:$M$2920, MATCH(Dashboard_Visual!$B$4, Data_Monitoring!$A$2:$A$2920, 0) + 69 - 1), "")</f>
        <v/>
      </c>
    </row>
    <row r="72" spans="21:22" x14ac:dyDescent="0.25">
      <c r="U72" s="7" t="str">
        <f>IF(70&lt;=COUNTIF(Data_Monitoring!$A$2:$A$2920, Dashboard_Visual!$B$4), INDEX(Data_Monitoring!$B$2:$B$2920, MATCH(Dashboard_Visual!$B$4, Data_Monitoring!$A$2:$A$2920, 0) + 70 - 1), "")</f>
        <v/>
      </c>
      <c r="V72" s="8" t="str">
        <f>IF(70&lt;=COUNTIF(Data_Monitoring!$A$2:$A$2920, Dashboard_Visual!$B$4), INDEX(Data_Monitoring!$M$2:$M$2920, MATCH(Dashboard_Visual!$B$4, Data_Monitoring!$A$2:$A$2920, 0) + 70 - 1), "")</f>
        <v/>
      </c>
    </row>
    <row r="73" spans="21:22" x14ac:dyDescent="0.25">
      <c r="U73" s="7" t="str">
        <f>IF(71&lt;=COUNTIF(Data_Monitoring!$A$2:$A$2920, Dashboard_Visual!$B$4), INDEX(Data_Monitoring!$B$2:$B$2920, MATCH(Dashboard_Visual!$B$4, Data_Monitoring!$A$2:$A$2920, 0) + 71 - 1), "")</f>
        <v/>
      </c>
      <c r="V73" s="8" t="str">
        <f>IF(71&lt;=COUNTIF(Data_Monitoring!$A$2:$A$2920, Dashboard_Visual!$B$4), INDEX(Data_Monitoring!$M$2:$M$2920, MATCH(Dashboard_Visual!$B$4, Data_Monitoring!$A$2:$A$2920, 0) + 71 - 1), "")</f>
        <v/>
      </c>
    </row>
    <row r="74" spans="21:22" x14ac:dyDescent="0.25">
      <c r="U74" s="7" t="str">
        <f>IF(72&lt;=COUNTIF(Data_Monitoring!$A$2:$A$2920, Dashboard_Visual!$B$4), INDEX(Data_Monitoring!$B$2:$B$2920, MATCH(Dashboard_Visual!$B$4, Data_Monitoring!$A$2:$A$2920, 0) + 72 - 1), "")</f>
        <v/>
      </c>
      <c r="V74" s="8" t="str">
        <f>IF(72&lt;=COUNTIF(Data_Monitoring!$A$2:$A$2920, Dashboard_Visual!$B$4), INDEX(Data_Monitoring!$M$2:$M$2920, MATCH(Dashboard_Visual!$B$4, Data_Monitoring!$A$2:$A$2920, 0) + 72 - 1), "")</f>
        <v/>
      </c>
    </row>
    <row r="75" spans="21:22" x14ac:dyDescent="0.25">
      <c r="U75" s="7" t="str">
        <f>IF(73&lt;=COUNTIF(Data_Monitoring!$A$2:$A$2920, Dashboard_Visual!$B$4), INDEX(Data_Monitoring!$B$2:$B$2920, MATCH(Dashboard_Visual!$B$4, Data_Monitoring!$A$2:$A$2920, 0) + 73 - 1), "")</f>
        <v/>
      </c>
      <c r="V75" s="8" t="str">
        <f>IF(73&lt;=COUNTIF(Data_Monitoring!$A$2:$A$2920, Dashboard_Visual!$B$4), INDEX(Data_Monitoring!$M$2:$M$2920, MATCH(Dashboard_Visual!$B$4, Data_Monitoring!$A$2:$A$2920, 0) + 73 - 1), "")</f>
        <v/>
      </c>
    </row>
    <row r="76" spans="21:22" x14ac:dyDescent="0.25">
      <c r="U76" s="7" t="str">
        <f>IF(74&lt;=COUNTIF(Data_Monitoring!$A$2:$A$2920, Dashboard_Visual!$B$4), INDEX(Data_Monitoring!$B$2:$B$2920, MATCH(Dashboard_Visual!$B$4, Data_Monitoring!$A$2:$A$2920, 0) + 74 - 1), "")</f>
        <v/>
      </c>
      <c r="V76" s="8" t="str">
        <f>IF(74&lt;=COUNTIF(Data_Monitoring!$A$2:$A$2920, Dashboard_Visual!$B$4), INDEX(Data_Monitoring!$M$2:$M$2920, MATCH(Dashboard_Visual!$B$4, Data_Monitoring!$A$2:$A$2920, 0) + 74 - 1), "")</f>
        <v/>
      </c>
    </row>
    <row r="77" spans="21:22" x14ac:dyDescent="0.25">
      <c r="U77" s="7" t="str">
        <f>IF(75&lt;=COUNTIF(Data_Monitoring!$A$2:$A$2920, Dashboard_Visual!$B$4), INDEX(Data_Monitoring!$B$2:$B$2920, MATCH(Dashboard_Visual!$B$4, Data_Monitoring!$A$2:$A$2920, 0) + 75 - 1), "")</f>
        <v/>
      </c>
      <c r="V77" s="8" t="str">
        <f>IF(75&lt;=COUNTIF(Data_Monitoring!$A$2:$A$2920, Dashboard_Visual!$B$4), INDEX(Data_Monitoring!$M$2:$M$2920, MATCH(Dashboard_Visual!$B$4, Data_Monitoring!$A$2:$A$2920, 0) + 75 - 1), "")</f>
        <v/>
      </c>
    </row>
    <row r="78" spans="21:22" x14ac:dyDescent="0.25">
      <c r="U78" s="7" t="str">
        <f>IF(76&lt;=COUNTIF(Data_Monitoring!$A$2:$A$2920, Dashboard_Visual!$B$4), INDEX(Data_Monitoring!$B$2:$B$2920, MATCH(Dashboard_Visual!$B$4, Data_Monitoring!$A$2:$A$2920, 0) + 76 - 1), "")</f>
        <v/>
      </c>
      <c r="V78" s="8" t="str">
        <f>IF(76&lt;=COUNTIF(Data_Monitoring!$A$2:$A$2920, Dashboard_Visual!$B$4), INDEX(Data_Monitoring!$M$2:$M$2920, MATCH(Dashboard_Visual!$B$4, Data_Monitoring!$A$2:$A$2920, 0) + 76 - 1), "")</f>
        <v/>
      </c>
    </row>
    <row r="79" spans="21:22" x14ac:dyDescent="0.25">
      <c r="U79" s="7" t="str">
        <f>IF(77&lt;=COUNTIF(Data_Monitoring!$A$2:$A$2920, Dashboard_Visual!$B$4), INDEX(Data_Monitoring!$B$2:$B$2920, MATCH(Dashboard_Visual!$B$4, Data_Monitoring!$A$2:$A$2920, 0) + 77 - 1), "")</f>
        <v/>
      </c>
      <c r="V79" s="8" t="str">
        <f>IF(77&lt;=COUNTIF(Data_Monitoring!$A$2:$A$2920, Dashboard_Visual!$B$4), INDEX(Data_Monitoring!$M$2:$M$2920, MATCH(Dashboard_Visual!$B$4, Data_Monitoring!$A$2:$A$2920, 0) + 77 - 1), "")</f>
        <v/>
      </c>
    </row>
    <row r="80" spans="21:22" x14ac:dyDescent="0.25">
      <c r="U80" s="7" t="str">
        <f>IF(78&lt;=COUNTIF(Data_Monitoring!$A$2:$A$2920, Dashboard_Visual!$B$4), INDEX(Data_Monitoring!$B$2:$B$2920, MATCH(Dashboard_Visual!$B$4, Data_Monitoring!$A$2:$A$2920, 0) + 78 - 1), "")</f>
        <v/>
      </c>
      <c r="V80" s="8" t="str">
        <f>IF(78&lt;=COUNTIF(Data_Monitoring!$A$2:$A$2920, Dashboard_Visual!$B$4), INDEX(Data_Monitoring!$M$2:$M$2920, MATCH(Dashboard_Visual!$B$4, Data_Monitoring!$A$2:$A$2920, 0) + 78 - 1), "")</f>
        <v/>
      </c>
    </row>
    <row r="81" spans="21:22" x14ac:dyDescent="0.25">
      <c r="U81" s="7" t="str">
        <f>IF(79&lt;=COUNTIF(Data_Monitoring!$A$2:$A$2920, Dashboard_Visual!$B$4), INDEX(Data_Monitoring!$B$2:$B$2920, MATCH(Dashboard_Visual!$B$4, Data_Monitoring!$A$2:$A$2920, 0) + 79 - 1), "")</f>
        <v/>
      </c>
      <c r="V81" s="8" t="str">
        <f>IF(79&lt;=COUNTIF(Data_Monitoring!$A$2:$A$2920, Dashboard_Visual!$B$4), INDEX(Data_Monitoring!$M$2:$M$2920, MATCH(Dashboard_Visual!$B$4, Data_Monitoring!$A$2:$A$2920, 0) + 79 - 1), "")</f>
        <v/>
      </c>
    </row>
    <row r="82" spans="21:22" x14ac:dyDescent="0.25">
      <c r="U82" s="7" t="str">
        <f>IF(80&lt;=COUNTIF(Data_Monitoring!$A$2:$A$2920, Dashboard_Visual!$B$4), INDEX(Data_Monitoring!$B$2:$B$2920, MATCH(Dashboard_Visual!$B$4, Data_Monitoring!$A$2:$A$2920, 0) + 80 - 1), "")</f>
        <v/>
      </c>
      <c r="V82" s="8" t="str">
        <f>IF(80&lt;=COUNTIF(Data_Monitoring!$A$2:$A$2920, Dashboard_Visual!$B$4), INDEX(Data_Monitoring!$M$2:$M$2920, MATCH(Dashboard_Visual!$B$4, Data_Monitoring!$A$2:$A$2920, 0) + 80 - 1), "")</f>
        <v/>
      </c>
    </row>
    <row r="83" spans="21:22" x14ac:dyDescent="0.25">
      <c r="U83" s="7" t="str">
        <f>IF(81&lt;=COUNTIF(Data_Monitoring!$A$2:$A$2920, Dashboard_Visual!$B$4), INDEX(Data_Monitoring!$B$2:$B$2920, MATCH(Dashboard_Visual!$B$4, Data_Monitoring!$A$2:$A$2920, 0) + 81 - 1), "")</f>
        <v/>
      </c>
      <c r="V83" s="8" t="str">
        <f>IF(81&lt;=COUNTIF(Data_Monitoring!$A$2:$A$2920, Dashboard_Visual!$B$4), INDEX(Data_Monitoring!$M$2:$M$2920, MATCH(Dashboard_Visual!$B$4, Data_Monitoring!$A$2:$A$2920, 0) + 81 - 1), "")</f>
        <v/>
      </c>
    </row>
    <row r="84" spans="21:22" x14ac:dyDescent="0.25">
      <c r="U84" s="7" t="str">
        <f>IF(82&lt;=COUNTIF(Data_Monitoring!$A$2:$A$2920, Dashboard_Visual!$B$4), INDEX(Data_Monitoring!$B$2:$B$2920, MATCH(Dashboard_Visual!$B$4, Data_Monitoring!$A$2:$A$2920, 0) + 82 - 1), "")</f>
        <v/>
      </c>
      <c r="V84" s="8" t="str">
        <f>IF(82&lt;=COUNTIF(Data_Monitoring!$A$2:$A$2920, Dashboard_Visual!$B$4), INDEX(Data_Monitoring!$M$2:$M$2920, MATCH(Dashboard_Visual!$B$4, Data_Monitoring!$A$2:$A$2920, 0) + 82 - 1), "")</f>
        <v/>
      </c>
    </row>
    <row r="85" spans="21:22" x14ac:dyDescent="0.25">
      <c r="U85" s="7" t="str">
        <f>IF(83&lt;=COUNTIF(Data_Monitoring!$A$2:$A$2920, Dashboard_Visual!$B$4), INDEX(Data_Monitoring!$B$2:$B$2920, MATCH(Dashboard_Visual!$B$4, Data_Monitoring!$A$2:$A$2920, 0) + 83 - 1), "")</f>
        <v/>
      </c>
      <c r="V85" s="8" t="str">
        <f>IF(83&lt;=COUNTIF(Data_Monitoring!$A$2:$A$2920, Dashboard_Visual!$B$4), INDEX(Data_Monitoring!$M$2:$M$2920, MATCH(Dashboard_Visual!$B$4, Data_Monitoring!$A$2:$A$2920, 0) + 83 - 1), "")</f>
        <v/>
      </c>
    </row>
    <row r="86" spans="21:22" x14ac:dyDescent="0.25">
      <c r="U86" s="7" t="str">
        <f>IF(84&lt;=COUNTIF(Data_Monitoring!$A$2:$A$2920, Dashboard_Visual!$B$4), INDEX(Data_Monitoring!$B$2:$B$2920, MATCH(Dashboard_Visual!$B$4, Data_Monitoring!$A$2:$A$2920, 0) + 84 - 1), "")</f>
        <v/>
      </c>
      <c r="V86" s="8" t="str">
        <f>IF(84&lt;=COUNTIF(Data_Monitoring!$A$2:$A$2920, Dashboard_Visual!$B$4), INDEX(Data_Monitoring!$M$2:$M$2920, MATCH(Dashboard_Visual!$B$4, Data_Monitoring!$A$2:$A$2920, 0) + 84 - 1), "")</f>
        <v/>
      </c>
    </row>
    <row r="87" spans="21:22" x14ac:dyDescent="0.25">
      <c r="U87" s="7" t="str">
        <f>IF(85&lt;=COUNTIF(Data_Monitoring!$A$2:$A$2920, Dashboard_Visual!$B$4), INDEX(Data_Monitoring!$B$2:$B$2920, MATCH(Dashboard_Visual!$B$4, Data_Monitoring!$A$2:$A$2920, 0) + 85 - 1), "")</f>
        <v/>
      </c>
      <c r="V87" s="8" t="str">
        <f>IF(85&lt;=COUNTIF(Data_Monitoring!$A$2:$A$2920, Dashboard_Visual!$B$4), INDEX(Data_Monitoring!$M$2:$M$2920, MATCH(Dashboard_Visual!$B$4, Data_Monitoring!$A$2:$A$2920, 0) + 85 - 1), "")</f>
        <v/>
      </c>
    </row>
    <row r="88" spans="21:22" x14ac:dyDescent="0.25">
      <c r="U88" s="7" t="str">
        <f>IF(86&lt;=COUNTIF(Data_Monitoring!$A$2:$A$2920, Dashboard_Visual!$B$4), INDEX(Data_Monitoring!$B$2:$B$2920, MATCH(Dashboard_Visual!$B$4, Data_Monitoring!$A$2:$A$2920, 0) + 86 - 1), "")</f>
        <v/>
      </c>
      <c r="V88" s="8" t="str">
        <f>IF(86&lt;=COUNTIF(Data_Monitoring!$A$2:$A$2920, Dashboard_Visual!$B$4), INDEX(Data_Monitoring!$M$2:$M$2920, MATCH(Dashboard_Visual!$B$4, Data_Monitoring!$A$2:$A$2920, 0) + 86 - 1), "")</f>
        <v/>
      </c>
    </row>
    <row r="89" spans="21:22" x14ac:dyDescent="0.25">
      <c r="U89" s="7" t="str">
        <f>IF(87&lt;=COUNTIF(Data_Monitoring!$A$2:$A$2920, Dashboard_Visual!$B$4), INDEX(Data_Monitoring!$B$2:$B$2920, MATCH(Dashboard_Visual!$B$4, Data_Monitoring!$A$2:$A$2920, 0) + 87 - 1), "")</f>
        <v/>
      </c>
      <c r="V89" s="8" t="str">
        <f>IF(87&lt;=COUNTIF(Data_Monitoring!$A$2:$A$2920, Dashboard_Visual!$B$4), INDEX(Data_Monitoring!$M$2:$M$2920, MATCH(Dashboard_Visual!$B$4, Data_Monitoring!$A$2:$A$2920, 0) + 87 - 1), "")</f>
        <v/>
      </c>
    </row>
    <row r="90" spans="21:22" x14ac:dyDescent="0.25">
      <c r="U90" s="7" t="str">
        <f>IF(88&lt;=COUNTIF(Data_Monitoring!$A$2:$A$2920, Dashboard_Visual!$B$4), INDEX(Data_Monitoring!$B$2:$B$2920, MATCH(Dashboard_Visual!$B$4, Data_Monitoring!$A$2:$A$2920, 0) + 88 - 1), "")</f>
        <v/>
      </c>
      <c r="V90" s="8" t="str">
        <f>IF(88&lt;=COUNTIF(Data_Monitoring!$A$2:$A$2920, Dashboard_Visual!$B$4), INDEX(Data_Monitoring!$M$2:$M$2920, MATCH(Dashboard_Visual!$B$4, Data_Monitoring!$A$2:$A$2920, 0) + 88 - 1), "")</f>
        <v/>
      </c>
    </row>
    <row r="91" spans="21:22" x14ac:dyDescent="0.25">
      <c r="U91" s="7" t="str">
        <f>IF(89&lt;=COUNTIF(Data_Monitoring!$A$2:$A$2920, Dashboard_Visual!$B$4), INDEX(Data_Monitoring!$B$2:$B$2920, MATCH(Dashboard_Visual!$B$4, Data_Monitoring!$A$2:$A$2920, 0) + 89 - 1), "")</f>
        <v/>
      </c>
      <c r="V91" s="8" t="str">
        <f>IF(89&lt;=COUNTIF(Data_Monitoring!$A$2:$A$2920, Dashboard_Visual!$B$4), INDEX(Data_Monitoring!$M$2:$M$2920, MATCH(Dashboard_Visual!$B$4, Data_Monitoring!$A$2:$A$2920, 0) + 89 - 1), "")</f>
        <v/>
      </c>
    </row>
    <row r="92" spans="21:22" x14ac:dyDescent="0.25">
      <c r="U92" s="7" t="str">
        <f>IF(90&lt;=COUNTIF(Data_Monitoring!$A$2:$A$2920, Dashboard_Visual!$B$4), INDEX(Data_Monitoring!$B$2:$B$2920, MATCH(Dashboard_Visual!$B$4, Data_Monitoring!$A$2:$A$2920, 0) + 90 - 1), "")</f>
        <v/>
      </c>
      <c r="V92" s="8" t="str">
        <f>IF(90&lt;=COUNTIF(Data_Monitoring!$A$2:$A$2920, Dashboard_Visual!$B$4), INDEX(Data_Monitoring!$M$2:$M$2920, MATCH(Dashboard_Visual!$B$4, Data_Monitoring!$A$2:$A$2920, 0) + 90 - 1), "")</f>
        <v/>
      </c>
    </row>
    <row r="93" spans="21:22" x14ac:dyDescent="0.25">
      <c r="U93" s="7" t="str">
        <f>IF(91&lt;=COUNTIF(Data_Monitoring!$A$2:$A$2920, Dashboard_Visual!$B$4), INDEX(Data_Monitoring!$B$2:$B$2920, MATCH(Dashboard_Visual!$B$4, Data_Monitoring!$A$2:$A$2920, 0) + 91 - 1), "")</f>
        <v/>
      </c>
      <c r="V93" s="8" t="str">
        <f>IF(91&lt;=COUNTIF(Data_Monitoring!$A$2:$A$2920, Dashboard_Visual!$B$4), INDEX(Data_Monitoring!$M$2:$M$2920, MATCH(Dashboard_Visual!$B$4, Data_Monitoring!$A$2:$A$2920, 0) + 91 - 1), "")</f>
        <v/>
      </c>
    </row>
    <row r="94" spans="21:22" x14ac:dyDescent="0.25">
      <c r="U94" s="7" t="str">
        <f>IF(92&lt;=COUNTIF(Data_Monitoring!$A$2:$A$2920, Dashboard_Visual!$B$4), INDEX(Data_Monitoring!$B$2:$B$2920, MATCH(Dashboard_Visual!$B$4, Data_Monitoring!$A$2:$A$2920, 0) + 92 - 1), "")</f>
        <v/>
      </c>
      <c r="V94" s="8" t="str">
        <f>IF(92&lt;=COUNTIF(Data_Monitoring!$A$2:$A$2920, Dashboard_Visual!$B$4), INDEX(Data_Monitoring!$M$2:$M$2920, MATCH(Dashboard_Visual!$B$4, Data_Monitoring!$A$2:$A$2920, 0) + 92 - 1), "")</f>
        <v/>
      </c>
    </row>
    <row r="95" spans="21:22" x14ac:dyDescent="0.25">
      <c r="U95" s="7" t="str">
        <f>IF(93&lt;=COUNTIF(Data_Monitoring!$A$2:$A$2920, Dashboard_Visual!$B$4), INDEX(Data_Monitoring!$B$2:$B$2920, MATCH(Dashboard_Visual!$B$4, Data_Monitoring!$A$2:$A$2920, 0) + 93 - 1), "")</f>
        <v/>
      </c>
      <c r="V95" s="8" t="str">
        <f>IF(93&lt;=COUNTIF(Data_Monitoring!$A$2:$A$2920, Dashboard_Visual!$B$4), INDEX(Data_Monitoring!$M$2:$M$2920, MATCH(Dashboard_Visual!$B$4, Data_Monitoring!$A$2:$A$2920, 0) + 93 - 1), "")</f>
        <v/>
      </c>
    </row>
    <row r="96" spans="21:22" x14ac:dyDescent="0.25">
      <c r="U96" s="7" t="str">
        <f>IF(94&lt;=COUNTIF(Data_Monitoring!$A$2:$A$2920, Dashboard_Visual!$B$4), INDEX(Data_Monitoring!$B$2:$B$2920, MATCH(Dashboard_Visual!$B$4, Data_Monitoring!$A$2:$A$2920, 0) + 94 - 1), "")</f>
        <v/>
      </c>
      <c r="V96" s="8" t="str">
        <f>IF(94&lt;=COUNTIF(Data_Monitoring!$A$2:$A$2920, Dashboard_Visual!$B$4), INDEX(Data_Monitoring!$M$2:$M$2920, MATCH(Dashboard_Visual!$B$4, Data_Monitoring!$A$2:$A$2920, 0) + 94 - 1), "")</f>
        <v/>
      </c>
    </row>
    <row r="97" spans="21:22" x14ac:dyDescent="0.25">
      <c r="U97" s="7" t="str">
        <f>IF(95&lt;=COUNTIF(Data_Monitoring!$A$2:$A$2920, Dashboard_Visual!$B$4), INDEX(Data_Monitoring!$B$2:$B$2920, MATCH(Dashboard_Visual!$B$4, Data_Monitoring!$A$2:$A$2920, 0) + 95 - 1), "")</f>
        <v/>
      </c>
      <c r="V97" s="8" t="str">
        <f>IF(95&lt;=COUNTIF(Data_Monitoring!$A$2:$A$2920, Dashboard_Visual!$B$4), INDEX(Data_Monitoring!$M$2:$M$2920, MATCH(Dashboard_Visual!$B$4, Data_Monitoring!$A$2:$A$2920, 0) + 95 - 1), "")</f>
        <v/>
      </c>
    </row>
    <row r="98" spans="21:22" x14ac:dyDescent="0.25">
      <c r="U98" s="7" t="str">
        <f>IF(96&lt;=COUNTIF(Data_Monitoring!$A$2:$A$2920, Dashboard_Visual!$B$4), INDEX(Data_Monitoring!$B$2:$B$2920, MATCH(Dashboard_Visual!$B$4, Data_Monitoring!$A$2:$A$2920, 0) + 96 - 1), "")</f>
        <v/>
      </c>
      <c r="V98" s="8" t="str">
        <f>IF(96&lt;=COUNTIF(Data_Monitoring!$A$2:$A$2920, Dashboard_Visual!$B$4), INDEX(Data_Monitoring!$M$2:$M$2920, MATCH(Dashboard_Visual!$B$4, Data_Monitoring!$A$2:$A$2920, 0) + 96 - 1), "")</f>
        <v/>
      </c>
    </row>
    <row r="99" spans="21:22" x14ac:dyDescent="0.25">
      <c r="U99" s="7" t="str">
        <f>IF(97&lt;=COUNTIF(Data_Monitoring!$A$2:$A$2920, Dashboard_Visual!$B$4), INDEX(Data_Monitoring!$B$2:$B$2920, MATCH(Dashboard_Visual!$B$4, Data_Monitoring!$A$2:$A$2920, 0) + 97 - 1), "")</f>
        <v/>
      </c>
      <c r="V99" s="8" t="str">
        <f>IF(97&lt;=COUNTIF(Data_Monitoring!$A$2:$A$2920, Dashboard_Visual!$B$4), INDEX(Data_Monitoring!$M$2:$M$2920, MATCH(Dashboard_Visual!$B$4, Data_Monitoring!$A$2:$A$2920, 0) + 97 - 1), "")</f>
        <v/>
      </c>
    </row>
    <row r="100" spans="21:22" x14ac:dyDescent="0.25">
      <c r="U100" s="7" t="str">
        <f>IF(98&lt;=COUNTIF(Data_Monitoring!$A$2:$A$2920, Dashboard_Visual!$B$4), INDEX(Data_Monitoring!$B$2:$B$2920, MATCH(Dashboard_Visual!$B$4, Data_Monitoring!$A$2:$A$2920, 0) + 98 - 1), "")</f>
        <v/>
      </c>
      <c r="V100" s="8" t="str">
        <f>IF(98&lt;=COUNTIF(Data_Monitoring!$A$2:$A$2920, Dashboard_Visual!$B$4), INDEX(Data_Monitoring!$M$2:$M$2920, MATCH(Dashboard_Visual!$B$4, Data_Monitoring!$A$2:$A$2920, 0) + 98 - 1), "")</f>
        <v/>
      </c>
    </row>
    <row r="101" spans="21:22" x14ac:dyDescent="0.25">
      <c r="U101" s="7" t="str">
        <f>IF(99&lt;=COUNTIF(Data_Monitoring!$A$2:$A$2920, Dashboard_Visual!$B$4), INDEX(Data_Monitoring!$B$2:$B$2920, MATCH(Dashboard_Visual!$B$4, Data_Monitoring!$A$2:$A$2920, 0) + 99 - 1), "")</f>
        <v/>
      </c>
      <c r="V101" s="8" t="str">
        <f>IF(99&lt;=COUNTIF(Data_Monitoring!$A$2:$A$2920, Dashboard_Visual!$B$4), INDEX(Data_Monitoring!$M$2:$M$2920, MATCH(Dashboard_Visual!$B$4, Data_Monitoring!$A$2:$A$2920, 0) + 99 - 1), "")</f>
        <v/>
      </c>
    </row>
    <row r="102" spans="21:22" x14ac:dyDescent="0.25">
      <c r="U102" s="7" t="str">
        <f>IF(100&lt;=COUNTIF(Data_Monitoring!$A$2:$A$2920, Dashboard_Visual!$B$4), INDEX(Data_Monitoring!$B$2:$B$2920, MATCH(Dashboard_Visual!$B$4, Data_Monitoring!$A$2:$A$2920, 0) + 100 - 1), "")</f>
        <v/>
      </c>
      <c r="V102" s="8" t="str">
        <f>IF(100&lt;=COUNTIF(Data_Monitoring!$A$2:$A$2920, Dashboard_Visual!$B$4), INDEX(Data_Monitoring!$M$2:$M$2920, MATCH(Dashboard_Visual!$B$4, Data_Monitoring!$A$2:$A$2920, 0) + 100 - 1), "")</f>
        <v/>
      </c>
    </row>
    <row r="103" spans="21:22" x14ac:dyDescent="0.25">
      <c r="U103" s="7" t="str">
        <f>IF(101&lt;=COUNTIF(Data_Monitoring!$A$2:$A$2920, Dashboard_Visual!$B$4), INDEX(Data_Monitoring!$B$2:$B$2920, MATCH(Dashboard_Visual!$B$4, Data_Monitoring!$A$2:$A$2920, 0) + 101 - 1), "")</f>
        <v/>
      </c>
      <c r="V103" s="8" t="str">
        <f>IF(101&lt;=COUNTIF(Data_Monitoring!$A$2:$A$2920, Dashboard_Visual!$B$4), INDEX(Data_Monitoring!$M$2:$M$2920, MATCH(Dashboard_Visual!$B$4, Data_Monitoring!$A$2:$A$2920, 0) + 101 - 1), "")</f>
        <v/>
      </c>
    </row>
    <row r="104" spans="21:22" x14ac:dyDescent="0.25">
      <c r="U104" s="7" t="str">
        <f>IF(102&lt;=COUNTIF(Data_Monitoring!$A$2:$A$2920, Dashboard_Visual!$B$4), INDEX(Data_Monitoring!$B$2:$B$2920, MATCH(Dashboard_Visual!$B$4, Data_Monitoring!$A$2:$A$2920, 0) + 102 - 1), "")</f>
        <v/>
      </c>
      <c r="V104" s="8" t="str">
        <f>IF(102&lt;=COUNTIF(Data_Monitoring!$A$2:$A$2920, Dashboard_Visual!$B$4), INDEX(Data_Monitoring!$M$2:$M$2920, MATCH(Dashboard_Visual!$B$4, Data_Monitoring!$A$2:$A$2920, 0) + 102 - 1), "")</f>
        <v/>
      </c>
    </row>
    <row r="105" spans="21:22" x14ac:dyDescent="0.25">
      <c r="U105" s="7" t="str">
        <f>IF(103&lt;=COUNTIF(Data_Monitoring!$A$2:$A$2920, Dashboard_Visual!$B$4), INDEX(Data_Monitoring!$B$2:$B$2920, MATCH(Dashboard_Visual!$B$4, Data_Monitoring!$A$2:$A$2920, 0) + 103 - 1), "")</f>
        <v/>
      </c>
      <c r="V105" s="8" t="str">
        <f>IF(103&lt;=COUNTIF(Data_Monitoring!$A$2:$A$2920, Dashboard_Visual!$B$4), INDEX(Data_Monitoring!$M$2:$M$2920, MATCH(Dashboard_Visual!$B$4, Data_Monitoring!$A$2:$A$2920, 0) + 103 - 1), "")</f>
        <v/>
      </c>
    </row>
    <row r="106" spans="21:22" x14ac:dyDescent="0.25">
      <c r="U106" s="7" t="str">
        <f>IF(104&lt;=COUNTIF(Data_Monitoring!$A$2:$A$2920, Dashboard_Visual!$B$4), INDEX(Data_Monitoring!$B$2:$B$2920, MATCH(Dashboard_Visual!$B$4, Data_Monitoring!$A$2:$A$2920, 0) + 104 - 1), "")</f>
        <v/>
      </c>
      <c r="V106" s="8" t="str">
        <f>IF(104&lt;=COUNTIF(Data_Monitoring!$A$2:$A$2920, Dashboard_Visual!$B$4), INDEX(Data_Monitoring!$M$2:$M$2920, MATCH(Dashboard_Visual!$B$4, Data_Monitoring!$A$2:$A$2920, 0) + 104 - 1), "")</f>
        <v/>
      </c>
    </row>
    <row r="107" spans="21:22" x14ac:dyDescent="0.25">
      <c r="U107" s="7" t="str">
        <f>IF(105&lt;=COUNTIF(Data_Monitoring!$A$2:$A$2920, Dashboard_Visual!$B$4), INDEX(Data_Monitoring!$B$2:$B$2920, MATCH(Dashboard_Visual!$B$4, Data_Monitoring!$A$2:$A$2920, 0) + 105 - 1), "")</f>
        <v/>
      </c>
      <c r="V107" s="8" t="str">
        <f>IF(105&lt;=COUNTIF(Data_Monitoring!$A$2:$A$2920, Dashboard_Visual!$B$4), INDEX(Data_Monitoring!$M$2:$M$2920, MATCH(Dashboard_Visual!$B$4, Data_Monitoring!$A$2:$A$2920, 0) + 105 - 1), "")</f>
        <v/>
      </c>
    </row>
    <row r="108" spans="21:22" x14ac:dyDescent="0.25">
      <c r="U108" s="7" t="str">
        <f>IF(106&lt;=COUNTIF(Data_Monitoring!$A$2:$A$2920, Dashboard_Visual!$B$4), INDEX(Data_Monitoring!$B$2:$B$2920, MATCH(Dashboard_Visual!$B$4, Data_Monitoring!$A$2:$A$2920, 0) + 106 - 1), "")</f>
        <v/>
      </c>
      <c r="V108" s="8" t="str">
        <f>IF(106&lt;=COUNTIF(Data_Monitoring!$A$2:$A$2920, Dashboard_Visual!$B$4), INDEX(Data_Monitoring!$M$2:$M$2920, MATCH(Dashboard_Visual!$B$4, Data_Monitoring!$A$2:$A$2920, 0) + 106 - 1), "")</f>
        <v/>
      </c>
    </row>
    <row r="109" spans="21:22" x14ac:dyDescent="0.25">
      <c r="U109" s="7" t="str">
        <f>IF(107&lt;=COUNTIF(Data_Monitoring!$A$2:$A$2920, Dashboard_Visual!$B$4), INDEX(Data_Monitoring!$B$2:$B$2920, MATCH(Dashboard_Visual!$B$4, Data_Monitoring!$A$2:$A$2920, 0) + 107 - 1), "")</f>
        <v/>
      </c>
      <c r="V109" s="8" t="str">
        <f>IF(107&lt;=COUNTIF(Data_Monitoring!$A$2:$A$2920, Dashboard_Visual!$B$4), INDEX(Data_Monitoring!$M$2:$M$2920, MATCH(Dashboard_Visual!$B$4, Data_Monitoring!$A$2:$A$2920, 0) + 107 - 1), "")</f>
        <v/>
      </c>
    </row>
    <row r="110" spans="21:22" x14ac:dyDescent="0.25">
      <c r="U110" s="7" t="str">
        <f>IF(108&lt;=COUNTIF(Data_Monitoring!$A$2:$A$2920, Dashboard_Visual!$B$4), INDEX(Data_Monitoring!$B$2:$B$2920, MATCH(Dashboard_Visual!$B$4, Data_Monitoring!$A$2:$A$2920, 0) + 108 - 1), "")</f>
        <v/>
      </c>
      <c r="V110" s="8" t="str">
        <f>IF(108&lt;=COUNTIF(Data_Monitoring!$A$2:$A$2920, Dashboard_Visual!$B$4), INDEX(Data_Monitoring!$M$2:$M$2920, MATCH(Dashboard_Visual!$B$4, Data_Monitoring!$A$2:$A$2920, 0) + 108 - 1), "")</f>
        <v/>
      </c>
    </row>
    <row r="111" spans="21:22" x14ac:dyDescent="0.25">
      <c r="U111" s="7" t="str">
        <f>IF(109&lt;=COUNTIF(Data_Monitoring!$A$2:$A$2920, Dashboard_Visual!$B$4), INDEX(Data_Monitoring!$B$2:$B$2920, MATCH(Dashboard_Visual!$B$4, Data_Monitoring!$A$2:$A$2920, 0) + 109 - 1), "")</f>
        <v/>
      </c>
      <c r="V111" s="8" t="str">
        <f>IF(109&lt;=COUNTIF(Data_Monitoring!$A$2:$A$2920, Dashboard_Visual!$B$4), INDEX(Data_Monitoring!$M$2:$M$2920, MATCH(Dashboard_Visual!$B$4, Data_Monitoring!$A$2:$A$2920, 0) + 109 - 1), "")</f>
        <v/>
      </c>
    </row>
    <row r="112" spans="21:22" x14ac:dyDescent="0.25">
      <c r="U112" s="7" t="str">
        <f>IF(110&lt;=COUNTIF(Data_Monitoring!$A$2:$A$2920, Dashboard_Visual!$B$4), INDEX(Data_Monitoring!$B$2:$B$2920, MATCH(Dashboard_Visual!$B$4, Data_Monitoring!$A$2:$A$2920, 0) + 110 - 1), "")</f>
        <v/>
      </c>
      <c r="V112" s="8" t="str">
        <f>IF(110&lt;=COUNTIF(Data_Monitoring!$A$2:$A$2920, Dashboard_Visual!$B$4), INDEX(Data_Monitoring!$M$2:$M$2920, MATCH(Dashboard_Visual!$B$4, Data_Monitoring!$A$2:$A$2920, 0) + 110 - 1), "")</f>
        <v/>
      </c>
    </row>
    <row r="113" spans="21:22" x14ac:dyDescent="0.25">
      <c r="U113" s="7" t="str">
        <f>IF(111&lt;=COUNTIF(Data_Monitoring!$A$2:$A$2920, Dashboard_Visual!$B$4), INDEX(Data_Monitoring!$B$2:$B$2920, MATCH(Dashboard_Visual!$B$4, Data_Monitoring!$A$2:$A$2920, 0) + 111 - 1), "")</f>
        <v/>
      </c>
      <c r="V113" s="8" t="str">
        <f>IF(111&lt;=COUNTIF(Data_Monitoring!$A$2:$A$2920, Dashboard_Visual!$B$4), INDEX(Data_Monitoring!$M$2:$M$2920, MATCH(Dashboard_Visual!$B$4, Data_Monitoring!$A$2:$A$2920, 0) + 111 - 1), "")</f>
        <v/>
      </c>
    </row>
    <row r="114" spans="21:22" x14ac:dyDescent="0.25">
      <c r="U114" s="7" t="str">
        <f>IF(112&lt;=COUNTIF(Data_Monitoring!$A$2:$A$2920, Dashboard_Visual!$B$4), INDEX(Data_Monitoring!$B$2:$B$2920, MATCH(Dashboard_Visual!$B$4, Data_Monitoring!$A$2:$A$2920, 0) + 112 - 1), "")</f>
        <v/>
      </c>
      <c r="V114" s="8" t="str">
        <f>IF(112&lt;=COUNTIF(Data_Monitoring!$A$2:$A$2920, Dashboard_Visual!$B$4), INDEX(Data_Monitoring!$M$2:$M$2920, MATCH(Dashboard_Visual!$B$4, Data_Monitoring!$A$2:$A$2920, 0) + 112 - 1), "")</f>
        <v/>
      </c>
    </row>
    <row r="115" spans="21:22" x14ac:dyDescent="0.25">
      <c r="U115" s="7" t="str">
        <f>IF(113&lt;=COUNTIF(Data_Monitoring!$A$2:$A$2920, Dashboard_Visual!$B$4), INDEX(Data_Monitoring!$B$2:$B$2920, MATCH(Dashboard_Visual!$B$4, Data_Monitoring!$A$2:$A$2920, 0) + 113 - 1), "")</f>
        <v/>
      </c>
      <c r="V115" s="8" t="str">
        <f>IF(113&lt;=COUNTIF(Data_Monitoring!$A$2:$A$2920, Dashboard_Visual!$B$4), INDEX(Data_Monitoring!$M$2:$M$2920, MATCH(Dashboard_Visual!$B$4, Data_Monitoring!$A$2:$A$2920, 0) + 113 - 1), "")</f>
        <v/>
      </c>
    </row>
    <row r="116" spans="21:22" x14ac:dyDescent="0.25">
      <c r="U116" s="7" t="str">
        <f>IF(114&lt;=COUNTIF(Data_Monitoring!$A$2:$A$2920, Dashboard_Visual!$B$4), INDEX(Data_Monitoring!$B$2:$B$2920, MATCH(Dashboard_Visual!$B$4, Data_Monitoring!$A$2:$A$2920, 0) + 114 - 1), "")</f>
        <v/>
      </c>
      <c r="V116" s="8" t="str">
        <f>IF(114&lt;=COUNTIF(Data_Monitoring!$A$2:$A$2920, Dashboard_Visual!$B$4), INDEX(Data_Monitoring!$M$2:$M$2920, MATCH(Dashboard_Visual!$B$4, Data_Monitoring!$A$2:$A$2920, 0) + 114 - 1), "")</f>
        <v/>
      </c>
    </row>
    <row r="117" spans="21:22" x14ac:dyDescent="0.25">
      <c r="U117" s="7" t="str">
        <f>IF(115&lt;=COUNTIF(Data_Monitoring!$A$2:$A$2920, Dashboard_Visual!$B$4), INDEX(Data_Monitoring!$B$2:$B$2920, MATCH(Dashboard_Visual!$B$4, Data_Monitoring!$A$2:$A$2920, 0) + 115 - 1), "")</f>
        <v/>
      </c>
      <c r="V117" s="8" t="str">
        <f>IF(115&lt;=COUNTIF(Data_Monitoring!$A$2:$A$2920, Dashboard_Visual!$B$4), INDEX(Data_Monitoring!$M$2:$M$2920, MATCH(Dashboard_Visual!$B$4, Data_Monitoring!$A$2:$A$2920, 0) + 115 - 1), "")</f>
        <v/>
      </c>
    </row>
    <row r="118" spans="21:22" x14ac:dyDescent="0.25">
      <c r="U118" s="7" t="str">
        <f>IF(116&lt;=COUNTIF(Data_Monitoring!$A$2:$A$2920, Dashboard_Visual!$B$4), INDEX(Data_Monitoring!$B$2:$B$2920, MATCH(Dashboard_Visual!$B$4, Data_Monitoring!$A$2:$A$2920, 0) + 116 - 1), "")</f>
        <v/>
      </c>
      <c r="V118" s="8" t="str">
        <f>IF(116&lt;=COUNTIF(Data_Monitoring!$A$2:$A$2920, Dashboard_Visual!$B$4), INDEX(Data_Monitoring!$M$2:$M$2920, MATCH(Dashboard_Visual!$B$4, Data_Monitoring!$A$2:$A$2920, 0) + 116 - 1), "")</f>
        <v/>
      </c>
    </row>
    <row r="119" spans="21:22" x14ac:dyDescent="0.25">
      <c r="U119" s="7" t="str">
        <f>IF(117&lt;=COUNTIF(Data_Monitoring!$A$2:$A$2920, Dashboard_Visual!$B$4), INDEX(Data_Monitoring!$B$2:$B$2920, MATCH(Dashboard_Visual!$B$4, Data_Monitoring!$A$2:$A$2920, 0) + 117 - 1), "")</f>
        <v/>
      </c>
      <c r="V119" s="8" t="str">
        <f>IF(117&lt;=COUNTIF(Data_Monitoring!$A$2:$A$2920, Dashboard_Visual!$B$4), INDEX(Data_Monitoring!$M$2:$M$2920, MATCH(Dashboard_Visual!$B$4, Data_Monitoring!$A$2:$A$2920, 0) + 117 - 1), "")</f>
        <v/>
      </c>
    </row>
    <row r="120" spans="21:22" x14ac:dyDescent="0.25">
      <c r="U120" s="7" t="str">
        <f>IF(118&lt;=COUNTIF(Data_Monitoring!$A$2:$A$2920, Dashboard_Visual!$B$4), INDEX(Data_Monitoring!$B$2:$B$2920, MATCH(Dashboard_Visual!$B$4, Data_Monitoring!$A$2:$A$2920, 0) + 118 - 1), "")</f>
        <v/>
      </c>
      <c r="V120" s="8" t="str">
        <f>IF(118&lt;=COUNTIF(Data_Monitoring!$A$2:$A$2920, Dashboard_Visual!$B$4), INDEX(Data_Monitoring!$M$2:$M$2920, MATCH(Dashboard_Visual!$B$4, Data_Monitoring!$A$2:$A$2920, 0) + 118 - 1), "")</f>
        <v/>
      </c>
    </row>
    <row r="121" spans="21:22" x14ac:dyDescent="0.25">
      <c r="U121" s="7" t="str">
        <f>IF(119&lt;=COUNTIF(Data_Monitoring!$A$2:$A$2920, Dashboard_Visual!$B$4), INDEX(Data_Monitoring!$B$2:$B$2920, MATCH(Dashboard_Visual!$B$4, Data_Monitoring!$A$2:$A$2920, 0) + 119 - 1), "")</f>
        <v/>
      </c>
      <c r="V121" s="8" t="str">
        <f>IF(119&lt;=COUNTIF(Data_Monitoring!$A$2:$A$2920, Dashboard_Visual!$B$4), INDEX(Data_Monitoring!$M$2:$M$2920, MATCH(Dashboard_Visual!$B$4, Data_Monitoring!$A$2:$A$2920, 0) + 119 - 1), "")</f>
        <v/>
      </c>
    </row>
    <row r="122" spans="21:22" x14ac:dyDescent="0.25">
      <c r="U122" s="7" t="str">
        <f>IF(120&lt;=COUNTIF(Data_Monitoring!$A$2:$A$2920, Dashboard_Visual!$B$4), INDEX(Data_Monitoring!$B$2:$B$2920, MATCH(Dashboard_Visual!$B$4, Data_Monitoring!$A$2:$A$2920, 0) + 120 - 1), "")</f>
        <v/>
      </c>
      <c r="V122" s="8" t="str">
        <f>IF(120&lt;=COUNTIF(Data_Monitoring!$A$2:$A$2920, Dashboard_Visual!$B$4), INDEX(Data_Monitoring!$M$2:$M$2920, MATCH(Dashboard_Visual!$B$4, Data_Monitoring!$A$2:$A$2920, 0) + 120 - 1), "")</f>
        <v/>
      </c>
    </row>
    <row r="123" spans="21:22" x14ac:dyDescent="0.25">
      <c r="U123" s="7" t="str">
        <f>IF(121&lt;=COUNTIF(Data_Monitoring!$A$2:$A$2920, Dashboard_Visual!$B$4), INDEX(Data_Monitoring!$B$2:$B$2920, MATCH(Dashboard_Visual!$B$4, Data_Monitoring!$A$2:$A$2920, 0) + 121 - 1), "")</f>
        <v/>
      </c>
      <c r="V123" s="8" t="str">
        <f>IF(121&lt;=COUNTIF(Data_Monitoring!$A$2:$A$2920, Dashboard_Visual!$B$4), INDEX(Data_Monitoring!$M$2:$M$2920, MATCH(Dashboard_Visual!$B$4, Data_Monitoring!$A$2:$A$2920, 0) + 121 - 1), "")</f>
        <v/>
      </c>
    </row>
    <row r="124" spans="21:22" x14ac:dyDescent="0.25">
      <c r="U124" s="7" t="str">
        <f>IF(122&lt;=COUNTIF(Data_Monitoring!$A$2:$A$2920, Dashboard_Visual!$B$4), INDEX(Data_Monitoring!$B$2:$B$2920, MATCH(Dashboard_Visual!$B$4, Data_Monitoring!$A$2:$A$2920, 0) + 122 - 1), "")</f>
        <v/>
      </c>
      <c r="V124" s="8" t="str">
        <f>IF(122&lt;=COUNTIF(Data_Monitoring!$A$2:$A$2920, Dashboard_Visual!$B$4), INDEX(Data_Monitoring!$M$2:$M$2920, MATCH(Dashboard_Visual!$B$4, Data_Monitoring!$A$2:$A$2920, 0) + 122 - 1), "")</f>
        <v/>
      </c>
    </row>
    <row r="125" spans="21:22" x14ac:dyDescent="0.25">
      <c r="U125" s="7" t="str">
        <f>IF(123&lt;=COUNTIF(Data_Monitoring!$A$2:$A$2920, Dashboard_Visual!$B$4), INDEX(Data_Monitoring!$B$2:$B$2920, MATCH(Dashboard_Visual!$B$4, Data_Monitoring!$A$2:$A$2920, 0) + 123 - 1), "")</f>
        <v/>
      </c>
      <c r="V125" s="8" t="str">
        <f>IF(123&lt;=COUNTIF(Data_Monitoring!$A$2:$A$2920, Dashboard_Visual!$B$4), INDEX(Data_Monitoring!$M$2:$M$2920, MATCH(Dashboard_Visual!$B$4, Data_Monitoring!$A$2:$A$2920, 0) + 123 - 1), "")</f>
        <v/>
      </c>
    </row>
    <row r="126" spans="21:22" x14ac:dyDescent="0.25">
      <c r="U126" s="7" t="str">
        <f>IF(124&lt;=COUNTIF(Data_Monitoring!$A$2:$A$2920, Dashboard_Visual!$B$4), INDEX(Data_Monitoring!$B$2:$B$2920, MATCH(Dashboard_Visual!$B$4, Data_Monitoring!$A$2:$A$2920, 0) + 124 - 1), "")</f>
        <v/>
      </c>
      <c r="V126" s="8" t="str">
        <f>IF(124&lt;=COUNTIF(Data_Monitoring!$A$2:$A$2920, Dashboard_Visual!$B$4), INDEX(Data_Monitoring!$M$2:$M$2920, MATCH(Dashboard_Visual!$B$4, Data_Monitoring!$A$2:$A$2920, 0) + 124 - 1), "")</f>
        <v/>
      </c>
    </row>
    <row r="127" spans="21:22" x14ac:dyDescent="0.25">
      <c r="U127" s="7" t="str">
        <f>IF(125&lt;=COUNTIF(Data_Monitoring!$A$2:$A$2920, Dashboard_Visual!$B$4), INDEX(Data_Monitoring!$B$2:$B$2920, MATCH(Dashboard_Visual!$B$4, Data_Monitoring!$A$2:$A$2920, 0) + 125 - 1), "")</f>
        <v/>
      </c>
      <c r="V127" s="8" t="str">
        <f>IF(125&lt;=COUNTIF(Data_Monitoring!$A$2:$A$2920, Dashboard_Visual!$B$4), INDEX(Data_Monitoring!$M$2:$M$2920, MATCH(Dashboard_Visual!$B$4, Data_Monitoring!$A$2:$A$2920, 0) + 125 - 1), "")</f>
        <v/>
      </c>
    </row>
    <row r="128" spans="21:22" x14ac:dyDescent="0.25">
      <c r="U128" s="7" t="str">
        <f>IF(126&lt;=COUNTIF(Data_Monitoring!$A$2:$A$2920, Dashboard_Visual!$B$4), INDEX(Data_Monitoring!$B$2:$B$2920, MATCH(Dashboard_Visual!$B$4, Data_Monitoring!$A$2:$A$2920, 0) + 126 - 1), "")</f>
        <v/>
      </c>
      <c r="V128" s="8" t="str">
        <f>IF(126&lt;=COUNTIF(Data_Monitoring!$A$2:$A$2920, Dashboard_Visual!$B$4), INDEX(Data_Monitoring!$M$2:$M$2920, MATCH(Dashboard_Visual!$B$4, Data_Monitoring!$A$2:$A$2920, 0) + 126 - 1), "")</f>
        <v/>
      </c>
    </row>
    <row r="129" spans="21:22" x14ac:dyDescent="0.25">
      <c r="U129" s="7" t="str">
        <f>IF(127&lt;=COUNTIF(Data_Monitoring!$A$2:$A$2920, Dashboard_Visual!$B$4), INDEX(Data_Monitoring!$B$2:$B$2920, MATCH(Dashboard_Visual!$B$4, Data_Monitoring!$A$2:$A$2920, 0) + 127 - 1), "")</f>
        <v/>
      </c>
      <c r="V129" s="8" t="str">
        <f>IF(127&lt;=COUNTIF(Data_Monitoring!$A$2:$A$2920, Dashboard_Visual!$B$4), INDEX(Data_Monitoring!$M$2:$M$2920, MATCH(Dashboard_Visual!$B$4, Data_Monitoring!$A$2:$A$2920, 0) + 127 - 1), "")</f>
        <v/>
      </c>
    </row>
    <row r="130" spans="21:22" x14ac:dyDescent="0.25">
      <c r="U130" s="7" t="str">
        <f>IF(128&lt;=COUNTIF(Data_Monitoring!$A$2:$A$2920, Dashboard_Visual!$B$4), INDEX(Data_Monitoring!$B$2:$B$2920, MATCH(Dashboard_Visual!$B$4, Data_Monitoring!$A$2:$A$2920, 0) + 128 - 1), "")</f>
        <v/>
      </c>
      <c r="V130" s="8" t="str">
        <f>IF(128&lt;=COUNTIF(Data_Monitoring!$A$2:$A$2920, Dashboard_Visual!$B$4), INDEX(Data_Monitoring!$M$2:$M$2920, MATCH(Dashboard_Visual!$B$4, Data_Monitoring!$A$2:$A$2920, 0) + 128 - 1), "")</f>
        <v/>
      </c>
    </row>
    <row r="131" spans="21:22" x14ac:dyDescent="0.25">
      <c r="U131" s="7" t="str">
        <f>IF(129&lt;=COUNTIF(Data_Monitoring!$A$2:$A$2920, Dashboard_Visual!$B$4), INDEX(Data_Monitoring!$B$2:$B$2920, MATCH(Dashboard_Visual!$B$4, Data_Monitoring!$A$2:$A$2920, 0) + 129 - 1), "")</f>
        <v/>
      </c>
      <c r="V131" s="8" t="str">
        <f>IF(129&lt;=COUNTIF(Data_Monitoring!$A$2:$A$2920, Dashboard_Visual!$B$4), INDEX(Data_Monitoring!$M$2:$M$2920, MATCH(Dashboard_Visual!$B$4, Data_Monitoring!$A$2:$A$2920, 0) + 129 - 1), "")</f>
        <v/>
      </c>
    </row>
    <row r="132" spans="21:22" x14ac:dyDescent="0.25">
      <c r="U132" s="7" t="str">
        <f>IF(130&lt;=COUNTIF(Data_Monitoring!$A$2:$A$2920, Dashboard_Visual!$B$4), INDEX(Data_Monitoring!$B$2:$B$2920, MATCH(Dashboard_Visual!$B$4, Data_Monitoring!$A$2:$A$2920, 0) + 130 - 1), "")</f>
        <v/>
      </c>
      <c r="V132" s="8" t="str">
        <f>IF(130&lt;=COUNTIF(Data_Monitoring!$A$2:$A$2920, Dashboard_Visual!$B$4), INDEX(Data_Monitoring!$M$2:$M$2920, MATCH(Dashboard_Visual!$B$4, Data_Monitoring!$A$2:$A$2920, 0) + 130 - 1), "")</f>
        <v/>
      </c>
    </row>
    <row r="133" spans="21:22" x14ac:dyDescent="0.25">
      <c r="U133" s="7" t="str">
        <f>IF(131&lt;=COUNTIF(Data_Monitoring!$A$2:$A$2920, Dashboard_Visual!$B$4), INDEX(Data_Monitoring!$B$2:$B$2920, MATCH(Dashboard_Visual!$B$4, Data_Monitoring!$A$2:$A$2920, 0) + 131 - 1), "")</f>
        <v/>
      </c>
      <c r="V133" s="8" t="str">
        <f>IF(131&lt;=COUNTIF(Data_Monitoring!$A$2:$A$2920, Dashboard_Visual!$B$4), INDEX(Data_Monitoring!$M$2:$M$2920, MATCH(Dashboard_Visual!$B$4, Data_Monitoring!$A$2:$A$2920, 0) + 131 - 1), "")</f>
        <v/>
      </c>
    </row>
    <row r="134" spans="21:22" x14ac:dyDescent="0.25">
      <c r="U134" s="7" t="str">
        <f>IF(132&lt;=COUNTIF(Data_Monitoring!$A$2:$A$2920, Dashboard_Visual!$B$4), INDEX(Data_Monitoring!$B$2:$B$2920, MATCH(Dashboard_Visual!$B$4, Data_Monitoring!$A$2:$A$2920, 0) + 132 - 1), "")</f>
        <v/>
      </c>
      <c r="V134" s="8" t="str">
        <f>IF(132&lt;=COUNTIF(Data_Monitoring!$A$2:$A$2920, Dashboard_Visual!$B$4), INDEX(Data_Monitoring!$M$2:$M$2920, MATCH(Dashboard_Visual!$B$4, Data_Monitoring!$A$2:$A$2920, 0) + 132 - 1), "")</f>
        <v/>
      </c>
    </row>
    <row r="135" spans="21:22" x14ac:dyDescent="0.25">
      <c r="U135" s="7" t="str">
        <f>IF(133&lt;=COUNTIF(Data_Monitoring!$A$2:$A$2920, Dashboard_Visual!$B$4), INDEX(Data_Monitoring!$B$2:$B$2920, MATCH(Dashboard_Visual!$B$4, Data_Monitoring!$A$2:$A$2920, 0) + 133 - 1), "")</f>
        <v/>
      </c>
      <c r="V135" s="8" t="str">
        <f>IF(133&lt;=COUNTIF(Data_Monitoring!$A$2:$A$2920, Dashboard_Visual!$B$4), INDEX(Data_Monitoring!$M$2:$M$2920, MATCH(Dashboard_Visual!$B$4, Data_Monitoring!$A$2:$A$2920, 0) + 133 - 1), "")</f>
        <v/>
      </c>
    </row>
    <row r="136" spans="21:22" x14ac:dyDescent="0.25">
      <c r="U136" s="7" t="str">
        <f>IF(134&lt;=COUNTIF(Data_Monitoring!$A$2:$A$2920, Dashboard_Visual!$B$4), INDEX(Data_Monitoring!$B$2:$B$2920, MATCH(Dashboard_Visual!$B$4, Data_Monitoring!$A$2:$A$2920, 0) + 134 - 1), "")</f>
        <v/>
      </c>
      <c r="V136" s="8" t="str">
        <f>IF(134&lt;=COUNTIF(Data_Monitoring!$A$2:$A$2920, Dashboard_Visual!$B$4), INDEX(Data_Monitoring!$M$2:$M$2920, MATCH(Dashboard_Visual!$B$4, Data_Monitoring!$A$2:$A$2920, 0) + 134 - 1), "")</f>
        <v/>
      </c>
    </row>
    <row r="137" spans="21:22" x14ac:dyDescent="0.25">
      <c r="U137" s="7" t="str">
        <f>IF(135&lt;=COUNTIF(Data_Monitoring!$A$2:$A$2920, Dashboard_Visual!$B$4), INDEX(Data_Monitoring!$B$2:$B$2920, MATCH(Dashboard_Visual!$B$4, Data_Monitoring!$A$2:$A$2920, 0) + 135 - 1), "")</f>
        <v/>
      </c>
      <c r="V137" s="8" t="str">
        <f>IF(135&lt;=COUNTIF(Data_Monitoring!$A$2:$A$2920, Dashboard_Visual!$B$4), INDEX(Data_Monitoring!$M$2:$M$2920, MATCH(Dashboard_Visual!$B$4, Data_Monitoring!$A$2:$A$2920, 0) + 135 - 1), "")</f>
        <v/>
      </c>
    </row>
    <row r="138" spans="21:22" x14ac:dyDescent="0.25">
      <c r="U138" s="7" t="str">
        <f>IF(136&lt;=COUNTIF(Data_Monitoring!$A$2:$A$2920, Dashboard_Visual!$B$4), INDEX(Data_Monitoring!$B$2:$B$2920, MATCH(Dashboard_Visual!$B$4, Data_Monitoring!$A$2:$A$2920, 0) + 136 - 1), "")</f>
        <v/>
      </c>
      <c r="V138" s="8" t="str">
        <f>IF(136&lt;=COUNTIF(Data_Monitoring!$A$2:$A$2920, Dashboard_Visual!$B$4), INDEX(Data_Monitoring!$M$2:$M$2920, MATCH(Dashboard_Visual!$B$4, Data_Monitoring!$A$2:$A$2920, 0) + 136 - 1), "")</f>
        <v/>
      </c>
    </row>
    <row r="139" spans="21:22" x14ac:dyDescent="0.25">
      <c r="U139" s="7" t="str">
        <f>IF(137&lt;=COUNTIF(Data_Monitoring!$A$2:$A$2920, Dashboard_Visual!$B$4), INDEX(Data_Monitoring!$B$2:$B$2920, MATCH(Dashboard_Visual!$B$4, Data_Monitoring!$A$2:$A$2920, 0) + 137 - 1), "")</f>
        <v/>
      </c>
      <c r="V139" s="8" t="str">
        <f>IF(137&lt;=COUNTIF(Data_Monitoring!$A$2:$A$2920, Dashboard_Visual!$B$4), INDEX(Data_Monitoring!$M$2:$M$2920, MATCH(Dashboard_Visual!$B$4, Data_Monitoring!$A$2:$A$2920, 0) + 137 - 1), "")</f>
        <v/>
      </c>
    </row>
    <row r="140" spans="21:22" x14ac:dyDescent="0.25">
      <c r="U140" s="7" t="str">
        <f>IF(138&lt;=COUNTIF(Data_Monitoring!$A$2:$A$2920, Dashboard_Visual!$B$4), INDEX(Data_Monitoring!$B$2:$B$2920, MATCH(Dashboard_Visual!$B$4, Data_Monitoring!$A$2:$A$2920, 0) + 138 - 1), "")</f>
        <v/>
      </c>
      <c r="V140" s="8" t="str">
        <f>IF(138&lt;=COUNTIF(Data_Monitoring!$A$2:$A$2920, Dashboard_Visual!$B$4), INDEX(Data_Monitoring!$M$2:$M$2920, MATCH(Dashboard_Visual!$B$4, Data_Monitoring!$A$2:$A$2920, 0) + 138 - 1), "")</f>
        <v/>
      </c>
    </row>
    <row r="141" spans="21:22" x14ac:dyDescent="0.25">
      <c r="U141" s="7" t="str">
        <f>IF(139&lt;=COUNTIF(Data_Monitoring!$A$2:$A$2920, Dashboard_Visual!$B$4), INDEX(Data_Monitoring!$B$2:$B$2920, MATCH(Dashboard_Visual!$B$4, Data_Monitoring!$A$2:$A$2920, 0) + 139 - 1), "")</f>
        <v/>
      </c>
      <c r="V141" s="8" t="str">
        <f>IF(139&lt;=COUNTIF(Data_Monitoring!$A$2:$A$2920, Dashboard_Visual!$B$4), INDEX(Data_Monitoring!$M$2:$M$2920, MATCH(Dashboard_Visual!$B$4, Data_Monitoring!$A$2:$A$2920, 0) + 139 - 1), "")</f>
        <v/>
      </c>
    </row>
    <row r="142" spans="21:22" x14ac:dyDescent="0.25">
      <c r="U142" s="7" t="str">
        <f>IF(140&lt;=COUNTIF(Data_Monitoring!$A$2:$A$2920, Dashboard_Visual!$B$4), INDEX(Data_Monitoring!$B$2:$B$2920, MATCH(Dashboard_Visual!$B$4, Data_Monitoring!$A$2:$A$2920, 0) + 140 - 1), "")</f>
        <v/>
      </c>
      <c r="V142" s="8" t="str">
        <f>IF(140&lt;=COUNTIF(Data_Monitoring!$A$2:$A$2920, Dashboard_Visual!$B$4), INDEX(Data_Monitoring!$M$2:$M$2920, MATCH(Dashboard_Visual!$B$4, Data_Monitoring!$A$2:$A$2920, 0) + 140 - 1), "")</f>
        <v/>
      </c>
    </row>
    <row r="143" spans="21:22" x14ac:dyDescent="0.25">
      <c r="U143" s="7" t="str">
        <f>IF(141&lt;=COUNTIF(Data_Monitoring!$A$2:$A$2920, Dashboard_Visual!$B$4), INDEX(Data_Monitoring!$B$2:$B$2920, MATCH(Dashboard_Visual!$B$4, Data_Monitoring!$A$2:$A$2920, 0) + 141 - 1), "")</f>
        <v/>
      </c>
      <c r="V143" s="8" t="str">
        <f>IF(141&lt;=COUNTIF(Data_Monitoring!$A$2:$A$2920, Dashboard_Visual!$B$4), INDEX(Data_Monitoring!$M$2:$M$2920, MATCH(Dashboard_Visual!$B$4, Data_Monitoring!$A$2:$A$2920, 0) + 141 - 1), "")</f>
        <v/>
      </c>
    </row>
    <row r="144" spans="21:22" x14ac:dyDescent="0.25">
      <c r="U144" s="7" t="str">
        <f>IF(142&lt;=COUNTIF(Data_Monitoring!$A$2:$A$2920, Dashboard_Visual!$B$4), INDEX(Data_Monitoring!$B$2:$B$2920, MATCH(Dashboard_Visual!$B$4, Data_Monitoring!$A$2:$A$2920, 0) + 142 - 1), "")</f>
        <v/>
      </c>
      <c r="V144" s="8" t="str">
        <f>IF(142&lt;=COUNTIF(Data_Monitoring!$A$2:$A$2920, Dashboard_Visual!$B$4), INDEX(Data_Monitoring!$M$2:$M$2920, MATCH(Dashboard_Visual!$B$4, Data_Monitoring!$A$2:$A$2920, 0) + 142 - 1), "")</f>
        <v/>
      </c>
    </row>
    <row r="145" spans="21:22" x14ac:dyDescent="0.25">
      <c r="U145" s="7" t="str">
        <f>IF(143&lt;=COUNTIF(Data_Monitoring!$A$2:$A$2920, Dashboard_Visual!$B$4), INDEX(Data_Monitoring!$B$2:$B$2920, MATCH(Dashboard_Visual!$B$4, Data_Monitoring!$A$2:$A$2920, 0) + 143 - 1), "")</f>
        <v/>
      </c>
      <c r="V145" s="8" t="str">
        <f>IF(143&lt;=COUNTIF(Data_Monitoring!$A$2:$A$2920, Dashboard_Visual!$B$4), INDEX(Data_Monitoring!$M$2:$M$2920, MATCH(Dashboard_Visual!$B$4, Data_Monitoring!$A$2:$A$2920, 0) + 143 - 1), "")</f>
        <v/>
      </c>
    </row>
    <row r="146" spans="21:22" x14ac:dyDescent="0.25">
      <c r="U146" s="7" t="str">
        <f>IF(144&lt;=COUNTIF(Data_Monitoring!$A$2:$A$2920, Dashboard_Visual!$B$4), INDEX(Data_Monitoring!$B$2:$B$2920, MATCH(Dashboard_Visual!$B$4, Data_Monitoring!$A$2:$A$2920, 0) + 144 - 1), "")</f>
        <v/>
      </c>
      <c r="V146" s="8" t="str">
        <f>IF(144&lt;=COUNTIF(Data_Monitoring!$A$2:$A$2920, Dashboard_Visual!$B$4), INDEX(Data_Monitoring!$M$2:$M$2920, MATCH(Dashboard_Visual!$B$4, Data_Monitoring!$A$2:$A$2920, 0) + 144 - 1), "")</f>
        <v/>
      </c>
    </row>
    <row r="147" spans="21:22" x14ac:dyDescent="0.25">
      <c r="U147" s="7" t="str">
        <f>IF(145&lt;=COUNTIF(Data_Monitoring!$A$2:$A$2920, Dashboard_Visual!$B$4), INDEX(Data_Monitoring!$B$2:$B$2920, MATCH(Dashboard_Visual!$B$4, Data_Monitoring!$A$2:$A$2920, 0) + 145 - 1), "")</f>
        <v/>
      </c>
      <c r="V147" s="8" t="str">
        <f>IF(145&lt;=COUNTIF(Data_Monitoring!$A$2:$A$2920, Dashboard_Visual!$B$4), INDEX(Data_Monitoring!$M$2:$M$2920, MATCH(Dashboard_Visual!$B$4, Data_Monitoring!$A$2:$A$2920, 0) + 145 - 1), "")</f>
        <v/>
      </c>
    </row>
    <row r="148" spans="21:22" x14ac:dyDescent="0.25">
      <c r="U148" s="7" t="str">
        <f>IF(146&lt;=COUNTIF(Data_Monitoring!$A$2:$A$2920, Dashboard_Visual!$B$4), INDEX(Data_Monitoring!$B$2:$B$2920, MATCH(Dashboard_Visual!$B$4, Data_Monitoring!$A$2:$A$2920, 0) + 146 - 1), "")</f>
        <v/>
      </c>
      <c r="V148" s="8" t="str">
        <f>IF(146&lt;=COUNTIF(Data_Monitoring!$A$2:$A$2920, Dashboard_Visual!$B$4), INDEX(Data_Monitoring!$M$2:$M$2920, MATCH(Dashboard_Visual!$B$4, Data_Monitoring!$A$2:$A$2920, 0) + 146 - 1), "")</f>
        <v/>
      </c>
    </row>
    <row r="149" spans="21:22" x14ac:dyDescent="0.25">
      <c r="U149" s="7" t="str">
        <f>IF(147&lt;=COUNTIF(Data_Monitoring!$A$2:$A$2920, Dashboard_Visual!$B$4), INDEX(Data_Monitoring!$B$2:$B$2920, MATCH(Dashboard_Visual!$B$4, Data_Monitoring!$A$2:$A$2920, 0) + 147 - 1), "")</f>
        <v/>
      </c>
      <c r="V149" s="8" t="str">
        <f>IF(147&lt;=COUNTIF(Data_Monitoring!$A$2:$A$2920, Dashboard_Visual!$B$4), INDEX(Data_Monitoring!$M$2:$M$2920, MATCH(Dashboard_Visual!$B$4, Data_Monitoring!$A$2:$A$2920, 0) + 147 - 1), "")</f>
        <v/>
      </c>
    </row>
    <row r="150" spans="21:22" x14ac:dyDescent="0.25">
      <c r="U150" s="7" t="str">
        <f>IF(148&lt;=COUNTIF(Data_Monitoring!$A$2:$A$2920, Dashboard_Visual!$B$4), INDEX(Data_Monitoring!$B$2:$B$2920, MATCH(Dashboard_Visual!$B$4, Data_Monitoring!$A$2:$A$2920, 0) + 148 - 1), "")</f>
        <v/>
      </c>
      <c r="V150" s="8" t="str">
        <f>IF(148&lt;=COUNTIF(Data_Monitoring!$A$2:$A$2920, Dashboard_Visual!$B$4), INDEX(Data_Monitoring!$M$2:$M$2920, MATCH(Dashboard_Visual!$B$4, Data_Monitoring!$A$2:$A$2920, 0) + 148 - 1), "")</f>
        <v/>
      </c>
    </row>
    <row r="151" spans="21:22" x14ac:dyDescent="0.25">
      <c r="U151" s="7" t="str">
        <f>IF(149&lt;=COUNTIF(Data_Monitoring!$A$2:$A$2920, Dashboard_Visual!$B$4), INDEX(Data_Monitoring!$B$2:$B$2920, MATCH(Dashboard_Visual!$B$4, Data_Monitoring!$A$2:$A$2920, 0) + 149 - 1), "")</f>
        <v/>
      </c>
      <c r="V151" s="8" t="str">
        <f>IF(149&lt;=COUNTIF(Data_Monitoring!$A$2:$A$2920, Dashboard_Visual!$B$4), INDEX(Data_Monitoring!$M$2:$M$2920, MATCH(Dashboard_Visual!$B$4, Data_Monitoring!$A$2:$A$2920, 0) + 149 - 1), "")</f>
        <v/>
      </c>
    </row>
    <row r="152" spans="21:22" x14ac:dyDescent="0.25">
      <c r="U152" s="7" t="str">
        <f>IF(150&lt;=COUNTIF(Data_Monitoring!$A$2:$A$2920, Dashboard_Visual!$B$4), INDEX(Data_Monitoring!$B$2:$B$2920, MATCH(Dashboard_Visual!$B$4, Data_Monitoring!$A$2:$A$2920, 0) + 150 - 1), "")</f>
        <v/>
      </c>
      <c r="V152" s="8" t="str">
        <f>IF(150&lt;=COUNTIF(Data_Monitoring!$A$2:$A$2920, Dashboard_Visual!$B$4), INDEX(Data_Monitoring!$M$2:$M$2920, MATCH(Dashboard_Visual!$B$4, Data_Monitoring!$A$2:$A$2920, 0) + 150 - 1), "")</f>
        <v/>
      </c>
    </row>
    <row r="153" spans="21:22" x14ac:dyDescent="0.25">
      <c r="U153" s="7" t="str">
        <f>IF(151&lt;=COUNTIF(Data_Monitoring!$A$2:$A$2920, Dashboard_Visual!$B$4), INDEX(Data_Monitoring!$B$2:$B$2920, MATCH(Dashboard_Visual!$B$4, Data_Monitoring!$A$2:$A$2920, 0) + 151 - 1), "")</f>
        <v/>
      </c>
      <c r="V153" s="8" t="str">
        <f>IF(151&lt;=COUNTIF(Data_Monitoring!$A$2:$A$2920, Dashboard_Visual!$B$4), INDEX(Data_Monitoring!$M$2:$M$2920, MATCH(Dashboard_Visual!$B$4, Data_Monitoring!$A$2:$A$2920, 0) + 151 - 1), "")</f>
        <v/>
      </c>
    </row>
    <row r="154" spans="21:22" x14ac:dyDescent="0.25">
      <c r="U154" s="7" t="str">
        <f>IF(152&lt;=COUNTIF(Data_Monitoring!$A$2:$A$2920, Dashboard_Visual!$B$4), INDEX(Data_Monitoring!$B$2:$B$2920, MATCH(Dashboard_Visual!$B$4, Data_Monitoring!$A$2:$A$2920, 0) + 152 - 1), "")</f>
        <v/>
      </c>
      <c r="V154" s="8" t="str">
        <f>IF(152&lt;=COUNTIF(Data_Monitoring!$A$2:$A$2920, Dashboard_Visual!$B$4), INDEX(Data_Monitoring!$M$2:$M$2920, MATCH(Dashboard_Visual!$B$4, Data_Monitoring!$A$2:$A$2920, 0) + 152 - 1), "")</f>
        <v/>
      </c>
    </row>
    <row r="155" spans="21:22" x14ac:dyDescent="0.25">
      <c r="U155" s="7" t="str">
        <f>IF(153&lt;=COUNTIF(Data_Monitoring!$A$2:$A$2920, Dashboard_Visual!$B$4), INDEX(Data_Monitoring!$B$2:$B$2920, MATCH(Dashboard_Visual!$B$4, Data_Monitoring!$A$2:$A$2920, 0) + 153 - 1), "")</f>
        <v/>
      </c>
      <c r="V155" s="8" t="str">
        <f>IF(153&lt;=COUNTIF(Data_Monitoring!$A$2:$A$2920, Dashboard_Visual!$B$4), INDEX(Data_Monitoring!$M$2:$M$2920, MATCH(Dashboard_Visual!$B$4, Data_Monitoring!$A$2:$A$2920, 0) + 153 - 1), "")</f>
        <v/>
      </c>
    </row>
    <row r="156" spans="21:22" x14ac:dyDescent="0.25">
      <c r="U156" s="7" t="str">
        <f>IF(154&lt;=COUNTIF(Data_Monitoring!$A$2:$A$2920, Dashboard_Visual!$B$4), INDEX(Data_Monitoring!$B$2:$B$2920, MATCH(Dashboard_Visual!$B$4, Data_Monitoring!$A$2:$A$2920, 0) + 154 - 1), "")</f>
        <v/>
      </c>
      <c r="V156" s="8" t="str">
        <f>IF(154&lt;=COUNTIF(Data_Monitoring!$A$2:$A$2920, Dashboard_Visual!$B$4), INDEX(Data_Monitoring!$M$2:$M$2920, MATCH(Dashboard_Visual!$B$4, Data_Monitoring!$A$2:$A$2920, 0) + 154 - 1), "")</f>
        <v/>
      </c>
    </row>
    <row r="157" spans="21:22" x14ac:dyDescent="0.25">
      <c r="U157" s="7" t="str">
        <f>IF(155&lt;=COUNTIF(Data_Monitoring!$A$2:$A$2920, Dashboard_Visual!$B$4), INDEX(Data_Monitoring!$B$2:$B$2920, MATCH(Dashboard_Visual!$B$4, Data_Monitoring!$A$2:$A$2920, 0) + 155 - 1), "")</f>
        <v/>
      </c>
      <c r="V157" s="8" t="str">
        <f>IF(155&lt;=COUNTIF(Data_Monitoring!$A$2:$A$2920, Dashboard_Visual!$B$4), INDEX(Data_Monitoring!$M$2:$M$2920, MATCH(Dashboard_Visual!$B$4, Data_Monitoring!$A$2:$A$2920, 0) + 155 - 1), "")</f>
        <v/>
      </c>
    </row>
    <row r="158" spans="21:22" x14ac:dyDescent="0.25">
      <c r="U158" s="7" t="str">
        <f>IF(156&lt;=COUNTIF(Data_Monitoring!$A$2:$A$2920, Dashboard_Visual!$B$4), INDEX(Data_Monitoring!$B$2:$B$2920, MATCH(Dashboard_Visual!$B$4, Data_Monitoring!$A$2:$A$2920, 0) + 156 - 1), "")</f>
        <v/>
      </c>
      <c r="V158" s="8" t="str">
        <f>IF(156&lt;=COUNTIF(Data_Monitoring!$A$2:$A$2920, Dashboard_Visual!$B$4), INDEX(Data_Monitoring!$M$2:$M$2920, MATCH(Dashboard_Visual!$B$4, Data_Monitoring!$A$2:$A$2920, 0) + 156 - 1), "")</f>
        <v/>
      </c>
    </row>
    <row r="159" spans="21:22" x14ac:dyDescent="0.25">
      <c r="U159" s="7" t="str">
        <f>IF(157&lt;=COUNTIF(Data_Monitoring!$A$2:$A$2920, Dashboard_Visual!$B$4), INDEX(Data_Monitoring!$B$2:$B$2920, MATCH(Dashboard_Visual!$B$4, Data_Monitoring!$A$2:$A$2920, 0) + 157 - 1), "")</f>
        <v/>
      </c>
      <c r="V159" s="8" t="str">
        <f>IF(157&lt;=COUNTIF(Data_Monitoring!$A$2:$A$2920, Dashboard_Visual!$B$4), INDEX(Data_Monitoring!$M$2:$M$2920, MATCH(Dashboard_Visual!$B$4, Data_Monitoring!$A$2:$A$2920, 0) + 157 - 1), "")</f>
        <v/>
      </c>
    </row>
    <row r="160" spans="21:22" x14ac:dyDescent="0.25">
      <c r="U160" s="7" t="str">
        <f>IF(158&lt;=COUNTIF(Data_Monitoring!$A$2:$A$2920, Dashboard_Visual!$B$4), INDEX(Data_Monitoring!$B$2:$B$2920, MATCH(Dashboard_Visual!$B$4, Data_Monitoring!$A$2:$A$2920, 0) + 158 - 1), "")</f>
        <v/>
      </c>
      <c r="V160" s="8" t="str">
        <f>IF(158&lt;=COUNTIF(Data_Monitoring!$A$2:$A$2920, Dashboard_Visual!$B$4), INDEX(Data_Monitoring!$M$2:$M$2920, MATCH(Dashboard_Visual!$B$4, Data_Monitoring!$A$2:$A$2920, 0) + 158 - 1), "")</f>
        <v/>
      </c>
    </row>
    <row r="161" spans="21:22" x14ac:dyDescent="0.25">
      <c r="U161" s="7" t="str">
        <f>IF(159&lt;=COUNTIF(Data_Monitoring!$A$2:$A$2920, Dashboard_Visual!$B$4), INDEX(Data_Monitoring!$B$2:$B$2920, MATCH(Dashboard_Visual!$B$4, Data_Monitoring!$A$2:$A$2920, 0) + 159 - 1), "")</f>
        <v/>
      </c>
      <c r="V161" s="8" t="str">
        <f>IF(159&lt;=COUNTIF(Data_Monitoring!$A$2:$A$2920, Dashboard_Visual!$B$4), INDEX(Data_Monitoring!$M$2:$M$2920, MATCH(Dashboard_Visual!$B$4, Data_Monitoring!$A$2:$A$2920, 0) + 159 - 1), "")</f>
        <v/>
      </c>
    </row>
    <row r="162" spans="21:22" x14ac:dyDescent="0.25">
      <c r="U162" s="7" t="str">
        <f>IF(160&lt;=COUNTIF(Data_Monitoring!$A$2:$A$2920, Dashboard_Visual!$B$4), INDEX(Data_Monitoring!$B$2:$B$2920, MATCH(Dashboard_Visual!$B$4, Data_Monitoring!$A$2:$A$2920, 0) + 160 - 1), "")</f>
        <v/>
      </c>
      <c r="V162" s="8" t="str">
        <f>IF(160&lt;=COUNTIF(Data_Monitoring!$A$2:$A$2920, Dashboard_Visual!$B$4), INDEX(Data_Monitoring!$M$2:$M$2920, MATCH(Dashboard_Visual!$B$4, Data_Monitoring!$A$2:$A$2920, 0) + 160 - 1), "")</f>
        <v/>
      </c>
    </row>
    <row r="163" spans="21:22" x14ac:dyDescent="0.25">
      <c r="U163" s="7" t="str">
        <f>IF(161&lt;=COUNTIF(Data_Monitoring!$A$2:$A$2920, Dashboard_Visual!$B$4), INDEX(Data_Monitoring!$B$2:$B$2920, MATCH(Dashboard_Visual!$B$4, Data_Monitoring!$A$2:$A$2920, 0) + 161 - 1), "")</f>
        <v/>
      </c>
      <c r="V163" s="8" t="str">
        <f>IF(161&lt;=COUNTIF(Data_Monitoring!$A$2:$A$2920, Dashboard_Visual!$B$4), INDEX(Data_Monitoring!$M$2:$M$2920, MATCH(Dashboard_Visual!$B$4, Data_Monitoring!$A$2:$A$2920, 0) + 161 - 1), "")</f>
        <v/>
      </c>
    </row>
    <row r="164" spans="21:22" x14ac:dyDescent="0.25">
      <c r="U164" s="7" t="str">
        <f>IF(162&lt;=COUNTIF(Data_Monitoring!$A$2:$A$2920, Dashboard_Visual!$B$4), INDEX(Data_Monitoring!$B$2:$B$2920, MATCH(Dashboard_Visual!$B$4, Data_Monitoring!$A$2:$A$2920, 0) + 162 - 1), "")</f>
        <v/>
      </c>
      <c r="V164" s="8" t="str">
        <f>IF(162&lt;=COUNTIF(Data_Monitoring!$A$2:$A$2920, Dashboard_Visual!$B$4), INDEX(Data_Monitoring!$M$2:$M$2920, MATCH(Dashboard_Visual!$B$4, Data_Monitoring!$A$2:$A$2920, 0) + 162 - 1), "")</f>
        <v/>
      </c>
    </row>
    <row r="165" spans="21:22" x14ac:dyDescent="0.25">
      <c r="U165" s="7" t="str">
        <f>IF(163&lt;=COUNTIF(Data_Monitoring!$A$2:$A$2920, Dashboard_Visual!$B$4), INDEX(Data_Monitoring!$B$2:$B$2920, MATCH(Dashboard_Visual!$B$4, Data_Monitoring!$A$2:$A$2920, 0) + 163 - 1), "")</f>
        <v/>
      </c>
      <c r="V165" s="8" t="str">
        <f>IF(163&lt;=COUNTIF(Data_Monitoring!$A$2:$A$2920, Dashboard_Visual!$B$4), INDEX(Data_Monitoring!$M$2:$M$2920, MATCH(Dashboard_Visual!$B$4, Data_Monitoring!$A$2:$A$2920, 0) + 163 - 1), "")</f>
        <v/>
      </c>
    </row>
    <row r="166" spans="21:22" x14ac:dyDescent="0.25">
      <c r="U166" s="7" t="str">
        <f>IF(164&lt;=COUNTIF(Data_Monitoring!$A$2:$A$2920, Dashboard_Visual!$B$4), INDEX(Data_Monitoring!$B$2:$B$2920, MATCH(Dashboard_Visual!$B$4, Data_Monitoring!$A$2:$A$2920, 0) + 164 - 1), "")</f>
        <v/>
      </c>
      <c r="V166" s="8" t="str">
        <f>IF(164&lt;=COUNTIF(Data_Monitoring!$A$2:$A$2920, Dashboard_Visual!$B$4), INDEX(Data_Monitoring!$M$2:$M$2920, MATCH(Dashboard_Visual!$B$4, Data_Monitoring!$A$2:$A$2920, 0) + 164 - 1), "")</f>
        <v/>
      </c>
    </row>
    <row r="167" spans="21:22" x14ac:dyDescent="0.25">
      <c r="U167" s="7" t="str">
        <f>IF(165&lt;=COUNTIF(Data_Monitoring!$A$2:$A$2920, Dashboard_Visual!$B$4), INDEX(Data_Monitoring!$B$2:$B$2920, MATCH(Dashboard_Visual!$B$4, Data_Monitoring!$A$2:$A$2920, 0) + 165 - 1), "")</f>
        <v/>
      </c>
      <c r="V167" s="8" t="str">
        <f>IF(165&lt;=COUNTIF(Data_Monitoring!$A$2:$A$2920, Dashboard_Visual!$B$4), INDEX(Data_Monitoring!$M$2:$M$2920, MATCH(Dashboard_Visual!$B$4, Data_Monitoring!$A$2:$A$2920, 0) + 165 - 1), "")</f>
        <v/>
      </c>
    </row>
    <row r="168" spans="21:22" x14ac:dyDescent="0.25">
      <c r="U168" s="7" t="str">
        <f>IF(166&lt;=COUNTIF(Data_Monitoring!$A$2:$A$2920, Dashboard_Visual!$B$4), INDEX(Data_Monitoring!$B$2:$B$2920, MATCH(Dashboard_Visual!$B$4, Data_Monitoring!$A$2:$A$2920, 0) + 166 - 1), "")</f>
        <v/>
      </c>
      <c r="V168" s="8" t="str">
        <f>IF(166&lt;=COUNTIF(Data_Monitoring!$A$2:$A$2920, Dashboard_Visual!$B$4), INDEX(Data_Monitoring!$M$2:$M$2920, MATCH(Dashboard_Visual!$B$4, Data_Monitoring!$A$2:$A$2920, 0) + 166 - 1), "")</f>
        <v/>
      </c>
    </row>
    <row r="169" spans="21:22" x14ac:dyDescent="0.25">
      <c r="U169" s="7" t="str">
        <f>IF(167&lt;=COUNTIF(Data_Monitoring!$A$2:$A$2920, Dashboard_Visual!$B$4), INDEX(Data_Monitoring!$B$2:$B$2920, MATCH(Dashboard_Visual!$B$4, Data_Monitoring!$A$2:$A$2920, 0) + 167 - 1), "")</f>
        <v/>
      </c>
      <c r="V169" s="8" t="str">
        <f>IF(167&lt;=COUNTIF(Data_Monitoring!$A$2:$A$2920, Dashboard_Visual!$B$4), INDEX(Data_Monitoring!$M$2:$M$2920, MATCH(Dashboard_Visual!$B$4, Data_Monitoring!$A$2:$A$2920, 0) + 167 - 1), "")</f>
        <v/>
      </c>
    </row>
    <row r="170" spans="21:22" x14ac:dyDescent="0.25">
      <c r="U170" s="7" t="str">
        <f>IF(168&lt;=COUNTIF(Data_Monitoring!$A$2:$A$2920, Dashboard_Visual!$B$4), INDEX(Data_Monitoring!$B$2:$B$2920, MATCH(Dashboard_Visual!$B$4, Data_Monitoring!$A$2:$A$2920, 0) + 168 - 1), "")</f>
        <v/>
      </c>
      <c r="V170" s="8" t="str">
        <f>IF(168&lt;=COUNTIF(Data_Monitoring!$A$2:$A$2920, Dashboard_Visual!$B$4), INDEX(Data_Monitoring!$M$2:$M$2920, MATCH(Dashboard_Visual!$B$4, Data_Monitoring!$A$2:$A$2920, 0) + 168 - 1), "")</f>
        <v/>
      </c>
    </row>
    <row r="171" spans="21:22" x14ac:dyDescent="0.25">
      <c r="U171" s="7" t="str">
        <f>IF(169&lt;=COUNTIF(Data_Monitoring!$A$2:$A$2920, Dashboard_Visual!$B$4), INDEX(Data_Monitoring!$B$2:$B$2920, MATCH(Dashboard_Visual!$B$4, Data_Monitoring!$A$2:$A$2920, 0) + 169 - 1), "")</f>
        <v/>
      </c>
      <c r="V171" s="8" t="str">
        <f>IF(169&lt;=COUNTIF(Data_Monitoring!$A$2:$A$2920, Dashboard_Visual!$B$4), INDEX(Data_Monitoring!$M$2:$M$2920, MATCH(Dashboard_Visual!$B$4, Data_Monitoring!$A$2:$A$2920, 0) + 169 - 1), "")</f>
        <v/>
      </c>
    </row>
    <row r="172" spans="21:22" x14ac:dyDescent="0.25">
      <c r="U172" s="7" t="str">
        <f>IF(170&lt;=COUNTIF(Data_Monitoring!$A$2:$A$2920, Dashboard_Visual!$B$4), INDEX(Data_Monitoring!$B$2:$B$2920, MATCH(Dashboard_Visual!$B$4, Data_Monitoring!$A$2:$A$2920, 0) + 170 - 1), "")</f>
        <v/>
      </c>
      <c r="V172" s="8" t="str">
        <f>IF(170&lt;=COUNTIF(Data_Monitoring!$A$2:$A$2920, Dashboard_Visual!$B$4), INDEX(Data_Monitoring!$M$2:$M$2920, MATCH(Dashboard_Visual!$B$4, Data_Monitoring!$A$2:$A$2920, 0) + 170 - 1), "")</f>
        <v/>
      </c>
    </row>
    <row r="173" spans="21:22" x14ac:dyDescent="0.25">
      <c r="U173" s="7" t="str">
        <f>IF(171&lt;=COUNTIF(Data_Monitoring!$A$2:$A$2920, Dashboard_Visual!$B$4), INDEX(Data_Monitoring!$B$2:$B$2920, MATCH(Dashboard_Visual!$B$4, Data_Monitoring!$A$2:$A$2920, 0) + 171 - 1), "")</f>
        <v/>
      </c>
      <c r="V173" s="8" t="str">
        <f>IF(171&lt;=COUNTIF(Data_Monitoring!$A$2:$A$2920, Dashboard_Visual!$B$4), INDEX(Data_Monitoring!$M$2:$M$2920, MATCH(Dashboard_Visual!$B$4, Data_Monitoring!$A$2:$A$2920, 0) + 171 - 1), "")</f>
        <v/>
      </c>
    </row>
    <row r="174" spans="21:22" x14ac:dyDescent="0.25">
      <c r="U174" s="7" t="str">
        <f>IF(172&lt;=COUNTIF(Data_Monitoring!$A$2:$A$2920, Dashboard_Visual!$B$4), INDEX(Data_Monitoring!$B$2:$B$2920, MATCH(Dashboard_Visual!$B$4, Data_Monitoring!$A$2:$A$2920, 0) + 172 - 1), "")</f>
        <v/>
      </c>
      <c r="V174" s="8" t="str">
        <f>IF(172&lt;=COUNTIF(Data_Monitoring!$A$2:$A$2920, Dashboard_Visual!$B$4), INDEX(Data_Monitoring!$M$2:$M$2920, MATCH(Dashboard_Visual!$B$4, Data_Monitoring!$A$2:$A$2920, 0) + 172 - 1), "")</f>
        <v/>
      </c>
    </row>
    <row r="175" spans="21:22" x14ac:dyDescent="0.25">
      <c r="U175" s="7" t="str">
        <f>IF(173&lt;=COUNTIF(Data_Monitoring!$A$2:$A$2920, Dashboard_Visual!$B$4), INDEX(Data_Monitoring!$B$2:$B$2920, MATCH(Dashboard_Visual!$B$4, Data_Monitoring!$A$2:$A$2920, 0) + 173 - 1), "")</f>
        <v/>
      </c>
      <c r="V175" s="8" t="str">
        <f>IF(173&lt;=COUNTIF(Data_Monitoring!$A$2:$A$2920, Dashboard_Visual!$B$4), INDEX(Data_Monitoring!$M$2:$M$2920, MATCH(Dashboard_Visual!$B$4, Data_Monitoring!$A$2:$A$2920, 0) + 173 - 1), "")</f>
        <v/>
      </c>
    </row>
    <row r="176" spans="21:22" x14ac:dyDescent="0.25">
      <c r="U176" s="7" t="str">
        <f>IF(174&lt;=COUNTIF(Data_Monitoring!$A$2:$A$2920, Dashboard_Visual!$B$4), INDEX(Data_Monitoring!$B$2:$B$2920, MATCH(Dashboard_Visual!$B$4, Data_Monitoring!$A$2:$A$2920, 0) + 174 - 1), "")</f>
        <v/>
      </c>
      <c r="V176" s="8" t="str">
        <f>IF(174&lt;=COUNTIF(Data_Monitoring!$A$2:$A$2920, Dashboard_Visual!$B$4), INDEX(Data_Monitoring!$M$2:$M$2920, MATCH(Dashboard_Visual!$B$4, Data_Monitoring!$A$2:$A$2920, 0) + 174 - 1), "")</f>
        <v/>
      </c>
    </row>
    <row r="177" spans="21:22" x14ac:dyDescent="0.25">
      <c r="U177" s="7" t="str">
        <f>IF(175&lt;=COUNTIF(Data_Monitoring!$A$2:$A$2920, Dashboard_Visual!$B$4), INDEX(Data_Monitoring!$B$2:$B$2920, MATCH(Dashboard_Visual!$B$4, Data_Monitoring!$A$2:$A$2920, 0) + 175 - 1), "")</f>
        <v/>
      </c>
      <c r="V177" s="8" t="str">
        <f>IF(175&lt;=COUNTIF(Data_Monitoring!$A$2:$A$2920, Dashboard_Visual!$B$4), INDEX(Data_Monitoring!$M$2:$M$2920, MATCH(Dashboard_Visual!$B$4, Data_Monitoring!$A$2:$A$2920, 0) + 175 - 1), "")</f>
        <v/>
      </c>
    </row>
    <row r="178" spans="21:22" x14ac:dyDescent="0.25">
      <c r="U178" s="7" t="str">
        <f>IF(176&lt;=COUNTIF(Data_Monitoring!$A$2:$A$2920, Dashboard_Visual!$B$4), INDEX(Data_Monitoring!$B$2:$B$2920, MATCH(Dashboard_Visual!$B$4, Data_Monitoring!$A$2:$A$2920, 0) + 176 - 1), "")</f>
        <v/>
      </c>
      <c r="V178" s="8" t="str">
        <f>IF(176&lt;=COUNTIF(Data_Monitoring!$A$2:$A$2920, Dashboard_Visual!$B$4), INDEX(Data_Monitoring!$M$2:$M$2920, MATCH(Dashboard_Visual!$B$4, Data_Monitoring!$A$2:$A$2920, 0) + 176 - 1), "")</f>
        <v/>
      </c>
    </row>
    <row r="179" spans="21:22" x14ac:dyDescent="0.25">
      <c r="U179" s="7" t="str">
        <f>IF(177&lt;=COUNTIF(Data_Monitoring!$A$2:$A$2920, Dashboard_Visual!$B$4), INDEX(Data_Monitoring!$B$2:$B$2920, MATCH(Dashboard_Visual!$B$4, Data_Monitoring!$A$2:$A$2920, 0) + 177 - 1), "")</f>
        <v/>
      </c>
      <c r="V179" s="8" t="str">
        <f>IF(177&lt;=COUNTIF(Data_Monitoring!$A$2:$A$2920, Dashboard_Visual!$B$4), INDEX(Data_Monitoring!$M$2:$M$2920, MATCH(Dashboard_Visual!$B$4, Data_Monitoring!$A$2:$A$2920, 0) + 177 - 1), "")</f>
        <v/>
      </c>
    </row>
    <row r="180" spans="21:22" x14ac:dyDescent="0.25">
      <c r="U180" s="7" t="str">
        <f>IF(178&lt;=COUNTIF(Data_Monitoring!$A$2:$A$2920, Dashboard_Visual!$B$4), INDEX(Data_Monitoring!$B$2:$B$2920, MATCH(Dashboard_Visual!$B$4, Data_Monitoring!$A$2:$A$2920, 0) + 178 - 1), "")</f>
        <v/>
      </c>
      <c r="V180" s="8" t="str">
        <f>IF(178&lt;=COUNTIF(Data_Monitoring!$A$2:$A$2920, Dashboard_Visual!$B$4), INDEX(Data_Monitoring!$M$2:$M$2920, MATCH(Dashboard_Visual!$B$4, Data_Monitoring!$A$2:$A$2920, 0) + 178 - 1), "")</f>
        <v/>
      </c>
    </row>
    <row r="181" spans="21:22" x14ac:dyDescent="0.25">
      <c r="U181" s="7" t="str">
        <f>IF(179&lt;=COUNTIF(Data_Monitoring!$A$2:$A$2920, Dashboard_Visual!$B$4), INDEX(Data_Monitoring!$B$2:$B$2920, MATCH(Dashboard_Visual!$B$4, Data_Monitoring!$A$2:$A$2920, 0) + 179 - 1), "")</f>
        <v/>
      </c>
      <c r="V181" s="8" t="str">
        <f>IF(179&lt;=COUNTIF(Data_Monitoring!$A$2:$A$2920, Dashboard_Visual!$B$4), INDEX(Data_Monitoring!$M$2:$M$2920, MATCH(Dashboard_Visual!$B$4, Data_Monitoring!$A$2:$A$2920, 0) + 179 - 1), "")</f>
        <v/>
      </c>
    </row>
    <row r="182" spans="21:22" x14ac:dyDescent="0.25">
      <c r="U182" s="7" t="str">
        <f>IF(180&lt;=COUNTIF(Data_Monitoring!$A$2:$A$2920, Dashboard_Visual!$B$4), INDEX(Data_Monitoring!$B$2:$B$2920, MATCH(Dashboard_Visual!$B$4, Data_Monitoring!$A$2:$A$2920, 0) + 180 - 1), "")</f>
        <v/>
      </c>
      <c r="V182" s="8" t="str">
        <f>IF(180&lt;=COUNTIF(Data_Monitoring!$A$2:$A$2920, Dashboard_Visual!$B$4), INDEX(Data_Monitoring!$M$2:$M$2920, MATCH(Dashboard_Visual!$B$4, Data_Monitoring!$A$2:$A$2920, 0) + 180 - 1), "")</f>
        <v/>
      </c>
    </row>
    <row r="183" spans="21:22" x14ac:dyDescent="0.25">
      <c r="U183" s="7" t="str">
        <f>IF(181&lt;=COUNTIF(Data_Monitoring!$A$2:$A$2920, Dashboard_Visual!$B$4), INDEX(Data_Monitoring!$B$2:$B$2920, MATCH(Dashboard_Visual!$B$4, Data_Monitoring!$A$2:$A$2920, 0) + 181 - 1), "")</f>
        <v/>
      </c>
      <c r="V183" s="8" t="str">
        <f>IF(181&lt;=COUNTIF(Data_Monitoring!$A$2:$A$2920, Dashboard_Visual!$B$4), INDEX(Data_Monitoring!$M$2:$M$2920, MATCH(Dashboard_Visual!$B$4, Data_Monitoring!$A$2:$A$2920, 0) + 181 - 1), "")</f>
        <v/>
      </c>
    </row>
    <row r="184" spans="21:22" x14ac:dyDescent="0.25">
      <c r="U184" s="7" t="str">
        <f>IF(182&lt;=COUNTIF(Data_Monitoring!$A$2:$A$2920, Dashboard_Visual!$B$4), INDEX(Data_Monitoring!$B$2:$B$2920, MATCH(Dashboard_Visual!$B$4, Data_Monitoring!$A$2:$A$2920, 0) + 182 - 1), "")</f>
        <v/>
      </c>
      <c r="V184" s="8" t="str">
        <f>IF(182&lt;=COUNTIF(Data_Monitoring!$A$2:$A$2920, Dashboard_Visual!$B$4), INDEX(Data_Monitoring!$M$2:$M$2920, MATCH(Dashboard_Visual!$B$4, Data_Monitoring!$A$2:$A$2920, 0) + 182 - 1), "")</f>
        <v/>
      </c>
    </row>
    <row r="185" spans="21:22" x14ac:dyDescent="0.25">
      <c r="U185" s="7" t="str">
        <f>IF(183&lt;=COUNTIF(Data_Monitoring!$A$2:$A$2920, Dashboard_Visual!$B$4), INDEX(Data_Monitoring!$B$2:$B$2920, MATCH(Dashboard_Visual!$B$4, Data_Monitoring!$A$2:$A$2920, 0) + 183 - 1), "")</f>
        <v/>
      </c>
      <c r="V185" s="8" t="str">
        <f>IF(183&lt;=COUNTIF(Data_Monitoring!$A$2:$A$2920, Dashboard_Visual!$B$4), INDEX(Data_Monitoring!$M$2:$M$2920, MATCH(Dashboard_Visual!$B$4, Data_Monitoring!$A$2:$A$2920, 0) + 183 - 1), "")</f>
        <v/>
      </c>
    </row>
    <row r="186" spans="21:22" x14ac:dyDescent="0.25">
      <c r="U186" s="7" t="str">
        <f>IF(184&lt;=COUNTIF(Data_Monitoring!$A$2:$A$2920, Dashboard_Visual!$B$4), INDEX(Data_Monitoring!$B$2:$B$2920, MATCH(Dashboard_Visual!$B$4, Data_Monitoring!$A$2:$A$2920, 0) + 184 - 1), "")</f>
        <v/>
      </c>
      <c r="V186" s="8" t="str">
        <f>IF(184&lt;=COUNTIF(Data_Monitoring!$A$2:$A$2920, Dashboard_Visual!$B$4), INDEX(Data_Monitoring!$M$2:$M$2920, MATCH(Dashboard_Visual!$B$4, Data_Monitoring!$A$2:$A$2920, 0) + 184 - 1), "")</f>
        <v/>
      </c>
    </row>
    <row r="187" spans="21:22" x14ac:dyDescent="0.25">
      <c r="U187" s="7" t="str">
        <f>IF(185&lt;=COUNTIF(Data_Monitoring!$A$2:$A$2920, Dashboard_Visual!$B$4), INDEX(Data_Monitoring!$B$2:$B$2920, MATCH(Dashboard_Visual!$B$4, Data_Monitoring!$A$2:$A$2920, 0) + 185 - 1), "")</f>
        <v/>
      </c>
      <c r="V187" s="8" t="str">
        <f>IF(185&lt;=COUNTIF(Data_Monitoring!$A$2:$A$2920, Dashboard_Visual!$B$4), INDEX(Data_Monitoring!$M$2:$M$2920, MATCH(Dashboard_Visual!$B$4, Data_Monitoring!$A$2:$A$2920, 0) + 185 - 1), "")</f>
        <v/>
      </c>
    </row>
    <row r="188" spans="21:22" x14ac:dyDescent="0.25">
      <c r="U188" s="7" t="str">
        <f>IF(186&lt;=COUNTIF(Data_Monitoring!$A$2:$A$2920, Dashboard_Visual!$B$4), INDEX(Data_Monitoring!$B$2:$B$2920, MATCH(Dashboard_Visual!$B$4, Data_Monitoring!$A$2:$A$2920, 0) + 186 - 1), "")</f>
        <v/>
      </c>
      <c r="V188" s="8" t="str">
        <f>IF(186&lt;=COUNTIF(Data_Monitoring!$A$2:$A$2920, Dashboard_Visual!$B$4), INDEX(Data_Monitoring!$M$2:$M$2920, MATCH(Dashboard_Visual!$B$4, Data_Monitoring!$A$2:$A$2920, 0) + 186 - 1), "")</f>
        <v/>
      </c>
    </row>
    <row r="189" spans="21:22" x14ac:dyDescent="0.25">
      <c r="U189" s="7" t="str">
        <f>IF(187&lt;=COUNTIF(Data_Monitoring!$A$2:$A$2920, Dashboard_Visual!$B$4), INDEX(Data_Monitoring!$B$2:$B$2920, MATCH(Dashboard_Visual!$B$4, Data_Monitoring!$A$2:$A$2920, 0) + 187 - 1), "")</f>
        <v/>
      </c>
      <c r="V189" s="8" t="str">
        <f>IF(187&lt;=COUNTIF(Data_Monitoring!$A$2:$A$2920, Dashboard_Visual!$B$4), INDEX(Data_Monitoring!$M$2:$M$2920, MATCH(Dashboard_Visual!$B$4, Data_Monitoring!$A$2:$A$2920, 0) + 187 - 1), "")</f>
        <v/>
      </c>
    </row>
    <row r="190" spans="21:22" x14ac:dyDescent="0.25">
      <c r="U190" s="7" t="str">
        <f>IF(188&lt;=COUNTIF(Data_Monitoring!$A$2:$A$2920, Dashboard_Visual!$B$4), INDEX(Data_Monitoring!$B$2:$B$2920, MATCH(Dashboard_Visual!$B$4, Data_Monitoring!$A$2:$A$2920, 0) + 188 - 1), "")</f>
        <v/>
      </c>
      <c r="V190" s="8" t="str">
        <f>IF(188&lt;=COUNTIF(Data_Monitoring!$A$2:$A$2920, Dashboard_Visual!$B$4), INDEX(Data_Monitoring!$M$2:$M$2920, MATCH(Dashboard_Visual!$B$4, Data_Monitoring!$A$2:$A$2920, 0) + 188 - 1), "")</f>
        <v/>
      </c>
    </row>
    <row r="191" spans="21:22" x14ac:dyDescent="0.25">
      <c r="U191" s="7" t="str">
        <f>IF(189&lt;=COUNTIF(Data_Monitoring!$A$2:$A$2920, Dashboard_Visual!$B$4), INDEX(Data_Monitoring!$B$2:$B$2920, MATCH(Dashboard_Visual!$B$4, Data_Monitoring!$A$2:$A$2920, 0) + 189 - 1), "")</f>
        <v/>
      </c>
      <c r="V191" s="8" t="str">
        <f>IF(189&lt;=COUNTIF(Data_Monitoring!$A$2:$A$2920, Dashboard_Visual!$B$4), INDEX(Data_Monitoring!$M$2:$M$2920, MATCH(Dashboard_Visual!$B$4, Data_Monitoring!$A$2:$A$2920, 0) + 189 - 1), "")</f>
        <v/>
      </c>
    </row>
    <row r="192" spans="21:22" x14ac:dyDescent="0.25">
      <c r="U192" s="7" t="str">
        <f>IF(190&lt;=COUNTIF(Data_Monitoring!$A$2:$A$2920, Dashboard_Visual!$B$4), INDEX(Data_Monitoring!$B$2:$B$2920, MATCH(Dashboard_Visual!$B$4, Data_Monitoring!$A$2:$A$2920, 0) + 190 - 1), "")</f>
        <v/>
      </c>
      <c r="V192" s="8" t="str">
        <f>IF(190&lt;=COUNTIF(Data_Monitoring!$A$2:$A$2920, Dashboard_Visual!$B$4), INDEX(Data_Monitoring!$M$2:$M$2920, MATCH(Dashboard_Visual!$B$4, Data_Monitoring!$A$2:$A$2920, 0) + 190 - 1), "")</f>
        <v/>
      </c>
    </row>
    <row r="193" spans="21:22" x14ac:dyDescent="0.25">
      <c r="U193" s="7" t="str">
        <f>IF(191&lt;=COUNTIF(Data_Monitoring!$A$2:$A$2920, Dashboard_Visual!$B$4), INDEX(Data_Monitoring!$B$2:$B$2920, MATCH(Dashboard_Visual!$B$4, Data_Monitoring!$A$2:$A$2920, 0) + 191 - 1), "")</f>
        <v/>
      </c>
      <c r="V193" s="8" t="str">
        <f>IF(191&lt;=COUNTIF(Data_Monitoring!$A$2:$A$2920, Dashboard_Visual!$B$4), INDEX(Data_Monitoring!$M$2:$M$2920, MATCH(Dashboard_Visual!$B$4, Data_Monitoring!$A$2:$A$2920, 0) + 191 - 1), "")</f>
        <v/>
      </c>
    </row>
    <row r="194" spans="21:22" x14ac:dyDescent="0.25">
      <c r="U194" s="7" t="str">
        <f>IF(192&lt;=COUNTIF(Data_Monitoring!$A$2:$A$2920, Dashboard_Visual!$B$4), INDEX(Data_Monitoring!$B$2:$B$2920, MATCH(Dashboard_Visual!$B$4, Data_Monitoring!$A$2:$A$2920, 0) + 192 - 1), "")</f>
        <v/>
      </c>
      <c r="V194" s="8" t="str">
        <f>IF(192&lt;=COUNTIF(Data_Monitoring!$A$2:$A$2920, Dashboard_Visual!$B$4), INDEX(Data_Monitoring!$M$2:$M$2920, MATCH(Dashboard_Visual!$B$4, Data_Monitoring!$A$2:$A$2920, 0) + 192 - 1), "")</f>
        <v/>
      </c>
    </row>
    <row r="195" spans="21:22" x14ac:dyDescent="0.25">
      <c r="U195" s="7" t="str">
        <f>IF(193&lt;=COUNTIF(Data_Monitoring!$A$2:$A$2920, Dashboard_Visual!$B$4), INDEX(Data_Monitoring!$B$2:$B$2920, MATCH(Dashboard_Visual!$B$4, Data_Monitoring!$A$2:$A$2920, 0) + 193 - 1), "")</f>
        <v/>
      </c>
      <c r="V195" s="8" t="str">
        <f>IF(193&lt;=COUNTIF(Data_Monitoring!$A$2:$A$2920, Dashboard_Visual!$B$4), INDEX(Data_Monitoring!$M$2:$M$2920, MATCH(Dashboard_Visual!$B$4, Data_Monitoring!$A$2:$A$2920, 0) + 193 - 1), "")</f>
        <v/>
      </c>
    </row>
    <row r="196" spans="21:22" x14ac:dyDescent="0.25">
      <c r="U196" s="7" t="str">
        <f>IF(194&lt;=COUNTIF(Data_Monitoring!$A$2:$A$2920, Dashboard_Visual!$B$4), INDEX(Data_Monitoring!$B$2:$B$2920, MATCH(Dashboard_Visual!$B$4, Data_Monitoring!$A$2:$A$2920, 0) + 194 - 1), "")</f>
        <v/>
      </c>
      <c r="V196" s="8" t="str">
        <f>IF(194&lt;=COUNTIF(Data_Monitoring!$A$2:$A$2920, Dashboard_Visual!$B$4), INDEX(Data_Monitoring!$M$2:$M$2920, MATCH(Dashboard_Visual!$B$4, Data_Monitoring!$A$2:$A$2920, 0) + 194 - 1), "")</f>
        <v/>
      </c>
    </row>
    <row r="197" spans="21:22" x14ac:dyDescent="0.25">
      <c r="U197" s="7" t="str">
        <f>IF(195&lt;=COUNTIF(Data_Monitoring!$A$2:$A$2920, Dashboard_Visual!$B$4), INDEX(Data_Monitoring!$B$2:$B$2920, MATCH(Dashboard_Visual!$B$4, Data_Monitoring!$A$2:$A$2920, 0) + 195 - 1), "")</f>
        <v/>
      </c>
      <c r="V197" s="8" t="str">
        <f>IF(195&lt;=COUNTIF(Data_Monitoring!$A$2:$A$2920, Dashboard_Visual!$B$4), INDEX(Data_Monitoring!$M$2:$M$2920, MATCH(Dashboard_Visual!$B$4, Data_Monitoring!$A$2:$A$2920, 0) + 195 - 1), "")</f>
        <v/>
      </c>
    </row>
    <row r="198" spans="21:22" x14ac:dyDescent="0.25">
      <c r="U198" s="7" t="str">
        <f>IF(196&lt;=COUNTIF(Data_Monitoring!$A$2:$A$2920, Dashboard_Visual!$B$4), INDEX(Data_Monitoring!$B$2:$B$2920, MATCH(Dashboard_Visual!$B$4, Data_Monitoring!$A$2:$A$2920, 0) + 196 - 1), "")</f>
        <v/>
      </c>
      <c r="V198" s="8" t="str">
        <f>IF(196&lt;=COUNTIF(Data_Monitoring!$A$2:$A$2920, Dashboard_Visual!$B$4), INDEX(Data_Monitoring!$M$2:$M$2920, MATCH(Dashboard_Visual!$B$4, Data_Monitoring!$A$2:$A$2920, 0) + 196 - 1), "")</f>
        <v/>
      </c>
    </row>
    <row r="199" spans="21:22" x14ac:dyDescent="0.25">
      <c r="U199" s="7" t="str">
        <f>IF(197&lt;=COUNTIF(Data_Monitoring!$A$2:$A$2920, Dashboard_Visual!$B$4), INDEX(Data_Monitoring!$B$2:$B$2920, MATCH(Dashboard_Visual!$B$4, Data_Monitoring!$A$2:$A$2920, 0) + 197 - 1), "")</f>
        <v/>
      </c>
      <c r="V199" s="8" t="str">
        <f>IF(197&lt;=COUNTIF(Data_Monitoring!$A$2:$A$2920, Dashboard_Visual!$B$4), INDEX(Data_Monitoring!$M$2:$M$2920, MATCH(Dashboard_Visual!$B$4, Data_Monitoring!$A$2:$A$2920, 0) + 197 - 1), "")</f>
        <v/>
      </c>
    </row>
    <row r="200" spans="21:22" x14ac:dyDescent="0.25">
      <c r="U200" s="7" t="str">
        <f>IF(198&lt;=COUNTIF(Data_Monitoring!$A$2:$A$2920, Dashboard_Visual!$B$4), INDEX(Data_Monitoring!$B$2:$B$2920, MATCH(Dashboard_Visual!$B$4, Data_Monitoring!$A$2:$A$2920, 0) + 198 - 1), "")</f>
        <v/>
      </c>
      <c r="V200" s="8" t="str">
        <f>IF(198&lt;=COUNTIF(Data_Monitoring!$A$2:$A$2920, Dashboard_Visual!$B$4), INDEX(Data_Monitoring!$M$2:$M$2920, MATCH(Dashboard_Visual!$B$4, Data_Monitoring!$A$2:$A$2920, 0) + 198 - 1), "")</f>
        <v/>
      </c>
    </row>
    <row r="201" spans="21:22" x14ac:dyDescent="0.25">
      <c r="U201" s="7" t="str">
        <f>IF(199&lt;=COUNTIF(Data_Monitoring!$A$2:$A$2920, Dashboard_Visual!$B$4), INDEX(Data_Monitoring!$B$2:$B$2920, MATCH(Dashboard_Visual!$B$4, Data_Monitoring!$A$2:$A$2920, 0) + 199 - 1), "")</f>
        <v/>
      </c>
      <c r="V201" s="8" t="str">
        <f>IF(199&lt;=COUNTIF(Data_Monitoring!$A$2:$A$2920, Dashboard_Visual!$B$4), INDEX(Data_Monitoring!$M$2:$M$2920, MATCH(Dashboard_Visual!$B$4, Data_Monitoring!$A$2:$A$2920, 0) + 199 - 1), "")</f>
        <v/>
      </c>
    </row>
    <row r="202" spans="21:22" x14ac:dyDescent="0.25">
      <c r="U202" s="7" t="str">
        <f>IF(200&lt;=COUNTIF(Data_Monitoring!$A$2:$A$2920, Dashboard_Visual!$B$4), INDEX(Data_Monitoring!$B$2:$B$2920, MATCH(Dashboard_Visual!$B$4, Data_Monitoring!$A$2:$A$2920, 0) + 200 - 1), "")</f>
        <v/>
      </c>
      <c r="V202" s="8" t="str">
        <f>IF(200&lt;=COUNTIF(Data_Monitoring!$A$2:$A$2920, Dashboard_Visual!$B$4), INDEX(Data_Monitoring!$M$2:$M$2920, MATCH(Dashboard_Visual!$B$4, Data_Monitoring!$A$2:$A$2920, 0) + 200 - 1), "")</f>
        <v/>
      </c>
    </row>
    <row r="203" spans="21:22" x14ac:dyDescent="0.25">
      <c r="U203" s="7" t="str">
        <f>IF(201&lt;=COUNTIF(Data_Monitoring!$A$2:$A$2920, Dashboard_Visual!$B$4), INDEX(Data_Monitoring!$B$2:$B$2920, MATCH(Dashboard_Visual!$B$4, Data_Monitoring!$A$2:$A$2920, 0) + 201 - 1), "")</f>
        <v/>
      </c>
      <c r="V203" s="8" t="str">
        <f>IF(201&lt;=COUNTIF(Data_Monitoring!$A$2:$A$2920, Dashboard_Visual!$B$4), INDEX(Data_Monitoring!$M$2:$M$2920, MATCH(Dashboard_Visual!$B$4, Data_Monitoring!$A$2:$A$2920, 0) + 201 - 1), "")</f>
        <v/>
      </c>
    </row>
    <row r="204" spans="21:22" x14ac:dyDescent="0.25">
      <c r="U204" s="7" t="str">
        <f>IF(202&lt;=COUNTIF(Data_Monitoring!$A$2:$A$2920, Dashboard_Visual!$B$4), INDEX(Data_Monitoring!$B$2:$B$2920, MATCH(Dashboard_Visual!$B$4, Data_Monitoring!$A$2:$A$2920, 0) + 202 - 1), "")</f>
        <v/>
      </c>
      <c r="V204" s="8" t="str">
        <f>IF(202&lt;=COUNTIF(Data_Monitoring!$A$2:$A$2920, Dashboard_Visual!$B$4), INDEX(Data_Monitoring!$M$2:$M$2920, MATCH(Dashboard_Visual!$B$4, Data_Monitoring!$A$2:$A$2920, 0) + 202 - 1), "")</f>
        <v/>
      </c>
    </row>
    <row r="205" spans="21:22" x14ac:dyDescent="0.25">
      <c r="U205" s="7" t="str">
        <f>IF(203&lt;=COUNTIF(Data_Monitoring!$A$2:$A$2920, Dashboard_Visual!$B$4), INDEX(Data_Monitoring!$B$2:$B$2920, MATCH(Dashboard_Visual!$B$4, Data_Monitoring!$A$2:$A$2920, 0) + 203 - 1), "")</f>
        <v/>
      </c>
      <c r="V205" s="8" t="str">
        <f>IF(203&lt;=COUNTIF(Data_Monitoring!$A$2:$A$2920, Dashboard_Visual!$B$4), INDEX(Data_Monitoring!$M$2:$M$2920, MATCH(Dashboard_Visual!$B$4, Data_Monitoring!$A$2:$A$2920, 0) + 203 - 1), "")</f>
        <v/>
      </c>
    </row>
    <row r="206" spans="21:22" x14ac:dyDescent="0.25">
      <c r="U206" s="7" t="str">
        <f>IF(204&lt;=COUNTIF(Data_Monitoring!$A$2:$A$2920, Dashboard_Visual!$B$4), INDEX(Data_Monitoring!$B$2:$B$2920, MATCH(Dashboard_Visual!$B$4, Data_Monitoring!$A$2:$A$2920, 0) + 204 - 1), "")</f>
        <v/>
      </c>
      <c r="V206" s="8" t="str">
        <f>IF(204&lt;=COUNTIF(Data_Monitoring!$A$2:$A$2920, Dashboard_Visual!$B$4), INDEX(Data_Monitoring!$M$2:$M$2920, MATCH(Dashboard_Visual!$B$4, Data_Monitoring!$A$2:$A$2920, 0) + 204 - 1), "")</f>
        <v/>
      </c>
    </row>
    <row r="207" spans="21:22" x14ac:dyDescent="0.25">
      <c r="U207" s="7" t="str">
        <f>IF(205&lt;=COUNTIF(Data_Monitoring!$A$2:$A$2920, Dashboard_Visual!$B$4), INDEX(Data_Monitoring!$B$2:$B$2920, MATCH(Dashboard_Visual!$B$4, Data_Monitoring!$A$2:$A$2920, 0) + 205 - 1), "")</f>
        <v/>
      </c>
      <c r="V207" s="8" t="str">
        <f>IF(205&lt;=COUNTIF(Data_Monitoring!$A$2:$A$2920, Dashboard_Visual!$B$4), INDEX(Data_Monitoring!$M$2:$M$2920, MATCH(Dashboard_Visual!$B$4, Data_Monitoring!$A$2:$A$2920, 0) + 205 - 1), "")</f>
        <v/>
      </c>
    </row>
    <row r="208" spans="21:22" x14ac:dyDescent="0.25">
      <c r="U208" s="7" t="str">
        <f>IF(206&lt;=COUNTIF(Data_Monitoring!$A$2:$A$2920, Dashboard_Visual!$B$4), INDEX(Data_Monitoring!$B$2:$B$2920, MATCH(Dashboard_Visual!$B$4, Data_Monitoring!$A$2:$A$2920, 0) + 206 - 1), "")</f>
        <v/>
      </c>
      <c r="V208" s="8" t="str">
        <f>IF(206&lt;=COUNTIF(Data_Monitoring!$A$2:$A$2920, Dashboard_Visual!$B$4), INDEX(Data_Monitoring!$M$2:$M$2920, MATCH(Dashboard_Visual!$B$4, Data_Monitoring!$A$2:$A$2920, 0) + 206 - 1), "")</f>
        <v/>
      </c>
    </row>
    <row r="209" spans="21:22" x14ac:dyDescent="0.25">
      <c r="U209" s="7" t="str">
        <f>IF(207&lt;=COUNTIF(Data_Monitoring!$A$2:$A$2920, Dashboard_Visual!$B$4), INDEX(Data_Monitoring!$B$2:$B$2920, MATCH(Dashboard_Visual!$B$4, Data_Monitoring!$A$2:$A$2920, 0) + 207 - 1), "")</f>
        <v/>
      </c>
      <c r="V209" s="8" t="str">
        <f>IF(207&lt;=COUNTIF(Data_Monitoring!$A$2:$A$2920, Dashboard_Visual!$B$4), INDEX(Data_Monitoring!$M$2:$M$2920, MATCH(Dashboard_Visual!$B$4, Data_Monitoring!$A$2:$A$2920, 0) + 207 - 1), "")</f>
        <v/>
      </c>
    </row>
    <row r="210" spans="21:22" x14ac:dyDescent="0.25">
      <c r="U210" s="7" t="str">
        <f>IF(208&lt;=COUNTIF(Data_Monitoring!$A$2:$A$2920, Dashboard_Visual!$B$4), INDEX(Data_Monitoring!$B$2:$B$2920, MATCH(Dashboard_Visual!$B$4, Data_Monitoring!$A$2:$A$2920, 0) + 208 - 1), "")</f>
        <v/>
      </c>
      <c r="V210" s="8" t="str">
        <f>IF(208&lt;=COUNTIF(Data_Monitoring!$A$2:$A$2920, Dashboard_Visual!$B$4), INDEX(Data_Monitoring!$M$2:$M$2920, MATCH(Dashboard_Visual!$B$4, Data_Monitoring!$A$2:$A$2920, 0) + 208 - 1), "")</f>
        <v/>
      </c>
    </row>
    <row r="211" spans="21:22" x14ac:dyDescent="0.25">
      <c r="U211" s="7" t="str">
        <f>IF(209&lt;=COUNTIF(Data_Monitoring!$A$2:$A$2920, Dashboard_Visual!$B$4), INDEX(Data_Monitoring!$B$2:$B$2920, MATCH(Dashboard_Visual!$B$4, Data_Monitoring!$A$2:$A$2920, 0) + 209 - 1), "")</f>
        <v/>
      </c>
      <c r="V211" s="8" t="str">
        <f>IF(209&lt;=COUNTIF(Data_Monitoring!$A$2:$A$2920, Dashboard_Visual!$B$4), INDEX(Data_Monitoring!$M$2:$M$2920, MATCH(Dashboard_Visual!$B$4, Data_Monitoring!$A$2:$A$2920, 0) + 209 - 1), "")</f>
        <v/>
      </c>
    </row>
    <row r="212" spans="21:22" x14ac:dyDescent="0.25">
      <c r="U212" s="7" t="str">
        <f>IF(210&lt;=COUNTIF(Data_Monitoring!$A$2:$A$2920, Dashboard_Visual!$B$4), INDEX(Data_Monitoring!$B$2:$B$2920, MATCH(Dashboard_Visual!$B$4, Data_Monitoring!$A$2:$A$2920, 0) + 210 - 1), "")</f>
        <v/>
      </c>
      <c r="V212" s="8" t="str">
        <f>IF(210&lt;=COUNTIF(Data_Monitoring!$A$2:$A$2920, Dashboard_Visual!$B$4), INDEX(Data_Monitoring!$M$2:$M$2920, MATCH(Dashboard_Visual!$B$4, Data_Monitoring!$A$2:$A$2920, 0) + 210 - 1), "")</f>
        <v/>
      </c>
    </row>
    <row r="213" spans="21:22" x14ac:dyDescent="0.25">
      <c r="U213" s="7" t="str">
        <f>IF(211&lt;=COUNTIF(Data_Monitoring!$A$2:$A$2920, Dashboard_Visual!$B$4), INDEX(Data_Monitoring!$B$2:$B$2920, MATCH(Dashboard_Visual!$B$4, Data_Monitoring!$A$2:$A$2920, 0) + 211 - 1), "")</f>
        <v/>
      </c>
      <c r="V213" s="8" t="str">
        <f>IF(211&lt;=COUNTIF(Data_Monitoring!$A$2:$A$2920, Dashboard_Visual!$B$4), INDEX(Data_Monitoring!$M$2:$M$2920, MATCH(Dashboard_Visual!$B$4, Data_Monitoring!$A$2:$A$2920, 0) + 211 - 1), "")</f>
        <v/>
      </c>
    </row>
    <row r="214" spans="21:22" x14ac:dyDescent="0.25">
      <c r="U214" s="7" t="str">
        <f>IF(212&lt;=COUNTIF(Data_Monitoring!$A$2:$A$2920, Dashboard_Visual!$B$4), INDEX(Data_Monitoring!$B$2:$B$2920, MATCH(Dashboard_Visual!$B$4, Data_Monitoring!$A$2:$A$2920, 0) + 212 - 1), "")</f>
        <v/>
      </c>
      <c r="V214" s="8" t="str">
        <f>IF(212&lt;=COUNTIF(Data_Monitoring!$A$2:$A$2920, Dashboard_Visual!$B$4), INDEX(Data_Monitoring!$M$2:$M$2920, MATCH(Dashboard_Visual!$B$4, Data_Monitoring!$A$2:$A$2920, 0) + 212 - 1), "")</f>
        <v/>
      </c>
    </row>
    <row r="215" spans="21:22" x14ac:dyDescent="0.25">
      <c r="U215" s="7" t="str">
        <f>IF(213&lt;=COUNTIF(Data_Monitoring!$A$2:$A$2920, Dashboard_Visual!$B$4), INDEX(Data_Monitoring!$B$2:$B$2920, MATCH(Dashboard_Visual!$B$4, Data_Monitoring!$A$2:$A$2920, 0) + 213 - 1), "")</f>
        <v/>
      </c>
      <c r="V215" s="8" t="str">
        <f>IF(213&lt;=COUNTIF(Data_Monitoring!$A$2:$A$2920, Dashboard_Visual!$B$4), INDEX(Data_Monitoring!$M$2:$M$2920, MATCH(Dashboard_Visual!$B$4, Data_Monitoring!$A$2:$A$2920, 0) + 213 - 1), "")</f>
        <v/>
      </c>
    </row>
    <row r="216" spans="21:22" x14ac:dyDescent="0.25">
      <c r="U216" s="7" t="str">
        <f>IF(214&lt;=COUNTIF(Data_Monitoring!$A$2:$A$2920, Dashboard_Visual!$B$4), INDEX(Data_Monitoring!$B$2:$B$2920, MATCH(Dashboard_Visual!$B$4, Data_Monitoring!$A$2:$A$2920, 0) + 214 - 1), "")</f>
        <v/>
      </c>
      <c r="V216" s="8" t="str">
        <f>IF(214&lt;=COUNTIF(Data_Monitoring!$A$2:$A$2920, Dashboard_Visual!$B$4), INDEX(Data_Monitoring!$M$2:$M$2920, MATCH(Dashboard_Visual!$B$4, Data_Monitoring!$A$2:$A$2920, 0) + 214 - 1), "")</f>
        <v/>
      </c>
    </row>
    <row r="217" spans="21:22" x14ac:dyDescent="0.25">
      <c r="U217" s="7" t="str">
        <f>IF(215&lt;=COUNTIF(Data_Monitoring!$A$2:$A$2920, Dashboard_Visual!$B$4), INDEX(Data_Monitoring!$B$2:$B$2920, MATCH(Dashboard_Visual!$B$4, Data_Monitoring!$A$2:$A$2920, 0) + 215 - 1), "")</f>
        <v/>
      </c>
      <c r="V217" s="8" t="str">
        <f>IF(215&lt;=COUNTIF(Data_Monitoring!$A$2:$A$2920, Dashboard_Visual!$B$4), INDEX(Data_Monitoring!$M$2:$M$2920, MATCH(Dashboard_Visual!$B$4, Data_Monitoring!$A$2:$A$2920, 0) + 215 - 1), "")</f>
        <v/>
      </c>
    </row>
    <row r="218" spans="21:22" x14ac:dyDescent="0.25">
      <c r="U218" s="7" t="str">
        <f>IF(216&lt;=COUNTIF(Data_Monitoring!$A$2:$A$2920, Dashboard_Visual!$B$4), INDEX(Data_Monitoring!$B$2:$B$2920, MATCH(Dashboard_Visual!$B$4, Data_Monitoring!$A$2:$A$2920, 0) + 216 - 1), "")</f>
        <v/>
      </c>
      <c r="V218" s="8" t="str">
        <f>IF(216&lt;=COUNTIF(Data_Monitoring!$A$2:$A$2920, Dashboard_Visual!$B$4), INDEX(Data_Monitoring!$M$2:$M$2920, MATCH(Dashboard_Visual!$B$4, Data_Monitoring!$A$2:$A$2920, 0) + 216 - 1), "")</f>
        <v/>
      </c>
    </row>
    <row r="219" spans="21:22" x14ac:dyDescent="0.25">
      <c r="U219" s="7" t="str">
        <f>IF(217&lt;=COUNTIF(Data_Monitoring!$A$2:$A$2920, Dashboard_Visual!$B$4), INDEX(Data_Monitoring!$B$2:$B$2920, MATCH(Dashboard_Visual!$B$4, Data_Monitoring!$A$2:$A$2920, 0) + 217 - 1), "")</f>
        <v/>
      </c>
      <c r="V219" s="8" t="str">
        <f>IF(217&lt;=COUNTIF(Data_Monitoring!$A$2:$A$2920, Dashboard_Visual!$B$4), INDEX(Data_Monitoring!$M$2:$M$2920, MATCH(Dashboard_Visual!$B$4, Data_Monitoring!$A$2:$A$2920, 0) + 217 - 1), "")</f>
        <v/>
      </c>
    </row>
    <row r="220" spans="21:22" x14ac:dyDescent="0.25">
      <c r="U220" s="7" t="str">
        <f>IF(218&lt;=COUNTIF(Data_Monitoring!$A$2:$A$2920, Dashboard_Visual!$B$4), INDEX(Data_Monitoring!$B$2:$B$2920, MATCH(Dashboard_Visual!$B$4, Data_Monitoring!$A$2:$A$2920, 0) + 218 - 1), "")</f>
        <v/>
      </c>
      <c r="V220" s="8" t="str">
        <f>IF(218&lt;=COUNTIF(Data_Monitoring!$A$2:$A$2920, Dashboard_Visual!$B$4), INDEX(Data_Monitoring!$M$2:$M$2920, MATCH(Dashboard_Visual!$B$4, Data_Monitoring!$A$2:$A$2920, 0) + 218 - 1), "")</f>
        <v/>
      </c>
    </row>
    <row r="221" spans="21:22" x14ac:dyDescent="0.25">
      <c r="U221" s="7" t="str">
        <f>IF(219&lt;=COUNTIF(Data_Monitoring!$A$2:$A$2920, Dashboard_Visual!$B$4), INDEX(Data_Monitoring!$B$2:$B$2920, MATCH(Dashboard_Visual!$B$4, Data_Monitoring!$A$2:$A$2920, 0) + 219 - 1), "")</f>
        <v/>
      </c>
      <c r="V221" s="8" t="str">
        <f>IF(219&lt;=COUNTIF(Data_Monitoring!$A$2:$A$2920, Dashboard_Visual!$B$4), INDEX(Data_Monitoring!$M$2:$M$2920, MATCH(Dashboard_Visual!$B$4, Data_Monitoring!$A$2:$A$2920, 0) + 219 - 1), "")</f>
        <v/>
      </c>
    </row>
    <row r="222" spans="21:22" x14ac:dyDescent="0.25">
      <c r="U222" s="7" t="str">
        <f>IF(220&lt;=COUNTIF(Data_Monitoring!$A$2:$A$2920, Dashboard_Visual!$B$4), INDEX(Data_Monitoring!$B$2:$B$2920, MATCH(Dashboard_Visual!$B$4, Data_Monitoring!$A$2:$A$2920, 0) + 220 - 1), "")</f>
        <v/>
      </c>
      <c r="V222" s="8" t="str">
        <f>IF(220&lt;=COUNTIF(Data_Monitoring!$A$2:$A$2920, Dashboard_Visual!$B$4), INDEX(Data_Monitoring!$M$2:$M$2920, MATCH(Dashboard_Visual!$B$4, Data_Monitoring!$A$2:$A$2920, 0) + 220 - 1), "")</f>
        <v/>
      </c>
    </row>
    <row r="223" spans="21:22" x14ac:dyDescent="0.25">
      <c r="U223" s="7" t="str">
        <f>IF(221&lt;=COUNTIF(Data_Monitoring!$A$2:$A$2920, Dashboard_Visual!$B$4), INDEX(Data_Monitoring!$B$2:$B$2920, MATCH(Dashboard_Visual!$B$4, Data_Monitoring!$A$2:$A$2920, 0) + 221 - 1), "")</f>
        <v/>
      </c>
      <c r="V223" s="8" t="str">
        <f>IF(221&lt;=COUNTIF(Data_Monitoring!$A$2:$A$2920, Dashboard_Visual!$B$4), INDEX(Data_Monitoring!$M$2:$M$2920, MATCH(Dashboard_Visual!$B$4, Data_Monitoring!$A$2:$A$2920, 0) + 221 - 1), "")</f>
        <v/>
      </c>
    </row>
    <row r="224" spans="21:22" x14ac:dyDescent="0.25">
      <c r="U224" s="7" t="str">
        <f>IF(222&lt;=COUNTIF(Data_Monitoring!$A$2:$A$2920, Dashboard_Visual!$B$4), INDEX(Data_Monitoring!$B$2:$B$2920, MATCH(Dashboard_Visual!$B$4, Data_Monitoring!$A$2:$A$2920, 0) + 222 - 1), "")</f>
        <v/>
      </c>
      <c r="V224" s="8" t="str">
        <f>IF(222&lt;=COUNTIF(Data_Monitoring!$A$2:$A$2920, Dashboard_Visual!$B$4), INDEX(Data_Monitoring!$M$2:$M$2920, MATCH(Dashboard_Visual!$B$4, Data_Monitoring!$A$2:$A$2920, 0) + 222 - 1), "")</f>
        <v/>
      </c>
    </row>
    <row r="225" spans="21:22" x14ac:dyDescent="0.25">
      <c r="U225" s="7" t="str">
        <f>IF(223&lt;=COUNTIF(Data_Monitoring!$A$2:$A$2920, Dashboard_Visual!$B$4), INDEX(Data_Monitoring!$B$2:$B$2920, MATCH(Dashboard_Visual!$B$4, Data_Monitoring!$A$2:$A$2920, 0) + 223 - 1), "")</f>
        <v/>
      </c>
      <c r="V225" s="8" t="str">
        <f>IF(223&lt;=COUNTIF(Data_Monitoring!$A$2:$A$2920, Dashboard_Visual!$B$4), INDEX(Data_Monitoring!$M$2:$M$2920, MATCH(Dashboard_Visual!$B$4, Data_Monitoring!$A$2:$A$2920, 0) + 223 - 1), "")</f>
        <v/>
      </c>
    </row>
    <row r="226" spans="21:22" x14ac:dyDescent="0.25">
      <c r="U226" s="7" t="str">
        <f>IF(224&lt;=COUNTIF(Data_Monitoring!$A$2:$A$2920, Dashboard_Visual!$B$4), INDEX(Data_Monitoring!$B$2:$B$2920, MATCH(Dashboard_Visual!$B$4, Data_Monitoring!$A$2:$A$2920, 0) + 224 - 1), "")</f>
        <v/>
      </c>
      <c r="V226" s="8" t="str">
        <f>IF(224&lt;=COUNTIF(Data_Monitoring!$A$2:$A$2920, Dashboard_Visual!$B$4), INDEX(Data_Monitoring!$M$2:$M$2920, MATCH(Dashboard_Visual!$B$4, Data_Monitoring!$A$2:$A$2920, 0) + 224 - 1), "")</f>
        <v/>
      </c>
    </row>
    <row r="227" spans="21:22" x14ac:dyDescent="0.25">
      <c r="U227" s="7" t="str">
        <f>IF(225&lt;=COUNTIF(Data_Monitoring!$A$2:$A$2920, Dashboard_Visual!$B$4), INDEX(Data_Monitoring!$B$2:$B$2920, MATCH(Dashboard_Visual!$B$4, Data_Monitoring!$A$2:$A$2920, 0) + 225 - 1), "")</f>
        <v/>
      </c>
      <c r="V227" s="8" t="str">
        <f>IF(225&lt;=COUNTIF(Data_Monitoring!$A$2:$A$2920, Dashboard_Visual!$B$4), INDEX(Data_Monitoring!$M$2:$M$2920, MATCH(Dashboard_Visual!$B$4, Data_Monitoring!$A$2:$A$2920, 0) + 225 - 1), "")</f>
        <v/>
      </c>
    </row>
    <row r="228" spans="21:22" x14ac:dyDescent="0.25">
      <c r="U228" s="7" t="str">
        <f>IF(226&lt;=COUNTIF(Data_Monitoring!$A$2:$A$2920, Dashboard_Visual!$B$4), INDEX(Data_Monitoring!$B$2:$B$2920, MATCH(Dashboard_Visual!$B$4, Data_Monitoring!$A$2:$A$2920, 0) + 226 - 1), "")</f>
        <v/>
      </c>
      <c r="V228" s="8" t="str">
        <f>IF(226&lt;=COUNTIF(Data_Monitoring!$A$2:$A$2920, Dashboard_Visual!$B$4), INDEX(Data_Monitoring!$M$2:$M$2920, MATCH(Dashboard_Visual!$B$4, Data_Monitoring!$A$2:$A$2920, 0) + 226 - 1), "")</f>
        <v/>
      </c>
    </row>
    <row r="229" spans="21:22" x14ac:dyDescent="0.25">
      <c r="U229" s="7" t="str">
        <f>IF(227&lt;=COUNTIF(Data_Monitoring!$A$2:$A$2920, Dashboard_Visual!$B$4), INDEX(Data_Monitoring!$B$2:$B$2920, MATCH(Dashboard_Visual!$B$4, Data_Monitoring!$A$2:$A$2920, 0) + 227 - 1), "")</f>
        <v/>
      </c>
      <c r="V229" s="8" t="str">
        <f>IF(227&lt;=COUNTIF(Data_Monitoring!$A$2:$A$2920, Dashboard_Visual!$B$4), INDEX(Data_Monitoring!$M$2:$M$2920, MATCH(Dashboard_Visual!$B$4, Data_Monitoring!$A$2:$A$2920, 0) + 227 - 1), "")</f>
        <v/>
      </c>
    </row>
    <row r="230" spans="21:22" x14ac:dyDescent="0.25">
      <c r="U230" s="7" t="str">
        <f>IF(228&lt;=COUNTIF(Data_Monitoring!$A$2:$A$2920, Dashboard_Visual!$B$4), INDEX(Data_Monitoring!$B$2:$B$2920, MATCH(Dashboard_Visual!$B$4, Data_Monitoring!$A$2:$A$2920, 0) + 228 - 1), "")</f>
        <v/>
      </c>
      <c r="V230" s="8" t="str">
        <f>IF(228&lt;=COUNTIF(Data_Monitoring!$A$2:$A$2920, Dashboard_Visual!$B$4), INDEX(Data_Monitoring!$M$2:$M$2920, MATCH(Dashboard_Visual!$B$4, Data_Monitoring!$A$2:$A$2920, 0) + 228 - 1), "")</f>
        <v/>
      </c>
    </row>
    <row r="231" spans="21:22" x14ac:dyDescent="0.25">
      <c r="U231" s="7" t="str">
        <f>IF(229&lt;=COUNTIF(Data_Monitoring!$A$2:$A$2920, Dashboard_Visual!$B$4), INDEX(Data_Monitoring!$B$2:$B$2920, MATCH(Dashboard_Visual!$B$4, Data_Monitoring!$A$2:$A$2920, 0) + 229 - 1), "")</f>
        <v/>
      </c>
      <c r="V231" s="8" t="str">
        <f>IF(229&lt;=COUNTIF(Data_Monitoring!$A$2:$A$2920, Dashboard_Visual!$B$4), INDEX(Data_Monitoring!$M$2:$M$2920, MATCH(Dashboard_Visual!$B$4, Data_Monitoring!$A$2:$A$2920, 0) + 229 - 1), "")</f>
        <v/>
      </c>
    </row>
    <row r="232" spans="21:22" x14ac:dyDescent="0.25">
      <c r="U232" s="7" t="str">
        <f>IF(230&lt;=COUNTIF(Data_Monitoring!$A$2:$A$2920, Dashboard_Visual!$B$4), INDEX(Data_Monitoring!$B$2:$B$2920, MATCH(Dashboard_Visual!$B$4, Data_Monitoring!$A$2:$A$2920, 0) + 230 - 1), "")</f>
        <v/>
      </c>
      <c r="V232" s="8" t="str">
        <f>IF(230&lt;=COUNTIF(Data_Monitoring!$A$2:$A$2920, Dashboard_Visual!$B$4), INDEX(Data_Monitoring!$M$2:$M$2920, MATCH(Dashboard_Visual!$B$4, Data_Monitoring!$A$2:$A$2920, 0) + 230 - 1), "")</f>
        <v/>
      </c>
    </row>
    <row r="233" spans="21:22" x14ac:dyDescent="0.25">
      <c r="U233" s="7" t="str">
        <f>IF(231&lt;=COUNTIF(Data_Monitoring!$A$2:$A$2920, Dashboard_Visual!$B$4), INDEX(Data_Monitoring!$B$2:$B$2920, MATCH(Dashboard_Visual!$B$4, Data_Monitoring!$A$2:$A$2920, 0) + 231 - 1), "")</f>
        <v/>
      </c>
      <c r="V233" s="8" t="str">
        <f>IF(231&lt;=COUNTIF(Data_Monitoring!$A$2:$A$2920, Dashboard_Visual!$B$4), INDEX(Data_Monitoring!$M$2:$M$2920, MATCH(Dashboard_Visual!$B$4, Data_Monitoring!$A$2:$A$2920, 0) + 231 - 1), "")</f>
        <v/>
      </c>
    </row>
    <row r="234" spans="21:22" x14ac:dyDescent="0.25">
      <c r="U234" s="7" t="str">
        <f>IF(232&lt;=COUNTIF(Data_Monitoring!$A$2:$A$2920, Dashboard_Visual!$B$4), INDEX(Data_Monitoring!$B$2:$B$2920, MATCH(Dashboard_Visual!$B$4, Data_Monitoring!$A$2:$A$2920, 0) + 232 - 1), "")</f>
        <v/>
      </c>
      <c r="V234" s="8" t="str">
        <f>IF(232&lt;=COUNTIF(Data_Monitoring!$A$2:$A$2920, Dashboard_Visual!$B$4), INDEX(Data_Monitoring!$M$2:$M$2920, MATCH(Dashboard_Visual!$B$4, Data_Monitoring!$A$2:$A$2920, 0) + 232 - 1), "")</f>
        <v/>
      </c>
    </row>
    <row r="235" spans="21:22" x14ac:dyDescent="0.25">
      <c r="U235" s="7" t="str">
        <f>IF(233&lt;=COUNTIF(Data_Monitoring!$A$2:$A$2920, Dashboard_Visual!$B$4), INDEX(Data_Monitoring!$B$2:$B$2920, MATCH(Dashboard_Visual!$B$4, Data_Monitoring!$A$2:$A$2920, 0) + 233 - 1), "")</f>
        <v/>
      </c>
      <c r="V235" s="8" t="str">
        <f>IF(233&lt;=COUNTIF(Data_Monitoring!$A$2:$A$2920, Dashboard_Visual!$B$4), INDEX(Data_Monitoring!$M$2:$M$2920, MATCH(Dashboard_Visual!$B$4, Data_Monitoring!$A$2:$A$2920, 0) + 233 - 1), "")</f>
        <v/>
      </c>
    </row>
    <row r="236" spans="21:22" x14ac:dyDescent="0.25">
      <c r="U236" s="7" t="str">
        <f>IF(234&lt;=COUNTIF(Data_Monitoring!$A$2:$A$2920, Dashboard_Visual!$B$4), INDEX(Data_Monitoring!$B$2:$B$2920, MATCH(Dashboard_Visual!$B$4, Data_Monitoring!$A$2:$A$2920, 0) + 234 - 1), "")</f>
        <v/>
      </c>
      <c r="V236" s="8" t="str">
        <f>IF(234&lt;=COUNTIF(Data_Monitoring!$A$2:$A$2920, Dashboard_Visual!$B$4), INDEX(Data_Monitoring!$M$2:$M$2920, MATCH(Dashboard_Visual!$B$4, Data_Monitoring!$A$2:$A$2920, 0) + 234 - 1), "")</f>
        <v/>
      </c>
    </row>
    <row r="237" spans="21:22" x14ac:dyDescent="0.25">
      <c r="U237" s="7" t="str">
        <f>IF(235&lt;=COUNTIF(Data_Monitoring!$A$2:$A$2920, Dashboard_Visual!$B$4), INDEX(Data_Monitoring!$B$2:$B$2920, MATCH(Dashboard_Visual!$B$4, Data_Monitoring!$A$2:$A$2920, 0) + 235 - 1), "")</f>
        <v/>
      </c>
      <c r="V237" s="8" t="str">
        <f>IF(235&lt;=COUNTIF(Data_Monitoring!$A$2:$A$2920, Dashboard_Visual!$B$4), INDEX(Data_Monitoring!$M$2:$M$2920, MATCH(Dashboard_Visual!$B$4, Data_Monitoring!$A$2:$A$2920, 0) + 235 - 1), "")</f>
        <v/>
      </c>
    </row>
    <row r="238" spans="21:22" x14ac:dyDescent="0.25">
      <c r="U238" s="7" t="str">
        <f>IF(236&lt;=COUNTIF(Data_Monitoring!$A$2:$A$2920, Dashboard_Visual!$B$4), INDEX(Data_Monitoring!$B$2:$B$2920, MATCH(Dashboard_Visual!$B$4, Data_Monitoring!$A$2:$A$2920, 0) + 236 - 1), "")</f>
        <v/>
      </c>
      <c r="V238" s="8" t="str">
        <f>IF(236&lt;=COUNTIF(Data_Monitoring!$A$2:$A$2920, Dashboard_Visual!$B$4), INDEX(Data_Monitoring!$M$2:$M$2920, MATCH(Dashboard_Visual!$B$4, Data_Monitoring!$A$2:$A$2920, 0) + 236 - 1), "")</f>
        <v/>
      </c>
    </row>
    <row r="239" spans="21:22" x14ac:dyDescent="0.25">
      <c r="U239" s="7" t="str">
        <f>IF(237&lt;=COUNTIF(Data_Monitoring!$A$2:$A$2920, Dashboard_Visual!$B$4), INDEX(Data_Monitoring!$B$2:$B$2920, MATCH(Dashboard_Visual!$B$4, Data_Monitoring!$A$2:$A$2920, 0) + 237 - 1), "")</f>
        <v/>
      </c>
      <c r="V239" s="8" t="str">
        <f>IF(237&lt;=COUNTIF(Data_Monitoring!$A$2:$A$2920, Dashboard_Visual!$B$4), INDEX(Data_Monitoring!$M$2:$M$2920, MATCH(Dashboard_Visual!$B$4, Data_Monitoring!$A$2:$A$2920, 0) + 237 - 1), "")</f>
        <v/>
      </c>
    </row>
    <row r="240" spans="21:22" x14ac:dyDescent="0.25">
      <c r="U240" s="7" t="str">
        <f>IF(238&lt;=COUNTIF(Data_Monitoring!$A$2:$A$2920, Dashboard_Visual!$B$4), INDEX(Data_Monitoring!$B$2:$B$2920, MATCH(Dashboard_Visual!$B$4, Data_Monitoring!$A$2:$A$2920, 0) + 238 - 1), "")</f>
        <v/>
      </c>
      <c r="V240" s="8" t="str">
        <f>IF(238&lt;=COUNTIF(Data_Monitoring!$A$2:$A$2920, Dashboard_Visual!$B$4), INDEX(Data_Monitoring!$M$2:$M$2920, MATCH(Dashboard_Visual!$B$4, Data_Monitoring!$A$2:$A$2920, 0) + 238 - 1), "")</f>
        <v/>
      </c>
    </row>
    <row r="241" spans="21:22" x14ac:dyDescent="0.25">
      <c r="U241" s="7" t="str">
        <f>IF(239&lt;=COUNTIF(Data_Monitoring!$A$2:$A$2920, Dashboard_Visual!$B$4), INDEX(Data_Monitoring!$B$2:$B$2920, MATCH(Dashboard_Visual!$B$4, Data_Monitoring!$A$2:$A$2920, 0) + 239 - 1), "")</f>
        <v/>
      </c>
      <c r="V241" s="8" t="str">
        <f>IF(239&lt;=COUNTIF(Data_Monitoring!$A$2:$A$2920, Dashboard_Visual!$B$4), INDEX(Data_Monitoring!$M$2:$M$2920, MATCH(Dashboard_Visual!$B$4, Data_Monitoring!$A$2:$A$2920, 0) + 239 - 1), "")</f>
        <v/>
      </c>
    </row>
    <row r="242" spans="21:22" x14ac:dyDescent="0.25">
      <c r="U242" s="7" t="str">
        <f>IF(240&lt;=COUNTIF(Data_Monitoring!$A$2:$A$2920, Dashboard_Visual!$B$4), INDEX(Data_Monitoring!$B$2:$B$2920, MATCH(Dashboard_Visual!$B$4, Data_Monitoring!$A$2:$A$2920, 0) + 240 - 1), "")</f>
        <v/>
      </c>
      <c r="V242" s="8" t="str">
        <f>IF(240&lt;=COUNTIF(Data_Monitoring!$A$2:$A$2920, Dashboard_Visual!$B$4), INDEX(Data_Monitoring!$M$2:$M$2920, MATCH(Dashboard_Visual!$B$4, Data_Monitoring!$A$2:$A$2920, 0) + 240 - 1), "")</f>
        <v/>
      </c>
    </row>
    <row r="243" spans="21:22" x14ac:dyDescent="0.25">
      <c r="U243" s="7" t="str">
        <f>IF(241&lt;=COUNTIF(Data_Monitoring!$A$2:$A$2920, Dashboard_Visual!$B$4), INDEX(Data_Monitoring!$B$2:$B$2920, MATCH(Dashboard_Visual!$B$4, Data_Monitoring!$A$2:$A$2920, 0) + 241 - 1), "")</f>
        <v/>
      </c>
      <c r="V243" s="8" t="str">
        <f>IF(241&lt;=COUNTIF(Data_Monitoring!$A$2:$A$2920, Dashboard_Visual!$B$4), INDEX(Data_Monitoring!$M$2:$M$2920, MATCH(Dashboard_Visual!$B$4, Data_Monitoring!$A$2:$A$2920, 0) + 241 - 1), "")</f>
        <v/>
      </c>
    </row>
    <row r="244" spans="21:22" x14ac:dyDescent="0.25">
      <c r="U244" s="7" t="str">
        <f>IF(242&lt;=COUNTIF(Data_Monitoring!$A$2:$A$2920, Dashboard_Visual!$B$4), INDEX(Data_Monitoring!$B$2:$B$2920, MATCH(Dashboard_Visual!$B$4, Data_Monitoring!$A$2:$A$2920, 0) + 242 - 1), "")</f>
        <v/>
      </c>
      <c r="V244" s="8" t="str">
        <f>IF(242&lt;=COUNTIF(Data_Monitoring!$A$2:$A$2920, Dashboard_Visual!$B$4), INDEX(Data_Monitoring!$M$2:$M$2920, MATCH(Dashboard_Visual!$B$4, Data_Monitoring!$A$2:$A$2920, 0) + 242 - 1), "")</f>
        <v/>
      </c>
    </row>
    <row r="245" spans="21:22" x14ac:dyDescent="0.25">
      <c r="U245" s="7" t="str">
        <f>IF(243&lt;=COUNTIF(Data_Monitoring!$A$2:$A$2920, Dashboard_Visual!$B$4), INDEX(Data_Monitoring!$B$2:$B$2920, MATCH(Dashboard_Visual!$B$4, Data_Monitoring!$A$2:$A$2920, 0) + 243 - 1), "")</f>
        <v/>
      </c>
      <c r="V245" s="8" t="str">
        <f>IF(243&lt;=COUNTIF(Data_Monitoring!$A$2:$A$2920, Dashboard_Visual!$B$4), INDEX(Data_Monitoring!$M$2:$M$2920, MATCH(Dashboard_Visual!$B$4, Data_Monitoring!$A$2:$A$2920, 0) + 243 - 1), "")</f>
        <v/>
      </c>
    </row>
    <row r="246" spans="21:22" x14ac:dyDescent="0.25">
      <c r="U246" s="7" t="str">
        <f>IF(244&lt;=COUNTIF(Data_Monitoring!$A$2:$A$2920, Dashboard_Visual!$B$4), INDEX(Data_Monitoring!$B$2:$B$2920, MATCH(Dashboard_Visual!$B$4, Data_Monitoring!$A$2:$A$2920, 0) + 244 - 1), "")</f>
        <v/>
      </c>
      <c r="V246" s="8" t="str">
        <f>IF(244&lt;=COUNTIF(Data_Monitoring!$A$2:$A$2920, Dashboard_Visual!$B$4), INDEX(Data_Monitoring!$M$2:$M$2920, MATCH(Dashboard_Visual!$B$4, Data_Monitoring!$A$2:$A$2920, 0) + 244 - 1), "")</f>
        <v/>
      </c>
    </row>
    <row r="247" spans="21:22" x14ac:dyDescent="0.25">
      <c r="U247" s="7" t="str">
        <f>IF(245&lt;=COUNTIF(Data_Monitoring!$A$2:$A$2920, Dashboard_Visual!$B$4), INDEX(Data_Monitoring!$B$2:$B$2920, MATCH(Dashboard_Visual!$B$4, Data_Monitoring!$A$2:$A$2920, 0) + 245 - 1), "")</f>
        <v/>
      </c>
      <c r="V247" s="8" t="str">
        <f>IF(245&lt;=COUNTIF(Data_Monitoring!$A$2:$A$2920, Dashboard_Visual!$B$4), INDEX(Data_Monitoring!$M$2:$M$2920, MATCH(Dashboard_Visual!$B$4, Data_Monitoring!$A$2:$A$2920, 0) + 245 - 1), "")</f>
        <v/>
      </c>
    </row>
    <row r="248" spans="21:22" x14ac:dyDescent="0.25">
      <c r="U248" s="7" t="str">
        <f>IF(246&lt;=COUNTIF(Data_Monitoring!$A$2:$A$2920, Dashboard_Visual!$B$4), INDEX(Data_Monitoring!$B$2:$B$2920, MATCH(Dashboard_Visual!$B$4, Data_Monitoring!$A$2:$A$2920, 0) + 246 - 1), "")</f>
        <v/>
      </c>
      <c r="V248" s="8" t="str">
        <f>IF(246&lt;=COUNTIF(Data_Monitoring!$A$2:$A$2920, Dashboard_Visual!$B$4), INDEX(Data_Monitoring!$M$2:$M$2920, MATCH(Dashboard_Visual!$B$4, Data_Monitoring!$A$2:$A$2920, 0) + 246 - 1), "")</f>
        <v/>
      </c>
    </row>
  </sheetData>
  <conditionalFormatting sqref="V3:V249">
    <cfRule type="cellIs" dxfId="1" priority="1" operator="between">
      <formula>0.08001</formula>
      <formula>0.1</formula>
    </cfRule>
    <cfRule type="cellIs" dxfId="0" priority="2" operator="greaterThan">
      <formula>0.1</formula>
    </cfRule>
  </conditionalFormatting>
  <dataValidations count="1">
    <dataValidation type="list" allowBlank="1" showInputMessage="1" showErrorMessage="1" sqref="B3" xr:uid="{00000000-0002-0000-0400-000000000000}">
      <formula1>Dyn_STA_Dropdown</formula1>
    </dataValidation>
  </dataValidations>
  <printOptions gridLines="1"/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1000000}">
          <x14:formula1>
            <xm:f>Daftar_Pilihan!$A$2:$A$38</xm:f>
          </x14:formula1>
          <xm:sqref>B4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Data_Monitoring</vt:lpstr>
      <vt:lpstr>CrossSection_3Pts</vt:lpstr>
      <vt:lpstr>Daftar_Pilihan</vt:lpstr>
      <vt:lpstr>Chart_Data</vt:lpstr>
      <vt:lpstr>Dashboard_Visual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Putra Dava Tasyakur</dc:creator>
  <cp:lastModifiedBy>Putra Dava Tasyakur</cp:lastModifiedBy>
  <dcterms:created xsi:type="dcterms:W3CDTF">2026-09-08T04:10:05Z</dcterms:created>
  <dcterms:modified xsi:type="dcterms:W3CDTF">2026-09-11T00:25:45Z</dcterms:modified>
</cp:coreProperties>
</file>